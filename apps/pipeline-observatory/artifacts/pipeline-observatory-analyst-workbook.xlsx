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sheetId="1" state="visible" r:id="rId3"/>
    <sheet name="Controls" sheetId="2" state="visible" r:id="rId4"/>
    <sheet name="Checks" sheetId="3" state="visible" r:id="rId5"/>
    <sheet name="Publish decision" sheetId="4" state="visible" r:id="rId6"/>
    <sheet name="Source health" sheetId="5" state="visible" r:id="rId7"/>
    <sheet name="Sample scope" sheetId="6" state="visible" r:id="rId8"/>
    <sheet name="Golden case" sheetId="7" state="visible" r:id="rId9"/>
    <sheet name="Assumptions" sheetId="8" state="visible" r:id="rId10"/>
    <sheet name="Sources" sheetId="9" state="visible" r:id="rId11"/>
    <sheet name="Batches" sheetId="10" state="visible" r:id="rId12"/>
    <sheet name="Checkpoints" sheetId="11" state="visible" r:id="rId13"/>
    <sheet name="Runs" sheetId="12" state="visible" r:id="rId14"/>
    <sheet name="Incidents" sheetId="13" state="visible" r:id="rId15"/>
    <sheet name="Backfills" sheetId="14" state="visible" r:id="rId16"/>
    <sheet name="Retries" sheetId="15" state="visible" r:id="rId17"/>
    <sheet name="Fetch log" sheetId="16" state="visible" r:id="rId18"/>
    <sheet name="Domain reference" sheetId="17" state="visible" r:id="rId19"/>
    <sheet name="SQL results (pasted)" sheetId="18" state="visible" r:id="rId20"/>
  </sheets>
  <calcPr fullCalcOnLoad="1"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<sst xmlns="http://schemas.openxmlformats.org/spreadsheetml/2006/main" count="16598" uniqueCount="5689">
  <si>
    <t xml:space="preserve">Pipeline Observatory analyst workbook (P08-ART-05)</t>
  </si>
  <si>
    <t xml:space="preserve">What it is</t>
  </si>
  <si>
    <t xml:space="preserve">A formula-driven recomputation of the Pipeline Observatory headline measures over the published synthetic snapshot po-20261026-20261026 (dataset hash 0a90687778634365c402c5431661b56625de20785e28d9b2388d36c0cad19aab, code revision ed7eb5a, as-of 2026-10-05T00:00:00Z): 6 sources, 1,311 batches, 1,343 hourly runs, 25 incidents, 15 backfill requests, 1,361 fetches.</t>
  </si>
  <si>
    <t xml:space="preserve">The decision</t>
  </si>
  <si>
    <t xml:space="preserve">Is this dataset safe, complete and fresh enough to publish? Publish decision applies the printed rule of the site: a blocked latest gate or a source past its freshness target means do not publish; a silent source means publish with a stated exception.</t>
  </si>
  <si>
    <t xml:space="preserve">Synthetic data and scope</t>
  </si>
  <si>
    <t xml:space="preserve">Everything is synthetic (a seeded generator). Every figure carries a scope: COMPLETE world (published in full), 2,000-row SAMPLE (raw rows), or RECORDED (the generator's statement). Observed = what this one draw shows; constructed = the designed relationships and injected defects; no real-world benefit is claimed.</t>
  </si>
  <si>
    <t xml:space="preserve">How to use it</t>
  </si>
  <si>
    <t xml:space="preserve">Open the .xlsx in any spreadsheet application. Controls!B3 changes how many cadences make a source silent; Controls!B5 switches the scope of the Selected rates; Checks!B2 is TRUE when every figure agrees with the Python domain, the manifest's record and the golden hand answer. Nothing needs installing to read the cached values.</t>
  </si>
  <si>
    <t xml:space="preserve">Recalculation status</t>
  </si>
  <si>
    <t xml:space="preserve">openpyxl wrote formulas only; LibreOffice (headless) recalculated the delivered file. Microsoft Excel was NOT run: nothing here was opened or recalculated by Excel (docs/workbook.md).</t>
  </si>
  <si>
    <t xml:space="preserve">Sheets</t>
  </si>
  <si>
    <t xml:space="preserve">Controls, Checks, Publish decision, Source health, Sample scope, Golden case, Assumptions (read-this-first limits), data sheets (Sources, Batches, Checkpoints, Runs, Incidents, Backfills, Retries, Fetch log), Domain reference (pasted values), SQL results (pasted).</t>
  </si>
  <si>
    <t xml:space="preserve">Colour</t>
  </si>
  <si>
    <t xml:space="preserve">Blue = typed input or pasted value; black = formula.</t>
  </si>
  <si>
    <t xml:space="preserve">Controls</t>
  </si>
  <si>
    <t xml:space="preserve">Change B3 (cadences) or B5 (scope): Source health and Publish decision follow. Blue cells are inputs.</t>
  </si>
  <si>
    <t xml:space="preserve">A source is silent above this many declared cadences (display rule, D-08)</t>
  </si>
  <si>
    <t xml:space="preserve">As-of (UTC)</t>
  </si>
  <si>
    <t xml:space="preserve">Scope of the Selected rates (complete world | sample)</t>
  </si>
  <si>
    <t xml:space="preserve">complete world</t>
  </si>
  <si>
    <t xml:space="preserve">All checks pass (Checks!B2)</t>
  </si>
  <si>
    <t xml:space="preserve">Publish verdict (Publish decision!B10)</t>
  </si>
  <si>
    <t xml:space="preserve">Checks: TRUE when every comparison with the Python domain, the manifest's record and the golden hand answer holds</t>
  </si>
  <si>
    <t xml:space="preserve">All checks pass</t>
  </si>
  <si>
    <t xml:space="preserve">check</t>
  </si>
  <si>
    <t xml:space="preserve">result</t>
  </si>
  <si>
    <t xml:space="preserve">Every source row of Source health agrees with the domain / the manifest's record (counts, rates, ingestion age, freshness, completeness)</t>
  </si>
  <si>
    <t xml:space="preserve">Run funnel: runs | reached the gate | allowed | blocked at the gate | failed before it equal the domain's gate results</t>
  </si>
  <si>
    <t xml:space="preserve">Task success and attempt success equal the domain</t>
  </si>
  <si>
    <t xml:space="preserve">Failed runs by kind equal the manifest's by_type (freshness, relationships, residual, ingest, transform, gate_infra)</t>
  </si>
  <si>
    <t xml:space="preserve">Incidents and mean recovery minutes equal the domain</t>
  </si>
  <si>
    <t xml:space="preserve">Backfill coverage (requested, verified, coverage) equals the domain</t>
  </si>
  <si>
    <t xml:space="preserve">Retry-after: every rate-limited fetch was retried no sooner than its hint</t>
  </si>
  <si>
    <t xml:space="preserve">Publication pointer equals the domain's current publication</t>
  </si>
  <si>
    <t xml:space="preserve">Publish verdict at the default controls is the stated exception for the one silent source</t>
  </si>
  <si>
    <t xml:space="preserve">Golden case: every formula figure equals the hand answer</t>
  </si>
  <si>
    <t xml:space="preserve">Sample scope: the sample's accepted count exceeds the world's for the same batches and the duplicate count falls short (the scope warning holds)</t>
  </si>
  <si>
    <t xml:space="preserve">Is this dataset safe, complete and fresh enough to publish? The printed rule of the site, as formulas</t>
  </si>
  <si>
    <t xml:space="preserve">Rule: a blocked latest gate or a source past its declared freshness target means DO NOT PUBLISH; a silent source (freshness above Controls!B3 declared cadences) means PUBLISH WITH A STATED EXCEPTION. Scope: complete world except freshness (recorded).</t>
  </si>
  <si>
    <t xml:space="preserve">Latest run</t>
  </si>
  <si>
    <t xml:space="preserve">Latest run: status</t>
  </si>
  <si>
    <t xml:space="preserve">Latest run: gate decision</t>
  </si>
  <si>
    <t xml:space="preserve">Publication pointer (publication of the latest published run)</t>
  </si>
  <si>
    <t xml:space="preserve">Sources past their declared freshness target</t>
  </si>
  <si>
    <t xml:space="preserve">Silent sources</t>
  </si>
  <si>
    <t xml:space="preserve">First silent source</t>
  </si>
  <si>
    <t xml:space="preserve">Verdict</t>
  </si>
  <si>
    <t xml:space="preserve">Run funnel (D-09 R8-07)</t>
  </si>
  <si>
    <t xml:space="preserve">runs</t>
  </si>
  <si>
    <t xml:space="preserve">reached the gate</t>
  </si>
  <si>
    <t xml:space="preserve">allowed</t>
  </si>
  <si>
    <t xml:space="preserve">blocked at the gate</t>
  </si>
  <si>
    <t xml:space="preserve">failed before the gate</t>
  </si>
  <si>
    <t xml:space="preserve">published</t>
  </si>
  <si>
    <t xml:space="preserve">Failed runs by kind</t>
  </si>
  <si>
    <t xml:space="preserve">mean recovery minutes</t>
  </si>
  <si>
    <t xml:space="preserve">freshness</t>
  </si>
  <si>
    <t xml:space="preserve">relationships</t>
  </si>
  <si>
    <t xml:space="preserve">residual</t>
  </si>
  <si>
    <t xml:space="preserve">ingest</t>
  </si>
  <si>
    <t xml:space="preserve">transform</t>
  </si>
  <si>
    <t xml:space="preserve">gate_infra</t>
  </si>
  <si>
    <t xml:space="preserve">Tasks against attempts</t>
  </si>
  <si>
    <t xml:space="preserve">task success rate</t>
  </si>
  <si>
    <t xml:space="preserve">attempt success rate</t>
  </si>
  <si>
    <t xml:space="preserve">Incidents and recovery</t>
  </si>
  <si>
    <t xml:space="preserve">incidents</t>
  </si>
  <si>
    <t xml:space="preserve">mean recovery minutes (verified recovery minus detection)</t>
  </si>
  <si>
    <t xml:space="preserve">Backfill coverage (accepted requests only)</t>
  </si>
  <si>
    <t xml:space="preserve">requested partitions</t>
  </si>
  <si>
    <t xml:space="preserve">verified partitions</t>
  </si>
  <si>
    <t xml:space="preserve">coverage</t>
  </si>
  <si>
    <t xml:space="preserve">refused partitions (beside, never inside)</t>
  </si>
  <si>
    <t xml:space="preserve">Retry-after</t>
  </si>
  <si>
    <t xml:space="preserve">rate-limited fetches</t>
  </si>
  <si>
    <t xml:space="preserve">retries honouring the hint</t>
  </si>
  <si>
    <t xml:space="preserve">refetch rows | loop rows</t>
  </si>
  <si>
    <t xml:space="preserve">Source health at the as-of: counts and rates (complete world), ingestion age, freshness (recorded), flags</t>
  </si>
  <si>
    <t xml:space="preserve">Controls!B3 = the number of declared cadences that make a source silent; Controls!B5 = the scope of the Selected rates. Check = the row agrees with the domain / the manifest's record (Domain reference).</t>
  </si>
  <si>
    <t xml:space="preserve">source_id</t>
  </si>
  <si>
    <t xml:space="preserve">cadence_seconds</t>
  </si>
  <si>
    <t xml:space="preserve">target_seconds</t>
  </si>
  <si>
    <t xml:space="preserve">committed_batches</t>
  </si>
  <si>
    <t xml:space="preserve">received</t>
  </si>
  <si>
    <t xml:space="preserve">accepted_unique</t>
  </si>
  <si>
    <t xml:space="preserve">duplicate</t>
  </si>
  <si>
    <t xml:space="preserve">quarantined</t>
  </si>
  <si>
    <t xml:space="preserve">deleted</t>
  </si>
  <si>
    <t xml:space="preserve">rejection_rate</t>
  </si>
  <si>
    <t xml:space="preserve">duplicate_rate</t>
  </si>
  <si>
    <t xml:space="preserve">selected_rejection_rate</t>
  </si>
  <si>
    <t xml:space="preserve">selected_duplicate_rate</t>
  </si>
  <si>
    <t xml:space="preserve">ingestion_age_seconds</t>
  </si>
  <si>
    <t xml:space="preserve">freshness_seconds</t>
  </si>
  <si>
    <t xml:space="preserve">over_target</t>
  </si>
  <si>
    <t xml:space="preserve">silent</t>
  </si>
  <si>
    <t xml:space="preserve">expected_records</t>
  </si>
  <si>
    <t xml:space="preserve">completeness</t>
  </si>
  <si>
    <t xml:space="preserve">src-inventory</t>
  </si>
  <si>
    <t xml:space="preserve">src-orders</t>
  </si>
  <si>
    <t xml:space="preserve">src-payments</t>
  </si>
  <si>
    <t xml:space="preserve">src-refunds</t>
  </si>
  <si>
    <t xml:space="preserve">src-shipments</t>
  </si>
  <si>
    <t xml:space="preserve">src-web-events</t>
  </si>
  <si>
    <t xml:space="preserve">all sources</t>
  </si>
  <si>
    <t xml:space="preserve">The same rows under two scopes: the 2,000-row sample classified from the loaded rows only, and the complete world's classification of the SAME sampled batches</t>
  </si>
  <si>
    <t xml:space="preserve">The sample overstates accepted and understates duplicates because a key whose first copy sits in an unsampled batch looks new. Typed from the independent Python side (python_side.classify_sample) and the batch summaries.</t>
  </si>
  <si>
    <t xml:space="preserve">sample_received</t>
  </si>
  <si>
    <t xml:space="preserve">sample_accepted</t>
  </si>
  <si>
    <t xml:space="preserve">sample_quarantined</t>
  </si>
  <si>
    <t xml:space="preserve">sample_duplicate</t>
  </si>
  <si>
    <t xml:space="preserve">sample_deleted</t>
  </si>
  <si>
    <t xml:space="preserve">sample_rejection_rate</t>
  </si>
  <si>
    <t xml:space="preserve">sample_duplicate_rate</t>
  </si>
  <si>
    <t xml:space="preserve">world_accepted (same batches)</t>
  </si>
  <si>
    <t xml:space="preserve">world_duplicate (same batches)</t>
  </si>
  <si>
    <t xml:space="preserve">accepted_delta</t>
  </si>
  <si>
    <t xml:space="preserve">duplicate_delta</t>
  </si>
  <si>
    <t xml:space="preserve">Selected scope (Controls!B5) headline duplicate rate</t>
  </si>
  <si>
    <t xml:space="preserve">Golden known answer (P08-GOLD-01, tests/fixtures/golden): ten rows by formula</t>
  </si>
  <si>
    <t xml:space="preserve">Typed inputs are blue; the class of each row, every count, rate, instant difference and the residual are formulas. Check = equals the hand answer of CALCULATION.md.</t>
  </si>
  <si>
    <t xml:space="preserve">source_key</t>
  </si>
  <si>
    <t xml:space="preserve">quantity</t>
  </si>
  <si>
    <t xml:space="preserve">unit_price</t>
  </si>
  <si>
    <t xml:space="preserve">amount</t>
  </si>
  <si>
    <t xml:space="preserve">event_ts (serial)</t>
  </si>
  <si>
    <t xml:space="preserve">class (formula)</t>
  </si>
  <si>
    <t xml:space="preserve">ORD-1001</t>
  </si>
  <si>
    <t xml:space="preserve">ORD-1002</t>
  </si>
  <si>
    <t xml:space="preserve">ORD-1003</t>
  </si>
  <si>
    <t xml:space="preserve">ORD-1004</t>
  </si>
  <si>
    <t xml:space="preserve">ORD-1005</t>
  </si>
  <si>
    <t xml:space="preserve">ORD-1006</t>
  </si>
  <si>
    <t xml:space="preserve">ORD-1009</t>
  </si>
  <si>
    <t xml:space="preserve">ORD-1007</t>
  </si>
  <si>
    <t xml:space="preserve">ORD-1008</t>
  </si>
  <si>
    <t xml:space="preserve">figure</t>
  </si>
  <si>
    <t xml:space="preserve">formula result</t>
  </si>
  <si>
    <t xml:space="preserve">hand answer (typed)</t>
  </si>
  <si>
    <t xml:space="preserve">accepted unique</t>
  </si>
  <si>
    <t xml:space="preserve">rejection rate</t>
  </si>
  <si>
    <t xml:space="preserve">duplicate rate</t>
  </si>
  <si>
    <t xml:space="preserve">freshness seconds (as-of minus the latest accepted event)</t>
  </si>
  <si>
    <t xml:space="preserve">ingestion age seconds (as-of minus the last committed batch, b-002 at 12:05)</t>
  </si>
  <si>
    <t xml:space="preserve">completeness (accepted / 9 expected)</t>
  </si>
  <si>
    <t xml:space="preserve">run-001 task success (4 tasks, 4 successful)</t>
  </si>
  <si>
    <t xml:space="preserve">run-001 attempt success (5 attempts: transform twice; 4 successful)</t>
  </si>
  <si>
    <t xml:space="preserve">source total (every received row)</t>
  </si>
  <si>
    <t xml:space="preserve">published total (accepted rows)</t>
  </si>
  <si>
    <t xml:space="preserve">quarantined amount (exclusion)</t>
  </si>
  <si>
    <t xml:space="preserve">duplicate amount (exclusion)</t>
  </si>
  <si>
    <t xml:space="preserve">residual = source - published - exclusions</t>
  </si>
  <si>
    <t xml:space="preserve">recovery minutes (verified 20:15 minus detected 12:20)</t>
  </si>
  <si>
    <t xml:space="preserve">backfill coverage (2 of 3 partitions)</t>
  </si>
  <si>
    <t xml:space="preserve">processing rate (8 accepted / 12 s)</t>
  </si>
  <si>
    <t xml:space="preserve">Assumptions and limits</t>
  </si>
  <si>
    <t xml:space="preserve">id</t>
  </si>
  <si>
    <t xml:space="preserve">statement</t>
  </si>
  <si>
    <t xml:space="preserve">A-01</t>
  </si>
  <si>
    <t xml:space="preserve">Gate (D-P8-08): a run reached the gate when it has quality results; allowed iff at least one critical result exists and none failed, else blocked; a run that never reached the gate has no decision (not_reached). 'Blocked' in the domain's pointer_history counts those 15 runs too; the funnel keeps them apart (D-09 R8-07).</t>
  </si>
  <si>
    <t xml:space="preserve">A-02</t>
  </si>
  <si>
    <t xml:space="preserve">Failure kind: a failed run that reached the gate is named for its failed critical check (freshness_within_target = freshness, relationships_intact = relationships, reconciliation_residual_zero = residual); otherwise for the task that failed last (ingest, transform; quality_gate = gate_infra).</t>
  </si>
  <si>
    <t xml:space="preserve">A-03</t>
  </si>
  <si>
    <t xml:space="preserve">Rates divide by received (committed batches only; the schema-quarantined batch and the aborted batches count for nothing). A zero denominator is null, never 0. Deleted rows are beside accepted, duplicate and quarantined, not inside a rate's numerator.</t>
  </si>
  <si>
    <t xml:space="preserve">A-04</t>
  </si>
  <si>
    <t xml:space="preserve">Ingestion age = as-of minus the latest checkpoint of a committed batch; freshness = as-of minus the latest ACCEPTED event, which is RECORDED by the generator (the files hold a 2,000-row sample of the raw rows). Silent = freshness above Controls!B3 declared cadences (a display rule, not a contract rule).</t>
  </si>
  <si>
    <t xml:space="preserve">A-05</t>
  </si>
  <si>
    <t xml:space="preserve">Task success = successful terminal tasks / terminal tasks (the status of a task's last attempt); attempt success = successful attempts / attempts. An attempt is not a task.</t>
  </si>
  <si>
    <t xml:space="preserve">A-06</t>
  </si>
  <si>
    <t xml:space="preserve">Recovery minutes = (verified recovery - detection) / 60, the verified recovery being the publication of the first later run that succeeded, was allowed and reconciled (D-P8-06); the recovery publication instants are typed from the published files.</t>
  </si>
  <si>
    <t xml:space="preserve">A-07</t>
  </si>
  <si>
    <t xml:space="preserve">Backfill coverage = verified / requested partitions of the ACCEPTED requests; the 4 partitions of the 2 requests refused for overlap are shown beside it (D-09 R8-11).</t>
  </si>
  <si>
    <t xml:space="preserve">W-01</t>
  </si>
  <si>
    <t xml:space="preserve">Observed, constructed and hypothetical results are kept apart: every figure is observed in one draw of a generated world; the designed relationships (DR-01..DR-05) and the twelve injected defects are constructed; no benefit to a real organisation is claimed.</t>
  </si>
  <si>
    <t xml:space="preserve">W-02</t>
  </si>
  <si>
    <t xml:space="preserve">TYPED, not replayed by formulas: the per-batch counts (the generator's domain run over 40,191 raw rows), the gate and task counts of each run, the recorded latest accepted event of each source, the recovery publication instants and the sample's own classification (python_side.py). Each is compared with the Python domain, the manifest or the SQL after recalculation.</t>
  </si>
  <si>
    <t xml:space="preserve">W-03</t>
  </si>
  <si>
    <t xml:space="preserve">Recalculation: openpyxl writes formulas only; the delivered file was recalculated by LibreOffice headless and carries its cached values; Excel was NOT run. fullCalcOnLoad is set so Excel recalculates on open. Functions used: SUMIFS, COUNTIFS, COUNTIF, MAXIFS, AVERAGEIFS, INDEX, MATCH, LOOKUP, ROUND, IF, AND, IFERROR (MAXIFS needs Excel 2019 or later).</t>
  </si>
  <si>
    <t xml:space="preserve">W-04</t>
  </si>
  <si>
    <t xml:space="preserve">The switches change what the Selected columns and the verdict show; the check cell does not depend on the scope switch, and its verdict check applies at the default controls.</t>
  </si>
  <si>
    <t xml:space="preserve">W-05</t>
  </si>
  <si>
    <t xml:space="preserve">The workbook has no macros, no external links and no credentials.</t>
  </si>
  <si>
    <t xml:space="preserve">Source contracts (6) and the RECORDED latest accepted event of each</t>
  </si>
  <si>
    <t xml:space="preserve">latest_accepted_event is RECORDED by the generator (manifest stats.freshness_at_as_of): the published raw rows are a sample and cannot show it. expected_records = the declared expectation over 56 partitions (complete world).</t>
  </si>
  <si>
    <t xml:space="preserve">expected_frequency</t>
  </si>
  <si>
    <t xml:space="preserve">freshness_target_seconds</t>
  </si>
  <si>
    <t xml:space="preserve">schema_version</t>
  </si>
  <si>
    <t xml:space="preserve">latest_accepted_event (recorded, serial)</t>
  </si>
  <si>
    <t xml:space="preserve">sample_rows_in_the_files</t>
  </si>
  <si>
    <t xml:space="preserve">daily</t>
  </si>
  <si>
    <t xml:space="preserve">1</t>
  </si>
  <si>
    <t xml:space="preserve">every 4 hours</t>
  </si>
  <si>
    <t xml:space="preserve">2</t>
  </si>
  <si>
    <t xml:space="preserve">every 6 hours</t>
  </si>
  <si>
    <t xml:space="preserve">every 12 hours</t>
  </si>
  <si>
    <t xml:space="preserve">Ingestion batches (1,311): the per-batch counts the generator's domain run computed over ALL raw rows (COMPLETE world)</t>
  </si>
  <si>
    <t xml:space="preserve">received counts committed batches only; the schema-quarantined batch (status quarantined) and the aborted batches count for nothing.</t>
  </si>
  <si>
    <t xml:space="preserve">batch_id</t>
  </si>
  <si>
    <t xml:space="preserve">status</t>
  </si>
  <si>
    <t xml:space="preserve">kind</t>
  </si>
  <si>
    <t xml:space="preserve">started_at (serial)</t>
  </si>
  <si>
    <t xml:space="preserve">written_rows</t>
  </si>
  <si>
    <t xml:space="preserve">sampled</t>
  </si>
  <si>
    <t xml:space="preserve">b-0001</t>
  </si>
  <si>
    <t xml:space="preserve">committed</t>
  </si>
  <si>
    <t xml:space="preserve">live</t>
  </si>
  <si>
    <t xml:space="preserve">b-0002</t>
  </si>
  <si>
    <t xml:space="preserve">b-0003</t>
  </si>
  <si>
    <t xml:space="preserve">b-0004</t>
  </si>
  <si>
    <t xml:space="preserve">b-0005</t>
  </si>
  <si>
    <t xml:space="preserve">b-0006</t>
  </si>
  <si>
    <t xml:space="preserve">b-0007</t>
  </si>
  <si>
    <t xml:space="preserve">b-0008</t>
  </si>
  <si>
    <t xml:space="preserve">b-0009</t>
  </si>
  <si>
    <t xml:space="preserve">b-0010</t>
  </si>
  <si>
    <t xml:space="preserve">b-0011</t>
  </si>
  <si>
    <t xml:space="preserve">b-0012</t>
  </si>
  <si>
    <t xml:space="preserve">b-0013</t>
  </si>
  <si>
    <t xml:space="preserve">b-0014</t>
  </si>
  <si>
    <t xml:space="preserve">b-0015</t>
  </si>
  <si>
    <t xml:space="preserve">b-0016</t>
  </si>
  <si>
    <t xml:space="preserve">b-0017</t>
  </si>
  <si>
    <t xml:space="preserve">b-0018</t>
  </si>
  <si>
    <t xml:space="preserve">b-0019</t>
  </si>
  <si>
    <t xml:space="preserve">b-0020</t>
  </si>
  <si>
    <t xml:space="preserve">b-0021</t>
  </si>
  <si>
    <t xml:space="preserve">b-0022</t>
  </si>
  <si>
    <t xml:space="preserve">b-0023</t>
  </si>
  <si>
    <t xml:space="preserve">b-0024</t>
  </si>
  <si>
    <t xml:space="preserve">b-0025</t>
  </si>
  <si>
    <t xml:space="preserve">b-0026</t>
  </si>
  <si>
    <t xml:space="preserve">b-0027</t>
  </si>
  <si>
    <t xml:space="preserve">b-0028</t>
  </si>
  <si>
    <t xml:space="preserve">b-0029</t>
  </si>
  <si>
    <t xml:space="preserve">b-0030</t>
  </si>
  <si>
    <t xml:space="preserve">b-0031</t>
  </si>
  <si>
    <t xml:space="preserve">b-0032</t>
  </si>
  <si>
    <t xml:space="preserve">b-0033</t>
  </si>
  <si>
    <t xml:space="preserve">b-0034</t>
  </si>
  <si>
    <t xml:space="preserve">b-0035</t>
  </si>
  <si>
    <t xml:space="preserve">b-0036</t>
  </si>
  <si>
    <t xml:space="preserve">b-0037</t>
  </si>
  <si>
    <t xml:space="preserve">b-0038</t>
  </si>
  <si>
    <t xml:space="preserve">b-0039</t>
  </si>
  <si>
    <t xml:space="preserve">b-0040</t>
  </si>
  <si>
    <t xml:space="preserve">b-0041</t>
  </si>
  <si>
    <t xml:space="preserve">b-0042</t>
  </si>
  <si>
    <t xml:space="preserve">b-0043</t>
  </si>
  <si>
    <t xml:space="preserve">b-0044</t>
  </si>
  <si>
    <t xml:space="preserve">b-0045</t>
  </si>
  <si>
    <t xml:space="preserve">b-0046</t>
  </si>
  <si>
    <t xml:space="preserve">b-0047</t>
  </si>
  <si>
    <t xml:space="preserve">b-0048</t>
  </si>
  <si>
    <t xml:space="preserve">b-0049</t>
  </si>
  <si>
    <t xml:space="preserve">b-0050</t>
  </si>
  <si>
    <t xml:space="preserve">b-0051</t>
  </si>
  <si>
    <t xml:space="preserve">b-0052</t>
  </si>
  <si>
    <t xml:space="preserve">b-0053</t>
  </si>
  <si>
    <t xml:space="preserve">b-0054</t>
  </si>
  <si>
    <t xml:space="preserve">b-0055</t>
  </si>
  <si>
    <t xml:space="preserve">b-0056</t>
  </si>
  <si>
    <t xml:space="preserve">b-0057</t>
  </si>
  <si>
    <t xml:space="preserve">b-0058</t>
  </si>
  <si>
    <t xml:space="preserve">b-0059</t>
  </si>
  <si>
    <t xml:space="preserve">b-0060</t>
  </si>
  <si>
    <t xml:space="preserve">b-0061</t>
  </si>
  <si>
    <t xml:space="preserve">b-0062</t>
  </si>
  <si>
    <t xml:space="preserve">b-0063</t>
  </si>
  <si>
    <t xml:space="preserve">b-0064</t>
  </si>
  <si>
    <t xml:space="preserve">b-0065</t>
  </si>
  <si>
    <t xml:space="preserve">b-0066</t>
  </si>
  <si>
    <t xml:space="preserve">b-0067</t>
  </si>
  <si>
    <t xml:space="preserve">b-0068</t>
  </si>
  <si>
    <t xml:space="preserve">b-0069</t>
  </si>
  <si>
    <t xml:space="preserve">b-0070</t>
  </si>
  <si>
    <t xml:space="preserve">b-0071</t>
  </si>
  <si>
    <t xml:space="preserve">b-0072</t>
  </si>
  <si>
    <t xml:space="preserve">b-0073</t>
  </si>
  <si>
    <t xml:space="preserve">b-0074</t>
  </si>
  <si>
    <t xml:space="preserve">b-0075</t>
  </si>
  <si>
    <t xml:space="preserve">b-0076</t>
  </si>
  <si>
    <t xml:space="preserve">b-0077</t>
  </si>
  <si>
    <t xml:space="preserve">b-0078</t>
  </si>
  <si>
    <t xml:space="preserve">b-0079</t>
  </si>
  <si>
    <t xml:space="preserve">b-0080</t>
  </si>
  <si>
    <t xml:space="preserve">b-0081</t>
  </si>
  <si>
    <t xml:space="preserve">b-0082</t>
  </si>
  <si>
    <t xml:space="preserve">b-0083</t>
  </si>
  <si>
    <t xml:space="preserve">b-0084</t>
  </si>
  <si>
    <t xml:space="preserve">b-0085</t>
  </si>
  <si>
    <t xml:space="preserve">b-0086</t>
  </si>
  <si>
    <t xml:space="preserve">b-0087</t>
  </si>
  <si>
    <t xml:space="preserve">b-0088</t>
  </si>
  <si>
    <t xml:space="preserve">b-0089</t>
  </si>
  <si>
    <t xml:space="preserve">b-0090</t>
  </si>
  <si>
    <t xml:space="preserve">b-0091</t>
  </si>
  <si>
    <t xml:space="preserve">b-0092</t>
  </si>
  <si>
    <t xml:space="preserve">b-0093</t>
  </si>
  <si>
    <t xml:space="preserve">b-0094</t>
  </si>
  <si>
    <t xml:space="preserve">b-0095</t>
  </si>
  <si>
    <t xml:space="preserve">b-0096</t>
  </si>
  <si>
    <t xml:space="preserve">b-0097</t>
  </si>
  <si>
    <t xml:space="preserve">b-0098</t>
  </si>
  <si>
    <t xml:space="preserve">b-0099</t>
  </si>
  <si>
    <t xml:space="preserve">b-0100</t>
  </si>
  <si>
    <t xml:space="preserve">b-0101</t>
  </si>
  <si>
    <t xml:space="preserve">b-0102</t>
  </si>
  <si>
    <t xml:space="preserve">b-0103</t>
  </si>
  <si>
    <t xml:space="preserve">b-0104</t>
  </si>
  <si>
    <t xml:space="preserve">b-0105</t>
  </si>
  <si>
    <t xml:space="preserve">b-0106</t>
  </si>
  <si>
    <t xml:space="preserve">b-0107</t>
  </si>
  <si>
    <t xml:space="preserve">b-0108</t>
  </si>
  <si>
    <t xml:space="preserve">b-0109</t>
  </si>
  <si>
    <t xml:space="preserve">b-0110</t>
  </si>
  <si>
    <t xml:space="preserve">b-0111</t>
  </si>
  <si>
    <t xml:space="preserve">b-0112</t>
  </si>
  <si>
    <t xml:space="preserve">b-0113</t>
  </si>
  <si>
    <t xml:space="preserve">b-0114</t>
  </si>
  <si>
    <t xml:space="preserve">b-0115</t>
  </si>
  <si>
    <t xml:space="preserve">b-0116</t>
  </si>
  <si>
    <t xml:space="preserve">b-0117</t>
  </si>
  <si>
    <t xml:space="preserve">b-0118</t>
  </si>
  <si>
    <t xml:space="preserve">b-0119</t>
  </si>
  <si>
    <t xml:space="preserve">b-0120</t>
  </si>
  <si>
    <t xml:space="preserve">b-0121</t>
  </si>
  <si>
    <t xml:space="preserve">b-0122</t>
  </si>
  <si>
    <t xml:space="preserve">b-0123</t>
  </si>
  <si>
    <t xml:space="preserve">b-0124</t>
  </si>
  <si>
    <t xml:space="preserve">b-0125</t>
  </si>
  <si>
    <t xml:space="preserve">b-0126</t>
  </si>
  <si>
    <t xml:space="preserve">b-0127</t>
  </si>
  <si>
    <t xml:space="preserve">b-0128</t>
  </si>
  <si>
    <t xml:space="preserve">b-0129</t>
  </si>
  <si>
    <t xml:space="preserve">b-0130</t>
  </si>
  <si>
    <t xml:space="preserve">b-0131</t>
  </si>
  <si>
    <t xml:space="preserve">b-0132</t>
  </si>
  <si>
    <t xml:space="preserve">b-0133</t>
  </si>
  <si>
    <t xml:space="preserve">b-0134</t>
  </si>
  <si>
    <t xml:space="preserve">b-0135</t>
  </si>
  <si>
    <t xml:space="preserve">b-0136</t>
  </si>
  <si>
    <t xml:space="preserve">b-0137</t>
  </si>
  <si>
    <t xml:space="preserve">b-0138</t>
  </si>
  <si>
    <t xml:space="preserve">b-0139</t>
  </si>
  <si>
    <t xml:space="preserve">b-0140</t>
  </si>
  <si>
    <t xml:space="preserve">b-0141</t>
  </si>
  <si>
    <t xml:space="preserve">b-0142</t>
  </si>
  <si>
    <t xml:space="preserve">b-0143</t>
  </si>
  <si>
    <t xml:space="preserve">b-0144</t>
  </si>
  <si>
    <t xml:space="preserve">b-0145</t>
  </si>
  <si>
    <t xml:space="preserve">b-0146</t>
  </si>
  <si>
    <t xml:space="preserve">b-0147</t>
  </si>
  <si>
    <t xml:space="preserve">b-0148</t>
  </si>
  <si>
    <t xml:space="preserve">b-0149</t>
  </si>
  <si>
    <t xml:space="preserve">b-0150</t>
  </si>
  <si>
    <t xml:space="preserve">b-0151</t>
  </si>
  <si>
    <t xml:space="preserve">b-0152</t>
  </si>
  <si>
    <t xml:space="preserve">b-0153</t>
  </si>
  <si>
    <t xml:space="preserve">b-0154</t>
  </si>
  <si>
    <t xml:space="preserve">b-0155</t>
  </si>
  <si>
    <t xml:space="preserve">b-0156</t>
  </si>
  <si>
    <t xml:space="preserve">b-0157</t>
  </si>
  <si>
    <t xml:space="preserve">b-0158</t>
  </si>
  <si>
    <t xml:space="preserve">b-0159</t>
  </si>
  <si>
    <t xml:space="preserve">b-0160</t>
  </si>
  <si>
    <t xml:space="preserve">b-0161</t>
  </si>
  <si>
    <t xml:space="preserve">b-0162</t>
  </si>
  <si>
    <t xml:space="preserve">b-0163</t>
  </si>
  <si>
    <t xml:space="preserve">b-0164</t>
  </si>
  <si>
    <t xml:space="preserve">b-0165</t>
  </si>
  <si>
    <t xml:space="preserve">aborted</t>
  </si>
  <si>
    <t xml:space="preserve">b-0166</t>
  </si>
  <si>
    <t xml:space="preserve">replay</t>
  </si>
  <si>
    <t xml:space="preserve">b-0167</t>
  </si>
  <si>
    <t xml:space="preserve">b-0168</t>
  </si>
  <si>
    <t xml:space="preserve">b-0169</t>
  </si>
  <si>
    <t xml:space="preserve">b-0170</t>
  </si>
  <si>
    <t xml:space="preserve">b-0171</t>
  </si>
  <si>
    <t xml:space="preserve">b-0172</t>
  </si>
  <si>
    <t xml:space="preserve">b-0173</t>
  </si>
  <si>
    <t xml:space="preserve">b-0174</t>
  </si>
  <si>
    <t xml:space="preserve">b-0175</t>
  </si>
  <si>
    <t xml:space="preserve">b-0176</t>
  </si>
  <si>
    <t xml:space="preserve">b-0177</t>
  </si>
  <si>
    <t xml:space="preserve">b-0178</t>
  </si>
  <si>
    <t xml:space="preserve">b-0179</t>
  </si>
  <si>
    <t xml:space="preserve">b-0180</t>
  </si>
  <si>
    <t xml:space="preserve">b-0181</t>
  </si>
  <si>
    <t xml:space="preserve">b-0182</t>
  </si>
  <si>
    <t xml:space="preserve">b-0183</t>
  </si>
  <si>
    <t xml:space="preserve">b-0184</t>
  </si>
  <si>
    <t xml:space="preserve">b-0185</t>
  </si>
  <si>
    <t xml:space="preserve">b-0186</t>
  </si>
  <si>
    <t xml:space="preserve">b-0187</t>
  </si>
  <si>
    <t xml:space="preserve">b-0188</t>
  </si>
  <si>
    <t xml:space="preserve">b-0189</t>
  </si>
  <si>
    <t xml:space="preserve">b-0190</t>
  </si>
  <si>
    <t xml:space="preserve">b-0191</t>
  </si>
  <si>
    <t xml:space="preserve">b-0192</t>
  </si>
  <si>
    <t xml:space="preserve">b-0193</t>
  </si>
  <si>
    <t xml:space="preserve">b-0194</t>
  </si>
  <si>
    <t xml:space="preserve">b-0195</t>
  </si>
  <si>
    <t xml:space="preserve">b-0196</t>
  </si>
  <si>
    <t xml:space="preserve">b-0197</t>
  </si>
  <si>
    <t xml:space="preserve">b-0198</t>
  </si>
  <si>
    <t xml:space="preserve">b-0199</t>
  </si>
  <si>
    <t xml:space="preserve">b-0200</t>
  </si>
  <si>
    <t xml:space="preserve">b-0201</t>
  </si>
  <si>
    <t xml:space="preserve">b-0202</t>
  </si>
  <si>
    <t xml:space="preserve">b-0203</t>
  </si>
  <si>
    <t xml:space="preserve">b-0204</t>
  </si>
  <si>
    <t xml:space="preserve">b-0205</t>
  </si>
  <si>
    <t xml:space="preserve">b-0206</t>
  </si>
  <si>
    <t xml:space="preserve">b-0207</t>
  </si>
  <si>
    <t xml:space="preserve">b-0208</t>
  </si>
  <si>
    <t xml:space="preserve">b-0209</t>
  </si>
  <si>
    <t xml:space="preserve">b-0210</t>
  </si>
  <si>
    <t xml:space="preserve">b-0211</t>
  </si>
  <si>
    <t xml:space="preserve">b-0212</t>
  </si>
  <si>
    <t xml:space="preserve">b-0213</t>
  </si>
  <si>
    <t xml:space="preserve">b-0214</t>
  </si>
  <si>
    <t xml:space="preserve">b-0215</t>
  </si>
  <si>
    <t xml:space="preserve">b-0216</t>
  </si>
  <si>
    <t xml:space="preserve">b-0217</t>
  </si>
  <si>
    <t xml:space="preserve">b-0218</t>
  </si>
  <si>
    <t xml:space="preserve">b-0219</t>
  </si>
  <si>
    <t xml:space="preserve">b-0220</t>
  </si>
  <si>
    <t xml:space="preserve">backfill</t>
  </si>
  <si>
    <t xml:space="preserve">b-0221</t>
  </si>
  <si>
    <t xml:space="preserve">b-0222</t>
  </si>
  <si>
    <t xml:space="preserve">b-0223</t>
  </si>
  <si>
    <t xml:space="preserve">b-0224</t>
  </si>
  <si>
    <t xml:space="preserve">b-0225</t>
  </si>
  <si>
    <t xml:space="preserve">b-0226</t>
  </si>
  <si>
    <t xml:space="preserve">b-0227</t>
  </si>
  <si>
    <t xml:space="preserve">b-0228</t>
  </si>
  <si>
    <t xml:space="preserve">b-0229</t>
  </si>
  <si>
    <t xml:space="preserve">b-0230</t>
  </si>
  <si>
    <t xml:space="preserve">b-0231</t>
  </si>
  <si>
    <t xml:space="preserve">b-0232</t>
  </si>
  <si>
    <t xml:space="preserve">b-0233</t>
  </si>
  <si>
    <t xml:space="preserve">b-0234</t>
  </si>
  <si>
    <t xml:space="preserve">b-0235</t>
  </si>
  <si>
    <t xml:space="preserve">b-0236</t>
  </si>
  <si>
    <t xml:space="preserve">b-0237</t>
  </si>
  <si>
    <t xml:space="preserve">b-0238</t>
  </si>
  <si>
    <t xml:space="preserve">b-0239</t>
  </si>
  <si>
    <t xml:space="preserve">b-0240</t>
  </si>
  <si>
    <t xml:space="preserve">b-0241</t>
  </si>
  <si>
    <t xml:space="preserve">b-0242</t>
  </si>
  <si>
    <t xml:space="preserve">b-0243</t>
  </si>
  <si>
    <t xml:space="preserve">b-0244</t>
  </si>
  <si>
    <t xml:space="preserve">b-0245</t>
  </si>
  <si>
    <t xml:space="preserve">b-0246</t>
  </si>
  <si>
    <t xml:space="preserve">b-0247</t>
  </si>
  <si>
    <t xml:space="preserve">b-0248</t>
  </si>
  <si>
    <t xml:space="preserve">b-0249</t>
  </si>
  <si>
    <t xml:space="preserve">b-0250</t>
  </si>
  <si>
    <t xml:space="preserve">b-0251</t>
  </si>
  <si>
    <t xml:space="preserve">b-0252</t>
  </si>
  <si>
    <t xml:space="preserve">b-0253</t>
  </si>
  <si>
    <t xml:space="preserve">b-0254</t>
  </si>
  <si>
    <t xml:space="preserve">b-0255</t>
  </si>
  <si>
    <t xml:space="preserve">b-0256</t>
  </si>
  <si>
    <t xml:space="preserve">b-0257</t>
  </si>
  <si>
    <t xml:space="preserve">b-0258</t>
  </si>
  <si>
    <t xml:space="preserve">b-0259</t>
  </si>
  <si>
    <t xml:space="preserve">b-0260</t>
  </si>
  <si>
    <t xml:space="preserve">b-0261</t>
  </si>
  <si>
    <t xml:space="preserve">b-0262</t>
  </si>
  <si>
    <t xml:space="preserve">b-0263</t>
  </si>
  <si>
    <t xml:space="preserve">b-0264</t>
  </si>
  <si>
    <t xml:space="preserve">b-0265</t>
  </si>
  <si>
    <t xml:space="preserve">b-0266</t>
  </si>
  <si>
    <t xml:space="preserve">b-0267</t>
  </si>
  <si>
    <t xml:space="preserve">b-0268</t>
  </si>
  <si>
    <t xml:space="preserve">b-0269</t>
  </si>
  <si>
    <t xml:space="preserve">b-0270</t>
  </si>
  <si>
    <t xml:space="preserve">b-0271</t>
  </si>
  <si>
    <t xml:space="preserve">b-0272</t>
  </si>
  <si>
    <t xml:space="preserve">b-0273</t>
  </si>
  <si>
    <t xml:space="preserve">b-0274</t>
  </si>
  <si>
    <t xml:space="preserve">b-0275</t>
  </si>
  <si>
    <t xml:space="preserve">b-0276</t>
  </si>
  <si>
    <t xml:space="preserve">b-0277</t>
  </si>
  <si>
    <t xml:space="preserve">b-0278</t>
  </si>
  <si>
    <t xml:space="preserve">b-0279</t>
  </si>
  <si>
    <t xml:space="preserve">b-0280</t>
  </si>
  <si>
    <t xml:space="preserve">b-0281</t>
  </si>
  <si>
    <t xml:space="preserve">b-0282</t>
  </si>
  <si>
    <t xml:space="preserve">b-0283</t>
  </si>
  <si>
    <t xml:space="preserve">b-0284</t>
  </si>
  <si>
    <t xml:space="preserve">b-0285</t>
  </si>
  <si>
    <t xml:space="preserve">b-0286</t>
  </si>
  <si>
    <t xml:space="preserve">b-0287</t>
  </si>
  <si>
    <t xml:space="preserve">b-0288</t>
  </si>
  <si>
    <t xml:space="preserve">b-0289</t>
  </si>
  <si>
    <t xml:space="preserve">b-0290</t>
  </si>
  <si>
    <t xml:space="preserve">b-0291</t>
  </si>
  <si>
    <t xml:space="preserve">b-0292</t>
  </si>
  <si>
    <t xml:space="preserve">b-0293</t>
  </si>
  <si>
    <t xml:space="preserve">b-0294</t>
  </si>
  <si>
    <t xml:space="preserve">b-0295</t>
  </si>
  <si>
    <t xml:space="preserve">b-0296</t>
  </si>
  <si>
    <t xml:space="preserve">b-0297</t>
  </si>
  <si>
    <t xml:space="preserve">b-0298</t>
  </si>
  <si>
    <t xml:space="preserve">b-0299</t>
  </si>
  <si>
    <t xml:space="preserve">b-0300</t>
  </si>
  <si>
    <t xml:space="preserve">b-0301</t>
  </si>
  <si>
    <t xml:space="preserve">b-0302</t>
  </si>
  <si>
    <t xml:space="preserve">b-0303</t>
  </si>
  <si>
    <t xml:space="preserve">b-0304</t>
  </si>
  <si>
    <t xml:space="preserve">b-0305</t>
  </si>
  <si>
    <t xml:space="preserve">b-0306</t>
  </si>
  <si>
    <t xml:space="preserve">b-0307</t>
  </si>
  <si>
    <t xml:space="preserve">b-0308</t>
  </si>
  <si>
    <t xml:space="preserve">b-0309</t>
  </si>
  <si>
    <t xml:space="preserve">b-0310</t>
  </si>
  <si>
    <t xml:space="preserve">b-0311</t>
  </si>
  <si>
    <t xml:space="preserve">b-0312</t>
  </si>
  <si>
    <t xml:space="preserve">b-0313</t>
  </si>
  <si>
    <t xml:space="preserve">b-0314</t>
  </si>
  <si>
    <t xml:space="preserve">b-0315</t>
  </si>
  <si>
    <t xml:space="preserve">b-0316</t>
  </si>
  <si>
    <t xml:space="preserve">b-0317</t>
  </si>
  <si>
    <t xml:space="preserve">b-0318</t>
  </si>
  <si>
    <t xml:space="preserve">b-0319</t>
  </si>
  <si>
    <t xml:space="preserve">b-0320</t>
  </si>
  <si>
    <t xml:space="preserve">b-0321</t>
  </si>
  <si>
    <t xml:space="preserve">b-0322</t>
  </si>
  <si>
    <t xml:space="preserve">b-0323</t>
  </si>
  <si>
    <t xml:space="preserve">b-0324</t>
  </si>
  <si>
    <t xml:space="preserve">b-0325</t>
  </si>
  <si>
    <t xml:space="preserve">b-0326</t>
  </si>
  <si>
    <t xml:space="preserve">b-0327</t>
  </si>
  <si>
    <t xml:space="preserve">b-0328</t>
  </si>
  <si>
    <t xml:space="preserve">b-0329</t>
  </si>
  <si>
    <t xml:space="preserve">b-0330</t>
  </si>
  <si>
    <t xml:space="preserve">b-0331</t>
  </si>
  <si>
    <t xml:space="preserve">b-0332</t>
  </si>
  <si>
    <t xml:space="preserve">b-0333</t>
  </si>
  <si>
    <t xml:space="preserve">b-0334</t>
  </si>
  <si>
    <t xml:space="preserve">b-0335</t>
  </si>
  <si>
    <t xml:space="preserve">b-0336</t>
  </si>
  <si>
    <t xml:space="preserve">b-0337</t>
  </si>
  <si>
    <t xml:space="preserve">b-0338</t>
  </si>
  <si>
    <t xml:space="preserve">b-0339</t>
  </si>
  <si>
    <t xml:space="preserve">b-0340</t>
  </si>
  <si>
    <t xml:space="preserve">b-0341</t>
  </si>
  <si>
    <t xml:space="preserve">b-0342</t>
  </si>
  <si>
    <t xml:space="preserve">b-0343</t>
  </si>
  <si>
    <t xml:space="preserve">b-0344</t>
  </si>
  <si>
    <t xml:space="preserve">b-0345</t>
  </si>
  <si>
    <t xml:space="preserve">b-0346</t>
  </si>
  <si>
    <t xml:space="preserve">b-0347</t>
  </si>
  <si>
    <t xml:space="preserve">b-0348</t>
  </si>
  <si>
    <t xml:space="preserve">b-0349</t>
  </si>
  <si>
    <t xml:space="preserve">b-0350</t>
  </si>
  <si>
    <t xml:space="preserve">b-0351</t>
  </si>
  <si>
    <t xml:space="preserve">b-0352</t>
  </si>
  <si>
    <t xml:space="preserve">b-0353</t>
  </si>
  <si>
    <t xml:space="preserve">b-0354</t>
  </si>
  <si>
    <t xml:space="preserve">b-0355</t>
  </si>
  <si>
    <t xml:space="preserve">b-0356</t>
  </si>
  <si>
    <t xml:space="preserve">b-0357</t>
  </si>
  <si>
    <t xml:space="preserve">b-0358</t>
  </si>
  <si>
    <t xml:space="preserve">b-0359</t>
  </si>
  <si>
    <t xml:space="preserve">b-0360</t>
  </si>
  <si>
    <t xml:space="preserve">b-0361</t>
  </si>
  <si>
    <t xml:space="preserve">b-0362</t>
  </si>
  <si>
    <t xml:space="preserve">b-0363</t>
  </si>
  <si>
    <t xml:space="preserve">b-0364</t>
  </si>
  <si>
    <t xml:space="preserve">b-0365</t>
  </si>
  <si>
    <t xml:space="preserve">b-0366</t>
  </si>
  <si>
    <t xml:space="preserve">b-0367</t>
  </si>
  <si>
    <t xml:space="preserve">b-0368</t>
  </si>
  <si>
    <t xml:space="preserve">b-0369</t>
  </si>
  <si>
    <t xml:space="preserve">b-0370</t>
  </si>
  <si>
    <t xml:space="preserve">b-0371</t>
  </si>
  <si>
    <t xml:space="preserve">b-0372</t>
  </si>
  <si>
    <t xml:space="preserve">b-0373</t>
  </si>
  <si>
    <t xml:space="preserve">b-0374</t>
  </si>
  <si>
    <t xml:space="preserve">b-0375</t>
  </si>
  <si>
    <t xml:space="preserve">b-0376</t>
  </si>
  <si>
    <t xml:space="preserve">b-0377</t>
  </si>
  <si>
    <t xml:space="preserve">b-0378</t>
  </si>
  <si>
    <t xml:space="preserve">b-0379</t>
  </si>
  <si>
    <t xml:space="preserve">b-0380</t>
  </si>
  <si>
    <t xml:space="preserve">b-0381</t>
  </si>
  <si>
    <t xml:space="preserve">b-0382</t>
  </si>
  <si>
    <t xml:space="preserve">b-0383</t>
  </si>
  <si>
    <t xml:space="preserve">b-0384</t>
  </si>
  <si>
    <t xml:space="preserve">b-0385</t>
  </si>
  <si>
    <t xml:space="preserve">b-0386</t>
  </si>
  <si>
    <t xml:space="preserve">b-0387</t>
  </si>
  <si>
    <t xml:space="preserve">b-0388</t>
  </si>
  <si>
    <t xml:space="preserve">b-0389</t>
  </si>
  <si>
    <t xml:space="preserve">b-0390</t>
  </si>
  <si>
    <t xml:space="preserve">b-0391</t>
  </si>
  <si>
    <t xml:space="preserve">b-0392</t>
  </si>
  <si>
    <t xml:space="preserve">b-0393</t>
  </si>
  <si>
    <t xml:space="preserve">b-0394</t>
  </si>
  <si>
    <t xml:space="preserve">b-0395</t>
  </si>
  <si>
    <t xml:space="preserve">b-0396</t>
  </si>
  <si>
    <t xml:space="preserve">b-0397</t>
  </si>
  <si>
    <t xml:space="preserve">b-0398</t>
  </si>
  <si>
    <t xml:space="preserve">b-0399</t>
  </si>
  <si>
    <t xml:space="preserve">b-0400</t>
  </si>
  <si>
    <t xml:space="preserve">b-0401</t>
  </si>
  <si>
    <t xml:space="preserve">b-0402</t>
  </si>
  <si>
    <t xml:space="preserve">b-0403</t>
  </si>
  <si>
    <t xml:space="preserve">b-0404</t>
  </si>
  <si>
    <t xml:space="preserve">b-0405</t>
  </si>
  <si>
    <t xml:space="preserve">b-0406</t>
  </si>
  <si>
    <t xml:space="preserve">b-0407</t>
  </si>
  <si>
    <t xml:space="preserve">b-0408</t>
  </si>
  <si>
    <t xml:space="preserve">b-0409</t>
  </si>
  <si>
    <t xml:space="preserve">b-0410</t>
  </si>
  <si>
    <t xml:space="preserve">b-0411</t>
  </si>
  <si>
    <t xml:space="preserve">b-0412</t>
  </si>
  <si>
    <t xml:space="preserve">b-0413</t>
  </si>
  <si>
    <t xml:space="preserve">b-0414</t>
  </si>
  <si>
    <t xml:space="preserve">b-0415</t>
  </si>
  <si>
    <t xml:space="preserve">b-0416</t>
  </si>
  <si>
    <t xml:space="preserve">b-0417</t>
  </si>
  <si>
    <t xml:space="preserve">b-0418</t>
  </si>
  <si>
    <t xml:space="preserve">b-0419</t>
  </si>
  <si>
    <t xml:space="preserve">b-0420</t>
  </si>
  <si>
    <t xml:space="preserve">b-0421</t>
  </si>
  <si>
    <t xml:space="preserve">b-0422</t>
  </si>
  <si>
    <t xml:space="preserve">b-0423</t>
  </si>
  <si>
    <t xml:space="preserve">b-0424</t>
  </si>
  <si>
    <t xml:space="preserve">b-0425</t>
  </si>
  <si>
    <t xml:space="preserve">b-0426</t>
  </si>
  <si>
    <t xml:space="preserve">b-0427</t>
  </si>
  <si>
    <t xml:space="preserve">b-0428</t>
  </si>
  <si>
    <t xml:space="preserve">b-0429</t>
  </si>
  <si>
    <t xml:space="preserve">b-0430</t>
  </si>
  <si>
    <t xml:space="preserve">b-0431</t>
  </si>
  <si>
    <t xml:space="preserve">b-0432</t>
  </si>
  <si>
    <t xml:space="preserve">b-0433</t>
  </si>
  <si>
    <t xml:space="preserve">b-0434</t>
  </si>
  <si>
    <t xml:space="preserve">b-0435</t>
  </si>
  <si>
    <t xml:space="preserve">b-0436</t>
  </si>
  <si>
    <t xml:space="preserve">b-0437</t>
  </si>
  <si>
    <t xml:space="preserve">b-0438</t>
  </si>
  <si>
    <t xml:space="preserve">b-0439</t>
  </si>
  <si>
    <t xml:space="preserve">b-0440</t>
  </si>
  <si>
    <t xml:space="preserve">b-0441</t>
  </si>
  <si>
    <t xml:space="preserve">b-0442</t>
  </si>
  <si>
    <t xml:space="preserve">b-0443</t>
  </si>
  <si>
    <t xml:space="preserve">b-0444</t>
  </si>
  <si>
    <t xml:space="preserve">b-0445</t>
  </si>
  <si>
    <t xml:space="preserve">b-0446</t>
  </si>
  <si>
    <t xml:space="preserve">b-0447</t>
  </si>
  <si>
    <t xml:space="preserve">b-0448</t>
  </si>
  <si>
    <t xml:space="preserve">b-0449</t>
  </si>
  <si>
    <t xml:space="preserve">b-0450</t>
  </si>
  <si>
    <t xml:space="preserve">b-0451</t>
  </si>
  <si>
    <t xml:space="preserve">b-0452</t>
  </si>
  <si>
    <t xml:space="preserve">b-0453</t>
  </si>
  <si>
    <t xml:space="preserve">b-0454</t>
  </si>
  <si>
    <t xml:space="preserve">b-0455</t>
  </si>
  <si>
    <t xml:space="preserve">b-0456</t>
  </si>
  <si>
    <t xml:space="preserve">b-0457</t>
  </si>
  <si>
    <t xml:space="preserve">b-0458</t>
  </si>
  <si>
    <t xml:space="preserve">b-0459</t>
  </si>
  <si>
    <t xml:space="preserve">b-0460</t>
  </si>
  <si>
    <t xml:space="preserve">b-0461</t>
  </si>
  <si>
    <t xml:space="preserve">b-0462</t>
  </si>
  <si>
    <t xml:space="preserve">b-0463</t>
  </si>
  <si>
    <t xml:space="preserve">b-0464</t>
  </si>
  <si>
    <t xml:space="preserve">b-0465</t>
  </si>
  <si>
    <t xml:space="preserve">b-0466</t>
  </si>
  <si>
    <t xml:space="preserve">b-0467</t>
  </si>
  <si>
    <t xml:space="preserve">b-0468</t>
  </si>
  <si>
    <t xml:space="preserve">b-0469</t>
  </si>
  <si>
    <t xml:space="preserve">b-0470</t>
  </si>
  <si>
    <t xml:space="preserve">b-0471</t>
  </si>
  <si>
    <t xml:space="preserve">b-0472</t>
  </si>
  <si>
    <t xml:space="preserve">b-0473</t>
  </si>
  <si>
    <t xml:space="preserve">b-0474</t>
  </si>
  <si>
    <t xml:space="preserve">b-0475</t>
  </si>
  <si>
    <t xml:space="preserve">b-0476</t>
  </si>
  <si>
    <t xml:space="preserve">b-0477</t>
  </si>
  <si>
    <t xml:space="preserve">b-0478</t>
  </si>
  <si>
    <t xml:space="preserve">b-0479</t>
  </si>
  <si>
    <t xml:space="preserve">b-0480</t>
  </si>
  <si>
    <t xml:space="preserve">b-0481</t>
  </si>
  <si>
    <t xml:space="preserve">b-0482</t>
  </si>
  <si>
    <t xml:space="preserve">b-0483</t>
  </si>
  <si>
    <t xml:space="preserve">b-0484</t>
  </si>
  <si>
    <t xml:space="preserve">b-0485</t>
  </si>
  <si>
    <t xml:space="preserve">b-0486</t>
  </si>
  <si>
    <t xml:space="preserve">b-0487</t>
  </si>
  <si>
    <t xml:space="preserve">b-0488</t>
  </si>
  <si>
    <t xml:space="preserve">b-0489</t>
  </si>
  <si>
    <t xml:space="preserve">b-0490</t>
  </si>
  <si>
    <t xml:space="preserve">b-0491</t>
  </si>
  <si>
    <t xml:space="preserve">b-0492</t>
  </si>
  <si>
    <t xml:space="preserve">b-0493</t>
  </si>
  <si>
    <t xml:space="preserve">b-0494</t>
  </si>
  <si>
    <t xml:space="preserve">b-0495</t>
  </si>
  <si>
    <t xml:space="preserve">b-0496</t>
  </si>
  <si>
    <t xml:space="preserve">b-0497</t>
  </si>
  <si>
    <t xml:space="preserve">b-0498</t>
  </si>
  <si>
    <t xml:space="preserve">b-0499</t>
  </si>
  <si>
    <t xml:space="preserve">b-0500</t>
  </si>
  <si>
    <t xml:space="preserve">b-0501</t>
  </si>
  <si>
    <t xml:space="preserve">b-0502</t>
  </si>
  <si>
    <t xml:space="preserve">b-0503</t>
  </si>
  <si>
    <t xml:space="preserve">b-0504</t>
  </si>
  <si>
    <t xml:space="preserve">b-0505</t>
  </si>
  <si>
    <t xml:space="preserve">b-0506</t>
  </si>
  <si>
    <t xml:space="preserve">b-0507</t>
  </si>
  <si>
    <t xml:space="preserve">b-0508</t>
  </si>
  <si>
    <t xml:space="preserve">b-0509</t>
  </si>
  <si>
    <t xml:space="preserve">b-0510</t>
  </si>
  <si>
    <t xml:space="preserve">b-0511</t>
  </si>
  <si>
    <t xml:space="preserve">b-0512</t>
  </si>
  <si>
    <t xml:space="preserve">b-0513</t>
  </si>
  <si>
    <t xml:space="preserve">b-0514</t>
  </si>
  <si>
    <t xml:space="preserve">b-0515</t>
  </si>
  <si>
    <t xml:space="preserve">b-0516</t>
  </si>
  <si>
    <t xml:space="preserve">b-0517</t>
  </si>
  <si>
    <t xml:space="preserve">b-0518</t>
  </si>
  <si>
    <t xml:space="preserve">b-0519</t>
  </si>
  <si>
    <t xml:space="preserve">b-0520</t>
  </si>
  <si>
    <t xml:space="preserve">b-0521</t>
  </si>
  <si>
    <t xml:space="preserve">b-0522</t>
  </si>
  <si>
    <t xml:space="preserve">b-0523</t>
  </si>
  <si>
    <t xml:space="preserve">b-0524</t>
  </si>
  <si>
    <t xml:space="preserve">b-0525</t>
  </si>
  <si>
    <t xml:space="preserve">b-0526</t>
  </si>
  <si>
    <t xml:space="preserve">b-0527</t>
  </si>
  <si>
    <t xml:space="preserve">b-0528</t>
  </si>
  <si>
    <t xml:space="preserve">b-0529</t>
  </si>
  <si>
    <t xml:space="preserve">b-0530</t>
  </si>
  <si>
    <t xml:space="preserve">b-0531</t>
  </si>
  <si>
    <t xml:space="preserve">b-0532</t>
  </si>
  <si>
    <t xml:space="preserve">b-0533</t>
  </si>
  <si>
    <t xml:space="preserve">b-0534</t>
  </si>
  <si>
    <t xml:space="preserve">b-0535</t>
  </si>
  <si>
    <t xml:space="preserve">b-0536</t>
  </si>
  <si>
    <t xml:space="preserve">b-0537</t>
  </si>
  <si>
    <t xml:space="preserve">b-0538</t>
  </si>
  <si>
    <t xml:space="preserve">b-0539</t>
  </si>
  <si>
    <t xml:space="preserve">b-0540</t>
  </si>
  <si>
    <t xml:space="preserve">b-0541</t>
  </si>
  <si>
    <t xml:space="preserve">b-0542</t>
  </si>
  <si>
    <t xml:space="preserve">b-0543</t>
  </si>
  <si>
    <t xml:space="preserve">b-0544</t>
  </si>
  <si>
    <t xml:space="preserve">b-0545</t>
  </si>
  <si>
    <t xml:space="preserve">b-0546</t>
  </si>
  <si>
    <t xml:space="preserve">b-0547</t>
  </si>
  <si>
    <t xml:space="preserve">b-0548</t>
  </si>
  <si>
    <t xml:space="preserve">b-0549</t>
  </si>
  <si>
    <t xml:space="preserve">b-0550</t>
  </si>
  <si>
    <t xml:space="preserve">b-0551</t>
  </si>
  <si>
    <t xml:space="preserve">b-0552</t>
  </si>
  <si>
    <t xml:space="preserve">b-0553</t>
  </si>
  <si>
    <t xml:space="preserve">b-0554</t>
  </si>
  <si>
    <t xml:space="preserve">b-0555</t>
  </si>
  <si>
    <t xml:space="preserve">b-0556</t>
  </si>
  <si>
    <t xml:space="preserve">b-0557</t>
  </si>
  <si>
    <t xml:space="preserve">b-0558</t>
  </si>
  <si>
    <t xml:space="preserve">b-0559</t>
  </si>
  <si>
    <t xml:space="preserve">b-0560</t>
  </si>
  <si>
    <t xml:space="preserve">b-0561</t>
  </si>
  <si>
    <t xml:space="preserve">b-0562</t>
  </si>
  <si>
    <t xml:space="preserve">b-0563</t>
  </si>
  <si>
    <t xml:space="preserve">b-0564</t>
  </si>
  <si>
    <t xml:space="preserve">b-0565</t>
  </si>
  <si>
    <t xml:space="preserve">b-0566</t>
  </si>
  <si>
    <t xml:space="preserve">b-0567</t>
  </si>
  <si>
    <t xml:space="preserve">b-0568</t>
  </si>
  <si>
    <t xml:space="preserve">b-0569</t>
  </si>
  <si>
    <t xml:space="preserve">b-0570</t>
  </si>
  <si>
    <t xml:space="preserve">b-0571</t>
  </si>
  <si>
    <t xml:space="preserve">b-0572</t>
  </si>
  <si>
    <t xml:space="preserve">b-0573</t>
  </si>
  <si>
    <t xml:space="preserve">b-0574</t>
  </si>
  <si>
    <t xml:space="preserve">b-0575</t>
  </si>
  <si>
    <t xml:space="preserve">b-0576</t>
  </si>
  <si>
    <t xml:space="preserve">b-0577</t>
  </si>
  <si>
    <t xml:space="preserve">b-0578</t>
  </si>
  <si>
    <t xml:space="preserve">b-0579</t>
  </si>
  <si>
    <t xml:space="preserve">b-0580</t>
  </si>
  <si>
    <t xml:space="preserve">b-0581</t>
  </si>
  <si>
    <t xml:space="preserve">b-0582</t>
  </si>
  <si>
    <t xml:space="preserve">b-0583</t>
  </si>
  <si>
    <t xml:space="preserve">b-0584</t>
  </si>
  <si>
    <t xml:space="preserve">b-0585</t>
  </si>
  <si>
    <t xml:space="preserve">b-0586</t>
  </si>
  <si>
    <t xml:space="preserve">b-0587</t>
  </si>
  <si>
    <t xml:space="preserve">b-0588</t>
  </si>
  <si>
    <t xml:space="preserve">b-0589</t>
  </si>
  <si>
    <t xml:space="preserve">b-0590</t>
  </si>
  <si>
    <t xml:space="preserve">b-0591</t>
  </si>
  <si>
    <t xml:space="preserve">b-0592</t>
  </si>
  <si>
    <t xml:space="preserve">b-0593</t>
  </si>
  <si>
    <t xml:space="preserve">b-0594</t>
  </si>
  <si>
    <t xml:space="preserve">b-0595</t>
  </si>
  <si>
    <t xml:space="preserve">b-0596</t>
  </si>
  <si>
    <t xml:space="preserve">b-0597</t>
  </si>
  <si>
    <t xml:space="preserve">b-0598</t>
  </si>
  <si>
    <t xml:space="preserve">b-0599</t>
  </si>
  <si>
    <t xml:space="preserve">b-0600</t>
  </si>
  <si>
    <t xml:space="preserve">b-0601</t>
  </si>
  <si>
    <t xml:space="preserve">b-0602</t>
  </si>
  <si>
    <t xml:space="preserve">b-0603</t>
  </si>
  <si>
    <t xml:space="preserve">b-0604</t>
  </si>
  <si>
    <t xml:space="preserve">b-0605</t>
  </si>
  <si>
    <t xml:space="preserve">b-0606</t>
  </si>
  <si>
    <t xml:space="preserve">b-0607</t>
  </si>
  <si>
    <t xml:space="preserve">b-0608</t>
  </si>
  <si>
    <t xml:space="preserve">b-0609</t>
  </si>
  <si>
    <t xml:space="preserve">b-0610</t>
  </si>
  <si>
    <t xml:space="preserve">b-0611</t>
  </si>
  <si>
    <t xml:space="preserve">b-0612</t>
  </si>
  <si>
    <t xml:space="preserve">b-0613</t>
  </si>
  <si>
    <t xml:space="preserve">b-0614</t>
  </si>
  <si>
    <t xml:space="preserve">b-0615</t>
  </si>
  <si>
    <t xml:space="preserve">b-0616</t>
  </si>
  <si>
    <t xml:space="preserve">b-0617</t>
  </si>
  <si>
    <t xml:space="preserve">b-0618</t>
  </si>
  <si>
    <t xml:space="preserve">b-0619</t>
  </si>
  <si>
    <t xml:space="preserve">b-0620</t>
  </si>
  <si>
    <t xml:space="preserve">b-0621</t>
  </si>
  <si>
    <t xml:space="preserve">b-0622</t>
  </si>
  <si>
    <t xml:space="preserve">b-0623</t>
  </si>
  <si>
    <t xml:space="preserve">b-0624</t>
  </si>
  <si>
    <t xml:space="preserve">b-0625</t>
  </si>
  <si>
    <t xml:space="preserve">b-0626</t>
  </si>
  <si>
    <t xml:space="preserve">b-0627</t>
  </si>
  <si>
    <t xml:space="preserve">b-0628</t>
  </si>
  <si>
    <t xml:space="preserve">b-0629</t>
  </si>
  <si>
    <t xml:space="preserve">b-0630</t>
  </si>
  <si>
    <t xml:space="preserve">b-0631</t>
  </si>
  <si>
    <t xml:space="preserve">b-0632</t>
  </si>
  <si>
    <t xml:space="preserve">b-0633</t>
  </si>
  <si>
    <t xml:space="preserve">b-0634</t>
  </si>
  <si>
    <t xml:space="preserve">b-0635</t>
  </si>
  <si>
    <t xml:space="preserve">b-0636</t>
  </si>
  <si>
    <t xml:space="preserve">b-0637</t>
  </si>
  <si>
    <t xml:space="preserve">b-0638</t>
  </si>
  <si>
    <t xml:space="preserve">b-0639</t>
  </si>
  <si>
    <t xml:space="preserve">b-0640</t>
  </si>
  <si>
    <t xml:space="preserve">b-0641</t>
  </si>
  <si>
    <t xml:space="preserve">b-0642</t>
  </si>
  <si>
    <t xml:space="preserve">b-0643</t>
  </si>
  <si>
    <t xml:space="preserve">b-0644</t>
  </si>
  <si>
    <t xml:space="preserve">b-0645</t>
  </si>
  <si>
    <t xml:space="preserve">b-0646</t>
  </si>
  <si>
    <t xml:space="preserve">b-0647</t>
  </si>
  <si>
    <t xml:space="preserve">b-0648</t>
  </si>
  <si>
    <t xml:space="preserve">b-0649</t>
  </si>
  <si>
    <t xml:space="preserve">b-0650</t>
  </si>
  <si>
    <t xml:space="preserve">b-0651</t>
  </si>
  <si>
    <t xml:space="preserve">b-0652</t>
  </si>
  <si>
    <t xml:space="preserve">b-0653</t>
  </si>
  <si>
    <t xml:space="preserve">b-0654</t>
  </si>
  <si>
    <t xml:space="preserve">b-0655</t>
  </si>
  <si>
    <t xml:space="preserve">b-0656</t>
  </si>
  <si>
    <t xml:space="preserve">b-0657</t>
  </si>
  <si>
    <t xml:space="preserve">b-0658</t>
  </si>
  <si>
    <t xml:space="preserve">b-0659</t>
  </si>
  <si>
    <t xml:space="preserve">b-0660</t>
  </si>
  <si>
    <t xml:space="preserve">b-0661</t>
  </si>
  <si>
    <t xml:space="preserve">b-0662</t>
  </si>
  <si>
    <t xml:space="preserve">b-0663</t>
  </si>
  <si>
    <t xml:space="preserve">b-0664</t>
  </si>
  <si>
    <t xml:space="preserve">b-0665</t>
  </si>
  <si>
    <t xml:space="preserve">b-0666</t>
  </si>
  <si>
    <t xml:space="preserve">b-0667</t>
  </si>
  <si>
    <t xml:space="preserve">b-0668</t>
  </si>
  <si>
    <t xml:space="preserve">b-0669</t>
  </si>
  <si>
    <t xml:space="preserve">b-0670</t>
  </si>
  <si>
    <t xml:space="preserve">b-0671</t>
  </si>
  <si>
    <t xml:space="preserve">b-0672</t>
  </si>
  <si>
    <t xml:space="preserve">b-0673</t>
  </si>
  <si>
    <t xml:space="preserve">b-0674</t>
  </si>
  <si>
    <t xml:space="preserve">b-0675</t>
  </si>
  <si>
    <t xml:space="preserve">b-0676</t>
  </si>
  <si>
    <t xml:space="preserve">b-0677</t>
  </si>
  <si>
    <t xml:space="preserve">b-0678</t>
  </si>
  <si>
    <t xml:space="preserve">b-0679</t>
  </si>
  <si>
    <t xml:space="preserve">b-0680</t>
  </si>
  <si>
    <t xml:space="preserve">b-0681</t>
  </si>
  <si>
    <t xml:space="preserve">b-0682</t>
  </si>
  <si>
    <t xml:space="preserve">b-0683</t>
  </si>
  <si>
    <t xml:space="preserve">b-0684</t>
  </si>
  <si>
    <t xml:space="preserve">b-0685</t>
  </si>
  <si>
    <t xml:space="preserve">b-0686</t>
  </si>
  <si>
    <t xml:space="preserve">b-0687</t>
  </si>
  <si>
    <t xml:space="preserve">b-0688</t>
  </si>
  <si>
    <t xml:space="preserve">b-0689</t>
  </si>
  <si>
    <t xml:space="preserve">b-0690</t>
  </si>
  <si>
    <t xml:space="preserve">b-0691</t>
  </si>
  <si>
    <t xml:space="preserve">b-0692</t>
  </si>
  <si>
    <t xml:space="preserve">b-0693</t>
  </si>
  <si>
    <t xml:space="preserve">b-0694</t>
  </si>
  <si>
    <t xml:space="preserve">b-0695</t>
  </si>
  <si>
    <t xml:space="preserve">b-0696</t>
  </si>
  <si>
    <t xml:space="preserve">b-0697</t>
  </si>
  <si>
    <t xml:space="preserve">b-0698</t>
  </si>
  <si>
    <t xml:space="preserve">b-0699</t>
  </si>
  <si>
    <t xml:space="preserve">b-0700</t>
  </si>
  <si>
    <t xml:space="preserve">b-0701</t>
  </si>
  <si>
    <t xml:space="preserve">b-0702</t>
  </si>
  <si>
    <t xml:space="preserve">b-0703</t>
  </si>
  <si>
    <t xml:space="preserve">b-0704</t>
  </si>
  <si>
    <t xml:space="preserve">b-0705</t>
  </si>
  <si>
    <t xml:space="preserve">b-0706</t>
  </si>
  <si>
    <t xml:space="preserve">b-0707</t>
  </si>
  <si>
    <t xml:space="preserve">b-0708</t>
  </si>
  <si>
    <t xml:space="preserve">b-0709</t>
  </si>
  <si>
    <t xml:space="preserve">b-0710</t>
  </si>
  <si>
    <t xml:space="preserve">b-0711</t>
  </si>
  <si>
    <t xml:space="preserve">b-0712</t>
  </si>
  <si>
    <t xml:space="preserve">b-0713</t>
  </si>
  <si>
    <t xml:space="preserve">b-0714</t>
  </si>
  <si>
    <t xml:space="preserve">b-0715</t>
  </si>
  <si>
    <t xml:space="preserve">b-0716</t>
  </si>
  <si>
    <t xml:space="preserve">b-0717</t>
  </si>
  <si>
    <t xml:space="preserve">b-0718</t>
  </si>
  <si>
    <t xml:space="preserve">b-0719</t>
  </si>
  <si>
    <t xml:space="preserve">b-0720</t>
  </si>
  <si>
    <t xml:space="preserve">b-0721</t>
  </si>
  <si>
    <t xml:space="preserve">b-0722</t>
  </si>
  <si>
    <t xml:space="preserve">b-0723</t>
  </si>
  <si>
    <t xml:space="preserve">b-0724</t>
  </si>
  <si>
    <t xml:space="preserve">b-0725</t>
  </si>
  <si>
    <t xml:space="preserve">b-0726</t>
  </si>
  <si>
    <t xml:space="preserve">b-0727</t>
  </si>
  <si>
    <t xml:space="preserve">b-0728</t>
  </si>
  <si>
    <t xml:space="preserve">b-0729</t>
  </si>
  <si>
    <t xml:space="preserve">b-0730</t>
  </si>
  <si>
    <t xml:space="preserve">b-0731</t>
  </si>
  <si>
    <t xml:space="preserve">b-0732</t>
  </si>
  <si>
    <t xml:space="preserve">b-0733</t>
  </si>
  <si>
    <t xml:space="preserve">b-0734</t>
  </si>
  <si>
    <t xml:space="preserve">b-0735</t>
  </si>
  <si>
    <t xml:space="preserve">b-0736</t>
  </si>
  <si>
    <t xml:space="preserve">b-0737</t>
  </si>
  <si>
    <t xml:space="preserve">b-0738</t>
  </si>
  <si>
    <t xml:space="preserve">b-0739</t>
  </si>
  <si>
    <t xml:space="preserve">b-0740</t>
  </si>
  <si>
    <t xml:space="preserve">b-0741</t>
  </si>
  <si>
    <t xml:space="preserve">b-0742</t>
  </si>
  <si>
    <t xml:space="preserve">b-0743</t>
  </si>
  <si>
    <t xml:space="preserve">b-0744</t>
  </si>
  <si>
    <t xml:space="preserve">b-0745</t>
  </si>
  <si>
    <t xml:space="preserve">b-0746</t>
  </si>
  <si>
    <t xml:space="preserve">b-0747</t>
  </si>
  <si>
    <t xml:space="preserve">b-0748</t>
  </si>
  <si>
    <t xml:space="preserve">b-0749</t>
  </si>
  <si>
    <t xml:space="preserve">b-0750</t>
  </si>
  <si>
    <t xml:space="preserve">b-0751</t>
  </si>
  <si>
    <t xml:space="preserve">b-0752</t>
  </si>
  <si>
    <t xml:space="preserve">b-0753</t>
  </si>
  <si>
    <t xml:space="preserve">b-0754</t>
  </si>
  <si>
    <t xml:space="preserve">b-0755</t>
  </si>
  <si>
    <t xml:space="preserve">b-0756</t>
  </si>
  <si>
    <t xml:space="preserve">b-0757</t>
  </si>
  <si>
    <t xml:space="preserve">b-0758</t>
  </si>
  <si>
    <t xml:space="preserve">b-0759</t>
  </si>
  <si>
    <t xml:space="preserve">b-0760</t>
  </si>
  <si>
    <t xml:space="preserve">b-0761</t>
  </si>
  <si>
    <t xml:space="preserve">b-0762</t>
  </si>
  <si>
    <t xml:space="preserve">b-0763</t>
  </si>
  <si>
    <t xml:space="preserve">b-0764</t>
  </si>
  <si>
    <t xml:space="preserve">b-0765</t>
  </si>
  <si>
    <t xml:space="preserve">b-0766</t>
  </si>
  <si>
    <t xml:space="preserve">b-0767</t>
  </si>
  <si>
    <t xml:space="preserve">b-0768</t>
  </si>
  <si>
    <t xml:space="preserve">b-0769</t>
  </si>
  <si>
    <t xml:space="preserve">b-0770</t>
  </si>
  <si>
    <t xml:space="preserve">b-0771</t>
  </si>
  <si>
    <t xml:space="preserve">b-0772</t>
  </si>
  <si>
    <t xml:space="preserve">b-0773</t>
  </si>
  <si>
    <t xml:space="preserve">b-0774</t>
  </si>
  <si>
    <t xml:space="preserve">b-0775</t>
  </si>
  <si>
    <t xml:space="preserve">b-0776</t>
  </si>
  <si>
    <t xml:space="preserve">b-0777</t>
  </si>
  <si>
    <t xml:space="preserve">b-0778</t>
  </si>
  <si>
    <t xml:space="preserve">b-0779</t>
  </si>
  <si>
    <t xml:space="preserve">b-0780</t>
  </si>
  <si>
    <t xml:space="preserve">b-0781</t>
  </si>
  <si>
    <t xml:space="preserve">b-0782</t>
  </si>
  <si>
    <t xml:space="preserve">b-0783</t>
  </si>
  <si>
    <t xml:space="preserve">b-0784</t>
  </si>
  <si>
    <t xml:space="preserve">b-0785</t>
  </si>
  <si>
    <t xml:space="preserve">b-0786</t>
  </si>
  <si>
    <t xml:space="preserve">b-0787</t>
  </si>
  <si>
    <t xml:space="preserve">b-0788</t>
  </si>
  <si>
    <t xml:space="preserve">b-0789</t>
  </si>
  <si>
    <t xml:space="preserve">b-0790</t>
  </si>
  <si>
    <t xml:space="preserve">b-0791</t>
  </si>
  <si>
    <t xml:space="preserve">b-0792</t>
  </si>
  <si>
    <t xml:space="preserve">b-0793</t>
  </si>
  <si>
    <t xml:space="preserve">b-0794</t>
  </si>
  <si>
    <t xml:space="preserve">b-0795</t>
  </si>
  <si>
    <t xml:space="preserve">b-0796</t>
  </si>
  <si>
    <t xml:space="preserve">b-0797</t>
  </si>
  <si>
    <t xml:space="preserve">b-0798</t>
  </si>
  <si>
    <t xml:space="preserve">b-0799</t>
  </si>
  <si>
    <t xml:space="preserve">b-0800</t>
  </si>
  <si>
    <t xml:space="preserve">b-0801</t>
  </si>
  <si>
    <t xml:space="preserve">b-0802</t>
  </si>
  <si>
    <t xml:space="preserve">b-0803</t>
  </si>
  <si>
    <t xml:space="preserve">b-0804</t>
  </si>
  <si>
    <t xml:space="preserve">b-0805</t>
  </si>
  <si>
    <t xml:space="preserve">b-0806</t>
  </si>
  <si>
    <t xml:space="preserve">b-0807</t>
  </si>
  <si>
    <t xml:space="preserve">b-0808</t>
  </si>
  <si>
    <t xml:space="preserve">b-0809</t>
  </si>
  <si>
    <t xml:space="preserve">b-0810</t>
  </si>
  <si>
    <t xml:space="preserve">b-0811</t>
  </si>
  <si>
    <t xml:space="preserve">b-0812</t>
  </si>
  <si>
    <t xml:space="preserve">b-0813</t>
  </si>
  <si>
    <t xml:space="preserve">b-0814</t>
  </si>
  <si>
    <t xml:space="preserve">b-0815</t>
  </si>
  <si>
    <t xml:space="preserve">b-0816</t>
  </si>
  <si>
    <t xml:space="preserve">b-0817</t>
  </si>
  <si>
    <t xml:space="preserve">b-0818</t>
  </si>
  <si>
    <t xml:space="preserve">b-0819</t>
  </si>
  <si>
    <t xml:space="preserve">b-0820</t>
  </si>
  <si>
    <t xml:space="preserve">b-0821</t>
  </si>
  <si>
    <t xml:space="preserve">b-0822</t>
  </si>
  <si>
    <t xml:space="preserve">b-0823</t>
  </si>
  <si>
    <t xml:space="preserve">b-0824</t>
  </si>
  <si>
    <t xml:space="preserve">b-0825</t>
  </si>
  <si>
    <t xml:space="preserve">b-0826</t>
  </si>
  <si>
    <t xml:space="preserve">b-0827</t>
  </si>
  <si>
    <t xml:space="preserve">b-0828</t>
  </si>
  <si>
    <t xml:space="preserve">b-0829</t>
  </si>
  <si>
    <t xml:space="preserve">b-0830</t>
  </si>
  <si>
    <t xml:space="preserve">b-0831</t>
  </si>
  <si>
    <t xml:space="preserve">b-0832</t>
  </si>
  <si>
    <t xml:space="preserve">b-0833</t>
  </si>
  <si>
    <t xml:space="preserve">b-0834</t>
  </si>
  <si>
    <t xml:space="preserve">b-0835</t>
  </si>
  <si>
    <t xml:space="preserve">b-0836</t>
  </si>
  <si>
    <t xml:space="preserve">b-0837</t>
  </si>
  <si>
    <t xml:space="preserve">b-0838</t>
  </si>
  <si>
    <t xml:space="preserve">b-0839</t>
  </si>
  <si>
    <t xml:space="preserve">b-0840</t>
  </si>
  <si>
    <t xml:space="preserve">b-0841</t>
  </si>
  <si>
    <t xml:space="preserve">b-0842</t>
  </si>
  <si>
    <t xml:space="preserve">b-0843</t>
  </si>
  <si>
    <t xml:space="preserve">b-0844</t>
  </si>
  <si>
    <t xml:space="preserve">b-0845</t>
  </si>
  <si>
    <t xml:space="preserve">b-0846</t>
  </si>
  <si>
    <t xml:space="preserve">b-0847</t>
  </si>
  <si>
    <t xml:space="preserve">schema_q</t>
  </si>
  <si>
    <t xml:space="preserve">b-0848</t>
  </si>
  <si>
    <t xml:space="preserve">schema_refetch</t>
  </si>
  <si>
    <t xml:space="preserve">b-0849</t>
  </si>
  <si>
    <t xml:space="preserve">b-0850</t>
  </si>
  <si>
    <t xml:space="preserve">b-0851</t>
  </si>
  <si>
    <t xml:space="preserve">b-0852</t>
  </si>
  <si>
    <t xml:space="preserve">b-0853</t>
  </si>
  <si>
    <t xml:space="preserve">b-0854</t>
  </si>
  <si>
    <t xml:space="preserve">b-0855</t>
  </si>
  <si>
    <t xml:space="preserve">b-0856</t>
  </si>
  <si>
    <t xml:space="preserve">b-0857</t>
  </si>
  <si>
    <t xml:space="preserve">b-0858</t>
  </si>
  <si>
    <t xml:space="preserve">b-0859</t>
  </si>
  <si>
    <t xml:space="preserve">b-0860</t>
  </si>
  <si>
    <t xml:space="preserve">b-0861</t>
  </si>
  <si>
    <t xml:space="preserve">b-0862</t>
  </si>
  <si>
    <t xml:space="preserve">b-0863</t>
  </si>
  <si>
    <t xml:space="preserve">b-0864</t>
  </si>
  <si>
    <t xml:space="preserve">b-0865</t>
  </si>
  <si>
    <t xml:space="preserve">b-0866</t>
  </si>
  <si>
    <t xml:space="preserve">b-0867</t>
  </si>
  <si>
    <t xml:space="preserve">b-0868</t>
  </si>
  <si>
    <t xml:space="preserve">b-0869</t>
  </si>
  <si>
    <t xml:space="preserve">b-0870</t>
  </si>
  <si>
    <t xml:space="preserve">b-0871</t>
  </si>
  <si>
    <t xml:space="preserve">b-0872</t>
  </si>
  <si>
    <t xml:space="preserve">b-0873</t>
  </si>
  <si>
    <t xml:space="preserve">b-0874</t>
  </si>
  <si>
    <t xml:space="preserve">b-0875</t>
  </si>
  <si>
    <t xml:space="preserve">b-0876</t>
  </si>
  <si>
    <t xml:space="preserve">b-0877</t>
  </si>
  <si>
    <t xml:space="preserve">b-0878</t>
  </si>
  <si>
    <t xml:space="preserve">b-0879</t>
  </si>
  <si>
    <t xml:space="preserve">b-0880</t>
  </si>
  <si>
    <t xml:space="preserve">b-0881</t>
  </si>
  <si>
    <t xml:space="preserve">b-0882</t>
  </si>
  <si>
    <t xml:space="preserve">b-0883</t>
  </si>
  <si>
    <t xml:space="preserve">b-0884</t>
  </si>
  <si>
    <t xml:space="preserve">b-0885</t>
  </si>
  <si>
    <t xml:space="preserve">b-0886</t>
  </si>
  <si>
    <t xml:space="preserve">b-0887</t>
  </si>
  <si>
    <t xml:space="preserve">b-0888</t>
  </si>
  <si>
    <t xml:space="preserve">b-0889</t>
  </si>
  <si>
    <t xml:space="preserve">b-0890</t>
  </si>
  <si>
    <t xml:space="preserve">b-0891</t>
  </si>
  <si>
    <t xml:space="preserve">b-0892</t>
  </si>
  <si>
    <t xml:space="preserve">b-0893</t>
  </si>
  <si>
    <t xml:space="preserve">b-0894</t>
  </si>
  <si>
    <t xml:space="preserve">b-0895</t>
  </si>
  <si>
    <t xml:space="preserve">b-0896</t>
  </si>
  <si>
    <t xml:space="preserve">b-0897</t>
  </si>
  <si>
    <t xml:space="preserve">b-0898</t>
  </si>
  <si>
    <t xml:space="preserve">b-0899</t>
  </si>
  <si>
    <t xml:space="preserve">b-0900</t>
  </si>
  <si>
    <t xml:space="preserve">b-0901</t>
  </si>
  <si>
    <t xml:space="preserve">b-0902</t>
  </si>
  <si>
    <t xml:space="preserve">b-0903</t>
  </si>
  <si>
    <t xml:space="preserve">b-0904</t>
  </si>
  <si>
    <t xml:space="preserve">b-0905</t>
  </si>
  <si>
    <t xml:space="preserve">b-0906</t>
  </si>
  <si>
    <t xml:space="preserve">b-0907</t>
  </si>
  <si>
    <t xml:space="preserve">b-0908</t>
  </si>
  <si>
    <t xml:space="preserve">b-0909</t>
  </si>
  <si>
    <t xml:space="preserve">b-0910</t>
  </si>
  <si>
    <t xml:space="preserve">b-0911</t>
  </si>
  <si>
    <t xml:space="preserve">b-0912</t>
  </si>
  <si>
    <t xml:space="preserve">b-0913</t>
  </si>
  <si>
    <t xml:space="preserve">b-0914</t>
  </si>
  <si>
    <t xml:space="preserve">b-0915</t>
  </si>
  <si>
    <t xml:space="preserve">b-0916</t>
  </si>
  <si>
    <t xml:space="preserve">b-0917</t>
  </si>
  <si>
    <t xml:space="preserve">b-0918</t>
  </si>
  <si>
    <t xml:space="preserve">b-0919</t>
  </si>
  <si>
    <t xml:space="preserve">b-0920</t>
  </si>
  <si>
    <t xml:space="preserve">b-0921</t>
  </si>
  <si>
    <t xml:space="preserve">b-0922</t>
  </si>
  <si>
    <t xml:space="preserve">b-0923</t>
  </si>
  <si>
    <t xml:space="preserve">b-0924</t>
  </si>
  <si>
    <t xml:space="preserve">b-0925</t>
  </si>
  <si>
    <t xml:space="preserve">b-0926</t>
  </si>
  <si>
    <t xml:space="preserve">b-0927</t>
  </si>
  <si>
    <t xml:space="preserve">b-0928</t>
  </si>
  <si>
    <t xml:space="preserve">b-0929</t>
  </si>
  <si>
    <t xml:space="preserve">b-0930</t>
  </si>
  <si>
    <t xml:space="preserve">b-0931</t>
  </si>
  <si>
    <t xml:space="preserve">b-0932</t>
  </si>
  <si>
    <t xml:space="preserve">b-0933</t>
  </si>
  <si>
    <t xml:space="preserve">b-0934</t>
  </si>
  <si>
    <t xml:space="preserve">b-0935</t>
  </si>
  <si>
    <t xml:space="preserve">b-0936</t>
  </si>
  <si>
    <t xml:space="preserve">b-0937</t>
  </si>
  <si>
    <t xml:space="preserve">b-0938</t>
  </si>
  <si>
    <t xml:space="preserve">b-0939</t>
  </si>
  <si>
    <t xml:space="preserve">b-0940</t>
  </si>
  <si>
    <t xml:space="preserve">b-0941</t>
  </si>
  <si>
    <t xml:space="preserve">b-0942</t>
  </si>
  <si>
    <t xml:space="preserve">b-0943</t>
  </si>
  <si>
    <t xml:space="preserve">b-0944</t>
  </si>
  <si>
    <t xml:space="preserve">b-0945</t>
  </si>
  <si>
    <t xml:space="preserve">b-0946</t>
  </si>
  <si>
    <t xml:space="preserve">b-0947</t>
  </si>
  <si>
    <t xml:space="preserve">b-0948</t>
  </si>
  <si>
    <t xml:space="preserve">b-0949</t>
  </si>
  <si>
    <t xml:space="preserve">b-0950</t>
  </si>
  <si>
    <t xml:space="preserve">b-0951</t>
  </si>
  <si>
    <t xml:space="preserve">b-0952</t>
  </si>
  <si>
    <t xml:space="preserve">b-0953</t>
  </si>
  <si>
    <t xml:space="preserve">b-0954</t>
  </si>
  <si>
    <t xml:space="preserve">b-0955</t>
  </si>
  <si>
    <t xml:space="preserve">b-0956</t>
  </si>
  <si>
    <t xml:space="preserve">b-0957</t>
  </si>
  <si>
    <t xml:space="preserve">b-0958</t>
  </si>
  <si>
    <t xml:space="preserve">b-0959</t>
  </si>
  <si>
    <t xml:space="preserve">b-0960</t>
  </si>
  <si>
    <t xml:space="preserve">b-0961</t>
  </si>
  <si>
    <t xml:space="preserve">b-0962</t>
  </si>
  <si>
    <t xml:space="preserve">b-0963</t>
  </si>
  <si>
    <t xml:space="preserve">b-0964</t>
  </si>
  <si>
    <t xml:space="preserve">b-0965</t>
  </si>
  <si>
    <t xml:space="preserve">b-0966</t>
  </si>
  <si>
    <t xml:space="preserve">b-0967</t>
  </si>
  <si>
    <t xml:space="preserve">b-0968</t>
  </si>
  <si>
    <t xml:space="preserve">b-0969</t>
  </si>
  <si>
    <t xml:space="preserve">b-0970</t>
  </si>
  <si>
    <t xml:space="preserve">b-0971</t>
  </si>
  <si>
    <t xml:space="preserve">b-0972</t>
  </si>
  <si>
    <t xml:space="preserve">b-0973</t>
  </si>
  <si>
    <t xml:space="preserve">b-0974</t>
  </si>
  <si>
    <t xml:space="preserve">b-0975</t>
  </si>
  <si>
    <t xml:space="preserve">b-0976</t>
  </si>
  <si>
    <t xml:space="preserve">b-0977</t>
  </si>
  <si>
    <t xml:space="preserve">b-0978</t>
  </si>
  <si>
    <t xml:space="preserve">b-0979</t>
  </si>
  <si>
    <t xml:space="preserve">b-0980</t>
  </si>
  <si>
    <t xml:space="preserve">b-0981</t>
  </si>
  <si>
    <t xml:space="preserve">b-0982</t>
  </si>
  <si>
    <t xml:space="preserve">b-0983</t>
  </si>
  <si>
    <t xml:space="preserve">b-0984</t>
  </si>
  <si>
    <t xml:space="preserve">b-0985</t>
  </si>
  <si>
    <t xml:space="preserve">b-0986</t>
  </si>
  <si>
    <t xml:space="preserve">b-0987</t>
  </si>
  <si>
    <t xml:space="preserve">b-0988</t>
  </si>
  <si>
    <t xml:space="preserve">b-0989</t>
  </si>
  <si>
    <t xml:space="preserve">b-0990</t>
  </si>
  <si>
    <t xml:space="preserve">b-0991</t>
  </si>
  <si>
    <t xml:space="preserve">b-0992</t>
  </si>
  <si>
    <t xml:space="preserve">b-0993</t>
  </si>
  <si>
    <t xml:space="preserve">b-0994</t>
  </si>
  <si>
    <t xml:space="preserve">b-0995</t>
  </si>
  <si>
    <t xml:space="preserve">b-0996</t>
  </si>
  <si>
    <t xml:space="preserve">b-0997</t>
  </si>
  <si>
    <t xml:space="preserve">b-0998</t>
  </si>
  <si>
    <t xml:space="preserve">b-0999</t>
  </si>
  <si>
    <t xml:space="preserve">b-1000</t>
  </si>
  <si>
    <t xml:space="preserve">b-1001</t>
  </si>
  <si>
    <t xml:space="preserve">b-1002</t>
  </si>
  <si>
    <t xml:space="preserve">b-1003</t>
  </si>
  <si>
    <t xml:space="preserve">b-1004</t>
  </si>
  <si>
    <t xml:space="preserve">b-1005</t>
  </si>
  <si>
    <t xml:space="preserve">b-1006</t>
  </si>
  <si>
    <t xml:space="preserve">b-1007</t>
  </si>
  <si>
    <t xml:space="preserve">b-1008</t>
  </si>
  <si>
    <t xml:space="preserve">b-1009</t>
  </si>
  <si>
    <t xml:space="preserve">b-1010</t>
  </si>
  <si>
    <t xml:space="preserve">b-1011</t>
  </si>
  <si>
    <t xml:space="preserve">b-1012</t>
  </si>
  <si>
    <t xml:space="preserve">b-1013</t>
  </si>
  <si>
    <t xml:space="preserve">b-1014</t>
  </si>
  <si>
    <t xml:space="preserve">b-1015</t>
  </si>
  <si>
    <t xml:space="preserve">b-1016</t>
  </si>
  <si>
    <t xml:space="preserve">b-1017</t>
  </si>
  <si>
    <t xml:space="preserve">b-1018</t>
  </si>
  <si>
    <t xml:space="preserve">b-1019</t>
  </si>
  <si>
    <t xml:space="preserve">b-1020</t>
  </si>
  <si>
    <t xml:space="preserve">b-1021</t>
  </si>
  <si>
    <t xml:space="preserve">b-1022</t>
  </si>
  <si>
    <t xml:space="preserve">b-1023</t>
  </si>
  <si>
    <t xml:space="preserve">b-1024</t>
  </si>
  <si>
    <t xml:space="preserve">b-1025</t>
  </si>
  <si>
    <t xml:space="preserve">b-1026</t>
  </si>
  <si>
    <t xml:space="preserve">b-1027</t>
  </si>
  <si>
    <t xml:space="preserve">b-1028</t>
  </si>
  <si>
    <t xml:space="preserve">b-1029</t>
  </si>
  <si>
    <t xml:space="preserve">b-1030</t>
  </si>
  <si>
    <t xml:space="preserve">b-1031</t>
  </si>
  <si>
    <t xml:space="preserve">b-1032</t>
  </si>
  <si>
    <t xml:space="preserve">b-1033</t>
  </si>
  <si>
    <t xml:space="preserve">b-1034</t>
  </si>
  <si>
    <t xml:space="preserve">b-1035</t>
  </si>
  <si>
    <t xml:space="preserve">b-1036</t>
  </si>
  <si>
    <t xml:space="preserve">b-1037</t>
  </si>
  <si>
    <t xml:space="preserve">b-1038</t>
  </si>
  <si>
    <t xml:space="preserve">b-1039</t>
  </si>
  <si>
    <t xml:space="preserve">b-1040</t>
  </si>
  <si>
    <t xml:space="preserve">b-1041</t>
  </si>
  <si>
    <t xml:space="preserve">b-1042</t>
  </si>
  <si>
    <t xml:space="preserve">b-1043</t>
  </si>
  <si>
    <t xml:space="preserve">b-1044</t>
  </si>
  <si>
    <t xml:space="preserve">b-1045</t>
  </si>
  <si>
    <t xml:space="preserve">b-1046</t>
  </si>
  <si>
    <t xml:space="preserve">b-1047</t>
  </si>
  <si>
    <t xml:space="preserve">b-1048</t>
  </si>
  <si>
    <t xml:space="preserve">b-1049</t>
  </si>
  <si>
    <t xml:space="preserve">b-1050</t>
  </si>
  <si>
    <t xml:space="preserve">b-1051</t>
  </si>
  <si>
    <t xml:space="preserve">b-1052</t>
  </si>
  <si>
    <t xml:space="preserve">b-1053</t>
  </si>
  <si>
    <t xml:space="preserve">b-1054</t>
  </si>
  <si>
    <t xml:space="preserve">b-1055</t>
  </si>
  <si>
    <t xml:space="preserve">b-1056</t>
  </si>
  <si>
    <t xml:space="preserve">b-1057</t>
  </si>
  <si>
    <t xml:space="preserve">b-1058</t>
  </si>
  <si>
    <t xml:space="preserve">b-1059</t>
  </si>
  <si>
    <t xml:space="preserve">b-1060</t>
  </si>
  <si>
    <t xml:space="preserve">b-1061</t>
  </si>
  <si>
    <t xml:space="preserve">b-1062</t>
  </si>
  <si>
    <t xml:space="preserve">b-1063</t>
  </si>
  <si>
    <t xml:space="preserve">b-1064</t>
  </si>
  <si>
    <t xml:space="preserve">b-1065</t>
  </si>
  <si>
    <t xml:space="preserve">b-1066</t>
  </si>
  <si>
    <t xml:space="preserve">b-1067</t>
  </si>
  <si>
    <t xml:space="preserve">b-1068</t>
  </si>
  <si>
    <t xml:space="preserve">b-1069</t>
  </si>
  <si>
    <t xml:space="preserve">b-1070</t>
  </si>
  <si>
    <t xml:space="preserve">b-1071</t>
  </si>
  <si>
    <t xml:space="preserve">b-1072</t>
  </si>
  <si>
    <t xml:space="preserve">b-1073</t>
  </si>
  <si>
    <t xml:space="preserve">b-1074</t>
  </si>
  <si>
    <t xml:space="preserve">b-1075</t>
  </si>
  <si>
    <t xml:space="preserve">b-1076</t>
  </si>
  <si>
    <t xml:space="preserve">b-1077</t>
  </si>
  <si>
    <t xml:space="preserve">b-1078</t>
  </si>
  <si>
    <t xml:space="preserve">b-1079</t>
  </si>
  <si>
    <t xml:space="preserve">b-1080</t>
  </si>
  <si>
    <t xml:space="preserve">b-1081</t>
  </si>
  <si>
    <t xml:space="preserve">b-1082</t>
  </si>
  <si>
    <t xml:space="preserve">b-1083</t>
  </si>
  <si>
    <t xml:space="preserve">b-1084</t>
  </si>
  <si>
    <t xml:space="preserve">b-1085</t>
  </si>
  <si>
    <t xml:space="preserve">b-1086</t>
  </si>
  <si>
    <t xml:space="preserve">b-1087</t>
  </si>
  <si>
    <t xml:space="preserve">b-1088</t>
  </si>
  <si>
    <t xml:space="preserve">b-1089</t>
  </si>
  <si>
    <t xml:space="preserve">b-1090</t>
  </si>
  <si>
    <t xml:space="preserve">b-1091</t>
  </si>
  <si>
    <t xml:space="preserve">b-1092</t>
  </si>
  <si>
    <t xml:space="preserve">b-1093</t>
  </si>
  <si>
    <t xml:space="preserve">b-1094</t>
  </si>
  <si>
    <t xml:space="preserve">b-1095</t>
  </si>
  <si>
    <t xml:space="preserve">b-1096</t>
  </si>
  <si>
    <t xml:space="preserve">b-1097</t>
  </si>
  <si>
    <t xml:space="preserve">b-1098</t>
  </si>
  <si>
    <t xml:space="preserve">b-1099</t>
  </si>
  <si>
    <t xml:space="preserve">b-1100</t>
  </si>
  <si>
    <t xml:space="preserve">b-1101</t>
  </si>
  <si>
    <t xml:space="preserve">b-1102</t>
  </si>
  <si>
    <t xml:space="preserve">b-1103</t>
  </si>
  <si>
    <t xml:space="preserve">b-1104</t>
  </si>
  <si>
    <t xml:space="preserve">b-1105</t>
  </si>
  <si>
    <t xml:space="preserve">b-1106</t>
  </si>
  <si>
    <t xml:space="preserve">b-1107</t>
  </si>
  <si>
    <t xml:space="preserve">b-1108</t>
  </si>
  <si>
    <t xml:space="preserve">b-1109</t>
  </si>
  <si>
    <t xml:space="preserve">b-1110</t>
  </si>
  <si>
    <t xml:space="preserve">b-1111</t>
  </si>
  <si>
    <t xml:space="preserve">b-1112</t>
  </si>
  <si>
    <t xml:space="preserve">b-1113</t>
  </si>
  <si>
    <t xml:space="preserve">b-1114</t>
  </si>
  <si>
    <t xml:space="preserve">b-1115</t>
  </si>
  <si>
    <t xml:space="preserve">b-1116</t>
  </si>
  <si>
    <t xml:space="preserve">b-1117</t>
  </si>
  <si>
    <t xml:space="preserve">b-1118</t>
  </si>
  <si>
    <t xml:space="preserve">b-1119</t>
  </si>
  <si>
    <t xml:space="preserve">b-1120</t>
  </si>
  <si>
    <t xml:space="preserve">b-1121</t>
  </si>
  <si>
    <t xml:space="preserve">b-1122</t>
  </si>
  <si>
    <t xml:space="preserve">b-1123</t>
  </si>
  <si>
    <t xml:space="preserve">b-1124</t>
  </si>
  <si>
    <t xml:space="preserve">b-1125</t>
  </si>
  <si>
    <t xml:space="preserve">b-1126</t>
  </si>
  <si>
    <t xml:space="preserve">b-1127</t>
  </si>
  <si>
    <t xml:space="preserve">b-1128</t>
  </si>
  <si>
    <t xml:space="preserve">b-1129</t>
  </si>
  <si>
    <t xml:space="preserve">b-1130</t>
  </si>
  <si>
    <t xml:space="preserve">b-1131</t>
  </si>
  <si>
    <t xml:space="preserve">b-1132</t>
  </si>
  <si>
    <t xml:space="preserve">b-1133</t>
  </si>
  <si>
    <t xml:space="preserve">b-1134</t>
  </si>
  <si>
    <t xml:space="preserve">b-1135</t>
  </si>
  <si>
    <t xml:space="preserve">b-1136</t>
  </si>
  <si>
    <t xml:space="preserve">b-1137</t>
  </si>
  <si>
    <t xml:space="preserve">b-1138</t>
  </si>
  <si>
    <t xml:space="preserve">b-1139</t>
  </si>
  <si>
    <t xml:space="preserve">b-1140</t>
  </si>
  <si>
    <t xml:space="preserve">b-1141</t>
  </si>
  <si>
    <t xml:space="preserve">b-1142</t>
  </si>
  <si>
    <t xml:space="preserve">b-1143</t>
  </si>
  <si>
    <t xml:space="preserve">b-1144</t>
  </si>
  <si>
    <t xml:space="preserve">b-1145</t>
  </si>
  <si>
    <t xml:space="preserve">b-1146</t>
  </si>
  <si>
    <t xml:space="preserve">b-1147</t>
  </si>
  <si>
    <t xml:space="preserve">b-1148</t>
  </si>
  <si>
    <t xml:space="preserve">b-1149</t>
  </si>
  <si>
    <t xml:space="preserve">b-1150</t>
  </si>
  <si>
    <t xml:space="preserve">b-1151</t>
  </si>
  <si>
    <t xml:space="preserve">b-1152</t>
  </si>
  <si>
    <t xml:space="preserve">b-1153</t>
  </si>
  <si>
    <t xml:space="preserve">b-1154</t>
  </si>
  <si>
    <t xml:space="preserve">b-1155</t>
  </si>
  <si>
    <t xml:space="preserve">b-1156</t>
  </si>
  <si>
    <t xml:space="preserve">b-1157</t>
  </si>
  <si>
    <t xml:space="preserve">b-1158</t>
  </si>
  <si>
    <t xml:space="preserve">b-1159</t>
  </si>
  <si>
    <t xml:space="preserve">b-1160</t>
  </si>
  <si>
    <t xml:space="preserve">b-1161</t>
  </si>
  <si>
    <t xml:space="preserve">b-1162</t>
  </si>
  <si>
    <t xml:space="preserve">b-1163</t>
  </si>
  <si>
    <t xml:space="preserve">b-1164</t>
  </si>
  <si>
    <t xml:space="preserve">b-1165</t>
  </si>
  <si>
    <t xml:space="preserve">b-1166</t>
  </si>
  <si>
    <t xml:space="preserve">b-1167</t>
  </si>
  <si>
    <t xml:space="preserve">b-1168</t>
  </si>
  <si>
    <t xml:space="preserve">b-1169</t>
  </si>
  <si>
    <t xml:space="preserve">b-1170</t>
  </si>
  <si>
    <t xml:space="preserve">b-1171</t>
  </si>
  <si>
    <t xml:space="preserve">b-1172</t>
  </si>
  <si>
    <t xml:space="preserve">b-1173</t>
  </si>
  <si>
    <t xml:space="preserve">b-1174</t>
  </si>
  <si>
    <t xml:space="preserve">b-1175</t>
  </si>
  <si>
    <t xml:space="preserve">b-1176</t>
  </si>
  <si>
    <t xml:space="preserve">b-1177</t>
  </si>
  <si>
    <t xml:space="preserve">b-1178</t>
  </si>
  <si>
    <t xml:space="preserve">b-1179</t>
  </si>
  <si>
    <t xml:space="preserve">b-1180</t>
  </si>
  <si>
    <t xml:space="preserve">b-1181</t>
  </si>
  <si>
    <t xml:space="preserve">b-1182</t>
  </si>
  <si>
    <t xml:space="preserve">b-1183</t>
  </si>
  <si>
    <t xml:space="preserve">b-1184</t>
  </si>
  <si>
    <t xml:space="preserve">b-1185</t>
  </si>
  <si>
    <t xml:space="preserve">b-1186</t>
  </si>
  <si>
    <t xml:space="preserve">b-1187</t>
  </si>
  <si>
    <t xml:space="preserve">b-1188</t>
  </si>
  <si>
    <t xml:space="preserve">b-1189</t>
  </si>
  <si>
    <t xml:space="preserve">b-1190</t>
  </si>
  <si>
    <t xml:space="preserve">b-1191</t>
  </si>
  <si>
    <t xml:space="preserve">b-1192</t>
  </si>
  <si>
    <t xml:space="preserve">b-1193</t>
  </si>
  <si>
    <t xml:space="preserve">b-1194</t>
  </si>
  <si>
    <t xml:space="preserve">b-1195</t>
  </si>
  <si>
    <t xml:space="preserve">b-1196</t>
  </si>
  <si>
    <t xml:space="preserve">b-1197</t>
  </si>
  <si>
    <t xml:space="preserve">b-1198</t>
  </si>
  <si>
    <t xml:space="preserve">b-1199</t>
  </si>
  <si>
    <t xml:space="preserve">b-1200</t>
  </si>
  <si>
    <t xml:space="preserve">b-1201</t>
  </si>
  <si>
    <t xml:space="preserve">b-1202</t>
  </si>
  <si>
    <t xml:space="preserve">b-1203</t>
  </si>
  <si>
    <t xml:space="preserve">b-1204</t>
  </si>
  <si>
    <t xml:space="preserve">b-1205</t>
  </si>
  <si>
    <t xml:space="preserve">b-1206</t>
  </si>
  <si>
    <t xml:space="preserve">b-1207</t>
  </si>
  <si>
    <t xml:space="preserve">b-1208</t>
  </si>
  <si>
    <t xml:space="preserve">b-1209</t>
  </si>
  <si>
    <t xml:space="preserve">b-1210</t>
  </si>
  <si>
    <t xml:space="preserve">b-1211</t>
  </si>
  <si>
    <t xml:space="preserve">b-1212</t>
  </si>
  <si>
    <t xml:space="preserve">b-1213</t>
  </si>
  <si>
    <t xml:space="preserve">b-1214</t>
  </si>
  <si>
    <t xml:space="preserve">b-1215</t>
  </si>
  <si>
    <t xml:space="preserve">b-1216</t>
  </si>
  <si>
    <t xml:space="preserve">b-1217</t>
  </si>
  <si>
    <t xml:space="preserve">b-1218</t>
  </si>
  <si>
    <t xml:space="preserve">b-1219</t>
  </si>
  <si>
    <t xml:space="preserve">b-1220</t>
  </si>
  <si>
    <t xml:space="preserve">b-1221</t>
  </si>
  <si>
    <t xml:space="preserve">b-1222</t>
  </si>
  <si>
    <t xml:space="preserve">b-1223</t>
  </si>
  <si>
    <t xml:space="preserve">b-1224</t>
  </si>
  <si>
    <t xml:space="preserve">b-1225</t>
  </si>
  <si>
    <t xml:space="preserve">b-1226</t>
  </si>
  <si>
    <t xml:space="preserve">b-1227</t>
  </si>
  <si>
    <t xml:space="preserve">b-1228</t>
  </si>
  <si>
    <t xml:space="preserve">b-1229</t>
  </si>
  <si>
    <t xml:space="preserve">b-1230</t>
  </si>
  <si>
    <t xml:space="preserve">b-1231</t>
  </si>
  <si>
    <t xml:space="preserve">b-1232</t>
  </si>
  <si>
    <t xml:space="preserve">b-1233</t>
  </si>
  <si>
    <t xml:space="preserve">b-1234</t>
  </si>
  <si>
    <t xml:space="preserve">b-1235</t>
  </si>
  <si>
    <t xml:space="preserve">b-1236</t>
  </si>
  <si>
    <t xml:space="preserve">b-1237</t>
  </si>
  <si>
    <t xml:space="preserve">b-1238</t>
  </si>
  <si>
    <t xml:space="preserve">b-1239</t>
  </si>
  <si>
    <t xml:space="preserve">b-1240</t>
  </si>
  <si>
    <t xml:space="preserve">b-1241</t>
  </si>
  <si>
    <t xml:space="preserve">b-1242</t>
  </si>
  <si>
    <t xml:space="preserve">b-1243</t>
  </si>
  <si>
    <t xml:space="preserve">b-1244</t>
  </si>
  <si>
    <t xml:space="preserve">b-1245</t>
  </si>
  <si>
    <t xml:space="preserve">b-1246</t>
  </si>
  <si>
    <t xml:space="preserve">b-1247</t>
  </si>
  <si>
    <t xml:space="preserve">b-1248</t>
  </si>
  <si>
    <t xml:space="preserve">b-1249</t>
  </si>
  <si>
    <t xml:space="preserve">b-1250</t>
  </si>
  <si>
    <t xml:space="preserve">b-1251</t>
  </si>
  <si>
    <t xml:space="preserve">b-1252</t>
  </si>
  <si>
    <t xml:space="preserve">b-1253</t>
  </si>
  <si>
    <t xml:space="preserve">b-1254</t>
  </si>
  <si>
    <t xml:space="preserve">b-1255</t>
  </si>
  <si>
    <t xml:space="preserve">b-1256</t>
  </si>
  <si>
    <t xml:space="preserve">b-1257</t>
  </si>
  <si>
    <t xml:space="preserve">b-1258</t>
  </si>
  <si>
    <t xml:space="preserve">b-1259</t>
  </si>
  <si>
    <t xml:space="preserve">b-1260</t>
  </si>
  <si>
    <t xml:space="preserve">b-1261</t>
  </si>
  <si>
    <t xml:space="preserve">b-1262</t>
  </si>
  <si>
    <t xml:space="preserve">b-1263</t>
  </si>
  <si>
    <t xml:space="preserve">b-1264</t>
  </si>
  <si>
    <t xml:space="preserve">b-1265</t>
  </si>
  <si>
    <t xml:space="preserve">b-1266</t>
  </si>
  <si>
    <t xml:space="preserve">b-1267</t>
  </si>
  <si>
    <t xml:space="preserve">b-1268</t>
  </si>
  <si>
    <t xml:space="preserve">b-1269</t>
  </si>
  <si>
    <t xml:space="preserve">b-1270</t>
  </si>
  <si>
    <t xml:space="preserve">b-1271</t>
  </si>
  <si>
    <t xml:space="preserve">b-1272</t>
  </si>
  <si>
    <t xml:space="preserve">b-1273</t>
  </si>
  <si>
    <t xml:space="preserve">b-1274</t>
  </si>
  <si>
    <t xml:space="preserve">b-1275</t>
  </si>
  <si>
    <t xml:space="preserve">b-1276</t>
  </si>
  <si>
    <t xml:space="preserve">b-1277</t>
  </si>
  <si>
    <t xml:space="preserve">b-1278</t>
  </si>
  <si>
    <t xml:space="preserve">b-1279</t>
  </si>
  <si>
    <t xml:space="preserve">b-1280</t>
  </si>
  <si>
    <t xml:space="preserve">b-1281</t>
  </si>
  <si>
    <t xml:space="preserve">b-1282</t>
  </si>
  <si>
    <t xml:space="preserve">b-1283</t>
  </si>
  <si>
    <t xml:space="preserve">b-1284</t>
  </si>
  <si>
    <t xml:space="preserve">b-1285</t>
  </si>
  <si>
    <t xml:space="preserve">b-1286</t>
  </si>
  <si>
    <t xml:space="preserve">b-1287</t>
  </si>
  <si>
    <t xml:space="preserve">b-1288</t>
  </si>
  <si>
    <t xml:space="preserve">b-1289</t>
  </si>
  <si>
    <t xml:space="preserve">b-1290</t>
  </si>
  <si>
    <t xml:space="preserve">b-1291</t>
  </si>
  <si>
    <t xml:space="preserve">b-1292</t>
  </si>
  <si>
    <t xml:space="preserve">b-1293</t>
  </si>
  <si>
    <t xml:space="preserve">b-1294</t>
  </si>
  <si>
    <t xml:space="preserve">b-1295</t>
  </si>
  <si>
    <t xml:space="preserve">b-1296</t>
  </si>
  <si>
    <t xml:space="preserve">b-1297</t>
  </si>
  <si>
    <t xml:space="preserve">b-1298</t>
  </si>
  <si>
    <t xml:space="preserve">b-1299</t>
  </si>
  <si>
    <t xml:space="preserve">b-1300</t>
  </si>
  <si>
    <t xml:space="preserve">b-1301</t>
  </si>
  <si>
    <t xml:space="preserve">b-1302</t>
  </si>
  <si>
    <t xml:space="preserve">b-1303</t>
  </si>
  <si>
    <t xml:space="preserve">b-1304</t>
  </si>
  <si>
    <t xml:space="preserve">b-1305</t>
  </si>
  <si>
    <t xml:space="preserve">b-1306</t>
  </si>
  <si>
    <t xml:space="preserve">b-1307</t>
  </si>
  <si>
    <t xml:space="preserve">b-1308</t>
  </si>
  <si>
    <t xml:space="preserve">b-1309</t>
  </si>
  <si>
    <t xml:space="preserve">b-1310</t>
  </si>
  <si>
    <t xml:space="preserve">b-1311</t>
  </si>
  <si>
    <t xml:space="preserve">Checkpoints (1,302): one per committed batch, committed with its rows in one transaction</t>
  </si>
  <si>
    <t xml:space="preserve">The last successful ingestion of a source is its latest committed_at.</t>
  </si>
  <si>
    <t xml:space="preserve">committed_at (serial)</t>
  </si>
  <si>
    <t xml:space="preserve">version_number</t>
  </si>
  <si>
    <t xml:space="preserve">Pipeline runs (1,343): typed gate and task counts, the stage and failure kind by formula (COMPLETE world)</t>
  </si>
  <si>
    <t xml:space="preserve">gate_decision: not_reached when the run has no check result; allowed when a critical result exists and none failed; else blocked (D-P8-08). failure_kind: the failed critical check, or the task that failed last.</t>
  </si>
  <si>
    <t xml:space="preserve">run_id</t>
  </si>
  <si>
    <t xml:space="preserve">duration_seconds</t>
  </si>
  <si>
    <t xml:space="preserve">checks</t>
  </si>
  <si>
    <t xml:space="preserve">critical_checks</t>
  </si>
  <si>
    <t xml:space="preserve">critical_failed</t>
  </si>
  <si>
    <t xml:space="preserve">failed_task</t>
  </si>
  <si>
    <t xml:space="preserve">first_failed_critical</t>
  </si>
  <si>
    <t xml:space="preserve">publication_id</t>
  </si>
  <si>
    <t xml:space="preserve">tasks_terminal</t>
  </si>
  <si>
    <t xml:space="preserve">tasks_successful</t>
  </si>
  <si>
    <t xml:space="preserve">attempts</t>
  </si>
  <si>
    <t xml:space="preserve">attempts_successful</t>
  </si>
  <si>
    <t xml:space="preserve">gate_decision</t>
  </si>
  <si>
    <t xml:space="preserve">stage</t>
  </si>
  <si>
    <t xml:space="preserve">failure_kind</t>
  </si>
  <si>
    <t xml:space="preserve">run-0001</t>
  </si>
  <si>
    <t xml:space="preserve">success</t>
  </si>
  <si>
    <t xml:space="preserve">pub-0001</t>
  </si>
  <si>
    <t xml:space="preserve">run-0002</t>
  </si>
  <si>
    <t xml:space="preserve">pub-0002</t>
  </si>
  <si>
    <t xml:space="preserve">run-0003</t>
  </si>
  <si>
    <t xml:space="preserve">pub-0003</t>
  </si>
  <si>
    <t xml:space="preserve">run-0004</t>
  </si>
  <si>
    <t xml:space="preserve">pub-0004</t>
  </si>
  <si>
    <t xml:space="preserve">run-0005</t>
  </si>
  <si>
    <t xml:space="preserve">pub-0005</t>
  </si>
  <si>
    <t xml:space="preserve">run-0006</t>
  </si>
  <si>
    <t xml:space="preserve">pub-0006</t>
  </si>
  <si>
    <t xml:space="preserve">run-0007</t>
  </si>
  <si>
    <t xml:space="preserve">pub-0007</t>
  </si>
  <si>
    <t xml:space="preserve">run-0008</t>
  </si>
  <si>
    <t xml:space="preserve">pub-0008</t>
  </si>
  <si>
    <t xml:space="preserve">run-0009</t>
  </si>
  <si>
    <t xml:space="preserve">pub-0009</t>
  </si>
  <si>
    <t xml:space="preserve">run-0010</t>
  </si>
  <si>
    <t xml:space="preserve">pub-0010</t>
  </si>
  <si>
    <t xml:space="preserve">run-0011</t>
  </si>
  <si>
    <t xml:space="preserve">pub-0011</t>
  </si>
  <si>
    <t xml:space="preserve">run-0012</t>
  </si>
  <si>
    <t xml:space="preserve">pub-0012</t>
  </si>
  <si>
    <t xml:space="preserve">run-0013</t>
  </si>
  <si>
    <t xml:space="preserve">pub-0013</t>
  </si>
  <si>
    <t xml:space="preserve">run-0014</t>
  </si>
  <si>
    <t xml:space="preserve">pub-0014</t>
  </si>
  <si>
    <t xml:space="preserve">run-0015</t>
  </si>
  <si>
    <t xml:space="preserve">pub-0015</t>
  </si>
  <si>
    <t xml:space="preserve">run-0016</t>
  </si>
  <si>
    <t xml:space="preserve">pub-0016</t>
  </si>
  <si>
    <t xml:space="preserve">run-0017</t>
  </si>
  <si>
    <t xml:space="preserve">pub-0017</t>
  </si>
  <si>
    <t xml:space="preserve">run-0018</t>
  </si>
  <si>
    <t xml:space="preserve">pub-0018</t>
  </si>
  <si>
    <t xml:space="preserve">run-0019</t>
  </si>
  <si>
    <t xml:space="preserve">pub-0019</t>
  </si>
  <si>
    <t xml:space="preserve">run-0020</t>
  </si>
  <si>
    <t xml:space="preserve">pub-0020</t>
  </si>
  <si>
    <t xml:space="preserve">run-0021</t>
  </si>
  <si>
    <t xml:space="preserve">pub-0021</t>
  </si>
  <si>
    <t xml:space="preserve">run-0022</t>
  </si>
  <si>
    <t xml:space="preserve">pub-0022</t>
  </si>
  <si>
    <t xml:space="preserve">run-0023</t>
  </si>
  <si>
    <t xml:space="preserve">pub-0023</t>
  </si>
  <si>
    <t xml:space="preserve">run-0024</t>
  </si>
  <si>
    <t xml:space="preserve">pub-0024</t>
  </si>
  <si>
    <t xml:space="preserve">run-0025</t>
  </si>
  <si>
    <t xml:space="preserve">pub-0025</t>
  </si>
  <si>
    <t xml:space="preserve">run-0026</t>
  </si>
  <si>
    <t xml:space="preserve">pub-0026</t>
  </si>
  <si>
    <t xml:space="preserve">run-0027</t>
  </si>
  <si>
    <t xml:space="preserve">pub-0027</t>
  </si>
  <si>
    <t xml:space="preserve">run-0028</t>
  </si>
  <si>
    <t xml:space="preserve">pub-0028</t>
  </si>
  <si>
    <t xml:space="preserve">run-0029</t>
  </si>
  <si>
    <t xml:space="preserve">pub-0029</t>
  </si>
  <si>
    <t xml:space="preserve">run-0030</t>
  </si>
  <si>
    <t xml:space="preserve">pub-0030</t>
  </si>
  <si>
    <t xml:space="preserve">run-0031</t>
  </si>
  <si>
    <t xml:space="preserve">pub-0031</t>
  </si>
  <si>
    <t xml:space="preserve">run-0032</t>
  </si>
  <si>
    <t xml:space="preserve">pub-0032</t>
  </si>
  <si>
    <t xml:space="preserve">run-0033</t>
  </si>
  <si>
    <t xml:space="preserve">pub-0033</t>
  </si>
  <si>
    <t xml:space="preserve">run-0034</t>
  </si>
  <si>
    <t xml:space="preserve">pub-0034</t>
  </si>
  <si>
    <t xml:space="preserve">run-0035</t>
  </si>
  <si>
    <t xml:space="preserve">pub-0035</t>
  </si>
  <si>
    <t xml:space="preserve">run-0036</t>
  </si>
  <si>
    <t xml:space="preserve">pub-0036</t>
  </si>
  <si>
    <t xml:space="preserve">run-0037</t>
  </si>
  <si>
    <t xml:space="preserve">pub-0037</t>
  </si>
  <si>
    <t xml:space="preserve">run-0038</t>
  </si>
  <si>
    <t xml:space="preserve">pub-0038</t>
  </si>
  <si>
    <t xml:space="preserve">run-0039</t>
  </si>
  <si>
    <t xml:space="preserve">pub-0039</t>
  </si>
  <si>
    <t xml:space="preserve">run-0040</t>
  </si>
  <si>
    <t xml:space="preserve">pub-0040</t>
  </si>
  <si>
    <t xml:space="preserve">run-0041</t>
  </si>
  <si>
    <t xml:space="preserve">pub-0041</t>
  </si>
  <si>
    <t xml:space="preserve">run-0042</t>
  </si>
  <si>
    <t xml:space="preserve">pub-0042</t>
  </si>
  <si>
    <t xml:space="preserve">run-0043</t>
  </si>
  <si>
    <t xml:space="preserve">pub-0043</t>
  </si>
  <si>
    <t xml:space="preserve">run-0044</t>
  </si>
  <si>
    <t xml:space="preserve">pub-0044</t>
  </si>
  <si>
    <t xml:space="preserve">run-0045</t>
  </si>
  <si>
    <t xml:space="preserve">pub-0045</t>
  </si>
  <si>
    <t xml:space="preserve">run-0046</t>
  </si>
  <si>
    <t xml:space="preserve">pub-0046</t>
  </si>
  <si>
    <t xml:space="preserve">run-0047</t>
  </si>
  <si>
    <t xml:space="preserve">pub-0047</t>
  </si>
  <si>
    <t xml:space="preserve">run-0048</t>
  </si>
  <si>
    <t xml:space="preserve">pub-0048</t>
  </si>
  <si>
    <t xml:space="preserve">run-0049</t>
  </si>
  <si>
    <t xml:space="preserve">pub-0049</t>
  </si>
  <si>
    <t xml:space="preserve">run-0050</t>
  </si>
  <si>
    <t xml:space="preserve">pub-0050</t>
  </si>
  <si>
    <t xml:space="preserve">run-0051</t>
  </si>
  <si>
    <t xml:space="preserve">pub-0051</t>
  </si>
  <si>
    <t xml:space="preserve">run-0052</t>
  </si>
  <si>
    <t xml:space="preserve">pub-0052</t>
  </si>
  <si>
    <t xml:space="preserve">run-0053</t>
  </si>
  <si>
    <t xml:space="preserve">pub-0053</t>
  </si>
  <si>
    <t xml:space="preserve">run-0054</t>
  </si>
  <si>
    <t xml:space="preserve">pub-0054</t>
  </si>
  <si>
    <t xml:space="preserve">run-0055</t>
  </si>
  <si>
    <t xml:space="preserve">pub-0055</t>
  </si>
  <si>
    <t xml:space="preserve">run-0056</t>
  </si>
  <si>
    <t xml:space="preserve">pub-0056</t>
  </si>
  <si>
    <t xml:space="preserve">run-0057</t>
  </si>
  <si>
    <t xml:space="preserve">pub-0057</t>
  </si>
  <si>
    <t xml:space="preserve">run-0058</t>
  </si>
  <si>
    <t xml:space="preserve">pub-0058</t>
  </si>
  <si>
    <t xml:space="preserve">run-0059</t>
  </si>
  <si>
    <t xml:space="preserve">pub-0059</t>
  </si>
  <si>
    <t xml:space="preserve">run-0060</t>
  </si>
  <si>
    <t xml:space="preserve">pub-0060</t>
  </si>
  <si>
    <t xml:space="preserve">run-0061</t>
  </si>
  <si>
    <t xml:space="preserve">pub-0061</t>
  </si>
  <si>
    <t xml:space="preserve">run-0062</t>
  </si>
  <si>
    <t xml:space="preserve">pub-0062</t>
  </si>
  <si>
    <t xml:space="preserve">run-0063</t>
  </si>
  <si>
    <t xml:space="preserve">pub-0063</t>
  </si>
  <si>
    <t xml:space="preserve">run-0064</t>
  </si>
  <si>
    <t xml:space="preserve">pub-0064</t>
  </si>
  <si>
    <t xml:space="preserve">run-0065</t>
  </si>
  <si>
    <t xml:space="preserve">pub-0065</t>
  </si>
  <si>
    <t xml:space="preserve">run-0066</t>
  </si>
  <si>
    <t xml:space="preserve">pub-0066</t>
  </si>
  <si>
    <t xml:space="preserve">run-0067</t>
  </si>
  <si>
    <t xml:space="preserve">pub-0067</t>
  </si>
  <si>
    <t xml:space="preserve">run-0068</t>
  </si>
  <si>
    <t xml:space="preserve">pub-0068</t>
  </si>
  <si>
    <t xml:space="preserve">run-0069</t>
  </si>
  <si>
    <t xml:space="preserve">pub-0069</t>
  </si>
  <si>
    <t xml:space="preserve">run-0070</t>
  </si>
  <si>
    <t xml:space="preserve">pub-0070</t>
  </si>
  <si>
    <t xml:space="preserve">run-0071</t>
  </si>
  <si>
    <t xml:space="preserve">pub-0071</t>
  </si>
  <si>
    <t xml:space="preserve">run-0072</t>
  </si>
  <si>
    <t xml:space="preserve">pub-0072</t>
  </si>
  <si>
    <t xml:space="preserve">run-0073</t>
  </si>
  <si>
    <t xml:space="preserve">pub-0073</t>
  </si>
  <si>
    <t xml:space="preserve">run-0074</t>
  </si>
  <si>
    <t xml:space="preserve">pub-0074</t>
  </si>
  <si>
    <t xml:space="preserve">run-0075</t>
  </si>
  <si>
    <t xml:space="preserve">pub-0075</t>
  </si>
  <si>
    <t xml:space="preserve">run-0076</t>
  </si>
  <si>
    <t xml:space="preserve">pub-0076</t>
  </si>
  <si>
    <t xml:space="preserve">run-0077</t>
  </si>
  <si>
    <t xml:space="preserve">pub-0077</t>
  </si>
  <si>
    <t xml:space="preserve">run-0078</t>
  </si>
  <si>
    <t xml:space="preserve">pub-0078</t>
  </si>
  <si>
    <t xml:space="preserve">run-0079</t>
  </si>
  <si>
    <t xml:space="preserve">pub-0079</t>
  </si>
  <si>
    <t xml:space="preserve">run-0080</t>
  </si>
  <si>
    <t xml:space="preserve">pub-0080</t>
  </si>
  <si>
    <t xml:space="preserve">run-0081</t>
  </si>
  <si>
    <t xml:space="preserve">pub-0081</t>
  </si>
  <si>
    <t xml:space="preserve">run-0082</t>
  </si>
  <si>
    <t xml:space="preserve">pub-0082</t>
  </si>
  <si>
    <t xml:space="preserve">run-0083</t>
  </si>
  <si>
    <t xml:space="preserve">pub-0083</t>
  </si>
  <si>
    <t xml:space="preserve">run-0084</t>
  </si>
  <si>
    <t xml:space="preserve">pub-0084</t>
  </si>
  <si>
    <t xml:space="preserve">run-0085</t>
  </si>
  <si>
    <t xml:space="preserve">pub-0085</t>
  </si>
  <si>
    <t xml:space="preserve">run-0086</t>
  </si>
  <si>
    <t xml:space="preserve">pub-0086</t>
  </si>
  <si>
    <t xml:space="preserve">run-0087</t>
  </si>
  <si>
    <t xml:space="preserve">pub-0087</t>
  </si>
  <si>
    <t xml:space="preserve">run-0088</t>
  </si>
  <si>
    <t xml:space="preserve">pub-0088</t>
  </si>
  <si>
    <t xml:space="preserve">run-0089</t>
  </si>
  <si>
    <t xml:space="preserve">pub-0089</t>
  </si>
  <si>
    <t xml:space="preserve">run-0090</t>
  </si>
  <si>
    <t xml:space="preserve">pub-0090</t>
  </si>
  <si>
    <t xml:space="preserve">run-0091</t>
  </si>
  <si>
    <t xml:space="preserve">pub-0091</t>
  </si>
  <si>
    <t xml:space="preserve">run-0092</t>
  </si>
  <si>
    <t xml:space="preserve">pub-0092</t>
  </si>
  <si>
    <t xml:space="preserve">run-0093</t>
  </si>
  <si>
    <t xml:space="preserve">pub-0093</t>
  </si>
  <si>
    <t xml:space="preserve">run-0094</t>
  </si>
  <si>
    <t xml:space="preserve">pub-0094</t>
  </si>
  <si>
    <t xml:space="preserve">run-0095</t>
  </si>
  <si>
    <t xml:space="preserve">pub-0095</t>
  </si>
  <si>
    <t xml:space="preserve">run-0096</t>
  </si>
  <si>
    <t xml:space="preserve">pub-0096</t>
  </si>
  <si>
    <t xml:space="preserve">run-0097</t>
  </si>
  <si>
    <t xml:space="preserve">pub-0097</t>
  </si>
  <si>
    <t xml:space="preserve">run-0098</t>
  </si>
  <si>
    <t xml:space="preserve">pub-0098</t>
  </si>
  <si>
    <t xml:space="preserve">run-0099</t>
  </si>
  <si>
    <t xml:space="preserve">pub-0099</t>
  </si>
  <si>
    <t xml:space="preserve">run-0100</t>
  </si>
  <si>
    <t xml:space="preserve">pub-0100</t>
  </si>
  <si>
    <t xml:space="preserve">run-0101</t>
  </si>
  <si>
    <t xml:space="preserve">pub-0101</t>
  </si>
  <si>
    <t xml:space="preserve">run-0102</t>
  </si>
  <si>
    <t xml:space="preserve">pub-0102</t>
  </si>
  <si>
    <t xml:space="preserve">run-0103</t>
  </si>
  <si>
    <t xml:space="preserve">pub-0103</t>
  </si>
  <si>
    <t xml:space="preserve">run-0104</t>
  </si>
  <si>
    <t xml:space="preserve">pub-0104</t>
  </si>
  <si>
    <t xml:space="preserve">run-0105</t>
  </si>
  <si>
    <t xml:space="preserve">pub-0105</t>
  </si>
  <si>
    <t xml:space="preserve">run-0106</t>
  </si>
  <si>
    <t xml:space="preserve">pub-0106</t>
  </si>
  <si>
    <t xml:space="preserve">run-0107</t>
  </si>
  <si>
    <t xml:space="preserve">pub-0107</t>
  </si>
  <si>
    <t xml:space="preserve">run-0108</t>
  </si>
  <si>
    <t xml:space="preserve">pub-0108</t>
  </si>
  <si>
    <t xml:space="preserve">run-0109</t>
  </si>
  <si>
    <t xml:space="preserve">pub-0109</t>
  </si>
  <si>
    <t xml:space="preserve">run-0110</t>
  </si>
  <si>
    <t xml:space="preserve">pub-0110</t>
  </si>
  <si>
    <t xml:space="preserve">run-0111</t>
  </si>
  <si>
    <t xml:space="preserve">pub-0111</t>
  </si>
  <si>
    <t xml:space="preserve">run-0112</t>
  </si>
  <si>
    <t xml:space="preserve">pub-0112</t>
  </si>
  <si>
    <t xml:space="preserve">run-0113</t>
  </si>
  <si>
    <t xml:space="preserve">pub-0113</t>
  </si>
  <si>
    <t xml:space="preserve">run-0114</t>
  </si>
  <si>
    <t xml:space="preserve">pub-0114</t>
  </si>
  <si>
    <t xml:space="preserve">run-0115</t>
  </si>
  <si>
    <t xml:space="preserve">pub-0115</t>
  </si>
  <si>
    <t xml:space="preserve">run-0116</t>
  </si>
  <si>
    <t xml:space="preserve">pub-0116</t>
  </si>
  <si>
    <t xml:space="preserve">run-0117</t>
  </si>
  <si>
    <t xml:space="preserve">pub-0117</t>
  </si>
  <si>
    <t xml:space="preserve">run-0118</t>
  </si>
  <si>
    <t xml:space="preserve">pub-0118</t>
  </si>
  <si>
    <t xml:space="preserve">run-0119</t>
  </si>
  <si>
    <t xml:space="preserve">pub-0119</t>
  </si>
  <si>
    <t xml:space="preserve">run-0120</t>
  </si>
  <si>
    <t xml:space="preserve">pub-0120</t>
  </si>
  <si>
    <t xml:space="preserve">run-0121</t>
  </si>
  <si>
    <t xml:space="preserve">pub-0121</t>
  </si>
  <si>
    <t xml:space="preserve">run-0122</t>
  </si>
  <si>
    <t xml:space="preserve">pub-0122</t>
  </si>
  <si>
    <t xml:space="preserve">run-0123</t>
  </si>
  <si>
    <t xml:space="preserve">pub-0123</t>
  </si>
  <si>
    <t xml:space="preserve">run-0124</t>
  </si>
  <si>
    <t xml:space="preserve">pub-0124</t>
  </si>
  <si>
    <t xml:space="preserve">run-0125</t>
  </si>
  <si>
    <t xml:space="preserve">pub-0125</t>
  </si>
  <si>
    <t xml:space="preserve">run-0126</t>
  </si>
  <si>
    <t xml:space="preserve">pub-0126</t>
  </si>
  <si>
    <t xml:space="preserve">run-0127</t>
  </si>
  <si>
    <t xml:space="preserve">pub-0127</t>
  </si>
  <si>
    <t xml:space="preserve">run-0128</t>
  </si>
  <si>
    <t xml:space="preserve">pub-0128</t>
  </si>
  <si>
    <t xml:space="preserve">run-0129</t>
  </si>
  <si>
    <t xml:space="preserve">pub-0129</t>
  </si>
  <si>
    <t xml:space="preserve">run-0130</t>
  </si>
  <si>
    <t xml:space="preserve">pub-0130</t>
  </si>
  <si>
    <t xml:space="preserve">run-0131</t>
  </si>
  <si>
    <t xml:space="preserve">pub-0131</t>
  </si>
  <si>
    <t xml:space="preserve">run-0132</t>
  </si>
  <si>
    <t xml:space="preserve">pub-0132</t>
  </si>
  <si>
    <t xml:space="preserve">run-0133</t>
  </si>
  <si>
    <t xml:space="preserve">pub-0133</t>
  </si>
  <si>
    <t xml:space="preserve">run-0134</t>
  </si>
  <si>
    <t xml:space="preserve">pub-0134</t>
  </si>
  <si>
    <t xml:space="preserve">run-0135</t>
  </si>
  <si>
    <t xml:space="preserve">pub-0135</t>
  </si>
  <si>
    <t xml:space="preserve">run-0136</t>
  </si>
  <si>
    <t xml:space="preserve">pub-0136</t>
  </si>
  <si>
    <t xml:space="preserve">run-0137</t>
  </si>
  <si>
    <t xml:space="preserve">pub-0137</t>
  </si>
  <si>
    <t xml:space="preserve">run-0138</t>
  </si>
  <si>
    <t xml:space="preserve">pub-0138</t>
  </si>
  <si>
    <t xml:space="preserve">run-0139</t>
  </si>
  <si>
    <t xml:space="preserve">pub-0139</t>
  </si>
  <si>
    <t xml:space="preserve">run-0140</t>
  </si>
  <si>
    <t xml:space="preserve">pub-0140</t>
  </si>
  <si>
    <t xml:space="preserve">run-0141</t>
  </si>
  <si>
    <t xml:space="preserve">pub-0141</t>
  </si>
  <si>
    <t xml:space="preserve">run-0142</t>
  </si>
  <si>
    <t xml:space="preserve">pub-0142</t>
  </si>
  <si>
    <t xml:space="preserve">run-0143</t>
  </si>
  <si>
    <t xml:space="preserve">pub-0143</t>
  </si>
  <si>
    <t xml:space="preserve">run-0144</t>
  </si>
  <si>
    <t xml:space="preserve">pub-0144</t>
  </si>
  <si>
    <t xml:space="preserve">run-0145</t>
  </si>
  <si>
    <t xml:space="preserve">pub-0145</t>
  </si>
  <si>
    <t xml:space="preserve">run-0146</t>
  </si>
  <si>
    <t xml:space="preserve">pub-0146</t>
  </si>
  <si>
    <t xml:space="preserve">run-0147</t>
  </si>
  <si>
    <t xml:space="preserve">pub-0147</t>
  </si>
  <si>
    <t xml:space="preserve">run-0148</t>
  </si>
  <si>
    <t xml:space="preserve">pub-0148</t>
  </si>
  <si>
    <t xml:space="preserve">run-0149</t>
  </si>
  <si>
    <t xml:space="preserve">pub-0149</t>
  </si>
  <si>
    <t xml:space="preserve">run-0150</t>
  </si>
  <si>
    <t xml:space="preserve">pub-0150</t>
  </si>
  <si>
    <t xml:space="preserve">run-0151</t>
  </si>
  <si>
    <t xml:space="preserve">pub-0151</t>
  </si>
  <si>
    <t xml:space="preserve">run-0152</t>
  </si>
  <si>
    <t xml:space="preserve">pub-0152</t>
  </si>
  <si>
    <t xml:space="preserve">run-0153</t>
  </si>
  <si>
    <t xml:space="preserve">pub-0153</t>
  </si>
  <si>
    <t xml:space="preserve">run-0154</t>
  </si>
  <si>
    <t xml:space="preserve">pub-0154</t>
  </si>
  <si>
    <t xml:space="preserve">run-0155</t>
  </si>
  <si>
    <t xml:space="preserve">pub-0155</t>
  </si>
  <si>
    <t xml:space="preserve">run-0156</t>
  </si>
  <si>
    <t xml:space="preserve">pub-0156</t>
  </si>
  <si>
    <t xml:space="preserve">run-0157</t>
  </si>
  <si>
    <t xml:space="preserve">pub-0157</t>
  </si>
  <si>
    <t xml:space="preserve">run-0158</t>
  </si>
  <si>
    <t xml:space="preserve">pub-0158</t>
  </si>
  <si>
    <t xml:space="preserve">run-0159</t>
  </si>
  <si>
    <t xml:space="preserve">pub-0159</t>
  </si>
  <si>
    <t xml:space="preserve">run-0160</t>
  </si>
  <si>
    <t xml:space="preserve">pub-0160</t>
  </si>
  <si>
    <t xml:space="preserve">run-0161</t>
  </si>
  <si>
    <t xml:space="preserve">pub-0161</t>
  </si>
  <si>
    <t xml:space="preserve">run-0162</t>
  </si>
  <si>
    <t xml:space="preserve">pub-0162</t>
  </si>
  <si>
    <t xml:space="preserve">run-0163</t>
  </si>
  <si>
    <t xml:space="preserve">pub-0163</t>
  </si>
  <si>
    <t xml:space="preserve">run-0164</t>
  </si>
  <si>
    <t xml:space="preserve">pub-0164</t>
  </si>
  <si>
    <t xml:space="preserve">run-0165</t>
  </si>
  <si>
    <t xml:space="preserve">pub-0165</t>
  </si>
  <si>
    <t xml:space="preserve">run-0166</t>
  </si>
  <si>
    <t xml:space="preserve">pub-0166</t>
  </si>
  <si>
    <t xml:space="preserve">run-0167</t>
  </si>
  <si>
    <t xml:space="preserve">pub-0167</t>
  </si>
  <si>
    <t xml:space="preserve">run-0168</t>
  </si>
  <si>
    <t xml:space="preserve">pub-0168</t>
  </si>
  <si>
    <t xml:space="preserve">run-0169</t>
  </si>
  <si>
    <t xml:space="preserve">pub-0169</t>
  </si>
  <si>
    <t xml:space="preserve">run-0170</t>
  </si>
  <si>
    <t xml:space="preserve">pub-0170</t>
  </si>
  <si>
    <t xml:space="preserve">run-0171</t>
  </si>
  <si>
    <t xml:space="preserve">pub-0171</t>
  </si>
  <si>
    <t xml:space="preserve">run-0172</t>
  </si>
  <si>
    <t xml:space="preserve">pub-0172</t>
  </si>
  <si>
    <t xml:space="preserve">run-0173</t>
  </si>
  <si>
    <t xml:space="preserve">pub-0173</t>
  </si>
  <si>
    <t xml:space="preserve">run-0174</t>
  </si>
  <si>
    <t xml:space="preserve">pub-0174</t>
  </si>
  <si>
    <t xml:space="preserve">run-0175</t>
  </si>
  <si>
    <t xml:space="preserve">pub-0175</t>
  </si>
  <si>
    <t xml:space="preserve">run-0176</t>
  </si>
  <si>
    <t xml:space="preserve">pub-0176</t>
  </si>
  <si>
    <t xml:space="preserve">run-0177</t>
  </si>
  <si>
    <t xml:space="preserve">pub-0177</t>
  </si>
  <si>
    <t xml:space="preserve">run-0178</t>
  </si>
  <si>
    <t xml:space="preserve">pub-0178</t>
  </si>
  <si>
    <t xml:space="preserve">run-0179</t>
  </si>
  <si>
    <t xml:space="preserve">failed</t>
  </si>
  <si>
    <t xml:space="preserve">run-0180</t>
  </si>
  <si>
    <t xml:space="preserve">pub-0180</t>
  </si>
  <si>
    <t xml:space="preserve">run-0181</t>
  </si>
  <si>
    <t xml:space="preserve">pub-0181</t>
  </si>
  <si>
    <t xml:space="preserve">run-0182</t>
  </si>
  <si>
    <t xml:space="preserve">pub-0182</t>
  </si>
  <si>
    <t xml:space="preserve">run-0183</t>
  </si>
  <si>
    <t xml:space="preserve">pub-0183</t>
  </si>
  <si>
    <t xml:space="preserve">run-0184</t>
  </si>
  <si>
    <t xml:space="preserve">pub-0184</t>
  </si>
  <si>
    <t xml:space="preserve">run-0185</t>
  </si>
  <si>
    <t xml:space="preserve">run-0186</t>
  </si>
  <si>
    <t xml:space="preserve">pub-0186</t>
  </si>
  <si>
    <t xml:space="preserve">run-0187</t>
  </si>
  <si>
    <t xml:space="preserve">pub-0187</t>
  </si>
  <si>
    <t xml:space="preserve">run-0188</t>
  </si>
  <si>
    <t xml:space="preserve">pub-0188</t>
  </si>
  <si>
    <t xml:space="preserve">run-0189</t>
  </si>
  <si>
    <t xml:space="preserve">pub-0189</t>
  </si>
  <si>
    <t xml:space="preserve">run-0190</t>
  </si>
  <si>
    <t xml:space="preserve">pub-0190</t>
  </si>
  <si>
    <t xml:space="preserve">run-0191</t>
  </si>
  <si>
    <t xml:space="preserve">pub-0191</t>
  </si>
  <si>
    <t xml:space="preserve">run-0192</t>
  </si>
  <si>
    <t xml:space="preserve">pub-0192</t>
  </si>
  <si>
    <t xml:space="preserve">run-0193</t>
  </si>
  <si>
    <t xml:space="preserve">pub-0193</t>
  </si>
  <si>
    <t xml:space="preserve">run-0194</t>
  </si>
  <si>
    <t xml:space="preserve">pub-0194</t>
  </si>
  <si>
    <t xml:space="preserve">run-0195</t>
  </si>
  <si>
    <t xml:space="preserve">pub-0195</t>
  </si>
  <si>
    <t xml:space="preserve">run-0196</t>
  </si>
  <si>
    <t xml:space="preserve">pub-0196</t>
  </si>
  <si>
    <t xml:space="preserve">run-0197</t>
  </si>
  <si>
    <t xml:space="preserve">pub-0197</t>
  </si>
  <si>
    <t xml:space="preserve">run-0198</t>
  </si>
  <si>
    <t xml:space="preserve">pub-0198</t>
  </si>
  <si>
    <t xml:space="preserve">run-0199</t>
  </si>
  <si>
    <t xml:space="preserve">pub-0199</t>
  </si>
  <si>
    <t xml:space="preserve">run-0200</t>
  </si>
  <si>
    <t xml:space="preserve">pub-0200</t>
  </si>
  <si>
    <t xml:space="preserve">run-0201</t>
  </si>
  <si>
    <t xml:space="preserve">pub-0201</t>
  </si>
  <si>
    <t xml:space="preserve">run-0202</t>
  </si>
  <si>
    <t xml:space="preserve">pub-0202</t>
  </si>
  <si>
    <t xml:space="preserve">run-0203</t>
  </si>
  <si>
    <t xml:space="preserve">pub-0203</t>
  </si>
  <si>
    <t xml:space="preserve">run-0204</t>
  </si>
  <si>
    <t xml:space="preserve">pub-0204</t>
  </si>
  <si>
    <t xml:space="preserve">run-0205</t>
  </si>
  <si>
    <t xml:space="preserve">pub-0205</t>
  </si>
  <si>
    <t xml:space="preserve">run-0206</t>
  </si>
  <si>
    <t xml:space="preserve">quality_gate</t>
  </si>
  <si>
    <t xml:space="preserve">run-0207</t>
  </si>
  <si>
    <t xml:space="preserve">pub-0207</t>
  </si>
  <si>
    <t xml:space="preserve">run-0208</t>
  </si>
  <si>
    <t xml:space="preserve">pub-0208</t>
  </si>
  <si>
    <t xml:space="preserve">run-0209</t>
  </si>
  <si>
    <t xml:space="preserve">pub-0209</t>
  </si>
  <si>
    <t xml:space="preserve">run-0210</t>
  </si>
  <si>
    <t xml:space="preserve">pub-0210</t>
  </si>
  <si>
    <t xml:space="preserve">run-0211</t>
  </si>
  <si>
    <t xml:space="preserve">pub-0211</t>
  </si>
  <si>
    <t xml:space="preserve">run-0212</t>
  </si>
  <si>
    <t xml:space="preserve">pub-0212</t>
  </si>
  <si>
    <t xml:space="preserve">run-0213</t>
  </si>
  <si>
    <t xml:space="preserve">pub-0213</t>
  </si>
  <si>
    <t xml:space="preserve">run-0214</t>
  </si>
  <si>
    <t xml:space="preserve">pub-0214</t>
  </si>
  <si>
    <t xml:space="preserve">run-0215</t>
  </si>
  <si>
    <t xml:space="preserve">pub-0215</t>
  </si>
  <si>
    <t xml:space="preserve">run-0216</t>
  </si>
  <si>
    <t xml:space="preserve">pub-0216</t>
  </si>
  <si>
    <t xml:space="preserve">run-0217</t>
  </si>
  <si>
    <t xml:space="preserve">pub-0217</t>
  </si>
  <si>
    <t xml:space="preserve">run-0218</t>
  </si>
  <si>
    <t xml:space="preserve">pub-0218</t>
  </si>
  <si>
    <t xml:space="preserve">run-0219</t>
  </si>
  <si>
    <t xml:space="preserve">pub-0219</t>
  </si>
  <si>
    <t xml:space="preserve">run-0220</t>
  </si>
  <si>
    <t xml:space="preserve">pub-0220</t>
  </si>
  <si>
    <t xml:space="preserve">run-0221</t>
  </si>
  <si>
    <t xml:space="preserve">pub-0221</t>
  </si>
  <si>
    <t xml:space="preserve">run-0222</t>
  </si>
  <si>
    <t xml:space="preserve">pub-0222</t>
  </si>
  <si>
    <t xml:space="preserve">run-0223</t>
  </si>
  <si>
    <t xml:space="preserve">pub-0223</t>
  </si>
  <si>
    <t xml:space="preserve">run-0224</t>
  </si>
  <si>
    <t xml:space="preserve">pub-0224</t>
  </si>
  <si>
    <t xml:space="preserve">run-0225</t>
  </si>
  <si>
    <t xml:space="preserve">freshness_within_target</t>
  </si>
  <si>
    <t xml:space="preserve">run-0226</t>
  </si>
  <si>
    <t xml:space="preserve">pub-0226</t>
  </si>
  <si>
    <t xml:space="preserve">run-0227</t>
  </si>
  <si>
    <t xml:space="preserve">pub-0227</t>
  </si>
  <si>
    <t xml:space="preserve">run-0228</t>
  </si>
  <si>
    <t xml:space="preserve">pub-0228</t>
  </si>
  <si>
    <t xml:space="preserve">run-0229</t>
  </si>
  <si>
    <t xml:space="preserve">pub-0229</t>
  </si>
  <si>
    <t xml:space="preserve">run-0230</t>
  </si>
  <si>
    <t xml:space="preserve">pub-0230</t>
  </si>
  <si>
    <t xml:space="preserve">run-0231</t>
  </si>
  <si>
    <t xml:space="preserve">pub-0231</t>
  </si>
  <si>
    <t xml:space="preserve">run-0232</t>
  </si>
  <si>
    <t xml:space="preserve">pub-0232</t>
  </si>
  <si>
    <t xml:space="preserve">run-0233</t>
  </si>
  <si>
    <t xml:space="preserve">pub-0233</t>
  </si>
  <si>
    <t xml:space="preserve">run-0234</t>
  </si>
  <si>
    <t xml:space="preserve">pub-0234</t>
  </si>
  <si>
    <t xml:space="preserve">run-0235</t>
  </si>
  <si>
    <t xml:space="preserve">pub-0235</t>
  </si>
  <si>
    <t xml:space="preserve">run-0236</t>
  </si>
  <si>
    <t xml:space="preserve">pub-0236</t>
  </si>
  <si>
    <t xml:space="preserve">run-0237</t>
  </si>
  <si>
    <t xml:space="preserve">pub-0237</t>
  </si>
  <si>
    <t xml:space="preserve">run-0238</t>
  </si>
  <si>
    <t xml:space="preserve">pub-0238</t>
  </si>
  <si>
    <t xml:space="preserve">run-0239</t>
  </si>
  <si>
    <t xml:space="preserve">pub-0239</t>
  </si>
  <si>
    <t xml:space="preserve">run-0240</t>
  </si>
  <si>
    <t xml:space="preserve">pub-0240</t>
  </si>
  <si>
    <t xml:space="preserve">run-0241</t>
  </si>
  <si>
    <t xml:space="preserve">pub-0241</t>
  </si>
  <si>
    <t xml:space="preserve">run-0242</t>
  </si>
  <si>
    <t xml:space="preserve">pub-0242</t>
  </si>
  <si>
    <t xml:space="preserve">run-0243</t>
  </si>
  <si>
    <t xml:space="preserve">pub-0243</t>
  </si>
  <si>
    <t xml:space="preserve">run-0244</t>
  </si>
  <si>
    <t xml:space="preserve">pub-0244</t>
  </si>
  <si>
    <t xml:space="preserve">run-0245</t>
  </si>
  <si>
    <t xml:space="preserve">pub-0245</t>
  </si>
  <si>
    <t xml:space="preserve">run-0246</t>
  </si>
  <si>
    <t xml:space="preserve">pub-0246</t>
  </si>
  <si>
    <t xml:space="preserve">run-0247</t>
  </si>
  <si>
    <t xml:space="preserve">pub-0247</t>
  </si>
  <si>
    <t xml:space="preserve">run-0248</t>
  </si>
  <si>
    <t xml:space="preserve">pub-0248</t>
  </si>
  <si>
    <t xml:space="preserve">run-0249</t>
  </si>
  <si>
    <t xml:space="preserve">pub-0249</t>
  </si>
  <si>
    <t xml:space="preserve">run-0250</t>
  </si>
  <si>
    <t xml:space="preserve">run-0251</t>
  </si>
  <si>
    <t xml:space="preserve">pub-0251</t>
  </si>
  <si>
    <t xml:space="preserve">run-0252</t>
  </si>
  <si>
    <t xml:space="preserve">pub-0252</t>
  </si>
  <si>
    <t xml:space="preserve">run-0253</t>
  </si>
  <si>
    <t xml:space="preserve">pub-0253</t>
  </si>
  <si>
    <t xml:space="preserve">run-0254</t>
  </si>
  <si>
    <t xml:space="preserve">pub-0254</t>
  </si>
  <si>
    <t xml:space="preserve">run-0255</t>
  </si>
  <si>
    <t xml:space="preserve">pub-0255</t>
  </si>
  <si>
    <t xml:space="preserve">run-0256</t>
  </si>
  <si>
    <t xml:space="preserve">pub-0256</t>
  </si>
  <si>
    <t xml:space="preserve">run-0257</t>
  </si>
  <si>
    <t xml:space="preserve">pub-0257</t>
  </si>
  <si>
    <t xml:space="preserve">run-0258</t>
  </si>
  <si>
    <t xml:space="preserve">pub-0258</t>
  </si>
  <si>
    <t xml:space="preserve">run-0259</t>
  </si>
  <si>
    <t xml:space="preserve">pub-0259</t>
  </si>
  <si>
    <t xml:space="preserve">run-0260</t>
  </si>
  <si>
    <t xml:space="preserve">pub-0260</t>
  </si>
  <si>
    <t xml:space="preserve">run-0261</t>
  </si>
  <si>
    <t xml:space="preserve">pub-0261</t>
  </si>
  <si>
    <t xml:space="preserve">run-0262</t>
  </si>
  <si>
    <t xml:space="preserve">pub-0262</t>
  </si>
  <si>
    <t xml:space="preserve">run-0263</t>
  </si>
  <si>
    <t xml:space="preserve">pub-0263</t>
  </si>
  <si>
    <t xml:space="preserve">run-0264</t>
  </si>
  <si>
    <t xml:space="preserve">pub-0264</t>
  </si>
  <si>
    <t xml:space="preserve">run-0265</t>
  </si>
  <si>
    <t xml:space="preserve">pub-0265</t>
  </si>
  <si>
    <t xml:space="preserve">run-0266</t>
  </si>
  <si>
    <t xml:space="preserve">pub-0266</t>
  </si>
  <si>
    <t xml:space="preserve">run-0267</t>
  </si>
  <si>
    <t xml:space="preserve">pub-0267</t>
  </si>
  <si>
    <t xml:space="preserve">run-0268</t>
  </si>
  <si>
    <t xml:space="preserve">pub-0268</t>
  </si>
  <si>
    <t xml:space="preserve">run-0269</t>
  </si>
  <si>
    <t xml:space="preserve">pub-0269</t>
  </si>
  <si>
    <t xml:space="preserve">run-0270</t>
  </si>
  <si>
    <t xml:space="preserve">pub-0270</t>
  </si>
  <si>
    <t xml:space="preserve">run-0271</t>
  </si>
  <si>
    <t xml:space="preserve">pub-0271</t>
  </si>
  <si>
    <t xml:space="preserve">run-0272</t>
  </si>
  <si>
    <t xml:space="preserve">pub-0272</t>
  </si>
  <si>
    <t xml:space="preserve">run-0273</t>
  </si>
  <si>
    <t xml:space="preserve">pub-0273</t>
  </si>
  <si>
    <t xml:space="preserve">run-0274</t>
  </si>
  <si>
    <t xml:space="preserve">pub-0274</t>
  </si>
  <si>
    <t xml:space="preserve">run-0275</t>
  </si>
  <si>
    <t xml:space="preserve">pub-0275</t>
  </si>
  <si>
    <t xml:space="preserve">run-0276</t>
  </si>
  <si>
    <t xml:space="preserve">pub-0276</t>
  </si>
  <si>
    <t xml:space="preserve">run-0277</t>
  </si>
  <si>
    <t xml:space="preserve">pub-0277</t>
  </si>
  <si>
    <t xml:space="preserve">run-0278</t>
  </si>
  <si>
    <t xml:space="preserve">pub-0278</t>
  </si>
  <si>
    <t xml:space="preserve">run-0279</t>
  </si>
  <si>
    <t xml:space="preserve">pub-0279</t>
  </si>
  <si>
    <t xml:space="preserve">run-0280</t>
  </si>
  <si>
    <t xml:space="preserve">pub-0280</t>
  </si>
  <si>
    <t xml:space="preserve">run-0281</t>
  </si>
  <si>
    <t xml:space="preserve">pub-0281</t>
  </si>
  <si>
    <t xml:space="preserve">run-0282</t>
  </si>
  <si>
    <t xml:space="preserve">pub-0282</t>
  </si>
  <si>
    <t xml:space="preserve">run-0283</t>
  </si>
  <si>
    <t xml:space="preserve">pub-0283</t>
  </si>
  <si>
    <t xml:space="preserve">run-0284</t>
  </si>
  <si>
    <t xml:space="preserve">pub-0284</t>
  </si>
  <si>
    <t xml:space="preserve">run-0285</t>
  </si>
  <si>
    <t xml:space="preserve">pub-0285</t>
  </si>
  <si>
    <t xml:space="preserve">run-0286</t>
  </si>
  <si>
    <t xml:space="preserve">pub-0286</t>
  </si>
  <si>
    <t xml:space="preserve">run-0287</t>
  </si>
  <si>
    <t xml:space="preserve">pub-0287</t>
  </si>
  <si>
    <t xml:space="preserve">run-0288</t>
  </si>
  <si>
    <t xml:space="preserve">pub-0288</t>
  </si>
  <si>
    <t xml:space="preserve">run-0289</t>
  </si>
  <si>
    <t xml:space="preserve">pub-0289</t>
  </si>
  <si>
    <t xml:space="preserve">run-0290</t>
  </si>
  <si>
    <t xml:space="preserve">pub-0290</t>
  </si>
  <si>
    <t xml:space="preserve">run-0291</t>
  </si>
  <si>
    <t xml:space="preserve">pub-0291</t>
  </si>
  <si>
    <t xml:space="preserve">run-0292</t>
  </si>
  <si>
    <t xml:space="preserve">pub-0292</t>
  </si>
  <si>
    <t xml:space="preserve">run-0293</t>
  </si>
  <si>
    <t xml:space="preserve">pub-0293</t>
  </si>
  <si>
    <t xml:space="preserve">run-0294</t>
  </si>
  <si>
    <t xml:space="preserve">pub-0294</t>
  </si>
  <si>
    <t xml:space="preserve">run-0295</t>
  </si>
  <si>
    <t xml:space="preserve">pub-0295</t>
  </si>
  <si>
    <t xml:space="preserve">run-0296</t>
  </si>
  <si>
    <t xml:space="preserve">pub-0296</t>
  </si>
  <si>
    <t xml:space="preserve">run-0297</t>
  </si>
  <si>
    <t xml:space="preserve">pub-0297</t>
  </si>
  <si>
    <t xml:space="preserve">run-0298</t>
  </si>
  <si>
    <t xml:space="preserve">pub-0298</t>
  </si>
  <si>
    <t xml:space="preserve">run-0299</t>
  </si>
  <si>
    <t xml:space="preserve">pub-0299</t>
  </si>
  <si>
    <t xml:space="preserve">run-0300</t>
  </si>
  <si>
    <t xml:space="preserve">pub-0300</t>
  </si>
  <si>
    <t xml:space="preserve">run-0301</t>
  </si>
  <si>
    <t xml:space="preserve">pub-0301</t>
  </si>
  <si>
    <t xml:space="preserve">run-0302</t>
  </si>
  <si>
    <t xml:space="preserve">run-0303</t>
  </si>
  <si>
    <t xml:space="preserve">pub-0303</t>
  </si>
  <si>
    <t xml:space="preserve">run-0304</t>
  </si>
  <si>
    <t xml:space="preserve">pub-0304</t>
  </si>
  <si>
    <t xml:space="preserve">run-0305</t>
  </si>
  <si>
    <t xml:space="preserve">pub-0305</t>
  </si>
  <si>
    <t xml:space="preserve">run-0306</t>
  </si>
  <si>
    <t xml:space="preserve">pub-0306</t>
  </si>
  <si>
    <t xml:space="preserve">run-0307</t>
  </si>
  <si>
    <t xml:space="preserve">pub-0307</t>
  </si>
  <si>
    <t xml:space="preserve">run-0308</t>
  </si>
  <si>
    <t xml:space="preserve">pub-0308</t>
  </si>
  <si>
    <t xml:space="preserve">run-0309</t>
  </si>
  <si>
    <t xml:space="preserve">pub-0309</t>
  </si>
  <si>
    <t xml:space="preserve">run-0310</t>
  </si>
  <si>
    <t xml:space="preserve">pub-0310</t>
  </si>
  <si>
    <t xml:space="preserve">run-0311</t>
  </si>
  <si>
    <t xml:space="preserve">pub-0311</t>
  </si>
  <si>
    <t xml:space="preserve">run-0312</t>
  </si>
  <si>
    <t xml:space="preserve">pub-0312</t>
  </si>
  <si>
    <t xml:space="preserve">run-0313</t>
  </si>
  <si>
    <t xml:space="preserve">pub-0313</t>
  </si>
  <si>
    <t xml:space="preserve">run-0314</t>
  </si>
  <si>
    <t xml:space="preserve">pub-0314</t>
  </si>
  <si>
    <t xml:space="preserve">run-0315</t>
  </si>
  <si>
    <t xml:space="preserve">pub-0315</t>
  </si>
  <si>
    <t xml:space="preserve">run-0316</t>
  </si>
  <si>
    <t xml:space="preserve">pub-0316</t>
  </si>
  <si>
    <t xml:space="preserve">run-0317</t>
  </si>
  <si>
    <t xml:space="preserve">pub-0317</t>
  </si>
  <si>
    <t xml:space="preserve">run-0318</t>
  </si>
  <si>
    <t xml:space="preserve">pub-0318</t>
  </si>
  <si>
    <t xml:space="preserve">run-0319</t>
  </si>
  <si>
    <t xml:space="preserve">pub-0319</t>
  </si>
  <si>
    <t xml:space="preserve">run-0320</t>
  </si>
  <si>
    <t xml:space="preserve">pub-0320</t>
  </si>
  <si>
    <t xml:space="preserve">run-0321</t>
  </si>
  <si>
    <t xml:space="preserve">pub-0321</t>
  </si>
  <si>
    <t xml:space="preserve">run-0322</t>
  </si>
  <si>
    <t xml:space="preserve">pub-0322</t>
  </si>
  <si>
    <t xml:space="preserve">run-0323</t>
  </si>
  <si>
    <t xml:space="preserve">pub-0323</t>
  </si>
  <si>
    <t xml:space="preserve">run-0324</t>
  </si>
  <si>
    <t xml:space="preserve">pub-0324</t>
  </si>
  <si>
    <t xml:space="preserve">run-0325</t>
  </si>
  <si>
    <t xml:space="preserve">pub-0325</t>
  </si>
  <si>
    <t xml:space="preserve">run-0326</t>
  </si>
  <si>
    <t xml:space="preserve">pub-0326</t>
  </si>
  <si>
    <t xml:space="preserve">run-0327</t>
  </si>
  <si>
    <t xml:space="preserve">pub-0327</t>
  </si>
  <si>
    <t xml:space="preserve">run-0328</t>
  </si>
  <si>
    <t xml:space="preserve">pub-0328</t>
  </si>
  <si>
    <t xml:space="preserve">run-0329</t>
  </si>
  <si>
    <t xml:space="preserve">pub-0329</t>
  </si>
  <si>
    <t xml:space="preserve">run-0330</t>
  </si>
  <si>
    <t xml:space="preserve">pub-0330</t>
  </si>
  <si>
    <t xml:space="preserve">run-0331</t>
  </si>
  <si>
    <t xml:space="preserve">pub-0331</t>
  </si>
  <si>
    <t xml:space="preserve">run-0332</t>
  </si>
  <si>
    <t xml:space="preserve">pub-0332</t>
  </si>
  <si>
    <t xml:space="preserve">run-0333</t>
  </si>
  <si>
    <t xml:space="preserve">pub-0333</t>
  </si>
  <si>
    <t xml:space="preserve">run-0334</t>
  </si>
  <si>
    <t xml:space="preserve">pub-0334</t>
  </si>
  <si>
    <t xml:space="preserve">run-0335</t>
  </si>
  <si>
    <t xml:space="preserve">pub-0335</t>
  </si>
  <si>
    <t xml:space="preserve">run-0336</t>
  </si>
  <si>
    <t xml:space="preserve">pub-0336</t>
  </si>
  <si>
    <t xml:space="preserve">run-0337</t>
  </si>
  <si>
    <t xml:space="preserve">pub-0337</t>
  </si>
  <si>
    <t xml:space="preserve">run-0338</t>
  </si>
  <si>
    <t xml:space="preserve">pub-0338</t>
  </si>
  <si>
    <t xml:space="preserve">run-0339</t>
  </si>
  <si>
    <t xml:space="preserve">pub-0339</t>
  </si>
  <si>
    <t xml:space="preserve">run-0340</t>
  </si>
  <si>
    <t xml:space="preserve">pub-0340</t>
  </si>
  <si>
    <t xml:space="preserve">run-0341</t>
  </si>
  <si>
    <t xml:space="preserve">pub-0341</t>
  </si>
  <si>
    <t xml:space="preserve">run-0342</t>
  </si>
  <si>
    <t xml:space="preserve">pub-0342</t>
  </si>
  <si>
    <t xml:space="preserve">run-0343</t>
  </si>
  <si>
    <t xml:space="preserve">pub-0343</t>
  </si>
  <si>
    <t xml:space="preserve">run-0344</t>
  </si>
  <si>
    <t xml:space="preserve">pub-0344</t>
  </si>
  <si>
    <t xml:space="preserve">run-0345</t>
  </si>
  <si>
    <t xml:space="preserve">pub-0345</t>
  </si>
  <si>
    <t xml:space="preserve">run-0346</t>
  </si>
  <si>
    <t xml:space="preserve">run-0347</t>
  </si>
  <si>
    <t xml:space="preserve">pub-0347</t>
  </si>
  <si>
    <t xml:space="preserve">run-0348</t>
  </si>
  <si>
    <t xml:space="preserve">pub-0348</t>
  </si>
  <si>
    <t xml:space="preserve">run-0349</t>
  </si>
  <si>
    <t xml:space="preserve">pub-0349</t>
  </si>
  <si>
    <t xml:space="preserve">run-0350</t>
  </si>
  <si>
    <t xml:space="preserve">pub-0350</t>
  </si>
  <si>
    <t xml:space="preserve">run-0351</t>
  </si>
  <si>
    <t xml:space="preserve">pub-0351</t>
  </si>
  <si>
    <t xml:space="preserve">run-0352</t>
  </si>
  <si>
    <t xml:space="preserve">pub-0352</t>
  </si>
  <si>
    <t xml:space="preserve">run-0353</t>
  </si>
  <si>
    <t xml:space="preserve">pub-0353</t>
  </si>
  <si>
    <t xml:space="preserve">run-0354</t>
  </si>
  <si>
    <t xml:space="preserve">pub-0354</t>
  </si>
  <si>
    <t xml:space="preserve">run-0355</t>
  </si>
  <si>
    <t xml:space="preserve">pub-0355</t>
  </si>
  <si>
    <t xml:space="preserve">run-0356</t>
  </si>
  <si>
    <t xml:space="preserve">pub-0356</t>
  </si>
  <si>
    <t xml:space="preserve">run-0357</t>
  </si>
  <si>
    <t xml:space="preserve">pub-0357</t>
  </si>
  <si>
    <t xml:space="preserve">run-0358</t>
  </si>
  <si>
    <t xml:space="preserve">pub-0358</t>
  </si>
  <si>
    <t xml:space="preserve">run-0359</t>
  </si>
  <si>
    <t xml:space="preserve">pub-0359</t>
  </si>
  <si>
    <t xml:space="preserve">run-0360</t>
  </si>
  <si>
    <t xml:space="preserve">pub-0360</t>
  </si>
  <si>
    <t xml:space="preserve">run-0361</t>
  </si>
  <si>
    <t xml:space="preserve">pub-0361</t>
  </si>
  <si>
    <t xml:space="preserve">run-0362</t>
  </si>
  <si>
    <t xml:space="preserve">pub-0362</t>
  </si>
  <si>
    <t xml:space="preserve">run-0363</t>
  </si>
  <si>
    <t xml:space="preserve">pub-0363</t>
  </si>
  <si>
    <t xml:space="preserve">run-0364</t>
  </si>
  <si>
    <t xml:space="preserve">pub-0364</t>
  </si>
  <si>
    <t xml:space="preserve">run-0365</t>
  </si>
  <si>
    <t xml:space="preserve">pub-0365</t>
  </si>
  <si>
    <t xml:space="preserve">run-0366</t>
  </si>
  <si>
    <t xml:space="preserve">pub-0366</t>
  </si>
  <si>
    <t xml:space="preserve">run-0367</t>
  </si>
  <si>
    <t xml:space="preserve">pub-0367</t>
  </si>
  <si>
    <t xml:space="preserve">run-0368</t>
  </si>
  <si>
    <t xml:space="preserve">pub-0368</t>
  </si>
  <si>
    <t xml:space="preserve">run-0369</t>
  </si>
  <si>
    <t xml:space="preserve">pub-0369</t>
  </si>
  <si>
    <t xml:space="preserve">run-0370</t>
  </si>
  <si>
    <t xml:space="preserve">pub-0370</t>
  </si>
  <si>
    <t xml:space="preserve">run-0371</t>
  </si>
  <si>
    <t xml:space="preserve">pub-0371</t>
  </si>
  <si>
    <t xml:space="preserve">run-0372</t>
  </si>
  <si>
    <t xml:space="preserve">pub-0372</t>
  </si>
  <si>
    <t xml:space="preserve">run-0373</t>
  </si>
  <si>
    <t xml:space="preserve">pub-0373</t>
  </si>
  <si>
    <t xml:space="preserve">run-0374</t>
  </si>
  <si>
    <t xml:space="preserve">pub-0374</t>
  </si>
  <si>
    <t xml:space="preserve">run-0375</t>
  </si>
  <si>
    <t xml:space="preserve">pub-0375</t>
  </si>
  <si>
    <t xml:space="preserve">run-0376</t>
  </si>
  <si>
    <t xml:space="preserve">pub-0376</t>
  </si>
  <si>
    <t xml:space="preserve">run-0377</t>
  </si>
  <si>
    <t xml:space="preserve">pub-0377</t>
  </si>
  <si>
    <t xml:space="preserve">run-0378</t>
  </si>
  <si>
    <t xml:space="preserve">pub-0378</t>
  </si>
  <si>
    <t xml:space="preserve">run-0379</t>
  </si>
  <si>
    <t xml:space="preserve">pub-0379</t>
  </si>
  <si>
    <t xml:space="preserve">run-0380</t>
  </si>
  <si>
    <t xml:space="preserve">pub-0380</t>
  </si>
  <si>
    <t xml:space="preserve">run-0381</t>
  </si>
  <si>
    <t xml:space="preserve">pub-0381</t>
  </si>
  <si>
    <t xml:space="preserve">run-0382</t>
  </si>
  <si>
    <t xml:space="preserve">pub-0382</t>
  </si>
  <si>
    <t xml:space="preserve">run-0383</t>
  </si>
  <si>
    <t xml:space="preserve">pub-0383</t>
  </si>
  <si>
    <t xml:space="preserve">run-0384</t>
  </si>
  <si>
    <t xml:space="preserve">pub-0384</t>
  </si>
  <si>
    <t xml:space="preserve">run-0385</t>
  </si>
  <si>
    <t xml:space="preserve">pub-0385</t>
  </si>
  <si>
    <t xml:space="preserve">run-0386</t>
  </si>
  <si>
    <t xml:space="preserve">pub-0386</t>
  </si>
  <si>
    <t xml:space="preserve">run-0387</t>
  </si>
  <si>
    <t xml:space="preserve">pub-0387</t>
  </si>
  <si>
    <t xml:space="preserve">run-0388</t>
  </si>
  <si>
    <t xml:space="preserve">pub-0388</t>
  </si>
  <si>
    <t xml:space="preserve">run-0389</t>
  </si>
  <si>
    <t xml:space="preserve">pub-0389</t>
  </si>
  <si>
    <t xml:space="preserve">run-0390</t>
  </si>
  <si>
    <t xml:space="preserve">pub-0390</t>
  </si>
  <si>
    <t xml:space="preserve">run-0391</t>
  </si>
  <si>
    <t xml:space="preserve">pub-0391</t>
  </si>
  <si>
    <t xml:space="preserve">run-0392</t>
  </si>
  <si>
    <t xml:space="preserve">pub-0392</t>
  </si>
  <si>
    <t xml:space="preserve">run-0393</t>
  </si>
  <si>
    <t xml:space="preserve">pub-0393</t>
  </si>
  <si>
    <t xml:space="preserve">run-0394</t>
  </si>
  <si>
    <t xml:space="preserve">pub-0394</t>
  </si>
  <si>
    <t xml:space="preserve">run-0395</t>
  </si>
  <si>
    <t xml:space="preserve">pub-0395</t>
  </si>
  <si>
    <t xml:space="preserve">run-0396</t>
  </si>
  <si>
    <t xml:space="preserve">pub-0396</t>
  </si>
  <si>
    <t xml:space="preserve">run-0397</t>
  </si>
  <si>
    <t xml:space="preserve">pub-0397</t>
  </si>
  <si>
    <t xml:space="preserve">run-0398</t>
  </si>
  <si>
    <t xml:space="preserve">pub-0398</t>
  </si>
  <si>
    <t xml:space="preserve">run-0399</t>
  </si>
  <si>
    <t xml:space="preserve">pub-0399</t>
  </si>
  <si>
    <t xml:space="preserve">run-0400</t>
  </si>
  <si>
    <t xml:space="preserve">pub-0400</t>
  </si>
  <si>
    <t xml:space="preserve">run-0401</t>
  </si>
  <si>
    <t xml:space="preserve">pub-0401</t>
  </si>
  <si>
    <t xml:space="preserve">run-0402</t>
  </si>
  <si>
    <t xml:space="preserve">pub-0402</t>
  </si>
  <si>
    <t xml:space="preserve">run-0403</t>
  </si>
  <si>
    <t xml:space="preserve">pub-0403</t>
  </si>
  <si>
    <t xml:space="preserve">run-0404</t>
  </si>
  <si>
    <t xml:space="preserve">pub-0404</t>
  </si>
  <si>
    <t xml:space="preserve">run-0405</t>
  </si>
  <si>
    <t xml:space="preserve">pub-0405</t>
  </si>
  <si>
    <t xml:space="preserve">run-0406</t>
  </si>
  <si>
    <t xml:space="preserve">pub-0406</t>
  </si>
  <si>
    <t xml:space="preserve">run-0407</t>
  </si>
  <si>
    <t xml:space="preserve">pub-0407</t>
  </si>
  <si>
    <t xml:space="preserve">run-0408</t>
  </si>
  <si>
    <t xml:space="preserve">pub-0408</t>
  </si>
  <si>
    <t xml:space="preserve">run-0409</t>
  </si>
  <si>
    <t xml:space="preserve">pub-0409</t>
  </si>
  <si>
    <t xml:space="preserve">run-0410</t>
  </si>
  <si>
    <t xml:space="preserve">pub-0410</t>
  </si>
  <si>
    <t xml:space="preserve">run-0411</t>
  </si>
  <si>
    <t xml:space="preserve">pub-0411</t>
  </si>
  <si>
    <t xml:space="preserve">run-0412</t>
  </si>
  <si>
    <t xml:space="preserve">pub-0412</t>
  </si>
  <si>
    <t xml:space="preserve">run-0413</t>
  </si>
  <si>
    <t xml:space="preserve">pub-0413</t>
  </si>
  <si>
    <t xml:space="preserve">run-0414</t>
  </si>
  <si>
    <t xml:space="preserve">pub-0414</t>
  </si>
  <si>
    <t xml:space="preserve">run-0415</t>
  </si>
  <si>
    <t xml:space="preserve">pub-0415</t>
  </si>
  <si>
    <t xml:space="preserve">run-0416</t>
  </si>
  <si>
    <t xml:space="preserve">pub-0416</t>
  </si>
  <si>
    <t xml:space="preserve">run-0417</t>
  </si>
  <si>
    <t xml:space="preserve">pub-0417</t>
  </si>
  <si>
    <t xml:space="preserve">run-0418</t>
  </si>
  <si>
    <t xml:space="preserve">pub-0418</t>
  </si>
  <si>
    <t xml:space="preserve">run-0419</t>
  </si>
  <si>
    <t xml:space="preserve">pub-0419</t>
  </si>
  <si>
    <t xml:space="preserve">run-0420</t>
  </si>
  <si>
    <t xml:space="preserve">pub-0420</t>
  </si>
  <si>
    <t xml:space="preserve">run-0421</t>
  </si>
  <si>
    <t xml:space="preserve">pub-0421</t>
  </si>
  <si>
    <t xml:space="preserve">run-0422</t>
  </si>
  <si>
    <t xml:space="preserve">pub-0422</t>
  </si>
  <si>
    <t xml:space="preserve">run-0423</t>
  </si>
  <si>
    <t xml:space="preserve">pub-0423</t>
  </si>
  <si>
    <t xml:space="preserve">run-0424</t>
  </si>
  <si>
    <t xml:space="preserve">pub-0424</t>
  </si>
  <si>
    <t xml:space="preserve">run-0425</t>
  </si>
  <si>
    <t xml:space="preserve">pub-0425</t>
  </si>
  <si>
    <t xml:space="preserve">run-0426</t>
  </si>
  <si>
    <t xml:space="preserve">pub-0426</t>
  </si>
  <si>
    <t xml:space="preserve">run-0427</t>
  </si>
  <si>
    <t xml:space="preserve">pub-0427</t>
  </si>
  <si>
    <t xml:space="preserve">run-0428</t>
  </si>
  <si>
    <t xml:space="preserve">pub-0428</t>
  </si>
  <si>
    <t xml:space="preserve">run-0429</t>
  </si>
  <si>
    <t xml:space="preserve">pub-0429</t>
  </si>
  <si>
    <t xml:space="preserve">run-0430</t>
  </si>
  <si>
    <t xml:space="preserve">pub-0430</t>
  </si>
  <si>
    <t xml:space="preserve">run-0431</t>
  </si>
  <si>
    <t xml:space="preserve">pub-0431</t>
  </si>
  <si>
    <t xml:space="preserve">run-0432</t>
  </si>
  <si>
    <t xml:space="preserve">pub-0432</t>
  </si>
  <si>
    <t xml:space="preserve">run-0433</t>
  </si>
  <si>
    <t xml:space="preserve">pub-0433</t>
  </si>
  <si>
    <t xml:space="preserve">run-0434</t>
  </si>
  <si>
    <t xml:space="preserve">pub-0434</t>
  </si>
  <si>
    <t xml:space="preserve">run-0435</t>
  </si>
  <si>
    <t xml:space="preserve">pub-0435</t>
  </si>
  <si>
    <t xml:space="preserve">run-0436</t>
  </si>
  <si>
    <t xml:space="preserve">pub-0436</t>
  </si>
  <si>
    <t xml:space="preserve">run-0437</t>
  </si>
  <si>
    <t xml:space="preserve">pub-0437</t>
  </si>
  <si>
    <t xml:space="preserve">run-0438</t>
  </si>
  <si>
    <t xml:space="preserve">run-0439</t>
  </si>
  <si>
    <t xml:space="preserve">pub-0439</t>
  </si>
  <si>
    <t xml:space="preserve">run-0440</t>
  </si>
  <si>
    <t xml:space="preserve">pub-0440</t>
  </si>
  <si>
    <t xml:space="preserve">run-0441</t>
  </si>
  <si>
    <t xml:space="preserve">pub-0441</t>
  </si>
  <si>
    <t xml:space="preserve">run-0442</t>
  </si>
  <si>
    <t xml:space="preserve">pub-0442</t>
  </si>
  <si>
    <t xml:space="preserve">run-0443</t>
  </si>
  <si>
    <t xml:space="preserve">pub-0443</t>
  </si>
  <si>
    <t xml:space="preserve">run-0444</t>
  </si>
  <si>
    <t xml:space="preserve">pub-0444</t>
  </si>
  <si>
    <t xml:space="preserve">run-0445</t>
  </si>
  <si>
    <t xml:space="preserve">pub-0445</t>
  </si>
  <si>
    <t xml:space="preserve">run-0446</t>
  </si>
  <si>
    <t xml:space="preserve">pub-0446</t>
  </si>
  <si>
    <t xml:space="preserve">run-0447</t>
  </si>
  <si>
    <t xml:space="preserve">pub-0447</t>
  </si>
  <si>
    <t xml:space="preserve">run-0448</t>
  </si>
  <si>
    <t xml:space="preserve">pub-0448</t>
  </si>
  <si>
    <t xml:space="preserve">run-0449</t>
  </si>
  <si>
    <t xml:space="preserve">pub-0449</t>
  </si>
  <si>
    <t xml:space="preserve">run-0450</t>
  </si>
  <si>
    <t xml:space="preserve">pub-0450</t>
  </si>
  <si>
    <t xml:space="preserve">run-0451</t>
  </si>
  <si>
    <t xml:space="preserve">pub-0451</t>
  </si>
  <si>
    <t xml:space="preserve">run-0452</t>
  </si>
  <si>
    <t xml:space="preserve">pub-0452</t>
  </si>
  <si>
    <t xml:space="preserve">run-0453</t>
  </si>
  <si>
    <t xml:space="preserve">pub-0453</t>
  </si>
  <si>
    <t xml:space="preserve">run-0454</t>
  </si>
  <si>
    <t xml:space="preserve">pub-0454</t>
  </si>
  <si>
    <t xml:space="preserve">run-0455</t>
  </si>
  <si>
    <t xml:space="preserve">pub-0455</t>
  </si>
  <si>
    <t xml:space="preserve">run-0456</t>
  </si>
  <si>
    <t xml:space="preserve">pub-0456</t>
  </si>
  <si>
    <t xml:space="preserve">run-0457</t>
  </si>
  <si>
    <t xml:space="preserve">pub-0457</t>
  </si>
  <si>
    <t xml:space="preserve">run-0458</t>
  </si>
  <si>
    <t xml:space="preserve">pub-0458</t>
  </si>
  <si>
    <t xml:space="preserve">run-0459</t>
  </si>
  <si>
    <t xml:space="preserve">pub-0459</t>
  </si>
  <si>
    <t xml:space="preserve">run-0460</t>
  </si>
  <si>
    <t xml:space="preserve">pub-0460</t>
  </si>
  <si>
    <t xml:space="preserve">run-0461</t>
  </si>
  <si>
    <t xml:space="preserve">pub-0461</t>
  </si>
  <si>
    <t xml:space="preserve">run-0462</t>
  </si>
  <si>
    <t xml:space="preserve">pub-0462</t>
  </si>
  <si>
    <t xml:space="preserve">run-0463</t>
  </si>
  <si>
    <t xml:space="preserve">pub-0463</t>
  </si>
  <si>
    <t xml:space="preserve">run-0464</t>
  </si>
  <si>
    <t xml:space="preserve">pub-0464</t>
  </si>
  <si>
    <t xml:space="preserve">run-0465</t>
  </si>
  <si>
    <t xml:space="preserve">pub-0465</t>
  </si>
  <si>
    <t xml:space="preserve">run-0466</t>
  </si>
  <si>
    <t xml:space="preserve">pub-0466</t>
  </si>
  <si>
    <t xml:space="preserve">run-0467</t>
  </si>
  <si>
    <t xml:space="preserve">pub-0467</t>
  </si>
  <si>
    <t xml:space="preserve">run-0468</t>
  </si>
  <si>
    <t xml:space="preserve">pub-0468</t>
  </si>
  <si>
    <t xml:space="preserve">run-0469</t>
  </si>
  <si>
    <t xml:space="preserve">pub-0469</t>
  </si>
  <si>
    <t xml:space="preserve">run-0470</t>
  </si>
  <si>
    <t xml:space="preserve">pub-0470</t>
  </si>
  <si>
    <t xml:space="preserve">run-0471</t>
  </si>
  <si>
    <t xml:space="preserve">pub-0471</t>
  </si>
  <si>
    <t xml:space="preserve">run-0472</t>
  </si>
  <si>
    <t xml:space="preserve">pub-0472</t>
  </si>
  <si>
    <t xml:space="preserve">run-0473</t>
  </si>
  <si>
    <t xml:space="preserve">pub-0473</t>
  </si>
  <si>
    <t xml:space="preserve">run-0474</t>
  </si>
  <si>
    <t xml:space="preserve">pub-0474</t>
  </si>
  <si>
    <t xml:space="preserve">run-0475</t>
  </si>
  <si>
    <t xml:space="preserve">pub-0475</t>
  </si>
  <si>
    <t xml:space="preserve">run-0476</t>
  </si>
  <si>
    <t xml:space="preserve">pub-0476</t>
  </si>
  <si>
    <t xml:space="preserve">run-0477</t>
  </si>
  <si>
    <t xml:space="preserve">pub-0477</t>
  </si>
  <si>
    <t xml:space="preserve">run-0478</t>
  </si>
  <si>
    <t xml:space="preserve">pub-0478</t>
  </si>
  <si>
    <t xml:space="preserve">run-0479</t>
  </si>
  <si>
    <t xml:space="preserve">pub-0479</t>
  </si>
  <si>
    <t xml:space="preserve">run-0480</t>
  </si>
  <si>
    <t xml:space="preserve">pub-0480</t>
  </si>
  <si>
    <t xml:space="preserve">run-0481</t>
  </si>
  <si>
    <t xml:space="preserve">pub-0481</t>
  </si>
  <si>
    <t xml:space="preserve">run-0482</t>
  </si>
  <si>
    <t xml:space="preserve">pub-0482</t>
  </si>
  <si>
    <t xml:space="preserve">run-0483</t>
  </si>
  <si>
    <t xml:space="preserve">pub-0483</t>
  </si>
  <si>
    <t xml:space="preserve">run-0484</t>
  </si>
  <si>
    <t xml:space="preserve">pub-0484</t>
  </si>
  <si>
    <t xml:space="preserve">run-0485</t>
  </si>
  <si>
    <t xml:space="preserve">pub-0485</t>
  </si>
  <si>
    <t xml:space="preserve">run-0486</t>
  </si>
  <si>
    <t xml:space="preserve">pub-0486</t>
  </si>
  <si>
    <t xml:space="preserve">run-0487</t>
  </si>
  <si>
    <t xml:space="preserve">pub-0487</t>
  </si>
  <si>
    <t xml:space="preserve">run-0488</t>
  </si>
  <si>
    <t xml:space="preserve">pub-0488</t>
  </si>
  <si>
    <t xml:space="preserve">run-0489</t>
  </si>
  <si>
    <t xml:space="preserve">pub-0489</t>
  </si>
  <si>
    <t xml:space="preserve">run-0490</t>
  </si>
  <si>
    <t xml:space="preserve">pub-0490</t>
  </si>
  <si>
    <t xml:space="preserve">run-0491</t>
  </si>
  <si>
    <t xml:space="preserve">pub-0491</t>
  </si>
  <si>
    <t xml:space="preserve">run-0492</t>
  </si>
  <si>
    <t xml:space="preserve">pub-0492</t>
  </si>
  <si>
    <t xml:space="preserve">run-0493</t>
  </si>
  <si>
    <t xml:space="preserve">pub-0493</t>
  </si>
  <si>
    <t xml:space="preserve">run-0494</t>
  </si>
  <si>
    <t xml:space="preserve">pub-0494</t>
  </si>
  <si>
    <t xml:space="preserve">run-0495</t>
  </si>
  <si>
    <t xml:space="preserve">pub-0495</t>
  </si>
  <si>
    <t xml:space="preserve">run-0496</t>
  </si>
  <si>
    <t xml:space="preserve">pub-0496</t>
  </si>
  <si>
    <t xml:space="preserve">run-0497</t>
  </si>
  <si>
    <t xml:space="preserve">pub-0497</t>
  </si>
  <si>
    <t xml:space="preserve">run-0498</t>
  </si>
  <si>
    <t xml:space="preserve">pub-0498</t>
  </si>
  <si>
    <t xml:space="preserve">run-0499</t>
  </si>
  <si>
    <t xml:space="preserve">pub-0499</t>
  </si>
  <si>
    <t xml:space="preserve">run-0500</t>
  </si>
  <si>
    <t xml:space="preserve">pub-0500</t>
  </si>
  <si>
    <t xml:space="preserve">run-0501</t>
  </si>
  <si>
    <t xml:space="preserve">pub-0501</t>
  </si>
  <si>
    <t xml:space="preserve">run-0502</t>
  </si>
  <si>
    <t xml:space="preserve">pub-0502</t>
  </si>
  <si>
    <t xml:space="preserve">run-0503</t>
  </si>
  <si>
    <t xml:space="preserve">pub-0503</t>
  </si>
  <si>
    <t xml:space="preserve">run-0504</t>
  </si>
  <si>
    <t xml:space="preserve">pub-0504</t>
  </si>
  <si>
    <t xml:space="preserve">run-0505</t>
  </si>
  <si>
    <t xml:space="preserve">pub-0505</t>
  </si>
  <si>
    <t xml:space="preserve">run-0506</t>
  </si>
  <si>
    <t xml:space="preserve">pub-0506</t>
  </si>
  <si>
    <t xml:space="preserve">run-0507</t>
  </si>
  <si>
    <t xml:space="preserve">pub-0507</t>
  </si>
  <si>
    <t xml:space="preserve">run-0508</t>
  </si>
  <si>
    <t xml:space="preserve">pub-0508</t>
  </si>
  <si>
    <t xml:space="preserve">run-0509</t>
  </si>
  <si>
    <t xml:space="preserve">pub-0509</t>
  </si>
  <si>
    <t xml:space="preserve">run-0510</t>
  </si>
  <si>
    <t xml:space="preserve">run-0511</t>
  </si>
  <si>
    <t xml:space="preserve">pub-0511</t>
  </si>
  <si>
    <t xml:space="preserve">run-0512</t>
  </si>
  <si>
    <t xml:space="preserve">pub-0512</t>
  </si>
  <si>
    <t xml:space="preserve">run-0513</t>
  </si>
  <si>
    <t xml:space="preserve">pub-0513</t>
  </si>
  <si>
    <t xml:space="preserve">run-0514</t>
  </si>
  <si>
    <t xml:space="preserve">pub-0514</t>
  </si>
  <si>
    <t xml:space="preserve">run-0515</t>
  </si>
  <si>
    <t xml:space="preserve">pub-0515</t>
  </si>
  <si>
    <t xml:space="preserve">run-0516</t>
  </si>
  <si>
    <t xml:space="preserve">pub-0516</t>
  </si>
  <si>
    <t xml:space="preserve">run-0517</t>
  </si>
  <si>
    <t xml:space="preserve">pub-0517</t>
  </si>
  <si>
    <t xml:space="preserve">run-0518</t>
  </si>
  <si>
    <t xml:space="preserve">pub-0518</t>
  </si>
  <si>
    <t xml:space="preserve">run-0519</t>
  </si>
  <si>
    <t xml:space="preserve">pub-0519</t>
  </si>
  <si>
    <t xml:space="preserve">run-0520</t>
  </si>
  <si>
    <t xml:space="preserve">run-0521</t>
  </si>
  <si>
    <t xml:space="preserve">pub-0521</t>
  </si>
  <si>
    <t xml:space="preserve">run-0522</t>
  </si>
  <si>
    <t xml:space="preserve">pub-0522</t>
  </si>
  <si>
    <t xml:space="preserve">run-0523</t>
  </si>
  <si>
    <t xml:space="preserve">pub-0523</t>
  </si>
  <si>
    <t xml:space="preserve">run-0524</t>
  </si>
  <si>
    <t xml:space="preserve">pub-0524</t>
  </si>
  <si>
    <t xml:space="preserve">run-0525</t>
  </si>
  <si>
    <t xml:space="preserve">pub-0525</t>
  </si>
  <si>
    <t xml:space="preserve">run-0526</t>
  </si>
  <si>
    <t xml:space="preserve">pub-0526</t>
  </si>
  <si>
    <t xml:space="preserve">run-0527</t>
  </si>
  <si>
    <t xml:space="preserve">pub-0527</t>
  </si>
  <si>
    <t xml:space="preserve">run-0528</t>
  </si>
  <si>
    <t xml:space="preserve">pub-0528</t>
  </si>
  <si>
    <t xml:space="preserve">run-0529</t>
  </si>
  <si>
    <t xml:space="preserve">pub-0529</t>
  </si>
  <si>
    <t xml:space="preserve">run-0530</t>
  </si>
  <si>
    <t xml:space="preserve">pub-0530</t>
  </si>
  <si>
    <t xml:space="preserve">run-0531</t>
  </si>
  <si>
    <t xml:space="preserve">pub-0531</t>
  </si>
  <si>
    <t xml:space="preserve">run-0532</t>
  </si>
  <si>
    <t xml:space="preserve">pub-0532</t>
  </si>
  <si>
    <t xml:space="preserve">run-0533</t>
  </si>
  <si>
    <t xml:space="preserve">pub-0533</t>
  </si>
  <si>
    <t xml:space="preserve">run-0534</t>
  </si>
  <si>
    <t xml:space="preserve">pub-0534</t>
  </si>
  <si>
    <t xml:space="preserve">run-0535</t>
  </si>
  <si>
    <t xml:space="preserve">pub-0535</t>
  </si>
  <si>
    <t xml:space="preserve">run-0536</t>
  </si>
  <si>
    <t xml:space="preserve">pub-0536</t>
  </si>
  <si>
    <t xml:space="preserve">run-0537</t>
  </si>
  <si>
    <t xml:space="preserve">pub-0537</t>
  </si>
  <si>
    <t xml:space="preserve">run-0538</t>
  </si>
  <si>
    <t xml:space="preserve">pub-0538</t>
  </si>
  <si>
    <t xml:space="preserve">run-0539</t>
  </si>
  <si>
    <t xml:space="preserve">pub-0539</t>
  </si>
  <si>
    <t xml:space="preserve">run-0540</t>
  </si>
  <si>
    <t xml:space="preserve">pub-0540</t>
  </si>
  <si>
    <t xml:space="preserve">run-0541</t>
  </si>
  <si>
    <t xml:space="preserve">pub-0541</t>
  </si>
  <si>
    <t xml:space="preserve">run-0542</t>
  </si>
  <si>
    <t xml:space="preserve">pub-0542</t>
  </si>
  <si>
    <t xml:space="preserve">run-0543</t>
  </si>
  <si>
    <t xml:space="preserve">run-0544</t>
  </si>
  <si>
    <t xml:space="preserve">pub-0544</t>
  </si>
  <si>
    <t xml:space="preserve">run-0545</t>
  </si>
  <si>
    <t xml:space="preserve">pub-0545</t>
  </si>
  <si>
    <t xml:space="preserve">run-0546</t>
  </si>
  <si>
    <t xml:space="preserve">pub-0546</t>
  </si>
  <si>
    <t xml:space="preserve">run-0547</t>
  </si>
  <si>
    <t xml:space="preserve">pub-0547</t>
  </si>
  <si>
    <t xml:space="preserve">run-0548</t>
  </si>
  <si>
    <t xml:space="preserve">pub-0548</t>
  </si>
  <si>
    <t xml:space="preserve">run-0549</t>
  </si>
  <si>
    <t xml:space="preserve">pub-0549</t>
  </si>
  <si>
    <t xml:space="preserve">run-0550</t>
  </si>
  <si>
    <t xml:space="preserve">pub-0550</t>
  </si>
  <si>
    <t xml:space="preserve">run-0551</t>
  </si>
  <si>
    <t xml:space="preserve">pub-0551</t>
  </si>
  <si>
    <t xml:space="preserve">run-0552</t>
  </si>
  <si>
    <t xml:space="preserve">pub-0552</t>
  </si>
  <si>
    <t xml:space="preserve">run-0553</t>
  </si>
  <si>
    <t xml:space="preserve">pub-0553</t>
  </si>
  <si>
    <t xml:space="preserve">run-0554</t>
  </si>
  <si>
    <t xml:space="preserve">pub-0554</t>
  </si>
  <si>
    <t xml:space="preserve">run-0555</t>
  </si>
  <si>
    <t xml:space="preserve">pub-0555</t>
  </si>
  <si>
    <t xml:space="preserve">run-0556</t>
  </si>
  <si>
    <t xml:space="preserve">pub-0556</t>
  </si>
  <si>
    <t xml:space="preserve">run-0557</t>
  </si>
  <si>
    <t xml:space="preserve">pub-0557</t>
  </si>
  <si>
    <t xml:space="preserve">run-0558</t>
  </si>
  <si>
    <t xml:space="preserve">pub-0558</t>
  </si>
  <si>
    <t xml:space="preserve">run-0559</t>
  </si>
  <si>
    <t xml:space="preserve">pub-0559</t>
  </si>
  <si>
    <t xml:space="preserve">run-0560</t>
  </si>
  <si>
    <t xml:space="preserve">pub-0560</t>
  </si>
  <si>
    <t xml:space="preserve">run-0561</t>
  </si>
  <si>
    <t xml:space="preserve">pub-0561</t>
  </si>
  <si>
    <t xml:space="preserve">run-0562</t>
  </si>
  <si>
    <t xml:space="preserve">pub-0562</t>
  </si>
  <si>
    <t xml:space="preserve">run-0563</t>
  </si>
  <si>
    <t xml:space="preserve">pub-0563</t>
  </si>
  <si>
    <t xml:space="preserve">run-0564</t>
  </si>
  <si>
    <t xml:space="preserve">pub-0564</t>
  </si>
  <si>
    <t xml:space="preserve">run-0565</t>
  </si>
  <si>
    <t xml:space="preserve">pub-0565</t>
  </si>
  <si>
    <t xml:space="preserve">run-0566</t>
  </si>
  <si>
    <t xml:space="preserve">pub-0566</t>
  </si>
  <si>
    <t xml:space="preserve">run-0567</t>
  </si>
  <si>
    <t xml:space="preserve">pub-0567</t>
  </si>
  <si>
    <t xml:space="preserve">run-0568</t>
  </si>
  <si>
    <t xml:space="preserve">pub-0568</t>
  </si>
  <si>
    <t xml:space="preserve">run-0569</t>
  </si>
  <si>
    <t xml:space="preserve">pub-0569</t>
  </si>
  <si>
    <t xml:space="preserve">run-0570</t>
  </si>
  <si>
    <t xml:space="preserve">pub-0570</t>
  </si>
  <si>
    <t xml:space="preserve">run-0571</t>
  </si>
  <si>
    <t xml:space="preserve">pub-0571</t>
  </si>
  <si>
    <t xml:space="preserve">run-0572</t>
  </si>
  <si>
    <t xml:space="preserve">pub-0572</t>
  </si>
  <si>
    <t xml:space="preserve">run-0573</t>
  </si>
  <si>
    <t xml:space="preserve">run-0574</t>
  </si>
  <si>
    <t xml:space="preserve">pub-0574</t>
  </si>
  <si>
    <t xml:space="preserve">run-0575</t>
  </si>
  <si>
    <t xml:space="preserve">pub-0575</t>
  </si>
  <si>
    <t xml:space="preserve">run-0576</t>
  </si>
  <si>
    <t xml:space="preserve">pub-0576</t>
  </si>
  <si>
    <t xml:space="preserve">run-0577</t>
  </si>
  <si>
    <t xml:space="preserve">pub-0577</t>
  </si>
  <si>
    <t xml:space="preserve">run-0578</t>
  </si>
  <si>
    <t xml:space="preserve">pub-0578</t>
  </si>
  <si>
    <t xml:space="preserve">run-0579</t>
  </si>
  <si>
    <t xml:space="preserve">pub-0579</t>
  </si>
  <si>
    <t xml:space="preserve">run-0580</t>
  </si>
  <si>
    <t xml:space="preserve">pub-0580</t>
  </si>
  <si>
    <t xml:space="preserve">run-0581</t>
  </si>
  <si>
    <t xml:space="preserve">pub-0581</t>
  </si>
  <si>
    <t xml:space="preserve">run-0582</t>
  </si>
  <si>
    <t xml:space="preserve">pub-0582</t>
  </si>
  <si>
    <t xml:space="preserve">run-0583</t>
  </si>
  <si>
    <t xml:space="preserve">pub-0583</t>
  </si>
  <si>
    <t xml:space="preserve">run-0584</t>
  </si>
  <si>
    <t xml:space="preserve">pub-0584</t>
  </si>
  <si>
    <t xml:space="preserve">run-0585</t>
  </si>
  <si>
    <t xml:space="preserve">pub-0585</t>
  </si>
  <si>
    <t xml:space="preserve">run-0586</t>
  </si>
  <si>
    <t xml:space="preserve">pub-0586</t>
  </si>
  <si>
    <t xml:space="preserve">run-0587</t>
  </si>
  <si>
    <t xml:space="preserve">pub-0587</t>
  </si>
  <si>
    <t xml:space="preserve">run-0588</t>
  </si>
  <si>
    <t xml:space="preserve">pub-0588</t>
  </si>
  <si>
    <t xml:space="preserve">run-0589</t>
  </si>
  <si>
    <t xml:space="preserve">pub-0589</t>
  </si>
  <si>
    <t xml:space="preserve">run-0590</t>
  </si>
  <si>
    <t xml:space="preserve">pub-0590</t>
  </si>
  <si>
    <t xml:space="preserve">run-0591</t>
  </si>
  <si>
    <t xml:space="preserve">pub-0591</t>
  </si>
  <si>
    <t xml:space="preserve">run-0592</t>
  </si>
  <si>
    <t xml:space="preserve">pub-0592</t>
  </si>
  <si>
    <t xml:space="preserve">run-0593</t>
  </si>
  <si>
    <t xml:space="preserve">pub-0593</t>
  </si>
  <si>
    <t xml:space="preserve">run-0594</t>
  </si>
  <si>
    <t xml:space="preserve">pub-0594</t>
  </si>
  <si>
    <t xml:space="preserve">run-0595</t>
  </si>
  <si>
    <t xml:space="preserve">pub-0595</t>
  </si>
  <si>
    <t xml:space="preserve">run-0596</t>
  </si>
  <si>
    <t xml:space="preserve">pub-0596</t>
  </si>
  <si>
    <t xml:space="preserve">run-0597</t>
  </si>
  <si>
    <t xml:space="preserve">pub-0597</t>
  </si>
  <si>
    <t xml:space="preserve">run-0598</t>
  </si>
  <si>
    <t xml:space="preserve">pub-0598</t>
  </si>
  <si>
    <t xml:space="preserve">run-0599</t>
  </si>
  <si>
    <t xml:space="preserve">pub-0599</t>
  </si>
  <si>
    <t xml:space="preserve">run-0600</t>
  </si>
  <si>
    <t xml:space="preserve">pub-0600</t>
  </si>
  <si>
    <t xml:space="preserve">run-0601</t>
  </si>
  <si>
    <t xml:space="preserve">pub-0601</t>
  </si>
  <si>
    <t xml:space="preserve">run-0602</t>
  </si>
  <si>
    <t xml:space="preserve">pub-0602</t>
  </si>
  <si>
    <t xml:space="preserve">run-0603</t>
  </si>
  <si>
    <t xml:space="preserve">pub-0603</t>
  </si>
  <si>
    <t xml:space="preserve">run-0604</t>
  </si>
  <si>
    <t xml:space="preserve">pub-0604</t>
  </si>
  <si>
    <t xml:space="preserve">run-0605</t>
  </si>
  <si>
    <t xml:space="preserve">pub-0605</t>
  </si>
  <si>
    <t xml:space="preserve">run-0606</t>
  </si>
  <si>
    <t xml:space="preserve">pub-0606</t>
  </si>
  <si>
    <t xml:space="preserve">run-0607</t>
  </si>
  <si>
    <t xml:space="preserve">pub-0607</t>
  </si>
  <si>
    <t xml:space="preserve">run-0608</t>
  </si>
  <si>
    <t xml:space="preserve">pub-0608</t>
  </si>
  <si>
    <t xml:space="preserve">run-0609</t>
  </si>
  <si>
    <t xml:space="preserve">pub-0609</t>
  </si>
  <si>
    <t xml:space="preserve">run-0610</t>
  </si>
  <si>
    <t xml:space="preserve">pub-0610</t>
  </si>
  <si>
    <t xml:space="preserve">run-0611</t>
  </si>
  <si>
    <t xml:space="preserve">pub-0611</t>
  </si>
  <si>
    <t xml:space="preserve">run-0612</t>
  </si>
  <si>
    <t xml:space="preserve">pub-0612</t>
  </si>
  <si>
    <t xml:space="preserve">run-0613</t>
  </si>
  <si>
    <t xml:space="preserve">pub-0613</t>
  </si>
  <si>
    <t xml:space="preserve">run-0614</t>
  </si>
  <si>
    <t xml:space="preserve">pub-0614</t>
  </si>
  <si>
    <t xml:space="preserve">run-0615</t>
  </si>
  <si>
    <t xml:space="preserve">pub-0615</t>
  </si>
  <si>
    <t xml:space="preserve">run-0616</t>
  </si>
  <si>
    <t xml:space="preserve">pub-0616</t>
  </si>
  <si>
    <t xml:space="preserve">run-0617</t>
  </si>
  <si>
    <t xml:space="preserve">pub-0617</t>
  </si>
  <si>
    <t xml:space="preserve">run-0618</t>
  </si>
  <si>
    <t xml:space="preserve">pub-0618</t>
  </si>
  <si>
    <t xml:space="preserve">run-0619</t>
  </si>
  <si>
    <t xml:space="preserve">pub-0619</t>
  </si>
  <si>
    <t xml:space="preserve">run-0620</t>
  </si>
  <si>
    <t xml:space="preserve">pub-0620</t>
  </si>
  <si>
    <t xml:space="preserve">run-0621</t>
  </si>
  <si>
    <t xml:space="preserve">pub-0621</t>
  </si>
  <si>
    <t xml:space="preserve">run-0622</t>
  </si>
  <si>
    <t xml:space="preserve">pub-0622</t>
  </si>
  <si>
    <t xml:space="preserve">run-0623</t>
  </si>
  <si>
    <t xml:space="preserve">pub-0623</t>
  </si>
  <si>
    <t xml:space="preserve">run-0624</t>
  </si>
  <si>
    <t xml:space="preserve">pub-0624</t>
  </si>
  <si>
    <t xml:space="preserve">run-0625</t>
  </si>
  <si>
    <t xml:space="preserve">pub-0625</t>
  </si>
  <si>
    <t xml:space="preserve">run-0626</t>
  </si>
  <si>
    <t xml:space="preserve">pub-0626</t>
  </si>
  <si>
    <t xml:space="preserve">run-0627</t>
  </si>
  <si>
    <t xml:space="preserve">pub-0627</t>
  </si>
  <si>
    <t xml:space="preserve">run-0628</t>
  </si>
  <si>
    <t xml:space="preserve">pub-0628</t>
  </si>
  <si>
    <t xml:space="preserve">run-0629</t>
  </si>
  <si>
    <t xml:space="preserve">pub-0629</t>
  </si>
  <si>
    <t xml:space="preserve">run-0630</t>
  </si>
  <si>
    <t xml:space="preserve">pub-0630</t>
  </si>
  <si>
    <t xml:space="preserve">run-0631</t>
  </si>
  <si>
    <t xml:space="preserve">pub-0631</t>
  </si>
  <si>
    <t xml:space="preserve">run-0632</t>
  </si>
  <si>
    <t xml:space="preserve">pub-0632</t>
  </si>
  <si>
    <t xml:space="preserve">run-0633</t>
  </si>
  <si>
    <t xml:space="preserve">pub-0633</t>
  </si>
  <si>
    <t xml:space="preserve">run-0634</t>
  </si>
  <si>
    <t xml:space="preserve">pub-0634</t>
  </si>
  <si>
    <t xml:space="preserve">run-0635</t>
  </si>
  <si>
    <t xml:space="preserve">pub-0635</t>
  </si>
  <si>
    <t xml:space="preserve">run-0636</t>
  </si>
  <si>
    <t xml:space="preserve">pub-0636</t>
  </si>
  <si>
    <t xml:space="preserve">run-0637</t>
  </si>
  <si>
    <t xml:space="preserve">pub-0637</t>
  </si>
  <si>
    <t xml:space="preserve">run-0638</t>
  </si>
  <si>
    <t xml:space="preserve">pub-0638</t>
  </si>
  <si>
    <t xml:space="preserve">run-0639</t>
  </si>
  <si>
    <t xml:space="preserve">pub-0639</t>
  </si>
  <si>
    <t xml:space="preserve">run-0640</t>
  </si>
  <si>
    <t xml:space="preserve">pub-0640</t>
  </si>
  <si>
    <t xml:space="preserve">run-0641</t>
  </si>
  <si>
    <t xml:space="preserve">pub-0641</t>
  </si>
  <si>
    <t xml:space="preserve">run-0642</t>
  </si>
  <si>
    <t xml:space="preserve">pub-0642</t>
  </si>
  <si>
    <t xml:space="preserve">run-0643</t>
  </si>
  <si>
    <t xml:space="preserve">pub-0643</t>
  </si>
  <si>
    <t xml:space="preserve">run-0644</t>
  </si>
  <si>
    <t xml:space="preserve">pub-0644</t>
  </si>
  <si>
    <t xml:space="preserve">run-0645</t>
  </si>
  <si>
    <t xml:space="preserve">pub-0645</t>
  </si>
  <si>
    <t xml:space="preserve">run-0646</t>
  </si>
  <si>
    <t xml:space="preserve">pub-0646</t>
  </si>
  <si>
    <t xml:space="preserve">run-0647</t>
  </si>
  <si>
    <t xml:space="preserve">pub-0647</t>
  </si>
  <si>
    <t xml:space="preserve">run-0648</t>
  </si>
  <si>
    <t xml:space="preserve">pub-0648</t>
  </si>
  <si>
    <t xml:space="preserve">run-0649</t>
  </si>
  <si>
    <t xml:space="preserve">pub-0649</t>
  </si>
  <si>
    <t xml:space="preserve">run-0650</t>
  </si>
  <si>
    <t xml:space="preserve">pub-0650</t>
  </si>
  <si>
    <t xml:space="preserve">run-0651</t>
  </si>
  <si>
    <t xml:space="preserve">pub-0651</t>
  </si>
  <si>
    <t xml:space="preserve">run-0652</t>
  </si>
  <si>
    <t xml:space="preserve">pub-0652</t>
  </si>
  <si>
    <t xml:space="preserve">run-0653</t>
  </si>
  <si>
    <t xml:space="preserve">pub-0653</t>
  </si>
  <si>
    <t xml:space="preserve">run-0654</t>
  </si>
  <si>
    <t xml:space="preserve">pub-0654</t>
  </si>
  <si>
    <t xml:space="preserve">run-0655</t>
  </si>
  <si>
    <t xml:space="preserve">run-0656</t>
  </si>
  <si>
    <t xml:space="preserve">pub-0656</t>
  </si>
  <si>
    <t xml:space="preserve">run-0657</t>
  </si>
  <si>
    <t xml:space="preserve">pub-0657</t>
  </si>
  <si>
    <t xml:space="preserve">run-0658</t>
  </si>
  <si>
    <t xml:space="preserve">pub-0658</t>
  </si>
  <si>
    <t xml:space="preserve">run-0659</t>
  </si>
  <si>
    <t xml:space="preserve">pub-0659</t>
  </si>
  <si>
    <t xml:space="preserve">run-0660</t>
  </si>
  <si>
    <t xml:space="preserve">pub-0660</t>
  </si>
  <si>
    <t xml:space="preserve">run-0661</t>
  </si>
  <si>
    <t xml:space="preserve">pub-0661</t>
  </si>
  <si>
    <t xml:space="preserve">run-0662</t>
  </si>
  <si>
    <t xml:space="preserve">pub-0662</t>
  </si>
  <si>
    <t xml:space="preserve">run-0663</t>
  </si>
  <si>
    <t xml:space="preserve">pub-0663</t>
  </si>
  <si>
    <t xml:space="preserve">run-0664</t>
  </si>
  <si>
    <t xml:space="preserve">pub-0664</t>
  </si>
  <si>
    <t xml:space="preserve">run-0665</t>
  </si>
  <si>
    <t xml:space="preserve">pub-0665</t>
  </si>
  <si>
    <t xml:space="preserve">run-0666</t>
  </si>
  <si>
    <t xml:space="preserve">pub-0666</t>
  </si>
  <si>
    <t xml:space="preserve">run-0667</t>
  </si>
  <si>
    <t xml:space="preserve">pub-0667</t>
  </si>
  <si>
    <t xml:space="preserve">run-0668</t>
  </si>
  <si>
    <t xml:space="preserve">pub-0668</t>
  </si>
  <si>
    <t xml:space="preserve">run-0669</t>
  </si>
  <si>
    <t xml:space="preserve">pub-0669</t>
  </si>
  <si>
    <t xml:space="preserve">run-0670</t>
  </si>
  <si>
    <t xml:space="preserve">pub-0670</t>
  </si>
  <si>
    <t xml:space="preserve">run-0671</t>
  </si>
  <si>
    <t xml:space="preserve">pub-0671</t>
  </si>
  <si>
    <t xml:space="preserve">run-0672</t>
  </si>
  <si>
    <t xml:space="preserve">pub-0672</t>
  </si>
  <si>
    <t xml:space="preserve">run-0673</t>
  </si>
  <si>
    <t xml:space="preserve">pub-0673</t>
  </si>
  <si>
    <t xml:space="preserve">run-0674</t>
  </si>
  <si>
    <t xml:space="preserve">pub-0674</t>
  </si>
  <si>
    <t xml:space="preserve">run-0675</t>
  </si>
  <si>
    <t xml:space="preserve">pub-0675</t>
  </si>
  <si>
    <t xml:space="preserve">run-0676</t>
  </si>
  <si>
    <t xml:space="preserve">pub-0676</t>
  </si>
  <si>
    <t xml:space="preserve">run-0677</t>
  </si>
  <si>
    <t xml:space="preserve">pub-0677</t>
  </si>
  <si>
    <t xml:space="preserve">run-0678</t>
  </si>
  <si>
    <t xml:space="preserve">pub-0678</t>
  </si>
  <si>
    <t xml:space="preserve">run-0679</t>
  </si>
  <si>
    <t xml:space="preserve">pub-0679</t>
  </si>
  <si>
    <t xml:space="preserve">run-0680</t>
  </si>
  <si>
    <t xml:space="preserve">pub-0680</t>
  </si>
  <si>
    <t xml:space="preserve">run-0681</t>
  </si>
  <si>
    <t xml:space="preserve">pub-0681</t>
  </si>
  <si>
    <t xml:space="preserve">run-0682</t>
  </si>
  <si>
    <t xml:space="preserve">pub-0682</t>
  </si>
  <si>
    <t xml:space="preserve">run-0683</t>
  </si>
  <si>
    <t xml:space="preserve">pub-0683</t>
  </si>
  <si>
    <t xml:space="preserve">run-0684</t>
  </si>
  <si>
    <t xml:space="preserve">pub-0684</t>
  </si>
  <si>
    <t xml:space="preserve">run-0685</t>
  </si>
  <si>
    <t xml:space="preserve">pub-0685</t>
  </si>
  <si>
    <t xml:space="preserve">run-0686</t>
  </si>
  <si>
    <t xml:space="preserve">pub-0686</t>
  </si>
  <si>
    <t xml:space="preserve">run-0687</t>
  </si>
  <si>
    <t xml:space="preserve">run-0688</t>
  </si>
  <si>
    <t xml:space="preserve">pub-0688</t>
  </si>
  <si>
    <t xml:space="preserve">run-0689</t>
  </si>
  <si>
    <t xml:space="preserve">pub-0689</t>
  </si>
  <si>
    <t xml:space="preserve">run-0690</t>
  </si>
  <si>
    <t xml:space="preserve">pub-0690</t>
  </si>
  <si>
    <t xml:space="preserve">run-0691</t>
  </si>
  <si>
    <t xml:space="preserve">pub-0691</t>
  </si>
  <si>
    <t xml:space="preserve">run-0692</t>
  </si>
  <si>
    <t xml:space="preserve">pub-0692</t>
  </si>
  <si>
    <t xml:space="preserve">run-0693</t>
  </si>
  <si>
    <t xml:space="preserve">pub-0693</t>
  </si>
  <si>
    <t xml:space="preserve">run-0694</t>
  </si>
  <si>
    <t xml:space="preserve">pub-0694</t>
  </si>
  <si>
    <t xml:space="preserve">run-0695</t>
  </si>
  <si>
    <t xml:space="preserve">pub-0695</t>
  </si>
  <si>
    <t xml:space="preserve">run-0696</t>
  </si>
  <si>
    <t xml:space="preserve">pub-0696</t>
  </si>
  <si>
    <t xml:space="preserve">run-0697</t>
  </si>
  <si>
    <t xml:space="preserve">pub-0697</t>
  </si>
  <si>
    <t xml:space="preserve">run-0698</t>
  </si>
  <si>
    <t xml:space="preserve">pub-0698</t>
  </si>
  <si>
    <t xml:space="preserve">run-0699</t>
  </si>
  <si>
    <t xml:space="preserve">pub-0699</t>
  </si>
  <si>
    <t xml:space="preserve">run-0700</t>
  </si>
  <si>
    <t xml:space="preserve">pub-0700</t>
  </si>
  <si>
    <t xml:space="preserve">run-0701</t>
  </si>
  <si>
    <t xml:space="preserve">pub-0701</t>
  </si>
  <si>
    <t xml:space="preserve">run-0702</t>
  </si>
  <si>
    <t xml:space="preserve">pub-0702</t>
  </si>
  <si>
    <t xml:space="preserve">run-0703</t>
  </si>
  <si>
    <t xml:space="preserve">pub-0703</t>
  </si>
  <si>
    <t xml:space="preserve">run-0704</t>
  </si>
  <si>
    <t xml:space="preserve">pub-0704</t>
  </si>
  <si>
    <t xml:space="preserve">run-0705</t>
  </si>
  <si>
    <t xml:space="preserve">pub-0705</t>
  </si>
  <si>
    <t xml:space="preserve">run-0706</t>
  </si>
  <si>
    <t xml:space="preserve">pub-0706</t>
  </si>
  <si>
    <t xml:space="preserve">run-0707</t>
  </si>
  <si>
    <t xml:space="preserve">pub-0707</t>
  </si>
  <si>
    <t xml:space="preserve">run-0708</t>
  </si>
  <si>
    <t xml:space="preserve">pub-0708</t>
  </si>
  <si>
    <t xml:space="preserve">run-0709</t>
  </si>
  <si>
    <t xml:space="preserve">pub-0709</t>
  </si>
  <si>
    <t xml:space="preserve">run-0710</t>
  </si>
  <si>
    <t xml:space="preserve">pub-0710</t>
  </si>
  <si>
    <t xml:space="preserve">run-0711</t>
  </si>
  <si>
    <t xml:space="preserve">pub-0711</t>
  </si>
  <si>
    <t xml:space="preserve">run-0712</t>
  </si>
  <si>
    <t xml:space="preserve">pub-0712</t>
  </si>
  <si>
    <t xml:space="preserve">run-0713</t>
  </si>
  <si>
    <t xml:space="preserve">pub-0713</t>
  </si>
  <si>
    <t xml:space="preserve">run-0714</t>
  </si>
  <si>
    <t xml:space="preserve">pub-0714</t>
  </si>
  <si>
    <t xml:space="preserve">run-0715</t>
  </si>
  <si>
    <t xml:space="preserve">pub-0715</t>
  </si>
  <si>
    <t xml:space="preserve">run-0716</t>
  </si>
  <si>
    <t xml:space="preserve">pub-0716</t>
  </si>
  <si>
    <t xml:space="preserve">run-0717</t>
  </si>
  <si>
    <t xml:space="preserve">pub-0717</t>
  </si>
  <si>
    <t xml:space="preserve">run-0718</t>
  </si>
  <si>
    <t xml:space="preserve">pub-0718</t>
  </si>
  <si>
    <t xml:space="preserve">run-0719</t>
  </si>
  <si>
    <t xml:space="preserve">pub-0719</t>
  </si>
  <si>
    <t xml:space="preserve">run-0720</t>
  </si>
  <si>
    <t xml:space="preserve">pub-0720</t>
  </si>
  <si>
    <t xml:space="preserve">run-0721</t>
  </si>
  <si>
    <t xml:space="preserve">pub-0721</t>
  </si>
  <si>
    <t xml:space="preserve">run-0722</t>
  </si>
  <si>
    <t xml:space="preserve">pub-0722</t>
  </si>
  <si>
    <t xml:space="preserve">run-0723</t>
  </si>
  <si>
    <t xml:space="preserve">pub-0723</t>
  </si>
  <si>
    <t xml:space="preserve">run-0724</t>
  </si>
  <si>
    <t xml:space="preserve">pub-0724</t>
  </si>
  <si>
    <t xml:space="preserve">run-0725</t>
  </si>
  <si>
    <t xml:space="preserve">pub-0725</t>
  </si>
  <si>
    <t xml:space="preserve">run-0726</t>
  </si>
  <si>
    <t xml:space="preserve">pub-0726</t>
  </si>
  <si>
    <t xml:space="preserve">run-0727</t>
  </si>
  <si>
    <t xml:space="preserve">pub-0727</t>
  </si>
  <si>
    <t xml:space="preserve">run-0728</t>
  </si>
  <si>
    <t xml:space="preserve">pub-0728</t>
  </si>
  <si>
    <t xml:space="preserve">run-0729</t>
  </si>
  <si>
    <t xml:space="preserve">pub-0729</t>
  </si>
  <si>
    <t xml:space="preserve">run-0730</t>
  </si>
  <si>
    <t xml:space="preserve">pub-0730</t>
  </si>
  <si>
    <t xml:space="preserve">run-0731</t>
  </si>
  <si>
    <t xml:space="preserve">reconciliation_residual_zero</t>
  </si>
  <si>
    <t xml:space="preserve">run-0732</t>
  </si>
  <si>
    <t xml:space="preserve">pub-0732</t>
  </si>
  <si>
    <t xml:space="preserve">run-0733</t>
  </si>
  <si>
    <t xml:space="preserve">pub-0733</t>
  </si>
  <si>
    <t xml:space="preserve">run-0734</t>
  </si>
  <si>
    <t xml:space="preserve">pub-0734</t>
  </si>
  <si>
    <t xml:space="preserve">run-0735</t>
  </si>
  <si>
    <t xml:space="preserve">pub-0735</t>
  </si>
  <si>
    <t xml:space="preserve">run-0736</t>
  </si>
  <si>
    <t xml:space="preserve">pub-0736</t>
  </si>
  <si>
    <t xml:space="preserve">run-0737</t>
  </si>
  <si>
    <t xml:space="preserve">pub-0737</t>
  </si>
  <si>
    <t xml:space="preserve">run-0738</t>
  </si>
  <si>
    <t xml:space="preserve">pub-0738</t>
  </si>
  <si>
    <t xml:space="preserve">run-0739</t>
  </si>
  <si>
    <t xml:space="preserve">pub-0739</t>
  </si>
  <si>
    <t xml:space="preserve">run-0740</t>
  </si>
  <si>
    <t xml:space="preserve">pub-0740</t>
  </si>
  <si>
    <t xml:space="preserve">run-0741</t>
  </si>
  <si>
    <t xml:space="preserve">pub-0741</t>
  </si>
  <si>
    <t xml:space="preserve">run-0742</t>
  </si>
  <si>
    <t xml:space="preserve">pub-0742</t>
  </si>
  <si>
    <t xml:space="preserve">run-0743</t>
  </si>
  <si>
    <t xml:space="preserve">pub-0743</t>
  </si>
  <si>
    <t xml:space="preserve">run-0744</t>
  </si>
  <si>
    <t xml:space="preserve">pub-0744</t>
  </si>
  <si>
    <t xml:space="preserve">run-0745</t>
  </si>
  <si>
    <t xml:space="preserve">pub-0745</t>
  </si>
  <si>
    <t xml:space="preserve">run-0746</t>
  </si>
  <si>
    <t xml:space="preserve">pub-0746</t>
  </si>
  <si>
    <t xml:space="preserve">run-0747</t>
  </si>
  <si>
    <t xml:space="preserve">pub-0747</t>
  </si>
  <si>
    <t xml:space="preserve">run-0748</t>
  </si>
  <si>
    <t xml:space="preserve">pub-0748</t>
  </si>
  <si>
    <t xml:space="preserve">run-0749</t>
  </si>
  <si>
    <t xml:space="preserve">pub-0749</t>
  </si>
  <si>
    <t xml:space="preserve">run-0750</t>
  </si>
  <si>
    <t xml:space="preserve">pub-0750</t>
  </si>
  <si>
    <t xml:space="preserve">run-0751</t>
  </si>
  <si>
    <t xml:space="preserve">pub-0751</t>
  </si>
  <si>
    <t xml:space="preserve">run-0752</t>
  </si>
  <si>
    <t xml:space="preserve">pub-0752</t>
  </si>
  <si>
    <t xml:space="preserve">run-0753</t>
  </si>
  <si>
    <t xml:space="preserve">pub-0753</t>
  </si>
  <si>
    <t xml:space="preserve">run-0754</t>
  </si>
  <si>
    <t xml:space="preserve">pub-0754</t>
  </si>
  <si>
    <t xml:space="preserve">run-0755</t>
  </si>
  <si>
    <t xml:space="preserve">pub-0755</t>
  </si>
  <si>
    <t xml:space="preserve">run-0756</t>
  </si>
  <si>
    <t xml:space="preserve">pub-0756</t>
  </si>
  <si>
    <t xml:space="preserve">run-0757</t>
  </si>
  <si>
    <t xml:space="preserve">pub-0757</t>
  </si>
  <si>
    <t xml:space="preserve">run-0758</t>
  </si>
  <si>
    <t xml:space="preserve">pub-0758</t>
  </si>
  <si>
    <t xml:space="preserve">run-0759</t>
  </si>
  <si>
    <t xml:space="preserve">pub-0759</t>
  </si>
  <si>
    <t xml:space="preserve">run-0760</t>
  </si>
  <si>
    <t xml:space="preserve">pub-0760</t>
  </si>
  <si>
    <t xml:space="preserve">run-0761</t>
  </si>
  <si>
    <t xml:space="preserve">pub-0761</t>
  </si>
  <si>
    <t xml:space="preserve">run-0762</t>
  </si>
  <si>
    <t xml:space="preserve">pub-0762</t>
  </si>
  <si>
    <t xml:space="preserve">run-0763</t>
  </si>
  <si>
    <t xml:space="preserve">pub-0763</t>
  </si>
  <si>
    <t xml:space="preserve">run-0764</t>
  </si>
  <si>
    <t xml:space="preserve">pub-0764</t>
  </si>
  <si>
    <t xml:space="preserve">run-0765</t>
  </si>
  <si>
    <t xml:space="preserve">pub-0765</t>
  </si>
  <si>
    <t xml:space="preserve">run-0766</t>
  </si>
  <si>
    <t xml:space="preserve">pub-0766</t>
  </si>
  <si>
    <t xml:space="preserve">run-0767</t>
  </si>
  <si>
    <t xml:space="preserve">pub-0767</t>
  </si>
  <si>
    <t xml:space="preserve">run-0768</t>
  </si>
  <si>
    <t xml:space="preserve">pub-0768</t>
  </si>
  <si>
    <t xml:space="preserve">run-0769</t>
  </si>
  <si>
    <t xml:space="preserve">pub-0769</t>
  </si>
  <si>
    <t xml:space="preserve">run-0770</t>
  </si>
  <si>
    <t xml:space="preserve">pub-0770</t>
  </si>
  <si>
    <t xml:space="preserve">run-0771</t>
  </si>
  <si>
    <t xml:space="preserve">pub-0771</t>
  </si>
  <si>
    <t xml:space="preserve">run-0772</t>
  </si>
  <si>
    <t xml:space="preserve">pub-0772</t>
  </si>
  <si>
    <t xml:space="preserve">run-0773</t>
  </si>
  <si>
    <t xml:space="preserve">pub-0773</t>
  </si>
  <si>
    <t xml:space="preserve">run-0774</t>
  </si>
  <si>
    <t xml:space="preserve">pub-0774</t>
  </si>
  <si>
    <t xml:space="preserve">run-0775</t>
  </si>
  <si>
    <t xml:space="preserve">pub-0775</t>
  </si>
  <si>
    <t xml:space="preserve">run-0776</t>
  </si>
  <si>
    <t xml:space="preserve">pub-0776</t>
  </si>
  <si>
    <t xml:space="preserve">run-0777</t>
  </si>
  <si>
    <t xml:space="preserve">pub-0777</t>
  </si>
  <si>
    <t xml:space="preserve">run-0778</t>
  </si>
  <si>
    <t xml:space="preserve">pub-0778</t>
  </si>
  <si>
    <t xml:space="preserve">run-0779</t>
  </si>
  <si>
    <t xml:space="preserve">pub-0779</t>
  </si>
  <si>
    <t xml:space="preserve">run-0780</t>
  </si>
  <si>
    <t xml:space="preserve">relationships_intact</t>
  </si>
  <si>
    <t xml:space="preserve">run-0781</t>
  </si>
  <si>
    <t xml:space="preserve">pub-0781</t>
  </si>
  <si>
    <t xml:space="preserve">run-0782</t>
  </si>
  <si>
    <t xml:space="preserve">pub-0782</t>
  </si>
  <si>
    <t xml:space="preserve">run-0783</t>
  </si>
  <si>
    <t xml:space="preserve">pub-0783</t>
  </si>
  <si>
    <t xml:space="preserve">run-0784</t>
  </si>
  <si>
    <t xml:space="preserve">pub-0784</t>
  </si>
  <si>
    <t xml:space="preserve">run-0785</t>
  </si>
  <si>
    <t xml:space="preserve">pub-0785</t>
  </si>
  <si>
    <t xml:space="preserve">run-0786</t>
  </si>
  <si>
    <t xml:space="preserve">pub-0786</t>
  </si>
  <si>
    <t xml:space="preserve">run-0787</t>
  </si>
  <si>
    <t xml:space="preserve">pub-0787</t>
  </si>
  <si>
    <t xml:space="preserve">run-0788</t>
  </si>
  <si>
    <t xml:space="preserve">pub-0788</t>
  </si>
  <si>
    <t xml:space="preserve">run-0789</t>
  </si>
  <si>
    <t xml:space="preserve">pub-0789</t>
  </si>
  <si>
    <t xml:space="preserve">run-0790</t>
  </si>
  <si>
    <t xml:space="preserve">pub-0790</t>
  </si>
  <si>
    <t xml:space="preserve">run-0791</t>
  </si>
  <si>
    <t xml:space="preserve">pub-0791</t>
  </si>
  <si>
    <t xml:space="preserve">run-0792</t>
  </si>
  <si>
    <t xml:space="preserve">pub-0792</t>
  </si>
  <si>
    <t xml:space="preserve">run-0793</t>
  </si>
  <si>
    <t xml:space="preserve">pub-0793</t>
  </si>
  <si>
    <t xml:space="preserve">run-0794</t>
  </si>
  <si>
    <t xml:space="preserve">pub-0794</t>
  </si>
  <si>
    <t xml:space="preserve">run-0795</t>
  </si>
  <si>
    <t xml:space="preserve">pub-0795</t>
  </si>
  <si>
    <t xml:space="preserve">run-0796</t>
  </si>
  <si>
    <t xml:space="preserve">pub-0796</t>
  </si>
  <si>
    <t xml:space="preserve">run-0797</t>
  </si>
  <si>
    <t xml:space="preserve">pub-0797</t>
  </si>
  <si>
    <t xml:space="preserve">run-0798</t>
  </si>
  <si>
    <t xml:space="preserve">pub-0798</t>
  </si>
  <si>
    <t xml:space="preserve">run-0799</t>
  </si>
  <si>
    <t xml:space="preserve">pub-0799</t>
  </si>
  <si>
    <t xml:space="preserve">run-0800</t>
  </si>
  <si>
    <t xml:space="preserve">pub-0800</t>
  </si>
  <si>
    <t xml:space="preserve">run-0801</t>
  </si>
  <si>
    <t xml:space="preserve">pub-0801</t>
  </si>
  <si>
    <t xml:space="preserve">run-0802</t>
  </si>
  <si>
    <t xml:space="preserve">pub-0802</t>
  </si>
  <si>
    <t xml:space="preserve">run-0803</t>
  </si>
  <si>
    <t xml:space="preserve">pub-0803</t>
  </si>
  <si>
    <t xml:space="preserve">run-0804</t>
  </si>
  <si>
    <t xml:space="preserve">pub-0804</t>
  </si>
  <si>
    <t xml:space="preserve">run-0805</t>
  </si>
  <si>
    <t xml:space="preserve">pub-0805</t>
  </si>
  <si>
    <t xml:space="preserve">run-0806</t>
  </si>
  <si>
    <t xml:space="preserve">pub-0806</t>
  </si>
  <si>
    <t xml:space="preserve">run-0807</t>
  </si>
  <si>
    <t xml:space="preserve">pub-0807</t>
  </si>
  <si>
    <t xml:space="preserve">run-0808</t>
  </si>
  <si>
    <t xml:space="preserve">pub-0808</t>
  </si>
  <si>
    <t xml:space="preserve">run-0809</t>
  </si>
  <si>
    <t xml:space="preserve">pub-0809</t>
  </si>
  <si>
    <t xml:space="preserve">run-0810</t>
  </si>
  <si>
    <t xml:space="preserve">pub-0810</t>
  </si>
  <si>
    <t xml:space="preserve">run-0811</t>
  </si>
  <si>
    <t xml:space="preserve">pub-0811</t>
  </si>
  <si>
    <t xml:space="preserve">run-0812</t>
  </si>
  <si>
    <t xml:space="preserve">pub-0812</t>
  </si>
  <si>
    <t xml:space="preserve">run-0813</t>
  </si>
  <si>
    <t xml:space="preserve">pub-0813</t>
  </si>
  <si>
    <t xml:space="preserve">run-0814</t>
  </si>
  <si>
    <t xml:space="preserve">pub-0814</t>
  </si>
  <si>
    <t xml:space="preserve">run-0815</t>
  </si>
  <si>
    <t xml:space="preserve">pub-0815</t>
  </si>
  <si>
    <t xml:space="preserve">run-0816</t>
  </si>
  <si>
    <t xml:space="preserve">pub-0816</t>
  </si>
  <si>
    <t xml:space="preserve">run-0817</t>
  </si>
  <si>
    <t xml:space="preserve">pub-0817</t>
  </si>
  <si>
    <t xml:space="preserve">run-0818</t>
  </si>
  <si>
    <t xml:space="preserve">pub-0818</t>
  </si>
  <si>
    <t xml:space="preserve">run-0819</t>
  </si>
  <si>
    <t xml:space="preserve">pub-0819</t>
  </si>
  <si>
    <t xml:space="preserve">run-0820</t>
  </si>
  <si>
    <t xml:space="preserve">pub-0820</t>
  </si>
  <si>
    <t xml:space="preserve">run-0821</t>
  </si>
  <si>
    <t xml:space="preserve">pub-0821</t>
  </si>
  <si>
    <t xml:space="preserve">run-0822</t>
  </si>
  <si>
    <t xml:space="preserve">pub-0822</t>
  </si>
  <si>
    <t xml:space="preserve">run-0823</t>
  </si>
  <si>
    <t xml:space="preserve">pub-0823</t>
  </si>
  <si>
    <t xml:space="preserve">run-0824</t>
  </si>
  <si>
    <t xml:space="preserve">pub-0824</t>
  </si>
  <si>
    <t xml:space="preserve">run-0825</t>
  </si>
  <si>
    <t xml:space="preserve">pub-0825</t>
  </si>
  <si>
    <t xml:space="preserve">run-0826</t>
  </si>
  <si>
    <t xml:space="preserve">pub-0826</t>
  </si>
  <si>
    <t xml:space="preserve">run-0827</t>
  </si>
  <si>
    <t xml:space="preserve">pub-0827</t>
  </si>
  <si>
    <t xml:space="preserve">run-0828</t>
  </si>
  <si>
    <t xml:space="preserve">pub-0828</t>
  </si>
  <si>
    <t xml:space="preserve">run-0829</t>
  </si>
  <si>
    <t xml:space="preserve">pub-0829</t>
  </si>
  <si>
    <t xml:space="preserve">run-0830</t>
  </si>
  <si>
    <t xml:space="preserve">pub-0830</t>
  </si>
  <si>
    <t xml:space="preserve">run-0831</t>
  </si>
  <si>
    <t xml:space="preserve">pub-0831</t>
  </si>
  <si>
    <t xml:space="preserve">run-0832</t>
  </si>
  <si>
    <t xml:space="preserve">run-0833</t>
  </si>
  <si>
    <t xml:space="preserve">pub-0833</t>
  </si>
  <si>
    <t xml:space="preserve">run-0834</t>
  </si>
  <si>
    <t xml:space="preserve">pub-0834</t>
  </si>
  <si>
    <t xml:space="preserve">run-0835</t>
  </si>
  <si>
    <t xml:space="preserve">pub-0835</t>
  </si>
  <si>
    <t xml:space="preserve">run-0836</t>
  </si>
  <si>
    <t xml:space="preserve">pub-0836</t>
  </si>
  <si>
    <t xml:space="preserve">run-0837</t>
  </si>
  <si>
    <t xml:space="preserve">pub-0837</t>
  </si>
  <si>
    <t xml:space="preserve">run-0838</t>
  </si>
  <si>
    <t xml:space="preserve">pub-0838</t>
  </si>
  <si>
    <t xml:space="preserve">run-0839</t>
  </si>
  <si>
    <t xml:space="preserve">pub-0839</t>
  </si>
  <si>
    <t xml:space="preserve">run-0840</t>
  </si>
  <si>
    <t xml:space="preserve">pub-0840</t>
  </si>
  <si>
    <t xml:space="preserve">run-0841</t>
  </si>
  <si>
    <t xml:space="preserve">pub-0841</t>
  </si>
  <si>
    <t xml:space="preserve">run-0842</t>
  </si>
  <si>
    <t xml:space="preserve">pub-0842</t>
  </si>
  <si>
    <t xml:space="preserve">run-0843</t>
  </si>
  <si>
    <t xml:space="preserve">pub-0843</t>
  </si>
  <si>
    <t xml:space="preserve">run-0844</t>
  </si>
  <si>
    <t xml:space="preserve">pub-0844</t>
  </si>
  <si>
    <t xml:space="preserve">run-0845</t>
  </si>
  <si>
    <t xml:space="preserve">pub-0845</t>
  </si>
  <si>
    <t xml:space="preserve">run-0846</t>
  </si>
  <si>
    <t xml:space="preserve">pub-0846</t>
  </si>
  <si>
    <t xml:space="preserve">run-0847</t>
  </si>
  <si>
    <t xml:space="preserve">pub-0847</t>
  </si>
  <si>
    <t xml:space="preserve">run-0848</t>
  </si>
  <si>
    <t xml:space="preserve">pub-0848</t>
  </si>
  <si>
    <t xml:space="preserve">run-0849</t>
  </si>
  <si>
    <t xml:space="preserve">pub-0849</t>
  </si>
  <si>
    <t xml:space="preserve">run-0850</t>
  </si>
  <si>
    <t xml:space="preserve">pub-0850</t>
  </si>
  <si>
    <t xml:space="preserve">run-0851</t>
  </si>
  <si>
    <t xml:space="preserve">pub-0851</t>
  </si>
  <si>
    <t xml:space="preserve">run-0852</t>
  </si>
  <si>
    <t xml:space="preserve">pub-0852</t>
  </si>
  <si>
    <t xml:space="preserve">run-0853</t>
  </si>
  <si>
    <t xml:space="preserve">pub-0853</t>
  </si>
  <si>
    <t xml:space="preserve">run-0854</t>
  </si>
  <si>
    <t xml:space="preserve">pub-0854</t>
  </si>
  <si>
    <t xml:space="preserve">run-0855</t>
  </si>
  <si>
    <t xml:space="preserve">pub-0855</t>
  </si>
  <si>
    <t xml:space="preserve">run-0856</t>
  </si>
  <si>
    <t xml:space="preserve">pub-0856</t>
  </si>
  <si>
    <t xml:space="preserve">run-0857</t>
  </si>
  <si>
    <t xml:space="preserve">pub-0857</t>
  </si>
  <si>
    <t xml:space="preserve">run-0858</t>
  </si>
  <si>
    <t xml:space="preserve">pub-0858</t>
  </si>
  <si>
    <t xml:space="preserve">run-0859</t>
  </si>
  <si>
    <t xml:space="preserve">pub-0859</t>
  </si>
  <si>
    <t xml:space="preserve">run-0860</t>
  </si>
  <si>
    <t xml:space="preserve">pub-0860</t>
  </si>
  <si>
    <t xml:space="preserve">run-0861</t>
  </si>
  <si>
    <t xml:space="preserve">pub-0861</t>
  </si>
  <si>
    <t xml:space="preserve">run-0862</t>
  </si>
  <si>
    <t xml:space="preserve">pub-0862</t>
  </si>
  <si>
    <t xml:space="preserve">run-0863</t>
  </si>
  <si>
    <t xml:space="preserve">pub-0863</t>
  </si>
  <si>
    <t xml:space="preserve">run-0864</t>
  </si>
  <si>
    <t xml:space="preserve">pub-0864</t>
  </si>
  <si>
    <t xml:space="preserve">run-0865</t>
  </si>
  <si>
    <t xml:space="preserve">pub-0865</t>
  </si>
  <si>
    <t xml:space="preserve">run-0866</t>
  </si>
  <si>
    <t xml:space="preserve">pub-0866</t>
  </si>
  <si>
    <t xml:space="preserve">run-0867</t>
  </si>
  <si>
    <t xml:space="preserve">pub-0867</t>
  </si>
  <si>
    <t xml:space="preserve">run-0868</t>
  </si>
  <si>
    <t xml:space="preserve">pub-0868</t>
  </si>
  <si>
    <t xml:space="preserve">run-0869</t>
  </si>
  <si>
    <t xml:space="preserve">pub-0869</t>
  </si>
  <si>
    <t xml:space="preserve">run-0870</t>
  </si>
  <si>
    <t xml:space="preserve">pub-0870</t>
  </si>
  <si>
    <t xml:space="preserve">run-0871</t>
  </si>
  <si>
    <t xml:space="preserve">pub-0871</t>
  </si>
  <si>
    <t xml:space="preserve">run-0872</t>
  </si>
  <si>
    <t xml:space="preserve">pub-0872</t>
  </si>
  <si>
    <t xml:space="preserve">run-0873</t>
  </si>
  <si>
    <t xml:space="preserve">pub-0873</t>
  </si>
  <si>
    <t xml:space="preserve">run-0874</t>
  </si>
  <si>
    <t xml:space="preserve">pub-0874</t>
  </si>
  <si>
    <t xml:space="preserve">run-0875</t>
  </si>
  <si>
    <t xml:space="preserve">pub-0875</t>
  </si>
  <si>
    <t xml:space="preserve">run-0876</t>
  </si>
  <si>
    <t xml:space="preserve">pub-0876</t>
  </si>
  <si>
    <t xml:space="preserve">run-0877</t>
  </si>
  <si>
    <t xml:space="preserve">pub-0877</t>
  </si>
  <si>
    <t xml:space="preserve">run-0878</t>
  </si>
  <si>
    <t xml:space="preserve">pub-0878</t>
  </si>
  <si>
    <t xml:space="preserve">run-0879</t>
  </si>
  <si>
    <t xml:space="preserve">pub-0879</t>
  </si>
  <si>
    <t xml:space="preserve">run-0880</t>
  </si>
  <si>
    <t xml:space="preserve">pub-0880</t>
  </si>
  <si>
    <t xml:space="preserve">run-0881</t>
  </si>
  <si>
    <t xml:space="preserve">pub-0881</t>
  </si>
  <si>
    <t xml:space="preserve">run-0882</t>
  </si>
  <si>
    <t xml:space="preserve">pub-0882</t>
  </si>
  <si>
    <t xml:space="preserve">run-0883</t>
  </si>
  <si>
    <t xml:space="preserve">pub-0883</t>
  </si>
  <si>
    <t xml:space="preserve">run-0884</t>
  </si>
  <si>
    <t xml:space="preserve">pub-0884</t>
  </si>
  <si>
    <t xml:space="preserve">run-0885</t>
  </si>
  <si>
    <t xml:space="preserve">pub-0885</t>
  </si>
  <si>
    <t xml:space="preserve">run-0886</t>
  </si>
  <si>
    <t xml:space="preserve">pub-0886</t>
  </si>
  <si>
    <t xml:space="preserve">run-0887</t>
  </si>
  <si>
    <t xml:space="preserve">pub-0887</t>
  </si>
  <si>
    <t xml:space="preserve">run-0888</t>
  </si>
  <si>
    <t xml:space="preserve">pub-0888</t>
  </si>
  <si>
    <t xml:space="preserve">run-0889</t>
  </si>
  <si>
    <t xml:space="preserve">pub-0889</t>
  </si>
  <si>
    <t xml:space="preserve">run-0890</t>
  </si>
  <si>
    <t xml:space="preserve">pub-0890</t>
  </si>
  <si>
    <t xml:space="preserve">run-0891</t>
  </si>
  <si>
    <t xml:space="preserve">pub-0891</t>
  </si>
  <si>
    <t xml:space="preserve">run-0892</t>
  </si>
  <si>
    <t xml:space="preserve">pub-0892</t>
  </si>
  <si>
    <t xml:space="preserve">run-0893</t>
  </si>
  <si>
    <t xml:space="preserve">pub-0893</t>
  </si>
  <si>
    <t xml:space="preserve">run-0894</t>
  </si>
  <si>
    <t xml:space="preserve">pub-0894</t>
  </si>
  <si>
    <t xml:space="preserve">run-0895</t>
  </si>
  <si>
    <t xml:space="preserve">pub-0895</t>
  </si>
  <si>
    <t xml:space="preserve">run-0896</t>
  </si>
  <si>
    <t xml:space="preserve">pub-0896</t>
  </si>
  <si>
    <t xml:space="preserve">run-0897</t>
  </si>
  <si>
    <t xml:space="preserve">pub-0897</t>
  </si>
  <si>
    <t xml:space="preserve">run-0898</t>
  </si>
  <si>
    <t xml:space="preserve">pub-0898</t>
  </si>
  <si>
    <t xml:space="preserve">run-0899</t>
  </si>
  <si>
    <t xml:space="preserve">pub-0899</t>
  </si>
  <si>
    <t xml:space="preserve">run-0900</t>
  </si>
  <si>
    <t xml:space="preserve">pub-0900</t>
  </si>
  <si>
    <t xml:space="preserve">run-0901</t>
  </si>
  <si>
    <t xml:space="preserve">pub-0901</t>
  </si>
  <si>
    <t xml:space="preserve">run-0902</t>
  </si>
  <si>
    <t xml:space="preserve">pub-0902</t>
  </si>
  <si>
    <t xml:space="preserve">run-0903</t>
  </si>
  <si>
    <t xml:space="preserve">pub-0903</t>
  </si>
  <si>
    <t xml:space="preserve">run-0904</t>
  </si>
  <si>
    <t xml:space="preserve">pub-0904</t>
  </si>
  <si>
    <t xml:space="preserve">run-0905</t>
  </si>
  <si>
    <t xml:space="preserve">pub-0905</t>
  </si>
  <si>
    <t xml:space="preserve">run-0906</t>
  </si>
  <si>
    <t xml:space="preserve">pub-0906</t>
  </si>
  <si>
    <t xml:space="preserve">run-0907</t>
  </si>
  <si>
    <t xml:space="preserve">pub-0907</t>
  </si>
  <si>
    <t xml:space="preserve">run-0908</t>
  </si>
  <si>
    <t xml:space="preserve">pub-0908</t>
  </si>
  <si>
    <t xml:space="preserve">run-0909</t>
  </si>
  <si>
    <t xml:space="preserve">pub-0909</t>
  </si>
  <si>
    <t xml:space="preserve">run-0910</t>
  </si>
  <si>
    <t xml:space="preserve">pub-0910</t>
  </si>
  <si>
    <t xml:space="preserve">run-0911</t>
  </si>
  <si>
    <t xml:space="preserve">pub-0911</t>
  </si>
  <si>
    <t xml:space="preserve">run-0912</t>
  </si>
  <si>
    <t xml:space="preserve">pub-0912</t>
  </si>
  <si>
    <t xml:space="preserve">run-0913</t>
  </si>
  <si>
    <t xml:space="preserve">pub-0913</t>
  </si>
  <si>
    <t xml:space="preserve">run-0914</t>
  </si>
  <si>
    <t xml:space="preserve">pub-0914</t>
  </si>
  <si>
    <t xml:space="preserve">run-0915</t>
  </si>
  <si>
    <t xml:space="preserve">pub-0915</t>
  </si>
  <si>
    <t xml:space="preserve">run-0916</t>
  </si>
  <si>
    <t xml:space="preserve">pub-0916</t>
  </si>
  <si>
    <t xml:space="preserve">run-0917</t>
  </si>
  <si>
    <t xml:space="preserve">pub-0917</t>
  </si>
  <si>
    <t xml:space="preserve">run-0918</t>
  </si>
  <si>
    <t xml:space="preserve">pub-0918</t>
  </si>
  <si>
    <t xml:space="preserve">run-0919</t>
  </si>
  <si>
    <t xml:space="preserve">pub-0919</t>
  </si>
  <si>
    <t xml:space="preserve">run-0920</t>
  </si>
  <si>
    <t xml:space="preserve">pub-0920</t>
  </si>
  <si>
    <t xml:space="preserve">run-0921</t>
  </si>
  <si>
    <t xml:space="preserve">pub-0921</t>
  </si>
  <si>
    <t xml:space="preserve">run-0922</t>
  </si>
  <si>
    <t xml:space="preserve">pub-0922</t>
  </si>
  <si>
    <t xml:space="preserve">run-0923</t>
  </si>
  <si>
    <t xml:space="preserve">pub-0923</t>
  </si>
  <si>
    <t xml:space="preserve">run-0924</t>
  </si>
  <si>
    <t xml:space="preserve">pub-0924</t>
  </si>
  <si>
    <t xml:space="preserve">run-0925</t>
  </si>
  <si>
    <t xml:space="preserve">pub-0925</t>
  </si>
  <si>
    <t xml:space="preserve">run-0926</t>
  </si>
  <si>
    <t xml:space="preserve">pub-0926</t>
  </si>
  <si>
    <t xml:space="preserve">run-0927</t>
  </si>
  <si>
    <t xml:space="preserve">pub-0927</t>
  </si>
  <si>
    <t xml:space="preserve">run-0928</t>
  </si>
  <si>
    <t xml:space="preserve">pub-0928</t>
  </si>
  <si>
    <t xml:space="preserve">run-0929</t>
  </si>
  <si>
    <t xml:space="preserve">pub-0929</t>
  </si>
  <si>
    <t xml:space="preserve">run-0930</t>
  </si>
  <si>
    <t xml:space="preserve">pub-0930</t>
  </si>
  <si>
    <t xml:space="preserve">run-0931</t>
  </si>
  <si>
    <t xml:space="preserve">pub-0931</t>
  </si>
  <si>
    <t xml:space="preserve">run-0932</t>
  </si>
  <si>
    <t xml:space="preserve">pub-0932</t>
  </si>
  <si>
    <t xml:space="preserve">run-0933</t>
  </si>
  <si>
    <t xml:space="preserve">pub-0933</t>
  </si>
  <si>
    <t xml:space="preserve">run-0934</t>
  </si>
  <si>
    <t xml:space="preserve">pub-0934</t>
  </si>
  <si>
    <t xml:space="preserve">run-0935</t>
  </si>
  <si>
    <t xml:space="preserve">pub-0935</t>
  </si>
  <si>
    <t xml:space="preserve">run-0936</t>
  </si>
  <si>
    <t xml:space="preserve">pub-0936</t>
  </si>
  <si>
    <t xml:space="preserve">run-0937</t>
  </si>
  <si>
    <t xml:space="preserve">pub-0937</t>
  </si>
  <si>
    <t xml:space="preserve">run-0938</t>
  </si>
  <si>
    <t xml:space="preserve">pub-0938</t>
  </si>
  <si>
    <t xml:space="preserve">run-0939</t>
  </si>
  <si>
    <t xml:space="preserve">pub-0939</t>
  </si>
  <si>
    <t xml:space="preserve">run-0940</t>
  </si>
  <si>
    <t xml:space="preserve">pub-0940</t>
  </si>
  <si>
    <t xml:space="preserve">run-0941</t>
  </si>
  <si>
    <t xml:space="preserve">pub-0941</t>
  </si>
  <si>
    <t xml:space="preserve">run-0942</t>
  </si>
  <si>
    <t xml:space="preserve">pub-0942</t>
  </si>
  <si>
    <t xml:space="preserve">run-0943</t>
  </si>
  <si>
    <t xml:space="preserve">pub-0943</t>
  </si>
  <si>
    <t xml:space="preserve">run-0944</t>
  </si>
  <si>
    <t xml:space="preserve">pub-0944</t>
  </si>
  <si>
    <t xml:space="preserve">run-0945</t>
  </si>
  <si>
    <t xml:space="preserve">pub-0945</t>
  </si>
  <si>
    <t xml:space="preserve">run-0946</t>
  </si>
  <si>
    <t xml:space="preserve">pub-0946</t>
  </si>
  <si>
    <t xml:space="preserve">run-0947</t>
  </si>
  <si>
    <t xml:space="preserve">pub-0947</t>
  </si>
  <si>
    <t xml:space="preserve">run-0948</t>
  </si>
  <si>
    <t xml:space="preserve">pub-0948</t>
  </si>
  <si>
    <t xml:space="preserve">run-0949</t>
  </si>
  <si>
    <t xml:space="preserve">pub-0949</t>
  </si>
  <si>
    <t xml:space="preserve">run-0950</t>
  </si>
  <si>
    <t xml:space="preserve">pub-0950</t>
  </si>
  <si>
    <t xml:space="preserve">run-0951</t>
  </si>
  <si>
    <t xml:space="preserve">pub-0951</t>
  </si>
  <si>
    <t xml:space="preserve">run-0952</t>
  </si>
  <si>
    <t xml:space="preserve">pub-0952</t>
  </si>
  <si>
    <t xml:space="preserve">run-0953</t>
  </si>
  <si>
    <t xml:space="preserve">pub-0953</t>
  </si>
  <si>
    <t xml:space="preserve">run-0954</t>
  </si>
  <si>
    <t xml:space="preserve">pub-0954</t>
  </si>
  <si>
    <t xml:space="preserve">run-0955</t>
  </si>
  <si>
    <t xml:space="preserve">pub-0955</t>
  </si>
  <si>
    <t xml:space="preserve">run-0956</t>
  </si>
  <si>
    <t xml:space="preserve">pub-0956</t>
  </si>
  <si>
    <t xml:space="preserve">run-0957</t>
  </si>
  <si>
    <t xml:space="preserve">pub-0957</t>
  </si>
  <si>
    <t xml:space="preserve">run-0958</t>
  </si>
  <si>
    <t xml:space="preserve">pub-0958</t>
  </si>
  <si>
    <t xml:space="preserve">run-0959</t>
  </si>
  <si>
    <t xml:space="preserve">pub-0959</t>
  </si>
  <si>
    <t xml:space="preserve">run-0960</t>
  </si>
  <si>
    <t xml:space="preserve">pub-0960</t>
  </si>
  <si>
    <t xml:space="preserve">run-0961</t>
  </si>
  <si>
    <t xml:space="preserve">pub-0961</t>
  </si>
  <si>
    <t xml:space="preserve">run-0962</t>
  </si>
  <si>
    <t xml:space="preserve">pub-0962</t>
  </si>
  <si>
    <t xml:space="preserve">run-0963</t>
  </si>
  <si>
    <t xml:space="preserve">pub-0963</t>
  </si>
  <si>
    <t xml:space="preserve">run-0964</t>
  </si>
  <si>
    <t xml:space="preserve">pub-0964</t>
  </si>
  <si>
    <t xml:space="preserve">run-0965</t>
  </si>
  <si>
    <t xml:space="preserve">pub-0965</t>
  </si>
  <si>
    <t xml:space="preserve">run-0966</t>
  </si>
  <si>
    <t xml:space="preserve">pub-0966</t>
  </si>
  <si>
    <t xml:space="preserve">run-0967</t>
  </si>
  <si>
    <t xml:space="preserve">pub-0967</t>
  </si>
  <si>
    <t xml:space="preserve">run-0968</t>
  </si>
  <si>
    <t xml:space="preserve">pub-0968</t>
  </si>
  <si>
    <t xml:space="preserve">run-0969</t>
  </si>
  <si>
    <t xml:space="preserve">pub-0969</t>
  </si>
  <si>
    <t xml:space="preserve">run-0970</t>
  </si>
  <si>
    <t xml:space="preserve">pub-0970</t>
  </si>
  <si>
    <t xml:space="preserve">run-0971</t>
  </si>
  <si>
    <t xml:space="preserve">pub-0971</t>
  </si>
  <si>
    <t xml:space="preserve">run-0972</t>
  </si>
  <si>
    <t xml:space="preserve">pub-0972</t>
  </si>
  <si>
    <t xml:space="preserve">run-0973</t>
  </si>
  <si>
    <t xml:space="preserve">pub-0973</t>
  </si>
  <si>
    <t xml:space="preserve">run-0974</t>
  </si>
  <si>
    <t xml:space="preserve">pub-0974</t>
  </si>
  <si>
    <t xml:space="preserve">run-0975</t>
  </si>
  <si>
    <t xml:space="preserve">pub-0975</t>
  </si>
  <si>
    <t xml:space="preserve">run-0976</t>
  </si>
  <si>
    <t xml:space="preserve">pub-0976</t>
  </si>
  <si>
    <t xml:space="preserve">run-0977</t>
  </si>
  <si>
    <t xml:space="preserve">pub-0977</t>
  </si>
  <si>
    <t xml:space="preserve">run-0978</t>
  </si>
  <si>
    <t xml:space="preserve">pub-0978</t>
  </si>
  <si>
    <t xml:space="preserve">run-0979</t>
  </si>
  <si>
    <t xml:space="preserve">pub-0979</t>
  </si>
  <si>
    <t xml:space="preserve">run-0980</t>
  </si>
  <si>
    <t xml:space="preserve">pub-0980</t>
  </si>
  <si>
    <t xml:space="preserve">run-0981</t>
  </si>
  <si>
    <t xml:space="preserve">pub-0981</t>
  </si>
  <si>
    <t xml:space="preserve">run-0982</t>
  </si>
  <si>
    <t xml:space="preserve">pub-0982</t>
  </si>
  <si>
    <t xml:space="preserve">run-0983</t>
  </si>
  <si>
    <t xml:space="preserve">pub-0983</t>
  </si>
  <si>
    <t xml:space="preserve">run-0984</t>
  </si>
  <si>
    <t xml:space="preserve">pub-0984</t>
  </si>
  <si>
    <t xml:space="preserve">run-0985</t>
  </si>
  <si>
    <t xml:space="preserve">pub-0985</t>
  </si>
  <si>
    <t xml:space="preserve">run-0986</t>
  </si>
  <si>
    <t xml:space="preserve">pub-0986</t>
  </si>
  <si>
    <t xml:space="preserve">run-0987</t>
  </si>
  <si>
    <t xml:space="preserve">pub-0987</t>
  </si>
  <si>
    <t xml:space="preserve">run-0988</t>
  </si>
  <si>
    <t xml:space="preserve">pub-0988</t>
  </si>
  <si>
    <t xml:space="preserve">run-0989</t>
  </si>
  <si>
    <t xml:space="preserve">pub-0989</t>
  </si>
  <si>
    <t xml:space="preserve">run-0990</t>
  </si>
  <si>
    <t xml:space="preserve">pub-0990</t>
  </si>
  <si>
    <t xml:space="preserve">run-0991</t>
  </si>
  <si>
    <t xml:space="preserve">pub-0991</t>
  </si>
  <si>
    <t xml:space="preserve">run-0992</t>
  </si>
  <si>
    <t xml:space="preserve">pub-0992</t>
  </si>
  <si>
    <t xml:space="preserve">run-0993</t>
  </si>
  <si>
    <t xml:space="preserve">pub-0993</t>
  </si>
  <si>
    <t xml:space="preserve">run-0994</t>
  </si>
  <si>
    <t xml:space="preserve">pub-0994</t>
  </si>
  <si>
    <t xml:space="preserve">run-0995</t>
  </si>
  <si>
    <t xml:space="preserve">pub-0995</t>
  </si>
  <si>
    <t xml:space="preserve">run-0996</t>
  </si>
  <si>
    <t xml:space="preserve">pub-0996</t>
  </si>
  <si>
    <t xml:space="preserve">run-0997</t>
  </si>
  <si>
    <t xml:space="preserve">run-0998</t>
  </si>
  <si>
    <t xml:space="preserve">pub-0998</t>
  </si>
  <si>
    <t xml:space="preserve">run-0999</t>
  </si>
  <si>
    <t xml:space="preserve">pub-0999</t>
  </si>
  <si>
    <t xml:space="preserve">run-1000</t>
  </si>
  <si>
    <t xml:space="preserve">pub-1000</t>
  </si>
  <si>
    <t xml:space="preserve">run-1001</t>
  </si>
  <si>
    <t xml:space="preserve">pub-1001</t>
  </si>
  <si>
    <t xml:space="preserve">run-1002</t>
  </si>
  <si>
    <t xml:space="preserve">pub-1002</t>
  </si>
  <si>
    <t xml:space="preserve">run-1003</t>
  </si>
  <si>
    <t xml:space="preserve">pub-1003</t>
  </si>
  <si>
    <t xml:space="preserve">run-1004</t>
  </si>
  <si>
    <t xml:space="preserve">pub-1004</t>
  </si>
  <si>
    <t xml:space="preserve">run-1005</t>
  </si>
  <si>
    <t xml:space="preserve">pub-1005</t>
  </si>
  <si>
    <t xml:space="preserve">run-1006</t>
  </si>
  <si>
    <t xml:space="preserve">pub-1006</t>
  </si>
  <si>
    <t xml:space="preserve">run-1007</t>
  </si>
  <si>
    <t xml:space="preserve">pub-1007</t>
  </si>
  <si>
    <t xml:space="preserve">run-1008</t>
  </si>
  <si>
    <t xml:space="preserve">pub-1008</t>
  </si>
  <si>
    <t xml:space="preserve">run-1009</t>
  </si>
  <si>
    <t xml:space="preserve">pub-1009</t>
  </si>
  <si>
    <t xml:space="preserve">run-1010</t>
  </si>
  <si>
    <t xml:space="preserve">pub-1010</t>
  </si>
  <si>
    <t xml:space="preserve">run-1011</t>
  </si>
  <si>
    <t xml:space="preserve">pub-1011</t>
  </si>
  <si>
    <t xml:space="preserve">run-1012</t>
  </si>
  <si>
    <t xml:space="preserve">pub-1012</t>
  </si>
  <si>
    <t xml:space="preserve">run-1013</t>
  </si>
  <si>
    <t xml:space="preserve">pub-1013</t>
  </si>
  <si>
    <t xml:space="preserve">run-1014</t>
  </si>
  <si>
    <t xml:space="preserve">pub-1014</t>
  </si>
  <si>
    <t xml:space="preserve">run-1015</t>
  </si>
  <si>
    <t xml:space="preserve">pub-1015</t>
  </si>
  <si>
    <t xml:space="preserve">run-1016</t>
  </si>
  <si>
    <t xml:space="preserve">pub-1016</t>
  </si>
  <si>
    <t xml:space="preserve">run-1017</t>
  </si>
  <si>
    <t xml:space="preserve">pub-1017</t>
  </si>
  <si>
    <t xml:space="preserve">run-1018</t>
  </si>
  <si>
    <t xml:space="preserve">pub-1018</t>
  </si>
  <si>
    <t xml:space="preserve">run-1019</t>
  </si>
  <si>
    <t xml:space="preserve">pub-1019</t>
  </si>
  <si>
    <t xml:space="preserve">run-1020</t>
  </si>
  <si>
    <t xml:space="preserve">pub-1020</t>
  </si>
  <si>
    <t xml:space="preserve">run-1021</t>
  </si>
  <si>
    <t xml:space="preserve">pub-1021</t>
  </si>
  <si>
    <t xml:space="preserve">run-1022</t>
  </si>
  <si>
    <t xml:space="preserve">pub-1022</t>
  </si>
  <si>
    <t xml:space="preserve">run-1023</t>
  </si>
  <si>
    <t xml:space="preserve">pub-1023</t>
  </si>
  <si>
    <t xml:space="preserve">run-1024</t>
  </si>
  <si>
    <t xml:space="preserve">pub-1024</t>
  </si>
  <si>
    <t xml:space="preserve">run-1025</t>
  </si>
  <si>
    <t xml:space="preserve">pub-1025</t>
  </si>
  <si>
    <t xml:space="preserve">run-1026</t>
  </si>
  <si>
    <t xml:space="preserve">pub-1026</t>
  </si>
  <si>
    <t xml:space="preserve">run-1027</t>
  </si>
  <si>
    <t xml:space="preserve">pub-1027</t>
  </si>
  <si>
    <t xml:space="preserve">run-1028</t>
  </si>
  <si>
    <t xml:space="preserve">pub-1028</t>
  </si>
  <si>
    <t xml:space="preserve">run-1029</t>
  </si>
  <si>
    <t xml:space="preserve">pub-1029</t>
  </si>
  <si>
    <t xml:space="preserve">run-1030</t>
  </si>
  <si>
    <t xml:space="preserve">pub-1030</t>
  </si>
  <si>
    <t xml:space="preserve">run-1031</t>
  </si>
  <si>
    <t xml:space="preserve">pub-1031</t>
  </si>
  <si>
    <t xml:space="preserve">run-1032</t>
  </si>
  <si>
    <t xml:space="preserve">pub-1032</t>
  </si>
  <si>
    <t xml:space="preserve">run-1033</t>
  </si>
  <si>
    <t xml:space="preserve">pub-1033</t>
  </si>
  <si>
    <t xml:space="preserve">run-1034</t>
  </si>
  <si>
    <t xml:space="preserve">pub-1034</t>
  </si>
  <si>
    <t xml:space="preserve">run-1035</t>
  </si>
  <si>
    <t xml:space="preserve">pub-1035</t>
  </si>
  <si>
    <t xml:space="preserve">run-1036</t>
  </si>
  <si>
    <t xml:space="preserve">pub-1036</t>
  </si>
  <si>
    <t xml:space="preserve">run-1037</t>
  </si>
  <si>
    <t xml:space="preserve">pub-1037</t>
  </si>
  <si>
    <t xml:space="preserve">run-1038</t>
  </si>
  <si>
    <t xml:space="preserve">pub-1038</t>
  </si>
  <si>
    <t xml:space="preserve">run-1039</t>
  </si>
  <si>
    <t xml:space="preserve">pub-1039</t>
  </si>
  <si>
    <t xml:space="preserve">run-1040</t>
  </si>
  <si>
    <t xml:space="preserve">pub-1040</t>
  </si>
  <si>
    <t xml:space="preserve">run-1041</t>
  </si>
  <si>
    <t xml:space="preserve">pub-1041</t>
  </si>
  <si>
    <t xml:space="preserve">run-1042</t>
  </si>
  <si>
    <t xml:space="preserve">pub-1042</t>
  </si>
  <si>
    <t xml:space="preserve">run-1043</t>
  </si>
  <si>
    <t xml:space="preserve">pub-1043</t>
  </si>
  <si>
    <t xml:space="preserve">run-1044</t>
  </si>
  <si>
    <t xml:space="preserve">pub-1044</t>
  </si>
  <si>
    <t xml:space="preserve">run-1045</t>
  </si>
  <si>
    <t xml:space="preserve">pub-1045</t>
  </si>
  <si>
    <t xml:space="preserve">run-1046</t>
  </si>
  <si>
    <t xml:space="preserve">pub-1046</t>
  </si>
  <si>
    <t xml:space="preserve">run-1047</t>
  </si>
  <si>
    <t xml:space="preserve">pub-1047</t>
  </si>
  <si>
    <t xml:space="preserve">run-1048</t>
  </si>
  <si>
    <t xml:space="preserve">pub-1048</t>
  </si>
  <si>
    <t xml:space="preserve">run-1049</t>
  </si>
  <si>
    <t xml:space="preserve">pub-1049</t>
  </si>
  <si>
    <t xml:space="preserve">run-1050</t>
  </si>
  <si>
    <t xml:space="preserve">pub-1050</t>
  </si>
  <si>
    <t xml:space="preserve">run-1051</t>
  </si>
  <si>
    <t xml:space="preserve">pub-1051</t>
  </si>
  <si>
    <t xml:space="preserve">run-1052</t>
  </si>
  <si>
    <t xml:space="preserve">pub-1052</t>
  </si>
  <si>
    <t xml:space="preserve">run-1053</t>
  </si>
  <si>
    <t xml:space="preserve">pub-1053</t>
  </si>
  <si>
    <t xml:space="preserve">run-1054</t>
  </si>
  <si>
    <t xml:space="preserve">pub-1054</t>
  </si>
  <si>
    <t xml:space="preserve">run-1055</t>
  </si>
  <si>
    <t xml:space="preserve">pub-1055</t>
  </si>
  <si>
    <t xml:space="preserve">run-1056</t>
  </si>
  <si>
    <t xml:space="preserve">pub-1056</t>
  </si>
  <si>
    <t xml:space="preserve">run-1057</t>
  </si>
  <si>
    <t xml:space="preserve">pub-1057</t>
  </si>
  <si>
    <t xml:space="preserve">run-1058</t>
  </si>
  <si>
    <t xml:space="preserve">pub-1058</t>
  </si>
  <si>
    <t xml:space="preserve">run-1059</t>
  </si>
  <si>
    <t xml:space="preserve">pub-1059</t>
  </si>
  <si>
    <t xml:space="preserve">run-1060</t>
  </si>
  <si>
    <t xml:space="preserve">pub-1060</t>
  </si>
  <si>
    <t xml:space="preserve">run-1061</t>
  </si>
  <si>
    <t xml:space="preserve">pub-1061</t>
  </si>
  <si>
    <t xml:space="preserve">run-1062</t>
  </si>
  <si>
    <t xml:space="preserve">pub-1062</t>
  </si>
  <si>
    <t xml:space="preserve">run-1063</t>
  </si>
  <si>
    <t xml:space="preserve">pub-1063</t>
  </si>
  <si>
    <t xml:space="preserve">run-1064</t>
  </si>
  <si>
    <t xml:space="preserve">pub-1064</t>
  </si>
  <si>
    <t xml:space="preserve">run-1065</t>
  </si>
  <si>
    <t xml:space="preserve">pub-1065</t>
  </si>
  <si>
    <t xml:space="preserve">run-1066</t>
  </si>
  <si>
    <t xml:space="preserve">pub-1066</t>
  </si>
  <si>
    <t xml:space="preserve">run-1067</t>
  </si>
  <si>
    <t xml:space="preserve">pub-1067</t>
  </si>
  <si>
    <t xml:space="preserve">run-1068</t>
  </si>
  <si>
    <t xml:space="preserve">pub-1068</t>
  </si>
  <si>
    <t xml:space="preserve">run-1069</t>
  </si>
  <si>
    <t xml:space="preserve">pub-1069</t>
  </si>
  <si>
    <t xml:space="preserve">run-1070</t>
  </si>
  <si>
    <t xml:space="preserve">pub-1070</t>
  </si>
  <si>
    <t xml:space="preserve">run-1071</t>
  </si>
  <si>
    <t xml:space="preserve">pub-1071</t>
  </si>
  <si>
    <t xml:space="preserve">run-1072</t>
  </si>
  <si>
    <t xml:space="preserve">pub-1072</t>
  </si>
  <si>
    <t xml:space="preserve">run-1073</t>
  </si>
  <si>
    <t xml:space="preserve">pub-1073</t>
  </si>
  <si>
    <t xml:space="preserve">run-1074</t>
  </si>
  <si>
    <t xml:space="preserve">pub-1074</t>
  </si>
  <si>
    <t xml:space="preserve">run-1075</t>
  </si>
  <si>
    <t xml:space="preserve">pub-1075</t>
  </si>
  <si>
    <t xml:space="preserve">run-1076</t>
  </si>
  <si>
    <t xml:space="preserve">pub-1076</t>
  </si>
  <si>
    <t xml:space="preserve">run-1077</t>
  </si>
  <si>
    <t xml:space="preserve">pub-1077</t>
  </si>
  <si>
    <t xml:space="preserve">run-1078</t>
  </si>
  <si>
    <t xml:space="preserve">pub-1078</t>
  </si>
  <si>
    <t xml:space="preserve">run-1079</t>
  </si>
  <si>
    <t xml:space="preserve">pub-1079</t>
  </si>
  <si>
    <t xml:space="preserve">run-1080</t>
  </si>
  <si>
    <t xml:space="preserve">pub-1080</t>
  </si>
  <si>
    <t xml:space="preserve">run-1081</t>
  </si>
  <si>
    <t xml:space="preserve">pub-1081</t>
  </si>
  <si>
    <t xml:space="preserve">run-1082</t>
  </si>
  <si>
    <t xml:space="preserve">pub-1082</t>
  </si>
  <si>
    <t xml:space="preserve">run-1083</t>
  </si>
  <si>
    <t xml:space="preserve">pub-1083</t>
  </si>
  <si>
    <t xml:space="preserve">run-1084</t>
  </si>
  <si>
    <t xml:space="preserve">pub-1084</t>
  </si>
  <si>
    <t xml:space="preserve">run-1085</t>
  </si>
  <si>
    <t xml:space="preserve">pub-1085</t>
  </si>
  <si>
    <t xml:space="preserve">run-1086</t>
  </si>
  <si>
    <t xml:space="preserve">pub-1086</t>
  </si>
  <si>
    <t xml:space="preserve">run-1087</t>
  </si>
  <si>
    <t xml:space="preserve">pub-1087</t>
  </si>
  <si>
    <t xml:space="preserve">run-1088</t>
  </si>
  <si>
    <t xml:space="preserve">pub-1088</t>
  </si>
  <si>
    <t xml:space="preserve">run-1089</t>
  </si>
  <si>
    <t xml:space="preserve">pub-1089</t>
  </si>
  <si>
    <t xml:space="preserve">run-1090</t>
  </si>
  <si>
    <t xml:space="preserve">pub-1090</t>
  </si>
  <si>
    <t xml:space="preserve">run-1091</t>
  </si>
  <si>
    <t xml:space="preserve">pub-1091</t>
  </si>
  <si>
    <t xml:space="preserve">run-1092</t>
  </si>
  <si>
    <t xml:space="preserve">pub-1092</t>
  </si>
  <si>
    <t xml:space="preserve">run-1093</t>
  </si>
  <si>
    <t xml:space="preserve">pub-1093</t>
  </si>
  <si>
    <t xml:space="preserve">run-1094</t>
  </si>
  <si>
    <t xml:space="preserve">pub-1094</t>
  </si>
  <si>
    <t xml:space="preserve">run-1095</t>
  </si>
  <si>
    <t xml:space="preserve">pub-1095</t>
  </si>
  <si>
    <t xml:space="preserve">run-1096</t>
  </si>
  <si>
    <t xml:space="preserve">pub-1096</t>
  </si>
  <si>
    <t xml:space="preserve">run-1097</t>
  </si>
  <si>
    <t xml:space="preserve">pub-1097</t>
  </si>
  <si>
    <t xml:space="preserve">run-1098</t>
  </si>
  <si>
    <t xml:space="preserve">pub-1098</t>
  </si>
  <si>
    <t xml:space="preserve">run-1099</t>
  </si>
  <si>
    <t xml:space="preserve">pub-1099</t>
  </si>
  <si>
    <t xml:space="preserve">run-1100</t>
  </si>
  <si>
    <t xml:space="preserve">pub-1100</t>
  </si>
  <si>
    <t xml:space="preserve">run-1101</t>
  </si>
  <si>
    <t xml:space="preserve">pub-1101</t>
  </si>
  <si>
    <t xml:space="preserve">run-1102</t>
  </si>
  <si>
    <t xml:space="preserve">pub-1102</t>
  </si>
  <si>
    <t xml:space="preserve">run-1103</t>
  </si>
  <si>
    <t xml:space="preserve">pub-1103</t>
  </si>
  <si>
    <t xml:space="preserve">run-1104</t>
  </si>
  <si>
    <t xml:space="preserve">pub-1104</t>
  </si>
  <si>
    <t xml:space="preserve">run-1105</t>
  </si>
  <si>
    <t xml:space="preserve">pub-1105</t>
  </si>
  <si>
    <t xml:space="preserve">run-1106</t>
  </si>
  <si>
    <t xml:space="preserve">pub-1106</t>
  </si>
  <si>
    <t xml:space="preserve">run-1107</t>
  </si>
  <si>
    <t xml:space="preserve">pub-1107</t>
  </si>
  <si>
    <t xml:space="preserve">run-1108</t>
  </si>
  <si>
    <t xml:space="preserve">pub-1108</t>
  </si>
  <si>
    <t xml:space="preserve">run-1109</t>
  </si>
  <si>
    <t xml:space="preserve">pub-1109</t>
  </si>
  <si>
    <t xml:space="preserve">run-1110</t>
  </si>
  <si>
    <t xml:space="preserve">pub-1110</t>
  </si>
  <si>
    <t xml:space="preserve">run-1111</t>
  </si>
  <si>
    <t xml:space="preserve">pub-1111</t>
  </si>
  <si>
    <t xml:space="preserve">run-1112</t>
  </si>
  <si>
    <t xml:space="preserve">pub-1112</t>
  </si>
  <si>
    <t xml:space="preserve">run-1113</t>
  </si>
  <si>
    <t xml:space="preserve">pub-1113</t>
  </si>
  <si>
    <t xml:space="preserve">run-1114</t>
  </si>
  <si>
    <t xml:space="preserve">pub-1114</t>
  </si>
  <si>
    <t xml:space="preserve">run-1115</t>
  </si>
  <si>
    <t xml:space="preserve">pub-1115</t>
  </si>
  <si>
    <t xml:space="preserve">run-1116</t>
  </si>
  <si>
    <t xml:space="preserve">pub-1116</t>
  </si>
  <si>
    <t xml:space="preserve">run-1117</t>
  </si>
  <si>
    <t xml:space="preserve">pub-1117</t>
  </si>
  <si>
    <t xml:space="preserve">run-1118</t>
  </si>
  <si>
    <t xml:space="preserve">pub-1118</t>
  </si>
  <si>
    <t xml:space="preserve">run-1119</t>
  </si>
  <si>
    <t xml:space="preserve">pub-1119</t>
  </si>
  <si>
    <t xml:space="preserve">run-1120</t>
  </si>
  <si>
    <t xml:space="preserve">pub-1120</t>
  </si>
  <si>
    <t xml:space="preserve">run-1121</t>
  </si>
  <si>
    <t xml:space="preserve">pub-1121</t>
  </si>
  <si>
    <t xml:space="preserve">run-1122</t>
  </si>
  <si>
    <t xml:space="preserve">pub-1122</t>
  </si>
  <si>
    <t xml:space="preserve">run-1123</t>
  </si>
  <si>
    <t xml:space="preserve">pub-1123</t>
  </si>
  <si>
    <t xml:space="preserve">run-1124</t>
  </si>
  <si>
    <t xml:space="preserve">pub-1124</t>
  </si>
  <si>
    <t xml:space="preserve">run-1125</t>
  </si>
  <si>
    <t xml:space="preserve">pub-1125</t>
  </si>
  <si>
    <t xml:space="preserve">run-1126</t>
  </si>
  <si>
    <t xml:space="preserve">pub-1126</t>
  </si>
  <si>
    <t xml:space="preserve">run-1127</t>
  </si>
  <si>
    <t xml:space="preserve">pub-1127</t>
  </si>
  <si>
    <t xml:space="preserve">run-1128</t>
  </si>
  <si>
    <t xml:space="preserve">pub-1128</t>
  </si>
  <si>
    <t xml:space="preserve">run-1129</t>
  </si>
  <si>
    <t xml:space="preserve">pub-1129</t>
  </si>
  <si>
    <t xml:space="preserve">run-1130</t>
  </si>
  <si>
    <t xml:space="preserve">pub-1130</t>
  </si>
  <si>
    <t xml:space="preserve">run-1131</t>
  </si>
  <si>
    <t xml:space="preserve">pub-1131</t>
  </si>
  <si>
    <t xml:space="preserve">run-1132</t>
  </si>
  <si>
    <t xml:space="preserve">pub-1132</t>
  </si>
  <si>
    <t xml:space="preserve">run-1133</t>
  </si>
  <si>
    <t xml:space="preserve">pub-1133</t>
  </si>
  <si>
    <t xml:space="preserve">run-1134</t>
  </si>
  <si>
    <t xml:space="preserve">pub-1134</t>
  </si>
  <si>
    <t xml:space="preserve">run-1135</t>
  </si>
  <si>
    <t xml:space="preserve">pub-1135</t>
  </si>
  <si>
    <t xml:space="preserve">run-1136</t>
  </si>
  <si>
    <t xml:space="preserve">pub-1136</t>
  </si>
  <si>
    <t xml:space="preserve">run-1137</t>
  </si>
  <si>
    <t xml:space="preserve">pub-1137</t>
  </si>
  <si>
    <t xml:space="preserve">run-1138</t>
  </si>
  <si>
    <t xml:space="preserve">pub-1138</t>
  </si>
  <si>
    <t xml:space="preserve">run-1139</t>
  </si>
  <si>
    <t xml:space="preserve">run-1140</t>
  </si>
  <si>
    <t xml:space="preserve">pub-1140</t>
  </si>
  <si>
    <t xml:space="preserve">run-1141</t>
  </si>
  <si>
    <t xml:space="preserve">pub-1141</t>
  </si>
  <si>
    <t xml:space="preserve">run-1142</t>
  </si>
  <si>
    <t xml:space="preserve">pub-1142</t>
  </si>
  <si>
    <t xml:space="preserve">run-1143</t>
  </si>
  <si>
    <t xml:space="preserve">pub-1143</t>
  </si>
  <si>
    <t xml:space="preserve">run-1144</t>
  </si>
  <si>
    <t xml:space="preserve">pub-1144</t>
  </si>
  <si>
    <t xml:space="preserve">run-1145</t>
  </si>
  <si>
    <t xml:space="preserve">pub-1145</t>
  </si>
  <si>
    <t xml:space="preserve">run-1146</t>
  </si>
  <si>
    <t xml:space="preserve">run-1147</t>
  </si>
  <si>
    <t xml:space="preserve">pub-1147</t>
  </si>
  <si>
    <t xml:space="preserve">run-1148</t>
  </si>
  <si>
    <t xml:space="preserve">pub-1148</t>
  </si>
  <si>
    <t xml:space="preserve">run-1149</t>
  </si>
  <si>
    <t xml:space="preserve">pub-1149</t>
  </si>
  <si>
    <t xml:space="preserve">run-1150</t>
  </si>
  <si>
    <t xml:space="preserve">pub-1150</t>
  </si>
  <si>
    <t xml:space="preserve">run-1151</t>
  </si>
  <si>
    <t xml:space="preserve">pub-1151</t>
  </si>
  <si>
    <t xml:space="preserve">run-1152</t>
  </si>
  <si>
    <t xml:space="preserve">pub-1152</t>
  </si>
  <si>
    <t xml:space="preserve">run-1153</t>
  </si>
  <si>
    <t xml:space="preserve">pub-1153</t>
  </si>
  <si>
    <t xml:space="preserve">run-1154</t>
  </si>
  <si>
    <t xml:space="preserve">pub-1154</t>
  </si>
  <si>
    <t xml:space="preserve">run-1155</t>
  </si>
  <si>
    <t xml:space="preserve">pub-1155</t>
  </si>
  <si>
    <t xml:space="preserve">run-1156</t>
  </si>
  <si>
    <t xml:space="preserve">pub-1156</t>
  </si>
  <si>
    <t xml:space="preserve">run-1157</t>
  </si>
  <si>
    <t xml:space="preserve">pub-1157</t>
  </si>
  <si>
    <t xml:space="preserve">run-1158</t>
  </si>
  <si>
    <t xml:space="preserve">pub-1158</t>
  </si>
  <si>
    <t xml:space="preserve">run-1159</t>
  </si>
  <si>
    <t xml:space="preserve">run-1160</t>
  </si>
  <si>
    <t xml:space="preserve">pub-1160</t>
  </si>
  <si>
    <t xml:space="preserve">run-1161</t>
  </si>
  <si>
    <t xml:space="preserve">pub-1161</t>
  </si>
  <si>
    <t xml:space="preserve">run-1162</t>
  </si>
  <si>
    <t xml:space="preserve">pub-1162</t>
  </si>
  <si>
    <t xml:space="preserve">run-1163</t>
  </si>
  <si>
    <t xml:space="preserve">pub-1163</t>
  </si>
  <si>
    <t xml:space="preserve">run-1164</t>
  </si>
  <si>
    <t xml:space="preserve">pub-1164</t>
  </si>
  <si>
    <t xml:space="preserve">run-1165</t>
  </si>
  <si>
    <t xml:space="preserve">pub-1165</t>
  </si>
  <si>
    <t xml:space="preserve">run-1166</t>
  </si>
  <si>
    <t xml:space="preserve">pub-1166</t>
  </si>
  <si>
    <t xml:space="preserve">run-1167</t>
  </si>
  <si>
    <t xml:space="preserve">pub-1167</t>
  </si>
  <si>
    <t xml:space="preserve">run-1168</t>
  </si>
  <si>
    <t xml:space="preserve">pub-1168</t>
  </si>
  <si>
    <t xml:space="preserve">run-1169</t>
  </si>
  <si>
    <t xml:space="preserve">pub-1169</t>
  </si>
  <si>
    <t xml:space="preserve">run-1170</t>
  </si>
  <si>
    <t xml:space="preserve">pub-1170</t>
  </si>
  <si>
    <t xml:space="preserve">run-1171</t>
  </si>
  <si>
    <t xml:space="preserve">pub-1171</t>
  </si>
  <si>
    <t xml:space="preserve">run-1172</t>
  </si>
  <si>
    <t xml:space="preserve">pub-1172</t>
  </si>
  <si>
    <t xml:space="preserve">run-1173</t>
  </si>
  <si>
    <t xml:space="preserve">pub-1173</t>
  </si>
  <si>
    <t xml:space="preserve">run-1174</t>
  </si>
  <si>
    <t xml:space="preserve">pub-1174</t>
  </si>
  <si>
    <t xml:space="preserve">run-1175</t>
  </si>
  <si>
    <t xml:space="preserve">pub-1175</t>
  </si>
  <si>
    <t xml:space="preserve">run-1176</t>
  </si>
  <si>
    <t xml:space="preserve">pub-1176</t>
  </si>
  <si>
    <t xml:space="preserve">run-1177</t>
  </si>
  <si>
    <t xml:space="preserve">pub-1177</t>
  </si>
  <si>
    <t xml:space="preserve">run-1178</t>
  </si>
  <si>
    <t xml:space="preserve">pub-1178</t>
  </si>
  <si>
    <t xml:space="preserve">run-1179</t>
  </si>
  <si>
    <t xml:space="preserve">pub-1179</t>
  </si>
  <si>
    <t xml:space="preserve">run-1180</t>
  </si>
  <si>
    <t xml:space="preserve">pub-1180</t>
  </si>
  <si>
    <t xml:space="preserve">run-1181</t>
  </si>
  <si>
    <t xml:space="preserve">pub-1181</t>
  </si>
  <si>
    <t xml:space="preserve">run-1182</t>
  </si>
  <si>
    <t xml:space="preserve">pub-1182</t>
  </si>
  <si>
    <t xml:space="preserve">run-1183</t>
  </si>
  <si>
    <t xml:space="preserve">pub-1183</t>
  </si>
  <si>
    <t xml:space="preserve">run-1184</t>
  </si>
  <si>
    <t xml:space="preserve">pub-1184</t>
  </si>
  <si>
    <t xml:space="preserve">run-1185</t>
  </si>
  <si>
    <t xml:space="preserve">pub-1185</t>
  </si>
  <si>
    <t xml:space="preserve">run-1186</t>
  </si>
  <si>
    <t xml:space="preserve">pub-1186</t>
  </si>
  <si>
    <t xml:space="preserve">run-1187</t>
  </si>
  <si>
    <t xml:space="preserve">run-1188</t>
  </si>
  <si>
    <t xml:space="preserve">pub-1188</t>
  </si>
  <si>
    <t xml:space="preserve">run-1189</t>
  </si>
  <si>
    <t xml:space="preserve">pub-1189</t>
  </si>
  <si>
    <t xml:space="preserve">run-1190</t>
  </si>
  <si>
    <t xml:space="preserve">pub-1190</t>
  </si>
  <si>
    <t xml:space="preserve">run-1191</t>
  </si>
  <si>
    <t xml:space="preserve">pub-1191</t>
  </si>
  <si>
    <t xml:space="preserve">run-1192</t>
  </si>
  <si>
    <t xml:space="preserve">pub-1192</t>
  </si>
  <si>
    <t xml:space="preserve">run-1193</t>
  </si>
  <si>
    <t xml:space="preserve">pub-1193</t>
  </si>
  <si>
    <t xml:space="preserve">run-1194</t>
  </si>
  <si>
    <t xml:space="preserve">pub-1194</t>
  </si>
  <si>
    <t xml:space="preserve">run-1195</t>
  </si>
  <si>
    <t xml:space="preserve">pub-1195</t>
  </si>
  <si>
    <t xml:space="preserve">run-1196</t>
  </si>
  <si>
    <t xml:space="preserve">pub-1196</t>
  </si>
  <si>
    <t xml:space="preserve">run-1197</t>
  </si>
  <si>
    <t xml:space="preserve">pub-1197</t>
  </si>
  <si>
    <t xml:space="preserve">run-1198</t>
  </si>
  <si>
    <t xml:space="preserve">pub-1198</t>
  </si>
  <si>
    <t xml:space="preserve">run-1199</t>
  </si>
  <si>
    <t xml:space="preserve">pub-1199</t>
  </si>
  <si>
    <t xml:space="preserve">run-1200</t>
  </si>
  <si>
    <t xml:space="preserve">pub-1200</t>
  </si>
  <si>
    <t xml:space="preserve">run-1201</t>
  </si>
  <si>
    <t xml:space="preserve">pub-1201</t>
  </si>
  <si>
    <t xml:space="preserve">run-1202</t>
  </si>
  <si>
    <t xml:space="preserve">pub-1202</t>
  </si>
  <si>
    <t xml:space="preserve">run-1203</t>
  </si>
  <si>
    <t xml:space="preserve">pub-1203</t>
  </si>
  <si>
    <t xml:space="preserve">run-1204</t>
  </si>
  <si>
    <t xml:space="preserve">pub-1204</t>
  </si>
  <si>
    <t xml:space="preserve">run-1205</t>
  </si>
  <si>
    <t xml:space="preserve">pub-1205</t>
  </si>
  <si>
    <t xml:space="preserve">run-1206</t>
  </si>
  <si>
    <t xml:space="preserve">run-1207</t>
  </si>
  <si>
    <t xml:space="preserve">pub-1207</t>
  </si>
  <si>
    <t xml:space="preserve">run-1208</t>
  </si>
  <si>
    <t xml:space="preserve">pub-1208</t>
  </si>
  <si>
    <t xml:space="preserve">run-1209</t>
  </si>
  <si>
    <t xml:space="preserve">pub-1209</t>
  </si>
  <si>
    <t xml:space="preserve">run-1210</t>
  </si>
  <si>
    <t xml:space="preserve">pub-1210</t>
  </si>
  <si>
    <t xml:space="preserve">run-1211</t>
  </si>
  <si>
    <t xml:space="preserve">pub-1211</t>
  </si>
  <si>
    <t xml:space="preserve">run-1212</t>
  </si>
  <si>
    <t xml:space="preserve">pub-1212</t>
  </si>
  <si>
    <t xml:space="preserve">run-1213</t>
  </si>
  <si>
    <t xml:space="preserve">pub-1213</t>
  </si>
  <si>
    <t xml:space="preserve">run-1214</t>
  </si>
  <si>
    <t xml:space="preserve">pub-1214</t>
  </si>
  <si>
    <t xml:space="preserve">run-1215</t>
  </si>
  <si>
    <t xml:space="preserve">pub-1215</t>
  </si>
  <si>
    <t xml:space="preserve">run-1216</t>
  </si>
  <si>
    <t xml:space="preserve">pub-1216</t>
  </si>
  <si>
    <t xml:space="preserve">run-1217</t>
  </si>
  <si>
    <t xml:space="preserve">pub-1217</t>
  </si>
  <si>
    <t xml:space="preserve">run-1218</t>
  </si>
  <si>
    <t xml:space="preserve">pub-1218</t>
  </si>
  <si>
    <t xml:space="preserve">run-1219</t>
  </si>
  <si>
    <t xml:space="preserve">pub-1219</t>
  </si>
  <si>
    <t xml:space="preserve">run-1220</t>
  </si>
  <si>
    <t xml:space="preserve">pub-1220</t>
  </si>
  <si>
    <t xml:space="preserve">run-1221</t>
  </si>
  <si>
    <t xml:space="preserve">pub-1221</t>
  </si>
  <si>
    <t xml:space="preserve">run-1222</t>
  </si>
  <si>
    <t xml:space="preserve">pub-1222</t>
  </si>
  <si>
    <t xml:space="preserve">run-1223</t>
  </si>
  <si>
    <t xml:space="preserve">pub-1223</t>
  </si>
  <si>
    <t xml:space="preserve">run-1224</t>
  </si>
  <si>
    <t xml:space="preserve">pub-1224</t>
  </si>
  <si>
    <t xml:space="preserve">run-1225</t>
  </si>
  <si>
    <t xml:space="preserve">pub-1225</t>
  </si>
  <si>
    <t xml:space="preserve">run-1226</t>
  </si>
  <si>
    <t xml:space="preserve">pub-1226</t>
  </si>
  <si>
    <t xml:space="preserve">run-1227</t>
  </si>
  <si>
    <t xml:space="preserve">pub-1227</t>
  </si>
  <si>
    <t xml:space="preserve">run-1228</t>
  </si>
  <si>
    <t xml:space="preserve">pub-1228</t>
  </si>
  <si>
    <t xml:space="preserve">run-1229</t>
  </si>
  <si>
    <t xml:space="preserve">pub-1229</t>
  </si>
  <si>
    <t xml:space="preserve">run-1230</t>
  </si>
  <si>
    <t xml:space="preserve">pub-1230</t>
  </si>
  <si>
    <t xml:space="preserve">run-1231</t>
  </si>
  <si>
    <t xml:space="preserve">pub-1231</t>
  </si>
  <si>
    <t xml:space="preserve">run-1232</t>
  </si>
  <si>
    <t xml:space="preserve">run-1233</t>
  </si>
  <si>
    <t xml:space="preserve">pub-1233</t>
  </si>
  <si>
    <t xml:space="preserve">run-1234</t>
  </si>
  <si>
    <t xml:space="preserve">pub-1234</t>
  </si>
  <si>
    <t xml:space="preserve">run-1235</t>
  </si>
  <si>
    <t xml:space="preserve">pub-1235</t>
  </si>
  <si>
    <t xml:space="preserve">run-1236</t>
  </si>
  <si>
    <t xml:space="preserve">pub-1236</t>
  </si>
  <si>
    <t xml:space="preserve">run-1237</t>
  </si>
  <si>
    <t xml:space="preserve">pub-1237</t>
  </si>
  <si>
    <t xml:space="preserve">run-1238</t>
  </si>
  <si>
    <t xml:space="preserve">pub-1238</t>
  </si>
  <si>
    <t xml:space="preserve">run-1239</t>
  </si>
  <si>
    <t xml:space="preserve">pub-1239</t>
  </si>
  <si>
    <t xml:space="preserve">run-1240</t>
  </si>
  <si>
    <t xml:space="preserve">pub-1240</t>
  </si>
  <si>
    <t xml:space="preserve">run-1241</t>
  </si>
  <si>
    <t xml:space="preserve">pub-1241</t>
  </si>
  <si>
    <t xml:space="preserve">run-1242</t>
  </si>
  <si>
    <t xml:space="preserve">pub-1242</t>
  </si>
  <si>
    <t xml:space="preserve">run-1243</t>
  </si>
  <si>
    <t xml:space="preserve">pub-1243</t>
  </si>
  <si>
    <t xml:space="preserve">run-1244</t>
  </si>
  <si>
    <t xml:space="preserve">run-1245</t>
  </si>
  <si>
    <t xml:space="preserve">pub-1245</t>
  </si>
  <si>
    <t xml:space="preserve">run-1246</t>
  </si>
  <si>
    <t xml:space="preserve">pub-1246</t>
  </si>
  <si>
    <t xml:space="preserve">run-1247</t>
  </si>
  <si>
    <t xml:space="preserve">pub-1247</t>
  </si>
  <si>
    <t xml:space="preserve">run-1248</t>
  </si>
  <si>
    <t xml:space="preserve">pub-1248</t>
  </si>
  <si>
    <t xml:space="preserve">run-1249</t>
  </si>
  <si>
    <t xml:space="preserve">pub-1249</t>
  </si>
  <si>
    <t xml:space="preserve">run-1250</t>
  </si>
  <si>
    <t xml:space="preserve">pub-1250</t>
  </si>
  <si>
    <t xml:space="preserve">run-1251</t>
  </si>
  <si>
    <t xml:space="preserve">pub-1251</t>
  </si>
  <si>
    <t xml:space="preserve">run-1252</t>
  </si>
  <si>
    <t xml:space="preserve">pub-1252</t>
  </si>
  <si>
    <t xml:space="preserve">run-1253</t>
  </si>
  <si>
    <t xml:space="preserve">pub-1253</t>
  </si>
  <si>
    <t xml:space="preserve">run-1254</t>
  </si>
  <si>
    <t xml:space="preserve">pub-1254</t>
  </si>
  <si>
    <t xml:space="preserve">run-1255</t>
  </si>
  <si>
    <t xml:space="preserve">pub-1255</t>
  </si>
  <si>
    <t xml:space="preserve">run-1256</t>
  </si>
  <si>
    <t xml:space="preserve">pub-1256</t>
  </si>
  <si>
    <t xml:space="preserve">run-1257</t>
  </si>
  <si>
    <t xml:space="preserve">pub-1257</t>
  </si>
  <si>
    <t xml:space="preserve">run-1258</t>
  </si>
  <si>
    <t xml:space="preserve">pub-1258</t>
  </si>
  <si>
    <t xml:space="preserve">run-1259</t>
  </si>
  <si>
    <t xml:space="preserve">pub-1259</t>
  </si>
  <si>
    <t xml:space="preserve">run-1260</t>
  </si>
  <si>
    <t xml:space="preserve">pub-1260</t>
  </si>
  <si>
    <t xml:space="preserve">run-1261</t>
  </si>
  <si>
    <t xml:space="preserve">pub-1261</t>
  </si>
  <si>
    <t xml:space="preserve">run-1262</t>
  </si>
  <si>
    <t xml:space="preserve">pub-1262</t>
  </si>
  <si>
    <t xml:space="preserve">run-1263</t>
  </si>
  <si>
    <t xml:space="preserve">pub-1263</t>
  </si>
  <si>
    <t xml:space="preserve">run-1264</t>
  </si>
  <si>
    <t xml:space="preserve">pub-1264</t>
  </si>
  <si>
    <t xml:space="preserve">run-1265</t>
  </si>
  <si>
    <t xml:space="preserve">pub-1265</t>
  </si>
  <si>
    <t xml:space="preserve">run-1266</t>
  </si>
  <si>
    <t xml:space="preserve">pub-1266</t>
  </si>
  <si>
    <t xml:space="preserve">run-1267</t>
  </si>
  <si>
    <t xml:space="preserve">pub-1267</t>
  </si>
  <si>
    <t xml:space="preserve">run-1268</t>
  </si>
  <si>
    <t xml:space="preserve">pub-1268</t>
  </si>
  <si>
    <t xml:space="preserve">run-1269</t>
  </si>
  <si>
    <t xml:space="preserve">pub-1269</t>
  </si>
  <si>
    <t xml:space="preserve">run-1270</t>
  </si>
  <si>
    <t xml:space="preserve">pub-1270</t>
  </si>
  <si>
    <t xml:space="preserve">run-1271</t>
  </si>
  <si>
    <t xml:space="preserve">pub-1271</t>
  </si>
  <si>
    <t xml:space="preserve">run-1272</t>
  </si>
  <si>
    <t xml:space="preserve">pub-1272</t>
  </si>
  <si>
    <t xml:space="preserve">run-1273</t>
  </si>
  <si>
    <t xml:space="preserve">pub-1273</t>
  </si>
  <si>
    <t xml:space="preserve">run-1274</t>
  </si>
  <si>
    <t xml:space="preserve">pub-1274</t>
  </si>
  <si>
    <t xml:space="preserve">run-1275</t>
  </si>
  <si>
    <t xml:space="preserve">pub-1275</t>
  </si>
  <si>
    <t xml:space="preserve">run-1276</t>
  </si>
  <si>
    <t xml:space="preserve">pub-1276</t>
  </si>
  <si>
    <t xml:space="preserve">run-1277</t>
  </si>
  <si>
    <t xml:space="preserve">pub-1277</t>
  </si>
  <si>
    <t xml:space="preserve">run-1278</t>
  </si>
  <si>
    <t xml:space="preserve">pub-1278</t>
  </si>
  <si>
    <t xml:space="preserve">run-1279</t>
  </si>
  <si>
    <t xml:space="preserve">pub-1279</t>
  </si>
  <si>
    <t xml:space="preserve">run-1280</t>
  </si>
  <si>
    <t xml:space="preserve">pub-1280</t>
  </si>
  <si>
    <t xml:space="preserve">run-1281</t>
  </si>
  <si>
    <t xml:space="preserve">pub-1281</t>
  </si>
  <si>
    <t xml:space="preserve">run-1282</t>
  </si>
  <si>
    <t xml:space="preserve">pub-1282</t>
  </si>
  <si>
    <t xml:space="preserve">run-1283</t>
  </si>
  <si>
    <t xml:space="preserve">pub-1283</t>
  </si>
  <si>
    <t xml:space="preserve">run-1284</t>
  </si>
  <si>
    <t xml:space="preserve">pub-1284</t>
  </si>
  <si>
    <t xml:space="preserve">run-1285</t>
  </si>
  <si>
    <t xml:space="preserve">pub-1285</t>
  </si>
  <si>
    <t xml:space="preserve">run-1286</t>
  </si>
  <si>
    <t xml:space="preserve">pub-1286</t>
  </si>
  <si>
    <t xml:space="preserve">run-1287</t>
  </si>
  <si>
    <t xml:space="preserve">pub-1287</t>
  </si>
  <si>
    <t xml:space="preserve">run-1288</t>
  </si>
  <si>
    <t xml:space="preserve">pub-1288</t>
  </si>
  <si>
    <t xml:space="preserve">run-1289</t>
  </si>
  <si>
    <t xml:space="preserve">pub-1289</t>
  </si>
  <si>
    <t xml:space="preserve">run-1290</t>
  </si>
  <si>
    <t xml:space="preserve">pub-1290</t>
  </si>
  <si>
    <t xml:space="preserve">run-1291</t>
  </si>
  <si>
    <t xml:space="preserve">pub-1291</t>
  </si>
  <si>
    <t xml:space="preserve">run-1292</t>
  </si>
  <si>
    <t xml:space="preserve">pub-1292</t>
  </si>
  <si>
    <t xml:space="preserve">run-1293</t>
  </si>
  <si>
    <t xml:space="preserve">pub-1293</t>
  </si>
  <si>
    <t xml:space="preserve">run-1294</t>
  </si>
  <si>
    <t xml:space="preserve">pub-1294</t>
  </si>
  <si>
    <t xml:space="preserve">run-1295</t>
  </si>
  <si>
    <t xml:space="preserve">pub-1295</t>
  </si>
  <si>
    <t xml:space="preserve">run-1296</t>
  </si>
  <si>
    <t xml:space="preserve">pub-1296</t>
  </si>
  <si>
    <t xml:space="preserve">run-1297</t>
  </si>
  <si>
    <t xml:space="preserve">pub-1297</t>
  </si>
  <si>
    <t xml:space="preserve">run-1298</t>
  </si>
  <si>
    <t xml:space="preserve">pub-1298</t>
  </si>
  <si>
    <t xml:space="preserve">run-1299</t>
  </si>
  <si>
    <t xml:space="preserve">pub-1299</t>
  </si>
  <si>
    <t xml:space="preserve">run-1300</t>
  </si>
  <si>
    <t xml:space="preserve">pub-1300</t>
  </si>
  <si>
    <t xml:space="preserve">run-1301</t>
  </si>
  <si>
    <t xml:space="preserve">pub-1301</t>
  </si>
  <si>
    <t xml:space="preserve">run-1302</t>
  </si>
  <si>
    <t xml:space="preserve">pub-1302</t>
  </si>
  <si>
    <t xml:space="preserve">run-1303</t>
  </si>
  <si>
    <t xml:space="preserve">pub-1303</t>
  </si>
  <si>
    <t xml:space="preserve">run-1304</t>
  </si>
  <si>
    <t xml:space="preserve">pub-1304</t>
  </si>
  <si>
    <t xml:space="preserve">run-1305</t>
  </si>
  <si>
    <t xml:space="preserve">pub-1305</t>
  </si>
  <si>
    <t xml:space="preserve">run-1306</t>
  </si>
  <si>
    <t xml:space="preserve">pub-1306</t>
  </si>
  <si>
    <t xml:space="preserve">run-1307</t>
  </si>
  <si>
    <t xml:space="preserve">pub-1307</t>
  </si>
  <si>
    <t xml:space="preserve">run-1308</t>
  </si>
  <si>
    <t xml:space="preserve">pub-1308</t>
  </si>
  <si>
    <t xml:space="preserve">run-1309</t>
  </si>
  <si>
    <t xml:space="preserve">pub-1309</t>
  </si>
  <si>
    <t xml:space="preserve">run-1310</t>
  </si>
  <si>
    <t xml:space="preserve">pub-1310</t>
  </si>
  <si>
    <t xml:space="preserve">run-1311</t>
  </si>
  <si>
    <t xml:space="preserve">pub-1311</t>
  </si>
  <si>
    <t xml:space="preserve">run-1312</t>
  </si>
  <si>
    <t xml:space="preserve">pub-1312</t>
  </si>
  <si>
    <t xml:space="preserve">run-1313</t>
  </si>
  <si>
    <t xml:space="preserve">pub-1313</t>
  </si>
  <si>
    <t xml:space="preserve">run-1314</t>
  </si>
  <si>
    <t xml:space="preserve">pub-1314</t>
  </si>
  <si>
    <t xml:space="preserve">run-1315</t>
  </si>
  <si>
    <t xml:space="preserve">pub-1315</t>
  </si>
  <si>
    <t xml:space="preserve">run-1316</t>
  </si>
  <si>
    <t xml:space="preserve">pub-1316</t>
  </si>
  <si>
    <t xml:space="preserve">run-1317</t>
  </si>
  <si>
    <t xml:space="preserve">pub-1317</t>
  </si>
  <si>
    <t xml:space="preserve">run-1318</t>
  </si>
  <si>
    <t xml:space="preserve">pub-1318</t>
  </si>
  <si>
    <t xml:space="preserve">run-1319</t>
  </si>
  <si>
    <t xml:space="preserve">pub-1319</t>
  </si>
  <si>
    <t xml:space="preserve">run-1320</t>
  </si>
  <si>
    <t xml:space="preserve">pub-1320</t>
  </si>
  <si>
    <t xml:space="preserve">run-1321</t>
  </si>
  <si>
    <t xml:space="preserve">pub-1321</t>
  </si>
  <si>
    <t xml:space="preserve">run-1322</t>
  </si>
  <si>
    <t xml:space="preserve">pub-1322</t>
  </si>
  <si>
    <t xml:space="preserve">run-1323</t>
  </si>
  <si>
    <t xml:space="preserve">pub-1323</t>
  </si>
  <si>
    <t xml:space="preserve">run-1324</t>
  </si>
  <si>
    <t xml:space="preserve">pub-1324</t>
  </si>
  <si>
    <t xml:space="preserve">run-1325</t>
  </si>
  <si>
    <t xml:space="preserve">pub-1325</t>
  </si>
  <si>
    <t xml:space="preserve">run-1326</t>
  </si>
  <si>
    <t xml:space="preserve">pub-1326</t>
  </si>
  <si>
    <t xml:space="preserve">run-1327</t>
  </si>
  <si>
    <t xml:space="preserve">pub-1327</t>
  </si>
  <si>
    <t xml:space="preserve">run-1328</t>
  </si>
  <si>
    <t xml:space="preserve">pub-1328</t>
  </si>
  <si>
    <t xml:space="preserve">run-1329</t>
  </si>
  <si>
    <t xml:space="preserve">pub-1329</t>
  </si>
  <si>
    <t xml:space="preserve">run-1330</t>
  </si>
  <si>
    <t xml:space="preserve">pub-1330</t>
  </si>
  <si>
    <t xml:space="preserve">run-1331</t>
  </si>
  <si>
    <t xml:space="preserve">pub-1331</t>
  </si>
  <si>
    <t xml:space="preserve">run-1332</t>
  </si>
  <si>
    <t xml:space="preserve">pub-1332</t>
  </si>
  <si>
    <t xml:space="preserve">run-1333</t>
  </si>
  <si>
    <t xml:space="preserve">pub-1333</t>
  </si>
  <si>
    <t xml:space="preserve">run-1334</t>
  </si>
  <si>
    <t xml:space="preserve">pub-1334</t>
  </si>
  <si>
    <t xml:space="preserve">run-1335</t>
  </si>
  <si>
    <t xml:space="preserve">pub-1335</t>
  </si>
  <si>
    <t xml:space="preserve">run-1336</t>
  </si>
  <si>
    <t xml:space="preserve">pub-1336</t>
  </si>
  <si>
    <t xml:space="preserve">run-1337</t>
  </si>
  <si>
    <t xml:space="preserve">pub-1337</t>
  </si>
  <si>
    <t xml:space="preserve">run-1338</t>
  </si>
  <si>
    <t xml:space="preserve">pub-1338</t>
  </si>
  <si>
    <t xml:space="preserve">run-1339</t>
  </si>
  <si>
    <t xml:space="preserve">pub-1339</t>
  </si>
  <si>
    <t xml:space="preserve">run-1340</t>
  </si>
  <si>
    <t xml:space="preserve">pub-1340</t>
  </si>
  <si>
    <t xml:space="preserve">run-1341</t>
  </si>
  <si>
    <t xml:space="preserve">pub-1341</t>
  </si>
  <si>
    <t xml:space="preserve">run-1342</t>
  </si>
  <si>
    <t xml:space="preserve">pub-1342</t>
  </si>
  <si>
    <t xml:space="preserve">run-1343</t>
  </si>
  <si>
    <t xml:space="preserve">pub-1343</t>
  </si>
  <si>
    <t xml:space="preserve">Incidents (25): detection and the verified recovery (the recovery run's publication), the minutes by formula</t>
  </si>
  <si>
    <t xml:space="preserve">Recovery time = verified recovery - detection, never a process restart (D-P8-06).</t>
  </si>
  <si>
    <t xml:space="preserve">incident_id</t>
  </si>
  <si>
    <t xml:space="preserve">detected_at (serial)</t>
  </si>
  <si>
    <t xml:space="preserve">verified_at (serial)</t>
  </si>
  <si>
    <t xml:space="preserve">recovery_seconds</t>
  </si>
  <si>
    <t xml:space="preserve">recovery_minutes</t>
  </si>
  <si>
    <t xml:space="preserve">inc-001</t>
  </si>
  <si>
    <t xml:space="preserve">inc-002</t>
  </si>
  <si>
    <t xml:space="preserve">inc-003</t>
  </si>
  <si>
    <t xml:space="preserve">inc-004</t>
  </si>
  <si>
    <t xml:space="preserve">inc-005</t>
  </si>
  <si>
    <t xml:space="preserve">inc-006</t>
  </si>
  <si>
    <t xml:space="preserve">inc-007</t>
  </si>
  <si>
    <t xml:space="preserve">inc-008</t>
  </si>
  <si>
    <t xml:space="preserve">inc-009</t>
  </si>
  <si>
    <t xml:space="preserve">inc-010</t>
  </si>
  <si>
    <t xml:space="preserve">inc-011</t>
  </si>
  <si>
    <t xml:space="preserve">inc-012</t>
  </si>
  <si>
    <t xml:space="preserve">inc-013</t>
  </si>
  <si>
    <t xml:space="preserve">inc-014</t>
  </si>
  <si>
    <t xml:space="preserve">inc-015</t>
  </si>
  <si>
    <t xml:space="preserve">inc-016</t>
  </si>
  <si>
    <t xml:space="preserve">inc-017</t>
  </si>
  <si>
    <t xml:space="preserve">inc-018</t>
  </si>
  <si>
    <t xml:space="preserve">inc-019</t>
  </si>
  <si>
    <t xml:space="preserve">inc-020</t>
  </si>
  <si>
    <t xml:space="preserve">inc-021</t>
  </si>
  <si>
    <t xml:space="preserve">inc-022</t>
  </si>
  <si>
    <t xml:space="preserve">inc-023</t>
  </si>
  <si>
    <t xml:space="preserve">inc-024</t>
  </si>
  <si>
    <t xml:space="preserve">inc-025</t>
  </si>
  <si>
    <t xml:space="preserve">Backfill partitions (19): the 15 partitions of the 13 accepted requests and the 4 of the 2 refused for overlap</t>
  </si>
  <si>
    <t xml:space="preserve">Coverage counts the accepted requests only; the refused partitions are beside it, never inside it (D-09 R8-11).</t>
  </si>
  <si>
    <t xml:space="preserve">backfill_id</t>
  </si>
  <si>
    <t xml:space="preserve">outcome</t>
  </si>
  <si>
    <t xml:space="preserve">partition</t>
  </si>
  <si>
    <t xml:space="preserve">verified</t>
  </si>
  <si>
    <t xml:space="preserve">bf-001</t>
  </si>
  <si>
    <t xml:space="preserve">accepted</t>
  </si>
  <si>
    <t xml:space="preserve">2026-08-15</t>
  </si>
  <si>
    <t xml:space="preserve">bf-002</t>
  </si>
  <si>
    <t xml:space="preserve">2026-08-13</t>
  </si>
  <si>
    <t xml:space="preserve">bf-003</t>
  </si>
  <si>
    <t xml:space="preserve">2026-08-20</t>
  </si>
  <si>
    <t xml:space="preserve">bf-004</t>
  </si>
  <si>
    <t xml:space="preserve">2026-08-22</t>
  </si>
  <si>
    <t xml:space="preserve">bf-005</t>
  </si>
  <si>
    <t xml:space="preserve">2026-08-24</t>
  </si>
  <si>
    <t xml:space="preserve">2026-08-25</t>
  </si>
  <si>
    <t xml:space="preserve">bf-006</t>
  </si>
  <si>
    <t xml:space="preserve">refused</t>
  </si>
  <si>
    <t xml:space="preserve">2026-08-23</t>
  </si>
  <si>
    <t xml:space="preserve">bf-007</t>
  </si>
  <si>
    <t xml:space="preserve">2026-08-28</t>
  </si>
  <si>
    <t xml:space="preserve">bf-008</t>
  </si>
  <si>
    <t xml:space="preserve">2026-09-03</t>
  </si>
  <si>
    <t xml:space="preserve">bf-009</t>
  </si>
  <si>
    <t xml:space="preserve">2026-08-21</t>
  </si>
  <si>
    <t xml:space="preserve">bf-010</t>
  </si>
  <si>
    <t xml:space="preserve">2026-08-26</t>
  </si>
  <si>
    <t xml:space="preserve">bf-011</t>
  </si>
  <si>
    <t xml:space="preserve">2026-09-07</t>
  </si>
  <si>
    <t xml:space="preserve">bf-012</t>
  </si>
  <si>
    <t xml:space="preserve">2026-08-27</t>
  </si>
  <si>
    <t xml:space="preserve">bf-013</t>
  </si>
  <si>
    <t xml:space="preserve">2026-09-17</t>
  </si>
  <si>
    <t xml:space="preserve">bf-014</t>
  </si>
  <si>
    <t xml:space="preserve">2026-09-10</t>
  </si>
  <si>
    <t xml:space="preserve">bf-015</t>
  </si>
  <si>
    <t xml:space="preserve">2026-09-22</t>
  </si>
  <si>
    <t xml:space="preserve">2026-09-23</t>
  </si>
  <si>
    <t xml:space="preserve">Rate-limited fetches (49) and the next fetch of the same cursor in the same session</t>
  </si>
  <si>
    <t xml:space="preserve">waited and slack by formula; a retry honours the hint when waited &gt;= retry_after (P08-TEST-03).</t>
  </si>
  <si>
    <t xml:space="preserve">fetch_id</t>
  </si>
  <si>
    <t xml:space="preserve">retry_after_seconds</t>
  </si>
  <si>
    <t xml:space="preserve">rate_limited_at (serial)</t>
  </si>
  <si>
    <t xml:space="preserve">retried_at (serial)</t>
  </si>
  <si>
    <t xml:space="preserve">waited_seconds</t>
  </si>
  <si>
    <t xml:space="preserve">slack_seconds</t>
  </si>
  <si>
    <t xml:space="preserve">honoured</t>
  </si>
  <si>
    <t xml:space="preserve">Fetch log (1,361 rows): the status of every fetch</t>
  </si>
  <si>
    <t xml:space="preserve">ok, rate_limited, refetch (a cursor served before in another session, or the re-poll of the last committed cursor), cursor_loop (a cursor repeated inside one session).</t>
  </si>
  <si>
    <t xml:space="preserve">session_id</t>
  </si>
  <si>
    <t xml:space="preserve">src-refunds:0</t>
  </si>
  <si>
    <t xml:space="preserve">ok</t>
  </si>
  <si>
    <t xml:space="preserve">src-payments:0</t>
  </si>
  <si>
    <t xml:space="preserve">src-shipments:0</t>
  </si>
  <si>
    <t xml:space="preserve">src-orders:0</t>
  </si>
  <si>
    <t xml:space="preserve">src-inventory:0</t>
  </si>
  <si>
    <t xml:space="preserve">src-payments:1</t>
  </si>
  <si>
    <t xml:space="preserve">src-web-events:0</t>
  </si>
  <si>
    <t xml:space="preserve">src-refunds:1</t>
  </si>
  <si>
    <t xml:space="preserve">src-orders:1</t>
  </si>
  <si>
    <t xml:space="preserve">src-shipments:1</t>
  </si>
  <si>
    <t xml:space="preserve">src-payments:2</t>
  </si>
  <si>
    <t xml:space="preserve">src-orders:2</t>
  </si>
  <si>
    <t xml:space="preserve">src-refunds:2</t>
  </si>
  <si>
    <t xml:space="preserve">src-payments:3</t>
  </si>
  <si>
    <t xml:space="preserve">src-shipments:2</t>
  </si>
  <si>
    <t xml:space="preserve">src-orders:3</t>
  </si>
  <si>
    <t xml:space="preserve">src-payments:4</t>
  </si>
  <si>
    <t xml:space="preserve">src-web-events:1</t>
  </si>
  <si>
    <t xml:space="preserve">src-refunds:3</t>
  </si>
  <si>
    <t xml:space="preserve">src-orders:4</t>
  </si>
  <si>
    <t xml:space="preserve">src-shipments:3</t>
  </si>
  <si>
    <t xml:space="preserve">src-payments:5</t>
  </si>
  <si>
    <t xml:space="preserve">src-orders:5</t>
  </si>
  <si>
    <t xml:space="preserve">src-refunds:4</t>
  </si>
  <si>
    <t xml:space="preserve">src-payments:6</t>
  </si>
  <si>
    <t xml:space="preserve">src-shipments:4</t>
  </si>
  <si>
    <t xml:space="preserve">src-orders:6</t>
  </si>
  <si>
    <t xml:space="preserve">src-inventory:1</t>
  </si>
  <si>
    <t xml:space="preserve">src-payments:7</t>
  </si>
  <si>
    <t xml:space="preserve">src-web-events:2</t>
  </si>
  <si>
    <t xml:space="preserve">src-refunds:5</t>
  </si>
  <si>
    <t xml:space="preserve">src-orders:7</t>
  </si>
  <si>
    <t xml:space="preserve">src-shipments:5</t>
  </si>
  <si>
    <t xml:space="preserve">src-payments:8</t>
  </si>
  <si>
    <t xml:space="preserve">src-orders:8</t>
  </si>
  <si>
    <t xml:space="preserve">src-refunds:6</t>
  </si>
  <si>
    <t xml:space="preserve">src-payments:9</t>
  </si>
  <si>
    <t xml:space="preserve">src-shipments:6</t>
  </si>
  <si>
    <t xml:space="preserve">src-orders:9</t>
  </si>
  <si>
    <t xml:space="preserve">src-payments:10</t>
  </si>
  <si>
    <t xml:space="preserve">src-web-events:3</t>
  </si>
  <si>
    <t xml:space="preserve">src-refunds:7</t>
  </si>
  <si>
    <t xml:space="preserve">src-orders:10</t>
  </si>
  <si>
    <t xml:space="preserve">src-shipments:7</t>
  </si>
  <si>
    <t xml:space="preserve">src-payments:11</t>
  </si>
  <si>
    <t xml:space="preserve">src-orders:11</t>
  </si>
  <si>
    <t xml:space="preserve">src-refunds:8</t>
  </si>
  <si>
    <t xml:space="preserve">src-payments:12</t>
  </si>
  <si>
    <t xml:space="preserve">src-shipments:8</t>
  </si>
  <si>
    <t xml:space="preserve">src-orders:12</t>
  </si>
  <si>
    <t xml:space="preserve">src-inventory:2</t>
  </si>
  <si>
    <t xml:space="preserve">src-payments:13</t>
  </si>
  <si>
    <t xml:space="preserve">src-web-events:4</t>
  </si>
  <si>
    <t xml:space="preserve">src-refunds:9</t>
  </si>
  <si>
    <t xml:space="preserve">src-orders:13</t>
  </si>
  <si>
    <t xml:space="preserve">src-shipments:9</t>
  </si>
  <si>
    <t xml:space="preserve">src-payments:14</t>
  </si>
  <si>
    <t xml:space="preserve">src-orders:14</t>
  </si>
  <si>
    <t xml:space="preserve">src-refunds:10</t>
  </si>
  <si>
    <t xml:space="preserve">src-payments:15</t>
  </si>
  <si>
    <t xml:space="preserve">src-shipments:10</t>
  </si>
  <si>
    <t xml:space="preserve">rate_limited</t>
  </si>
  <si>
    <t xml:space="preserve">src-orders:15</t>
  </si>
  <si>
    <t xml:space="preserve">src-payments:16</t>
  </si>
  <si>
    <t xml:space="preserve">src-web-events:5</t>
  </si>
  <si>
    <t xml:space="preserve">src-refunds:11</t>
  </si>
  <si>
    <t xml:space="preserve">src-orders:16</t>
  </si>
  <si>
    <t xml:space="preserve">src-shipments:11</t>
  </si>
  <si>
    <t xml:space="preserve">src-payments:17</t>
  </si>
  <si>
    <t xml:space="preserve">src-orders:17</t>
  </si>
  <si>
    <t xml:space="preserve">src-refunds:12</t>
  </si>
  <si>
    <t xml:space="preserve">src-payments:18</t>
  </si>
  <si>
    <t xml:space="preserve">src-shipments:12</t>
  </si>
  <si>
    <t xml:space="preserve">src-orders:18</t>
  </si>
  <si>
    <t xml:space="preserve">src-inventory:3</t>
  </si>
  <si>
    <t xml:space="preserve">src-payments:19</t>
  </si>
  <si>
    <t xml:space="preserve">src-web-events:6</t>
  </si>
  <si>
    <t xml:space="preserve">src-refunds:13</t>
  </si>
  <si>
    <t xml:space="preserve">src-orders:19</t>
  </si>
  <si>
    <t xml:space="preserve">src-shipments:13</t>
  </si>
  <si>
    <t xml:space="preserve">src-payments:20</t>
  </si>
  <si>
    <t xml:space="preserve">src-orders:20</t>
  </si>
  <si>
    <t xml:space="preserve">src-refunds:14</t>
  </si>
  <si>
    <t xml:space="preserve">src-payments:21</t>
  </si>
  <si>
    <t xml:space="preserve">src-shipments:14</t>
  </si>
  <si>
    <t xml:space="preserve">src-orders:21</t>
  </si>
  <si>
    <t xml:space="preserve">src-payments:22</t>
  </si>
  <si>
    <t xml:space="preserve">src-web-events:7</t>
  </si>
  <si>
    <t xml:space="preserve">src-refunds:15</t>
  </si>
  <si>
    <t xml:space="preserve">src-orders:22</t>
  </si>
  <si>
    <t xml:space="preserve">src-shipments:15</t>
  </si>
  <si>
    <t xml:space="preserve">src-payments:23</t>
  </si>
  <si>
    <t xml:space="preserve">src-orders:23</t>
  </si>
  <si>
    <t xml:space="preserve">src-refunds:16</t>
  </si>
  <si>
    <t xml:space="preserve">src-payments:24</t>
  </si>
  <si>
    <t xml:space="preserve">src-shipments:16</t>
  </si>
  <si>
    <t xml:space="preserve">src-orders:24</t>
  </si>
  <si>
    <t xml:space="preserve">src-inventory:4</t>
  </si>
  <si>
    <t xml:space="preserve">src-payments:25</t>
  </si>
  <si>
    <t xml:space="preserve">src-web-events:8</t>
  </si>
  <si>
    <t xml:space="preserve">src-refunds:17</t>
  </si>
  <si>
    <t xml:space="preserve">src-orders:25</t>
  </si>
  <si>
    <t xml:space="preserve">src-shipments:17</t>
  </si>
  <si>
    <t xml:space="preserve">src-payments:26</t>
  </si>
  <si>
    <t xml:space="preserve">src-orders:26</t>
  </si>
  <si>
    <t xml:space="preserve">src-refunds:18</t>
  </si>
  <si>
    <t xml:space="preserve">src-payments:27</t>
  </si>
  <si>
    <t xml:space="preserve">src-shipments:18</t>
  </si>
  <si>
    <t xml:space="preserve">src-orders:27</t>
  </si>
  <si>
    <t xml:space="preserve">src-payments:28</t>
  </si>
  <si>
    <t xml:space="preserve">src-web-events:9</t>
  </si>
  <si>
    <t xml:space="preserve">src-refunds:19</t>
  </si>
  <si>
    <t xml:space="preserve">src-orders:28</t>
  </si>
  <si>
    <t xml:space="preserve">src-shipments:19</t>
  </si>
  <si>
    <t xml:space="preserve">src-payments:29</t>
  </si>
  <si>
    <t xml:space="preserve">src-orders:29</t>
  </si>
  <si>
    <t xml:space="preserve">src-refunds:20</t>
  </si>
  <si>
    <t xml:space="preserve">src-payments:30</t>
  </si>
  <si>
    <t xml:space="preserve">src-shipments:20</t>
  </si>
  <si>
    <t xml:space="preserve">src-orders:30</t>
  </si>
  <si>
    <t xml:space="preserve">src-inventory:5</t>
  </si>
  <si>
    <t xml:space="preserve">src-payments:31</t>
  </si>
  <si>
    <t xml:space="preserve">src-web-events:10</t>
  </si>
  <si>
    <t xml:space="preserve">src-refunds:21</t>
  </si>
  <si>
    <t xml:space="preserve">src-orders:31</t>
  </si>
  <si>
    <t xml:space="preserve">src-shipments:21</t>
  </si>
  <si>
    <t xml:space="preserve">src-payments:32</t>
  </si>
  <si>
    <t xml:space="preserve">src-orders:32</t>
  </si>
  <si>
    <t xml:space="preserve">src-refunds:22</t>
  </si>
  <si>
    <t xml:space="preserve">src-payments:33</t>
  </si>
  <si>
    <t xml:space="preserve">src-shipments:22</t>
  </si>
  <si>
    <t xml:space="preserve">src-orders:33</t>
  </si>
  <si>
    <t xml:space="preserve">src-payments:34</t>
  </si>
  <si>
    <t xml:space="preserve">src-web-events:11</t>
  </si>
  <si>
    <t xml:space="preserve">src-refunds:23</t>
  </si>
  <si>
    <t xml:space="preserve">src-orders:34</t>
  </si>
  <si>
    <t xml:space="preserve">src-shipments:23</t>
  </si>
  <si>
    <t xml:space="preserve">src-payments:35</t>
  </si>
  <si>
    <t xml:space="preserve">src-orders:35</t>
  </si>
  <si>
    <t xml:space="preserve">src-refunds:24</t>
  </si>
  <si>
    <t xml:space="preserve">src-payments:36</t>
  </si>
  <si>
    <t xml:space="preserve">src-shipments:24</t>
  </si>
  <si>
    <t xml:space="preserve">src-orders:36</t>
  </si>
  <si>
    <t xml:space="preserve">src-inventory:6</t>
  </si>
  <si>
    <t xml:space="preserve">src-payments:37</t>
  </si>
  <si>
    <t xml:space="preserve">src-web-events:12</t>
  </si>
  <si>
    <t xml:space="preserve">src-refunds:25</t>
  </si>
  <si>
    <t xml:space="preserve">src-orders:37</t>
  </si>
  <si>
    <t xml:space="preserve">src-shipments:25</t>
  </si>
  <si>
    <t xml:space="preserve">src-payments:38</t>
  </si>
  <si>
    <t xml:space="preserve">src-orders:38</t>
  </si>
  <si>
    <t xml:space="preserve">src-refunds:26</t>
  </si>
  <si>
    <t xml:space="preserve">src-payments:39</t>
  </si>
  <si>
    <t xml:space="preserve">src-shipments:26</t>
  </si>
  <si>
    <t xml:space="preserve">src-orders:39</t>
  </si>
  <si>
    <t xml:space="preserve">src-payments:40</t>
  </si>
  <si>
    <t xml:space="preserve">src-web-events:13</t>
  </si>
  <si>
    <t xml:space="preserve">src-refunds:27</t>
  </si>
  <si>
    <t xml:space="preserve">src-orders:40</t>
  </si>
  <si>
    <t xml:space="preserve">src-shipments:27</t>
  </si>
  <si>
    <t xml:space="preserve">src-payments:41</t>
  </si>
  <si>
    <t xml:space="preserve">src-orders:41</t>
  </si>
  <si>
    <t xml:space="preserve">src-refunds:28</t>
  </si>
  <si>
    <t xml:space="preserve">src-payments:42</t>
  </si>
  <si>
    <t xml:space="preserve">src-shipments:28</t>
  </si>
  <si>
    <t xml:space="preserve">src-orders:42</t>
  </si>
  <si>
    <t xml:space="preserve">src-orders:42:b</t>
  </si>
  <si>
    <t xml:space="preserve">refetch</t>
  </si>
  <si>
    <t xml:space="preserve">src-inventory:7</t>
  </si>
  <si>
    <t xml:space="preserve">src-payments:43</t>
  </si>
  <si>
    <t xml:space="preserve">src-web-events:14</t>
  </si>
  <si>
    <t xml:space="preserve">src-refunds:29</t>
  </si>
  <si>
    <t xml:space="preserve">src-orders:43</t>
  </si>
  <si>
    <t xml:space="preserve">src-shipments:29</t>
  </si>
  <si>
    <t xml:space="preserve">src-payments:44</t>
  </si>
  <si>
    <t xml:space="preserve">src-orders:44</t>
  </si>
  <si>
    <t xml:space="preserve">src-refunds:30</t>
  </si>
  <si>
    <t xml:space="preserve">src-payments:45</t>
  </si>
  <si>
    <t xml:space="preserve">src-shipments:30</t>
  </si>
  <si>
    <t xml:space="preserve">src-orders:45</t>
  </si>
  <si>
    <t xml:space="preserve">src-payments:46</t>
  </si>
  <si>
    <t xml:space="preserve">src-web-events:15</t>
  </si>
  <si>
    <t xml:space="preserve">src-refunds:31</t>
  </si>
  <si>
    <t xml:space="preserve">src-orders:46</t>
  </si>
  <si>
    <t xml:space="preserve">src-shipments:31</t>
  </si>
  <si>
    <t xml:space="preserve">src-payments:47</t>
  </si>
  <si>
    <t xml:space="preserve">src-orders:47</t>
  </si>
  <si>
    <t xml:space="preserve">src-refunds:32</t>
  </si>
  <si>
    <t xml:space="preserve">src-payments:48</t>
  </si>
  <si>
    <t xml:space="preserve">src-shipments:32</t>
  </si>
  <si>
    <t xml:space="preserve">src-orders:48</t>
  </si>
  <si>
    <t xml:space="preserve">src-inventory:8</t>
  </si>
  <si>
    <t xml:space="preserve">src-payments:49</t>
  </si>
  <si>
    <t xml:space="preserve">src-web-events:16</t>
  </si>
  <si>
    <t xml:space="preserve">src-refunds:33</t>
  </si>
  <si>
    <t xml:space="preserve">src-orders:49</t>
  </si>
  <si>
    <t xml:space="preserve">src-shipments:33</t>
  </si>
  <si>
    <t xml:space="preserve">src-payments:50</t>
  </si>
  <si>
    <t xml:space="preserve">src-orders:50</t>
  </si>
  <si>
    <t xml:space="preserve">src-refunds:34</t>
  </si>
  <si>
    <t xml:space="preserve">src-payments:51</t>
  </si>
  <si>
    <t xml:space="preserve">src-shipments:34</t>
  </si>
  <si>
    <t xml:space="preserve">src-orders:51</t>
  </si>
  <si>
    <t xml:space="preserve">src-payments:52</t>
  </si>
  <si>
    <t xml:space="preserve">src-web-events:17</t>
  </si>
  <si>
    <t xml:space="preserve">src-refunds:35</t>
  </si>
  <si>
    <t xml:space="preserve">src-orders:52</t>
  </si>
  <si>
    <t xml:space="preserve">src-shipments:35</t>
  </si>
  <si>
    <t xml:space="preserve">src-payments:53</t>
  </si>
  <si>
    <t xml:space="preserve">src-orders:53</t>
  </si>
  <si>
    <t xml:space="preserve">src-refunds:36</t>
  </si>
  <si>
    <t xml:space="preserve">src-payments:54</t>
  </si>
  <si>
    <t xml:space="preserve">src-shipments:36</t>
  </si>
  <si>
    <t xml:space="preserve">src-orders:54</t>
  </si>
  <si>
    <t xml:space="preserve">src-inventory:9</t>
  </si>
  <si>
    <t xml:space="preserve">src-payments:55</t>
  </si>
  <si>
    <t xml:space="preserve">src-web-events:18</t>
  </si>
  <si>
    <t xml:space="preserve">src-refunds:37</t>
  </si>
  <si>
    <t xml:space="preserve">src-shipments:37</t>
  </si>
  <si>
    <t xml:space="preserve">src-orders:55</t>
  </si>
  <si>
    <t xml:space="preserve">src-payments:56</t>
  </si>
  <si>
    <t xml:space="preserve">src-shipments:bf-001:2026-08-15</t>
  </si>
  <si>
    <t xml:space="preserve">src-orders:56</t>
  </si>
  <si>
    <t xml:space="preserve">src-refunds:38</t>
  </si>
  <si>
    <t xml:space="preserve">src-payments:57</t>
  </si>
  <si>
    <t xml:space="preserve">src-shipments:38</t>
  </si>
  <si>
    <t xml:space="preserve">src-orders:57</t>
  </si>
  <si>
    <t xml:space="preserve">src-payments:58</t>
  </si>
  <si>
    <t xml:space="preserve">src-web-events:19</t>
  </si>
  <si>
    <t xml:space="preserve">src-refunds:39</t>
  </si>
  <si>
    <t xml:space="preserve">src-orders:58</t>
  </si>
  <si>
    <t xml:space="preserve">src-shipments:39</t>
  </si>
  <si>
    <t xml:space="preserve">src-payments:59</t>
  </si>
  <si>
    <t xml:space="preserve">src-orders:59</t>
  </si>
  <si>
    <t xml:space="preserve">src-refunds:40</t>
  </si>
  <si>
    <t xml:space="preserve">src-payments:60</t>
  </si>
  <si>
    <t xml:space="preserve">src-shipments:40</t>
  </si>
  <si>
    <t xml:space="preserve">src-orders:60</t>
  </si>
  <si>
    <t xml:space="preserve">src-inventory:10</t>
  </si>
  <si>
    <t xml:space="preserve">src-payments:61</t>
  </si>
  <si>
    <t xml:space="preserve">src-web-events:20</t>
  </si>
  <si>
    <t xml:space="preserve">src-refunds:41</t>
  </si>
  <si>
    <t xml:space="preserve">src-orders:61</t>
  </si>
  <si>
    <t xml:space="preserve">src-shipments:41</t>
  </si>
  <si>
    <t xml:space="preserve">src-payments:62</t>
  </si>
  <si>
    <t xml:space="preserve">src-orders:62</t>
  </si>
  <si>
    <t xml:space="preserve">src-refunds:42</t>
  </si>
  <si>
    <t xml:space="preserve">src-payments:63</t>
  </si>
  <si>
    <t xml:space="preserve">src-shipments:42</t>
  </si>
  <si>
    <t xml:space="preserve">src-orders:63</t>
  </si>
  <si>
    <t xml:space="preserve">src-payments:64</t>
  </si>
  <si>
    <t xml:space="preserve">src-web-events:21</t>
  </si>
  <si>
    <t xml:space="preserve">src-refunds:43</t>
  </si>
  <si>
    <t xml:space="preserve">src-orders:64</t>
  </si>
  <si>
    <t xml:space="preserve">src-shipments:43</t>
  </si>
  <si>
    <t xml:space="preserve">src-payments:65</t>
  </si>
  <si>
    <t xml:space="preserve">src-orders:65</t>
  </si>
  <si>
    <t xml:space="preserve">src-refunds:44</t>
  </si>
  <si>
    <t xml:space="preserve">src-payments:66</t>
  </si>
  <si>
    <t xml:space="preserve">src-shipments:44</t>
  </si>
  <si>
    <t xml:space="preserve">src-orders:66</t>
  </si>
  <si>
    <t xml:space="preserve">src-inventory:11</t>
  </si>
  <si>
    <t xml:space="preserve">src-payments:67</t>
  </si>
  <si>
    <t xml:space="preserve">src-web-events:22</t>
  </si>
  <si>
    <t xml:space="preserve">src-refunds:45</t>
  </si>
  <si>
    <t xml:space="preserve">src-orders:67</t>
  </si>
  <si>
    <t xml:space="preserve">src-shipments:45</t>
  </si>
  <si>
    <t xml:space="preserve">src-payments:68</t>
  </si>
  <si>
    <t xml:space="preserve">src-orders:68</t>
  </si>
  <si>
    <t xml:space="preserve">src-refunds:46</t>
  </si>
  <si>
    <t xml:space="preserve">src-payments:69</t>
  </si>
  <si>
    <t xml:space="preserve">src-shipments:46</t>
  </si>
  <si>
    <t xml:space="preserve">src-orders:69</t>
  </si>
  <si>
    <t xml:space="preserve">src-payments:70</t>
  </si>
  <si>
    <t xml:space="preserve">src-web-events:23</t>
  </si>
  <si>
    <t xml:space="preserve">src-refunds:47</t>
  </si>
  <si>
    <t xml:space="preserve">src-orders:70</t>
  </si>
  <si>
    <t xml:space="preserve">src-shipments:47</t>
  </si>
  <si>
    <t xml:space="preserve">src-payments:71</t>
  </si>
  <si>
    <t xml:space="preserve">src-orders:71</t>
  </si>
  <si>
    <t xml:space="preserve">src-refunds:48</t>
  </si>
  <si>
    <t xml:space="preserve">src-payments:72</t>
  </si>
  <si>
    <t xml:space="preserve">src-shipments:48</t>
  </si>
  <si>
    <t xml:space="preserve">src-orders:72</t>
  </si>
  <si>
    <t xml:space="preserve">src-inventory:12</t>
  </si>
  <si>
    <t xml:space="preserve">src-web-events:bf-002:2026-08-13</t>
  </si>
  <si>
    <t xml:space="preserve">src-payments:73</t>
  </si>
  <si>
    <t xml:space="preserve">src-web-events:24</t>
  </si>
  <si>
    <t xml:space="preserve">src-refunds:49</t>
  </si>
  <si>
    <t xml:space="preserve">src-orders:73</t>
  </si>
  <si>
    <t xml:space="preserve">src-shipments:49</t>
  </si>
  <si>
    <t xml:space="preserve">src-payments:74</t>
  </si>
  <si>
    <t xml:space="preserve">src-refunds:50</t>
  </si>
  <si>
    <t xml:space="preserve">src-payments:75</t>
  </si>
  <si>
    <t xml:space="preserve">src-orders:74</t>
  </si>
  <si>
    <t xml:space="preserve">src-shipments:50</t>
  </si>
  <si>
    <t xml:space="preserve">src-orders:75</t>
  </si>
  <si>
    <t xml:space="preserve">src-payments:76</t>
  </si>
  <si>
    <t xml:space="preserve">src-web-events:25</t>
  </si>
  <si>
    <t xml:space="preserve">src-refunds:51</t>
  </si>
  <si>
    <t xml:space="preserve">src-orders:76</t>
  </si>
  <si>
    <t xml:space="preserve">src-shipments:51</t>
  </si>
  <si>
    <t xml:space="preserve">src-payments:77</t>
  </si>
  <si>
    <t xml:space="preserve">src-orders:77</t>
  </si>
  <si>
    <t xml:space="preserve">src-refunds:52</t>
  </si>
  <si>
    <t xml:space="preserve">src-payments:78</t>
  </si>
  <si>
    <t xml:space="preserve">src-shipments:52</t>
  </si>
  <si>
    <t xml:space="preserve">src-orders:78</t>
  </si>
  <si>
    <t xml:space="preserve">src-inventory:13</t>
  </si>
  <si>
    <t xml:space="preserve">src-payments:79</t>
  </si>
  <si>
    <t xml:space="preserve">src-web-events:26</t>
  </si>
  <si>
    <t xml:space="preserve">src-refunds:53</t>
  </si>
  <si>
    <t xml:space="preserve">src-orders:79</t>
  </si>
  <si>
    <t xml:space="preserve">src-shipments:53</t>
  </si>
  <si>
    <t xml:space="preserve">src-payments:80</t>
  </si>
  <si>
    <t xml:space="preserve">src-orders:80</t>
  </si>
  <si>
    <t xml:space="preserve">src-refunds:54</t>
  </si>
  <si>
    <t xml:space="preserve">src-payments:81</t>
  </si>
  <si>
    <t xml:space="preserve">src-shipments:54</t>
  </si>
  <si>
    <t xml:space="preserve">src-orders:81</t>
  </si>
  <si>
    <t xml:space="preserve">src-payments:82</t>
  </si>
  <si>
    <t xml:space="preserve">src-web-events:27</t>
  </si>
  <si>
    <t xml:space="preserve">src-refunds:55</t>
  </si>
  <si>
    <t xml:space="preserve">src-orders:82</t>
  </si>
  <si>
    <t xml:space="preserve">src-shipments:55</t>
  </si>
  <si>
    <t xml:space="preserve">src-payments:83</t>
  </si>
  <si>
    <t xml:space="preserve">src-orders:83</t>
  </si>
  <si>
    <t xml:space="preserve">src-refunds:56</t>
  </si>
  <si>
    <t xml:space="preserve">src-payments:84</t>
  </si>
  <si>
    <t xml:space="preserve">src-shipments:56</t>
  </si>
  <si>
    <t xml:space="preserve">src-orders:84</t>
  </si>
  <si>
    <t xml:space="preserve">src-inventory:14</t>
  </si>
  <si>
    <t xml:space="preserve">src-payments:85</t>
  </si>
  <si>
    <t xml:space="preserve">src-web-events:28</t>
  </si>
  <si>
    <t xml:space="preserve">src-refunds:57</t>
  </si>
  <si>
    <t xml:space="preserve">src-orders:85</t>
  </si>
  <si>
    <t xml:space="preserve">src-shipments:57</t>
  </si>
  <si>
    <t xml:space="preserve">src-payments:86</t>
  </si>
  <si>
    <t xml:space="preserve">src-orders:86</t>
  </si>
  <si>
    <t xml:space="preserve">src-refunds:58</t>
  </si>
  <si>
    <t xml:space="preserve">src-payments:87</t>
  </si>
  <si>
    <t xml:space="preserve">src-shipments:58</t>
  </si>
  <si>
    <t xml:space="preserve">src-orders:87</t>
  </si>
  <si>
    <t xml:space="preserve">src-payments:88</t>
  </si>
  <si>
    <t xml:space="preserve">src-web-events:29</t>
  </si>
  <si>
    <t xml:space="preserve">src-refunds:59</t>
  </si>
  <si>
    <t xml:space="preserve">src-orders:88</t>
  </si>
  <si>
    <t xml:space="preserve">src-shipments:59</t>
  </si>
  <si>
    <t xml:space="preserve">src-payments:89</t>
  </si>
  <si>
    <t xml:space="preserve">src-orders:89</t>
  </si>
  <si>
    <t xml:space="preserve">src-inventory:bf-003:2026-08-20</t>
  </si>
  <si>
    <t xml:space="preserve">src-refunds:60</t>
  </si>
  <si>
    <t xml:space="preserve">src-payments:90</t>
  </si>
  <si>
    <t xml:space="preserve">src-shipments:60</t>
  </si>
  <si>
    <t xml:space="preserve">src-orders:90</t>
  </si>
  <si>
    <t xml:space="preserve">src-inventory:15</t>
  </si>
  <si>
    <t xml:space="preserve">src-payments:91</t>
  </si>
  <si>
    <t xml:space="preserve">src-web-events:30</t>
  </si>
  <si>
    <t xml:space="preserve">src-refunds:61</t>
  </si>
  <si>
    <t xml:space="preserve">src-orders:91</t>
  </si>
  <si>
    <t xml:space="preserve">src-shipments:61</t>
  </si>
  <si>
    <t xml:space="preserve">src-payments:92</t>
  </si>
  <si>
    <t xml:space="preserve">src-orders:92</t>
  </si>
  <si>
    <t xml:space="preserve">src-refunds:62</t>
  </si>
  <si>
    <t xml:space="preserve">src-payments:93</t>
  </si>
  <si>
    <t xml:space="preserve">src-shipments:62</t>
  </si>
  <si>
    <t xml:space="preserve">src-orders:93</t>
  </si>
  <si>
    <t xml:space="preserve">src-orders:93:b</t>
  </si>
  <si>
    <t xml:space="preserve">src-payments:94</t>
  </si>
  <si>
    <t xml:space="preserve">src-web-events:31</t>
  </si>
  <si>
    <t xml:space="preserve">src-refunds:63</t>
  </si>
  <si>
    <t xml:space="preserve">src-orders:94</t>
  </si>
  <si>
    <t xml:space="preserve">src-shipments:63</t>
  </si>
  <si>
    <t xml:space="preserve">src-payments:95</t>
  </si>
  <si>
    <t xml:space="preserve">src-orders:95</t>
  </si>
  <si>
    <t xml:space="preserve">src-refunds:64</t>
  </si>
  <si>
    <t xml:space="preserve">src-payments:96</t>
  </si>
  <si>
    <t xml:space="preserve">src-shipments:64</t>
  </si>
  <si>
    <t xml:space="preserve">src-orders:96</t>
  </si>
  <si>
    <t xml:space="preserve">src-inventory:16</t>
  </si>
  <si>
    <t xml:space="preserve">src-payments:97</t>
  </si>
  <si>
    <t xml:space="preserve">src-web-events:32</t>
  </si>
  <si>
    <t xml:space="preserve">src-refunds:65</t>
  </si>
  <si>
    <t xml:space="preserve">src-orders:97</t>
  </si>
  <si>
    <t xml:space="preserve">src-shipments:65</t>
  </si>
  <si>
    <t xml:space="preserve">src-payments:98</t>
  </si>
  <si>
    <t xml:space="preserve">src-orders:98</t>
  </si>
  <si>
    <t xml:space="preserve">src-refunds:66</t>
  </si>
  <si>
    <t xml:space="preserve">src-payments:99</t>
  </si>
  <si>
    <t xml:space="preserve">src-shipments:66</t>
  </si>
  <si>
    <t xml:space="preserve">src-orders:99</t>
  </si>
  <si>
    <t xml:space="preserve">src-payments:100</t>
  </si>
  <si>
    <t xml:space="preserve">src-web-events:33</t>
  </si>
  <si>
    <t xml:space="preserve">src-refunds:67</t>
  </si>
  <si>
    <t xml:space="preserve">src-orders:100</t>
  </si>
  <si>
    <t xml:space="preserve">src-shipments:67</t>
  </si>
  <si>
    <t xml:space="preserve">src-payments:101</t>
  </si>
  <si>
    <t xml:space="preserve">src-orders:101</t>
  </si>
  <si>
    <t xml:space="preserve">src-refunds:68</t>
  </si>
  <si>
    <t xml:space="preserve">src-payments:102</t>
  </si>
  <si>
    <t xml:space="preserve">src-shipments:68</t>
  </si>
  <si>
    <t xml:space="preserve">src-orders:102</t>
  </si>
  <si>
    <t xml:space="preserve">src-inventory:17</t>
  </si>
  <si>
    <t xml:space="preserve">src-payments:103</t>
  </si>
  <si>
    <t xml:space="preserve">src-web-events:34</t>
  </si>
  <si>
    <t xml:space="preserve">src-refunds:69</t>
  </si>
  <si>
    <t xml:space="preserve">src-orders:103</t>
  </si>
  <si>
    <t xml:space="preserve">src-shipments:69</t>
  </si>
  <si>
    <t xml:space="preserve">src-payments:104</t>
  </si>
  <si>
    <t xml:space="preserve">src-orders:104</t>
  </si>
  <si>
    <t xml:space="preserve">src-refunds:70</t>
  </si>
  <si>
    <t xml:space="preserve">src-payments:105</t>
  </si>
  <si>
    <t xml:space="preserve">src-shipments:70</t>
  </si>
  <si>
    <t xml:space="preserve">src-orders:105</t>
  </si>
  <si>
    <t xml:space="preserve">src-payments:106</t>
  </si>
  <si>
    <t xml:space="preserve">src-web-events:35</t>
  </si>
  <si>
    <t xml:space="preserve">src-refunds:71</t>
  </si>
  <si>
    <t xml:space="preserve">src-inventory:bf-004:2026-08-22</t>
  </si>
  <si>
    <t xml:space="preserve">src-orders:106</t>
  </si>
  <si>
    <t xml:space="preserve">src-shipments:71</t>
  </si>
  <si>
    <t xml:space="preserve">src-payments:107</t>
  </si>
  <si>
    <t xml:space="preserve">src-orders:107</t>
  </si>
  <si>
    <t xml:space="preserve">src-refunds:72</t>
  </si>
  <si>
    <t xml:space="preserve">src-payments:108</t>
  </si>
  <si>
    <t xml:space="preserve">src-shipments:72</t>
  </si>
  <si>
    <t xml:space="preserve">src-orders:108</t>
  </si>
  <si>
    <t xml:space="preserve">src-inventory:18</t>
  </si>
  <si>
    <t xml:space="preserve">src-payments:109</t>
  </si>
  <si>
    <t xml:space="preserve">src-web-events:36</t>
  </si>
  <si>
    <t xml:space="preserve">src-refunds:73</t>
  </si>
  <si>
    <t xml:space="preserve">src-orders:109</t>
  </si>
  <si>
    <t xml:space="preserve">src-shipments:73</t>
  </si>
  <si>
    <t xml:space="preserve">src-payments:110</t>
  </si>
  <si>
    <t xml:space="preserve">src-orders:110</t>
  </si>
  <si>
    <t xml:space="preserve">src-refunds:74</t>
  </si>
  <si>
    <t xml:space="preserve">src-payments:111</t>
  </si>
  <si>
    <t xml:space="preserve">src-shipments:74</t>
  </si>
  <si>
    <t xml:space="preserve">src-orders:111</t>
  </si>
  <si>
    <t xml:space="preserve">src-payments:112</t>
  </si>
  <si>
    <t xml:space="preserve">src-web-events:37</t>
  </si>
  <si>
    <t xml:space="preserve">src-refunds:75</t>
  </si>
  <si>
    <t xml:space="preserve">src-orders:112</t>
  </si>
  <si>
    <t xml:space="preserve">src-shipments:75</t>
  </si>
  <si>
    <t xml:space="preserve">src-payments:113</t>
  </si>
  <si>
    <t xml:space="preserve">src-orders:113</t>
  </si>
  <si>
    <t xml:space="preserve">src-refunds:76</t>
  </si>
  <si>
    <t xml:space="preserve">src-payments:114</t>
  </si>
  <si>
    <t xml:space="preserve">src-shipments:76</t>
  </si>
  <si>
    <t xml:space="preserve">src-orders:114</t>
  </si>
  <si>
    <t xml:space="preserve">src-inventory:19</t>
  </si>
  <si>
    <t xml:space="preserve">src-payments:115</t>
  </si>
  <si>
    <t xml:space="preserve">src-web-events:38</t>
  </si>
  <si>
    <t xml:space="preserve">src-refunds:77</t>
  </si>
  <si>
    <t xml:space="preserve">src-orders:115</t>
  </si>
  <si>
    <t xml:space="preserve">src-shipments:77</t>
  </si>
  <si>
    <t xml:space="preserve">src-shipments:77:b</t>
  </si>
  <si>
    <t xml:space="preserve">src-payments:116</t>
  </si>
  <si>
    <t xml:space="preserve">src-orders:116</t>
  </si>
  <si>
    <t xml:space="preserve">src-refunds:78</t>
  </si>
  <si>
    <t xml:space="preserve">src-payments:117</t>
  </si>
  <si>
    <t xml:space="preserve">src-shipments:78</t>
  </si>
  <si>
    <t xml:space="preserve">src-orders:117</t>
  </si>
  <si>
    <t xml:space="preserve">src-payments:118</t>
  </si>
  <si>
    <t xml:space="preserve">src-web-events:39</t>
  </si>
  <si>
    <t xml:space="preserve">src-refunds:79</t>
  </si>
  <si>
    <t xml:space="preserve">src-orders:118</t>
  </si>
  <si>
    <t xml:space="preserve">src-shipments:79</t>
  </si>
  <si>
    <t xml:space="preserve">src-payments:119</t>
  </si>
  <si>
    <t xml:space="preserve">src-orders:119</t>
  </si>
  <si>
    <t xml:space="preserve">src-refunds:80</t>
  </si>
  <si>
    <t xml:space="preserve">src-payments:120</t>
  </si>
  <si>
    <t xml:space="preserve">src-shipments:80</t>
  </si>
  <si>
    <t xml:space="preserve">src-orders:120</t>
  </si>
  <si>
    <t xml:space="preserve">src-inventory:20</t>
  </si>
  <si>
    <t xml:space="preserve">src-payments:121</t>
  </si>
  <si>
    <t xml:space="preserve">src-web-events:40</t>
  </si>
  <si>
    <t xml:space="preserve">src-refunds:81</t>
  </si>
  <si>
    <t xml:space="preserve">src-orders:121</t>
  </si>
  <si>
    <t xml:space="preserve">src-shipments:81</t>
  </si>
  <si>
    <t xml:space="preserve">src-payments:122</t>
  </si>
  <si>
    <t xml:space="preserve">src-refunds:bf-005:2026-08-24</t>
  </si>
  <si>
    <t xml:space="preserve">src-refunds:bf-005:2026-08-25</t>
  </si>
  <si>
    <t xml:space="preserve">src-orders:122</t>
  </si>
  <si>
    <t xml:space="preserve">src-refunds:82</t>
  </si>
  <si>
    <t xml:space="preserve">src-payments:123</t>
  </si>
  <si>
    <t xml:space="preserve">src-shipments:82</t>
  </si>
  <si>
    <t xml:space="preserve">src-orders:123</t>
  </si>
  <si>
    <t xml:space="preserve">src-payments:124</t>
  </si>
  <si>
    <t xml:space="preserve">src-web-events:41</t>
  </si>
  <si>
    <t xml:space="preserve">src-refunds:83</t>
  </si>
  <si>
    <t xml:space="preserve">src-orders:124</t>
  </si>
  <si>
    <t xml:space="preserve">src-shipments:83</t>
  </si>
  <si>
    <t xml:space="preserve">src-payments:125</t>
  </si>
  <si>
    <t xml:space="preserve">src-orders:125</t>
  </si>
  <si>
    <t xml:space="preserve">src-refunds:84</t>
  </si>
  <si>
    <t xml:space="preserve">src-payments:126</t>
  </si>
  <si>
    <t xml:space="preserve">src-shipments:84</t>
  </si>
  <si>
    <t xml:space="preserve">src-orders:126</t>
  </si>
  <si>
    <t xml:space="preserve">src-inventory:21</t>
  </si>
  <si>
    <t xml:space="preserve">src-payments:127</t>
  </si>
  <si>
    <t xml:space="preserve">src-web-events:42</t>
  </si>
  <si>
    <t xml:space="preserve">src-refunds:85</t>
  </si>
  <si>
    <t xml:space="preserve">src-orders:127</t>
  </si>
  <si>
    <t xml:space="preserve">src-shipments:85</t>
  </si>
  <si>
    <t xml:space="preserve">src-payments:128</t>
  </si>
  <si>
    <t xml:space="preserve">src-orders:128</t>
  </si>
  <si>
    <t xml:space="preserve">src-refunds:86</t>
  </si>
  <si>
    <t xml:space="preserve">src-shipments:86</t>
  </si>
  <si>
    <t xml:space="preserve">src-orders:129</t>
  </si>
  <si>
    <t xml:space="preserve">src-payments:129</t>
  </si>
  <si>
    <t xml:space="preserve">src-payments:130</t>
  </si>
  <si>
    <t xml:space="preserve">src-web-events:43</t>
  </si>
  <si>
    <t xml:space="preserve">src-refunds:87</t>
  </si>
  <si>
    <t xml:space="preserve">src-orders:130</t>
  </si>
  <si>
    <t xml:space="preserve">src-shipments:87</t>
  </si>
  <si>
    <t xml:space="preserve">src-payments:131</t>
  </si>
  <si>
    <t xml:space="preserve">src-orders:131</t>
  </si>
  <si>
    <t xml:space="preserve">src-refunds:88</t>
  </si>
  <si>
    <t xml:space="preserve">src-payments:132</t>
  </si>
  <si>
    <t xml:space="preserve">src-shipments:88</t>
  </si>
  <si>
    <t xml:space="preserve">src-orders:132</t>
  </si>
  <si>
    <t xml:space="preserve">src-inventory:22</t>
  </si>
  <si>
    <t xml:space="preserve">src-payments:133</t>
  </si>
  <si>
    <t xml:space="preserve">src-web-events:44</t>
  </si>
  <si>
    <t xml:space="preserve">src-refunds:89</t>
  </si>
  <si>
    <t xml:space="preserve">src-orders:133</t>
  </si>
  <si>
    <t xml:space="preserve">src-shipments:89</t>
  </si>
  <si>
    <t xml:space="preserve">src-payments:134</t>
  </si>
  <si>
    <t xml:space="preserve">src-orders:134</t>
  </si>
  <si>
    <t xml:space="preserve">src-refunds:90</t>
  </si>
  <si>
    <t xml:space="preserve">src-payments:135</t>
  </si>
  <si>
    <t xml:space="preserve">src-shipments:90</t>
  </si>
  <si>
    <t xml:space="preserve">src-orders:135</t>
  </si>
  <si>
    <t xml:space="preserve">src-payments:136</t>
  </si>
  <si>
    <t xml:space="preserve">src-web-events:45</t>
  </si>
  <si>
    <t xml:space="preserve">src-refunds:91</t>
  </si>
  <si>
    <t xml:space="preserve">src-orders:136</t>
  </si>
  <si>
    <t xml:space="preserve">src-shipments:91</t>
  </si>
  <si>
    <t xml:space="preserve">src-payments:137</t>
  </si>
  <si>
    <t xml:space="preserve">src-orders:137</t>
  </si>
  <si>
    <t xml:space="preserve">src-refunds:92</t>
  </si>
  <si>
    <t xml:space="preserve">src-payments:138</t>
  </si>
  <si>
    <t xml:space="preserve">src-shipments:92</t>
  </si>
  <si>
    <t xml:space="preserve">src-orders:138</t>
  </si>
  <si>
    <t xml:space="preserve">src-inventory:23</t>
  </si>
  <si>
    <t xml:space="preserve">src-payments:139</t>
  </si>
  <si>
    <t xml:space="preserve">src-web-events:46</t>
  </si>
  <si>
    <t xml:space="preserve">src-refunds:93</t>
  </si>
  <si>
    <t xml:space="preserve">src-orders:139</t>
  </si>
  <si>
    <t xml:space="preserve">src-shipments:93</t>
  </si>
  <si>
    <t xml:space="preserve">src-payments:140</t>
  </si>
  <si>
    <t xml:space="preserve">src-orders:140</t>
  </si>
  <si>
    <t xml:space="preserve">src-refunds:94</t>
  </si>
  <si>
    <t xml:space="preserve">src-payments:141</t>
  </si>
  <si>
    <t xml:space="preserve">src-shipments:94</t>
  </si>
  <si>
    <t xml:space="preserve">src-orders:141</t>
  </si>
  <si>
    <t xml:space="preserve">src-payments:142</t>
  </si>
  <si>
    <t xml:space="preserve">src-web-events:47</t>
  </si>
  <si>
    <t xml:space="preserve">cursor_loop</t>
  </si>
  <si>
    <t xml:space="preserve">src-refunds:95</t>
  </si>
  <si>
    <t xml:space="preserve">src-orders:142</t>
  </si>
  <si>
    <t xml:space="preserve">src-shipments:95</t>
  </si>
  <si>
    <t xml:space="preserve">src-payments:143</t>
  </si>
  <si>
    <t xml:space="preserve">src-orders:143</t>
  </si>
  <si>
    <t xml:space="preserve">src-refunds:96</t>
  </si>
  <si>
    <t xml:space="preserve">src-payments:144</t>
  </si>
  <si>
    <t xml:space="preserve">src-shipments:96</t>
  </si>
  <si>
    <t xml:space="preserve">src-orders:144</t>
  </si>
  <si>
    <t xml:space="preserve">src-inventory:24</t>
  </si>
  <si>
    <t xml:space="preserve">src-payments:145</t>
  </si>
  <si>
    <t xml:space="preserve">src-web-events:48</t>
  </si>
  <si>
    <t xml:space="preserve">src-refunds:97</t>
  </si>
  <si>
    <t xml:space="preserve">src-orders:145</t>
  </si>
  <si>
    <t xml:space="preserve">src-shipments:97</t>
  </si>
  <si>
    <t xml:space="preserve">src-payments:146</t>
  </si>
  <si>
    <t xml:space="preserve">src-orders:146</t>
  </si>
  <si>
    <t xml:space="preserve">src-refunds:98</t>
  </si>
  <si>
    <t xml:space="preserve">src-payments:147</t>
  </si>
  <si>
    <t xml:space="preserve">src-shipments:98</t>
  </si>
  <si>
    <t xml:space="preserve">src-orders:147</t>
  </si>
  <si>
    <t xml:space="preserve">src-payments:148</t>
  </si>
  <si>
    <t xml:space="preserve">src-web-events:49</t>
  </si>
  <si>
    <t xml:space="preserve">src-refunds:99</t>
  </si>
  <si>
    <t xml:space="preserve">src-orders:148</t>
  </si>
  <si>
    <t xml:space="preserve">src-shipments:99</t>
  </si>
  <si>
    <t xml:space="preserve">src-payments:149</t>
  </si>
  <si>
    <t xml:space="preserve">src-orders:149</t>
  </si>
  <si>
    <t xml:space="preserve">src-refunds:100</t>
  </si>
  <si>
    <t xml:space="preserve">src-payments:150</t>
  </si>
  <si>
    <t xml:space="preserve">src-shipments:100</t>
  </si>
  <si>
    <t xml:space="preserve">src-orders:150</t>
  </si>
  <si>
    <t xml:space="preserve">src-inventory:25</t>
  </si>
  <si>
    <t xml:space="preserve">src-payments:151</t>
  </si>
  <si>
    <t xml:space="preserve">src-web-events:50</t>
  </si>
  <si>
    <t xml:space="preserve">src-refunds:101</t>
  </si>
  <si>
    <t xml:space="preserve">src-orders:151</t>
  </si>
  <si>
    <t xml:space="preserve">src-shipments:101</t>
  </si>
  <si>
    <t xml:space="preserve">src-payments:152</t>
  </si>
  <si>
    <t xml:space="preserve">src-orders:152</t>
  </si>
  <si>
    <t xml:space="preserve">src-orders:152:b</t>
  </si>
  <si>
    <t xml:space="preserve">src-refunds:102</t>
  </si>
  <si>
    <t xml:space="preserve">src-payments:153</t>
  </si>
  <si>
    <t xml:space="preserve">src-shipments:102</t>
  </si>
  <si>
    <t xml:space="preserve">src-orders:153</t>
  </si>
  <si>
    <t xml:space="preserve">src-payments:154</t>
  </si>
  <si>
    <t xml:space="preserve">src-web-events:51</t>
  </si>
  <si>
    <t xml:space="preserve">src-refunds:103</t>
  </si>
  <si>
    <t xml:space="preserve">src-orders:154</t>
  </si>
  <si>
    <t xml:space="preserve">src-shipments:103</t>
  </si>
  <si>
    <t xml:space="preserve">src-payments:155</t>
  </si>
  <si>
    <t xml:space="preserve">src-inventory:bf-007:2026-08-28</t>
  </si>
  <si>
    <t xml:space="preserve">src-orders:155</t>
  </si>
  <si>
    <t xml:space="preserve">src-refunds:104</t>
  </si>
  <si>
    <t xml:space="preserve">src-payments:156</t>
  </si>
  <si>
    <t xml:space="preserve">src-shipments:104</t>
  </si>
  <si>
    <t xml:space="preserve">src-orders:156</t>
  </si>
  <si>
    <t xml:space="preserve">src-inventory:26</t>
  </si>
  <si>
    <t xml:space="preserve">src-payments:157</t>
  </si>
  <si>
    <t xml:space="preserve">src-web-events:52</t>
  </si>
  <si>
    <t xml:space="preserve">src-refunds:105</t>
  </si>
  <si>
    <t xml:space="preserve">src-orders:157</t>
  </si>
  <si>
    <t xml:space="preserve">src-shipments:105</t>
  </si>
  <si>
    <t xml:space="preserve">src-payments:158</t>
  </si>
  <si>
    <t xml:space="preserve">src-orders:158</t>
  </si>
  <si>
    <t xml:space="preserve">src-refunds:106</t>
  </si>
  <si>
    <t xml:space="preserve">src-payments:159</t>
  </si>
  <si>
    <t xml:space="preserve">src-shipments:106</t>
  </si>
  <si>
    <t xml:space="preserve">src-orders:159</t>
  </si>
  <si>
    <t xml:space="preserve">src-payments:160</t>
  </si>
  <si>
    <t xml:space="preserve">src-web-events:53</t>
  </si>
  <si>
    <t xml:space="preserve">src-refunds:107</t>
  </si>
  <si>
    <t xml:space="preserve">src-orders:160</t>
  </si>
  <si>
    <t xml:space="preserve">src-shipments:107</t>
  </si>
  <si>
    <t xml:space="preserve">src-payments:161</t>
  </si>
  <si>
    <t xml:space="preserve">src-orders:161</t>
  </si>
  <si>
    <t xml:space="preserve">src-refunds:108</t>
  </si>
  <si>
    <t xml:space="preserve">src-payments:162</t>
  </si>
  <si>
    <t xml:space="preserve">src-shipments:108</t>
  </si>
  <si>
    <t xml:space="preserve">src-orders:162</t>
  </si>
  <si>
    <t xml:space="preserve">src-inventory:27</t>
  </si>
  <si>
    <t xml:space="preserve">src-payments:163</t>
  </si>
  <si>
    <t xml:space="preserve">src-web-events:54</t>
  </si>
  <si>
    <t xml:space="preserve">src-refunds:109</t>
  </si>
  <si>
    <t xml:space="preserve">src-orders:163</t>
  </si>
  <si>
    <t xml:space="preserve">src-shipments:109</t>
  </si>
  <si>
    <t xml:space="preserve">src-payments:164</t>
  </si>
  <si>
    <t xml:space="preserve">src-orders:164</t>
  </si>
  <si>
    <t xml:space="preserve">src-refunds:110</t>
  </si>
  <si>
    <t xml:space="preserve">src-payments:165</t>
  </si>
  <si>
    <t xml:space="preserve">src-shipments:110</t>
  </si>
  <si>
    <t xml:space="preserve">src-orders:165</t>
  </si>
  <si>
    <t xml:space="preserve">src-payments:166</t>
  </si>
  <si>
    <t xml:space="preserve">src-web-events:55</t>
  </si>
  <si>
    <t xml:space="preserve">src-refunds:111</t>
  </si>
  <si>
    <t xml:space="preserve">src-orders:166</t>
  </si>
  <si>
    <t xml:space="preserve">src-shipments:111</t>
  </si>
  <si>
    <t xml:space="preserve">src-payments:167</t>
  </si>
  <si>
    <t xml:space="preserve">src-orders:167</t>
  </si>
  <si>
    <t xml:space="preserve">src-refunds:112</t>
  </si>
  <si>
    <t xml:space="preserve">src-payments:168</t>
  </si>
  <si>
    <t xml:space="preserve">src-shipments:112</t>
  </si>
  <si>
    <t xml:space="preserve">src-orders:168</t>
  </si>
  <si>
    <t xml:space="preserve">src-inventory:28</t>
  </si>
  <si>
    <t xml:space="preserve">src-payments:169</t>
  </si>
  <si>
    <t xml:space="preserve">src-web-events:56</t>
  </si>
  <si>
    <t xml:space="preserve">src-refunds:113</t>
  </si>
  <si>
    <t xml:space="preserve">src-orders:169</t>
  </si>
  <si>
    <t xml:space="preserve">src-shipments:113</t>
  </si>
  <si>
    <t xml:space="preserve">src-payments:170</t>
  </si>
  <si>
    <t xml:space="preserve">src-orders:170</t>
  </si>
  <si>
    <t xml:space="preserve">src-refunds:114</t>
  </si>
  <si>
    <t xml:space="preserve">src-payments:171</t>
  </si>
  <si>
    <t xml:space="preserve">src-shipments:114</t>
  </si>
  <si>
    <t xml:space="preserve">src-orders:171</t>
  </si>
  <si>
    <t xml:space="preserve">src-inventory:bf-008:2026-09-03</t>
  </si>
  <si>
    <t xml:space="preserve">src-payments:172</t>
  </si>
  <si>
    <t xml:space="preserve">src-web-events:57</t>
  </si>
  <si>
    <t xml:space="preserve">src-refunds:115</t>
  </si>
  <si>
    <t xml:space="preserve">src-refunds:115:b</t>
  </si>
  <si>
    <t xml:space="preserve">src-orders:172</t>
  </si>
  <si>
    <t xml:space="preserve">src-shipments:115</t>
  </si>
  <si>
    <t xml:space="preserve">src-payments:173</t>
  </si>
  <si>
    <t xml:space="preserve">src-orders:173</t>
  </si>
  <si>
    <t xml:space="preserve">src-refunds:116</t>
  </si>
  <si>
    <t xml:space="preserve">src-payments:174</t>
  </si>
  <si>
    <t xml:space="preserve">src-shipments:116</t>
  </si>
  <si>
    <t xml:space="preserve">src-orders:174</t>
  </si>
  <si>
    <t xml:space="preserve">src-inventory:29</t>
  </si>
  <si>
    <t xml:space="preserve">src-payments:175</t>
  </si>
  <si>
    <t xml:space="preserve">src-web-events:58</t>
  </si>
  <si>
    <t xml:space="preserve">src-refunds:117</t>
  </si>
  <si>
    <t xml:space="preserve">src-orders:175</t>
  </si>
  <si>
    <t xml:space="preserve">src-shipments:117</t>
  </si>
  <si>
    <t xml:space="preserve">src-payments:176</t>
  </si>
  <si>
    <t xml:space="preserve">src-orders:176</t>
  </si>
  <si>
    <t xml:space="preserve">src-refunds:118</t>
  </si>
  <si>
    <t xml:space="preserve">src-payments:177</t>
  </si>
  <si>
    <t xml:space="preserve">src-shipments:118</t>
  </si>
  <si>
    <t xml:space="preserve">src-orders:177</t>
  </si>
  <si>
    <t xml:space="preserve">src-payments:178</t>
  </si>
  <si>
    <t xml:space="preserve">src-web-events:59</t>
  </si>
  <si>
    <t xml:space="preserve">src-refunds:119</t>
  </si>
  <si>
    <t xml:space="preserve">src-orders:178</t>
  </si>
  <si>
    <t xml:space="preserve">src-shipments:119</t>
  </si>
  <si>
    <t xml:space="preserve">src-payments:179</t>
  </si>
  <si>
    <t xml:space="preserve">src-orders:179</t>
  </si>
  <si>
    <t xml:space="preserve">src-refunds:120</t>
  </si>
  <si>
    <t xml:space="preserve">src-payments:180</t>
  </si>
  <si>
    <t xml:space="preserve">src-shipments:120</t>
  </si>
  <si>
    <t xml:space="preserve">src-orders:180</t>
  </si>
  <si>
    <t xml:space="preserve">src-inventory:30</t>
  </si>
  <si>
    <t xml:space="preserve">src-payments:181</t>
  </si>
  <si>
    <t xml:space="preserve">src-web-events:60</t>
  </si>
  <si>
    <t xml:space="preserve">src-refunds:121</t>
  </si>
  <si>
    <t xml:space="preserve">src-orders:181</t>
  </si>
  <si>
    <t xml:space="preserve">src-shipments:121</t>
  </si>
  <si>
    <t xml:space="preserve">src-payments:182</t>
  </si>
  <si>
    <t xml:space="preserve">src-payments:182:b</t>
  </si>
  <si>
    <t xml:space="preserve">src-orders:182</t>
  </si>
  <si>
    <t xml:space="preserve">src-refunds:122</t>
  </si>
  <si>
    <t xml:space="preserve">src-payments:183</t>
  </si>
  <si>
    <t xml:space="preserve">src-shipments:122</t>
  </si>
  <si>
    <t xml:space="preserve">src-orders:183</t>
  </si>
  <si>
    <t xml:space="preserve">src-payments:184</t>
  </si>
  <si>
    <t xml:space="preserve">src-web-events:61</t>
  </si>
  <si>
    <t xml:space="preserve">src-refunds:123</t>
  </si>
  <si>
    <t xml:space="preserve">src-orders:184</t>
  </si>
  <si>
    <t xml:space="preserve">src-shipments:123</t>
  </si>
  <si>
    <t xml:space="preserve">src-payments:185</t>
  </si>
  <si>
    <t xml:space="preserve">src-orders:185</t>
  </si>
  <si>
    <t xml:space="preserve">src-refunds:124</t>
  </si>
  <si>
    <t xml:space="preserve">src-payments:186</t>
  </si>
  <si>
    <t xml:space="preserve">src-shipments:124</t>
  </si>
  <si>
    <t xml:space="preserve">src-orders:186</t>
  </si>
  <si>
    <t xml:space="preserve">src-inventory:31</t>
  </si>
  <si>
    <t xml:space="preserve">src-payments:187</t>
  </si>
  <si>
    <t xml:space="preserve">src-web-events:62</t>
  </si>
  <si>
    <t xml:space="preserve">src-refunds:125</t>
  </si>
  <si>
    <t xml:space="preserve">src-orders:187</t>
  </si>
  <si>
    <t xml:space="preserve">src-shipments:125</t>
  </si>
  <si>
    <t xml:space="preserve">src-payments:188</t>
  </si>
  <si>
    <t xml:space="preserve">src-web-events:bf-009:2026-08-21</t>
  </si>
  <si>
    <t xml:space="preserve">src-orders:188</t>
  </si>
  <si>
    <t xml:space="preserve">src-refunds:126</t>
  </si>
  <si>
    <t xml:space="preserve">src-payments:189</t>
  </si>
  <si>
    <t xml:space="preserve">src-shipments:126</t>
  </si>
  <si>
    <t xml:space="preserve">src-orders:189</t>
  </si>
  <si>
    <t xml:space="preserve">src-payments:190</t>
  </si>
  <si>
    <t xml:space="preserve">src-web-events:63</t>
  </si>
  <si>
    <t xml:space="preserve">src-refunds:127</t>
  </si>
  <si>
    <t xml:space="preserve">src-orders:190</t>
  </si>
  <si>
    <t xml:space="preserve">src-shipments:127</t>
  </si>
  <si>
    <t xml:space="preserve">src-payments:191</t>
  </si>
  <si>
    <t xml:space="preserve">src-orders:191</t>
  </si>
  <si>
    <t xml:space="preserve">src-refunds:128</t>
  </si>
  <si>
    <t xml:space="preserve">src-payments:192</t>
  </si>
  <si>
    <t xml:space="preserve">src-shipments:128</t>
  </si>
  <si>
    <t xml:space="preserve">src-orders:192</t>
  </si>
  <si>
    <t xml:space="preserve">src-inventory:32</t>
  </si>
  <si>
    <t xml:space="preserve">src-payments:193</t>
  </si>
  <si>
    <t xml:space="preserve">src-web-events:64</t>
  </si>
  <si>
    <t xml:space="preserve">src-refunds:129</t>
  </si>
  <si>
    <t xml:space="preserve">src-refunds:129:b</t>
  </si>
  <si>
    <t xml:space="preserve">src-orders:193</t>
  </si>
  <si>
    <t xml:space="preserve">src-shipments:129</t>
  </si>
  <si>
    <t xml:space="preserve">src-payments:194</t>
  </si>
  <si>
    <t xml:space="preserve">src-orders:194</t>
  </si>
  <si>
    <t xml:space="preserve">src-refunds:130</t>
  </si>
  <si>
    <t xml:space="preserve">src-payments:195</t>
  </si>
  <si>
    <t xml:space="preserve">src-shipments:130</t>
  </si>
  <si>
    <t xml:space="preserve">src-orders:195</t>
  </si>
  <si>
    <t xml:space="preserve">src-payments:196</t>
  </si>
  <si>
    <t xml:space="preserve">src-web-events:65</t>
  </si>
  <si>
    <t xml:space="preserve">src-refunds:131</t>
  </si>
  <si>
    <t xml:space="preserve">src-orders:196</t>
  </si>
  <si>
    <t xml:space="preserve">src-shipments:131</t>
  </si>
  <si>
    <t xml:space="preserve">src-payments:197</t>
  </si>
  <si>
    <t xml:space="preserve">src-orders:197</t>
  </si>
  <si>
    <t xml:space="preserve">src-refunds:132</t>
  </si>
  <si>
    <t xml:space="preserve">src-payments:198</t>
  </si>
  <si>
    <t xml:space="preserve">src-shipments:132</t>
  </si>
  <si>
    <t xml:space="preserve">src-orders:198</t>
  </si>
  <si>
    <t xml:space="preserve">src-inventory:33</t>
  </si>
  <si>
    <t xml:space="preserve">src-payments:199</t>
  </si>
  <si>
    <t xml:space="preserve">src-web-events:66</t>
  </si>
  <si>
    <t xml:space="preserve">src-refunds:133</t>
  </si>
  <si>
    <t xml:space="preserve">src-orders:199</t>
  </si>
  <si>
    <t xml:space="preserve">src-shipments:133</t>
  </si>
  <si>
    <t xml:space="preserve">src-payments:200</t>
  </si>
  <si>
    <t xml:space="preserve">src-orders:200</t>
  </si>
  <si>
    <t xml:space="preserve">src-refunds:134</t>
  </si>
  <si>
    <t xml:space="preserve">src-payments:201</t>
  </si>
  <si>
    <t xml:space="preserve">src-shipments:134</t>
  </si>
  <si>
    <t xml:space="preserve">src-orders:201</t>
  </si>
  <si>
    <t xml:space="preserve">src-payments:202</t>
  </si>
  <si>
    <t xml:space="preserve">src-web-events:67</t>
  </si>
  <si>
    <t xml:space="preserve">src-refunds:135</t>
  </si>
  <si>
    <t xml:space="preserve">src-orders:202</t>
  </si>
  <si>
    <t xml:space="preserve">src-shipments:135</t>
  </si>
  <si>
    <t xml:space="preserve">src-payments:203</t>
  </si>
  <si>
    <t xml:space="preserve">src-orders:203</t>
  </si>
  <si>
    <t xml:space="preserve">src-refunds:136</t>
  </si>
  <si>
    <t xml:space="preserve">src-payments:204</t>
  </si>
  <si>
    <t xml:space="preserve">src-shipments:136</t>
  </si>
  <si>
    <t xml:space="preserve">src-orders:204</t>
  </si>
  <si>
    <t xml:space="preserve">src-inventory:34</t>
  </si>
  <si>
    <t xml:space="preserve">src-payments:205</t>
  </si>
  <si>
    <t xml:space="preserve">src-web-events:68</t>
  </si>
  <si>
    <t xml:space="preserve">src-web-events:bf-010:2026-08-26</t>
  </si>
  <si>
    <t xml:space="preserve">src-refunds:137</t>
  </si>
  <si>
    <t xml:space="preserve">src-orders:205</t>
  </si>
  <si>
    <t xml:space="preserve">src-shipments:137</t>
  </si>
  <si>
    <t xml:space="preserve">src-payments:206</t>
  </si>
  <si>
    <t xml:space="preserve">src-orders:206</t>
  </si>
  <si>
    <t xml:space="preserve">src-refunds:138</t>
  </si>
  <si>
    <t xml:space="preserve">src-shipments:138</t>
  </si>
  <si>
    <t xml:space="preserve">src-orders:207</t>
  </si>
  <si>
    <t xml:space="preserve">src-payments:207</t>
  </si>
  <si>
    <t xml:space="preserve">src-payments:208</t>
  </si>
  <si>
    <t xml:space="preserve">src-web-events:69</t>
  </si>
  <si>
    <t xml:space="preserve">src-refunds:139</t>
  </si>
  <si>
    <t xml:space="preserve">src-orders:208</t>
  </si>
  <si>
    <t xml:space="preserve">src-shipments:139</t>
  </si>
  <si>
    <t xml:space="preserve">src-payments:209</t>
  </si>
  <si>
    <t xml:space="preserve">src-orders:209</t>
  </si>
  <si>
    <t xml:space="preserve">src-refunds:140</t>
  </si>
  <si>
    <t xml:space="preserve">src-payments:210</t>
  </si>
  <si>
    <t xml:space="preserve">src-shipments:140</t>
  </si>
  <si>
    <t xml:space="preserve">src-orders:210</t>
  </si>
  <si>
    <t xml:space="preserve">src-inventory:35</t>
  </si>
  <si>
    <t xml:space="preserve">src-payments:211</t>
  </si>
  <si>
    <t xml:space="preserve">src-web-events:70</t>
  </si>
  <si>
    <t xml:space="preserve">src-refunds:141</t>
  </si>
  <si>
    <t xml:space="preserve">src-orders:211</t>
  </si>
  <si>
    <t xml:space="preserve">src-shipments:141</t>
  </si>
  <si>
    <t xml:space="preserve">src-payments:212</t>
  </si>
  <si>
    <t xml:space="preserve">src-orders:212</t>
  </si>
  <si>
    <t xml:space="preserve">src-refunds:142</t>
  </si>
  <si>
    <t xml:space="preserve">src-payments:213</t>
  </si>
  <si>
    <t xml:space="preserve">src-shipments:142</t>
  </si>
  <si>
    <t xml:space="preserve">src-orders:213</t>
  </si>
  <si>
    <t xml:space="preserve">src-payments:214</t>
  </si>
  <si>
    <t xml:space="preserve">src-web-events:71</t>
  </si>
  <si>
    <t xml:space="preserve">src-refunds:143</t>
  </si>
  <si>
    <t xml:space="preserve">src-orders:214</t>
  </si>
  <si>
    <t xml:space="preserve">src-shipments:143</t>
  </si>
  <si>
    <t xml:space="preserve">src-payments:215</t>
  </si>
  <si>
    <t xml:space="preserve">src-orders:215</t>
  </si>
  <si>
    <t xml:space="preserve">src-refunds:144</t>
  </si>
  <si>
    <t xml:space="preserve">src-payments:216</t>
  </si>
  <si>
    <t xml:space="preserve">src-payments:216:b</t>
  </si>
  <si>
    <t xml:space="preserve">src-shipments:144</t>
  </si>
  <si>
    <t xml:space="preserve">src-orders:216</t>
  </si>
  <si>
    <t xml:space="preserve">src-inventory:36</t>
  </si>
  <si>
    <t xml:space="preserve">src-payments:217</t>
  </si>
  <si>
    <t xml:space="preserve">src-web-events:72</t>
  </si>
  <si>
    <t xml:space="preserve">src-refunds:145</t>
  </si>
  <si>
    <t xml:space="preserve">src-orders:217</t>
  </si>
  <si>
    <t xml:space="preserve">src-shipments:145</t>
  </si>
  <si>
    <t xml:space="preserve">src-payments:218</t>
  </si>
  <si>
    <t xml:space="preserve">src-orders:218</t>
  </si>
  <si>
    <t xml:space="preserve">src-refunds:146</t>
  </si>
  <si>
    <t xml:space="preserve">src-payments:219</t>
  </si>
  <si>
    <t xml:space="preserve">src-shipments:146</t>
  </si>
  <si>
    <t xml:space="preserve">src-orders:219</t>
  </si>
  <si>
    <t xml:space="preserve">src-payments:220</t>
  </si>
  <si>
    <t xml:space="preserve">src-web-events:73</t>
  </si>
  <si>
    <t xml:space="preserve">src-refunds:147</t>
  </si>
  <si>
    <t xml:space="preserve">src-orders:220</t>
  </si>
  <si>
    <t xml:space="preserve">src-shipments:147</t>
  </si>
  <si>
    <t xml:space="preserve">src-payments:221</t>
  </si>
  <si>
    <t xml:space="preserve">src-orders:221</t>
  </si>
  <si>
    <t xml:space="preserve">src-refunds:148</t>
  </si>
  <si>
    <t xml:space="preserve">src-web-events:bf-011:2026-09-07</t>
  </si>
  <si>
    <t xml:space="preserve">src-payments:222</t>
  </si>
  <si>
    <t xml:space="preserve">src-shipments:148</t>
  </si>
  <si>
    <t xml:space="preserve">src-orders:222</t>
  </si>
  <si>
    <t xml:space="preserve">src-inventory:37</t>
  </si>
  <si>
    <t xml:space="preserve">src-payments:223</t>
  </si>
  <si>
    <t xml:space="preserve">src-web-events:74</t>
  </si>
  <si>
    <t xml:space="preserve">src-refunds:149</t>
  </si>
  <si>
    <t xml:space="preserve">src-orders:223</t>
  </si>
  <si>
    <t xml:space="preserve">src-shipments:149</t>
  </si>
  <si>
    <t xml:space="preserve">src-payments:224</t>
  </si>
  <si>
    <t xml:space="preserve">src-orders:224</t>
  </si>
  <si>
    <t xml:space="preserve">src-refunds:150</t>
  </si>
  <si>
    <t xml:space="preserve">src-payments:225</t>
  </si>
  <si>
    <t xml:space="preserve">src-shipments:150</t>
  </si>
  <si>
    <t xml:space="preserve">src-orders:225</t>
  </si>
  <si>
    <t xml:space="preserve">src-payments:226</t>
  </si>
  <si>
    <t xml:space="preserve">src-web-events:75</t>
  </si>
  <si>
    <t xml:space="preserve">src-refunds:151</t>
  </si>
  <si>
    <t xml:space="preserve">src-orders:226</t>
  </si>
  <si>
    <t xml:space="preserve">src-shipments:151</t>
  </si>
  <si>
    <t xml:space="preserve">src-payments:227</t>
  </si>
  <si>
    <t xml:space="preserve">src-orders:227</t>
  </si>
  <si>
    <t xml:space="preserve">src-refunds:152</t>
  </si>
  <si>
    <t xml:space="preserve">src-payments:228</t>
  </si>
  <si>
    <t xml:space="preserve">src-shipments:152</t>
  </si>
  <si>
    <t xml:space="preserve">src-orders:228</t>
  </si>
  <si>
    <t xml:space="preserve">src-inventory:38</t>
  </si>
  <si>
    <t xml:space="preserve">src-payments:229</t>
  </si>
  <si>
    <t xml:space="preserve">src-web-events:76</t>
  </si>
  <si>
    <t xml:space="preserve">src-refunds:153</t>
  </si>
  <si>
    <t xml:space="preserve">src-orders:229</t>
  </si>
  <si>
    <t xml:space="preserve">src-shipments:153</t>
  </si>
  <si>
    <t xml:space="preserve">src-payments:230</t>
  </si>
  <si>
    <t xml:space="preserve">src-orders:230</t>
  </si>
  <si>
    <t xml:space="preserve">src-refunds:154</t>
  </si>
  <si>
    <t xml:space="preserve">src-payments:231</t>
  </si>
  <si>
    <t xml:space="preserve">src-shipments:154</t>
  </si>
  <si>
    <t xml:space="preserve">src-orders:231</t>
  </si>
  <si>
    <t xml:space="preserve">src-payments:232</t>
  </si>
  <si>
    <t xml:space="preserve">src-web-events:77</t>
  </si>
  <si>
    <t xml:space="preserve">src-refunds:155</t>
  </si>
  <si>
    <t xml:space="preserve">src-orders:232</t>
  </si>
  <si>
    <t xml:space="preserve">src-shipments:155</t>
  </si>
  <si>
    <t xml:space="preserve">src-payments:233</t>
  </si>
  <si>
    <t xml:space="preserve">src-orders:233</t>
  </si>
  <si>
    <t xml:space="preserve">src-refunds:156</t>
  </si>
  <si>
    <t xml:space="preserve">src-payments:234</t>
  </si>
  <si>
    <t xml:space="preserve">src-shipments:156</t>
  </si>
  <si>
    <t xml:space="preserve">src-orders:234</t>
  </si>
  <si>
    <t xml:space="preserve">src-inventory:39</t>
  </si>
  <si>
    <t xml:space="preserve">src-payments:235</t>
  </si>
  <si>
    <t xml:space="preserve">src-web-events:78</t>
  </si>
  <si>
    <t xml:space="preserve">src-refunds:157</t>
  </si>
  <si>
    <t xml:space="preserve">src-orders:235</t>
  </si>
  <si>
    <t xml:space="preserve">src-shipments:157</t>
  </si>
  <si>
    <t xml:space="preserve">src-payments:236</t>
  </si>
  <si>
    <t xml:space="preserve">src-orders:236</t>
  </si>
  <si>
    <t xml:space="preserve">src-refunds:158</t>
  </si>
  <si>
    <t xml:space="preserve">src-payments:237</t>
  </si>
  <si>
    <t xml:space="preserve">src-shipments:158</t>
  </si>
  <si>
    <t xml:space="preserve">src-orders:237</t>
  </si>
  <si>
    <t xml:space="preserve">src-payments:238</t>
  </si>
  <si>
    <t xml:space="preserve">src-web-events:79</t>
  </si>
  <si>
    <t xml:space="preserve">src-refunds:159</t>
  </si>
  <si>
    <t xml:space="preserve">src-orders:238</t>
  </si>
  <si>
    <t xml:space="preserve">src-shipments:159</t>
  </si>
  <si>
    <t xml:space="preserve">src-payments:239</t>
  </si>
  <si>
    <t xml:space="preserve">src-orders:239</t>
  </si>
  <si>
    <t xml:space="preserve">src-refunds:160</t>
  </si>
  <si>
    <t xml:space="preserve">src-payments:240</t>
  </si>
  <si>
    <t xml:space="preserve">src-shipments:160</t>
  </si>
  <si>
    <t xml:space="preserve">src-orders:240</t>
  </si>
  <si>
    <t xml:space="preserve">src-inventory:40</t>
  </si>
  <si>
    <t xml:space="preserve">src-payments:241</t>
  </si>
  <si>
    <t xml:space="preserve">src-web-events:80</t>
  </si>
  <si>
    <t xml:space="preserve">src-refunds:161</t>
  </si>
  <si>
    <t xml:space="preserve">src-orders:241</t>
  </si>
  <si>
    <t xml:space="preserve">src-shipments:161</t>
  </si>
  <si>
    <t xml:space="preserve">src-payments:242</t>
  </si>
  <si>
    <t xml:space="preserve">src-orders:242</t>
  </si>
  <si>
    <t xml:space="preserve">src-refunds:162</t>
  </si>
  <si>
    <t xml:space="preserve">src-payments:243</t>
  </si>
  <si>
    <t xml:space="preserve">src-shipments:162</t>
  </si>
  <si>
    <t xml:space="preserve">src-orders:243</t>
  </si>
  <si>
    <t xml:space="preserve">src-payments:244</t>
  </si>
  <si>
    <t xml:space="preserve">src-web-events:81</t>
  </si>
  <si>
    <t xml:space="preserve">src-refunds:163</t>
  </si>
  <si>
    <t xml:space="preserve">src-orders:244</t>
  </si>
  <si>
    <t xml:space="preserve">src-shipments:163</t>
  </si>
  <si>
    <t xml:space="preserve">src-payments:245</t>
  </si>
  <si>
    <t xml:space="preserve">src-orders:245</t>
  </si>
  <si>
    <t xml:space="preserve">src-refunds:164</t>
  </si>
  <si>
    <t xml:space="preserve">src-payments:246</t>
  </si>
  <si>
    <t xml:space="preserve">src-shipments:164</t>
  </si>
  <si>
    <t xml:space="preserve">src-orders:246</t>
  </si>
  <si>
    <t xml:space="preserve">src-inventory:41</t>
  </si>
  <si>
    <t xml:space="preserve">src-payments:247</t>
  </si>
  <si>
    <t xml:space="preserve">src-web-events:82</t>
  </si>
  <si>
    <t xml:space="preserve">src-refunds:165</t>
  </si>
  <si>
    <t xml:space="preserve">src-orders:247</t>
  </si>
  <si>
    <t xml:space="preserve">src-shipments:165</t>
  </si>
  <si>
    <t xml:space="preserve">src-payments:248</t>
  </si>
  <si>
    <t xml:space="preserve">src-orders:248</t>
  </si>
  <si>
    <t xml:space="preserve">src-refunds:166</t>
  </si>
  <si>
    <t xml:space="preserve">src-refunds:166:b</t>
  </si>
  <si>
    <t xml:space="preserve">src-payments:249</t>
  </si>
  <si>
    <t xml:space="preserve">src-shipments:166</t>
  </si>
  <si>
    <t xml:space="preserve">src-orders:249</t>
  </si>
  <si>
    <t xml:space="preserve">src-payments:250</t>
  </si>
  <si>
    <t xml:space="preserve">src-web-events:83</t>
  </si>
  <si>
    <t xml:space="preserve">src-refunds:167</t>
  </si>
  <si>
    <t xml:space="preserve">src-orders:250</t>
  </si>
  <si>
    <t xml:space="preserve">src-shipments:167</t>
  </si>
  <si>
    <t xml:space="preserve">src-payments:251</t>
  </si>
  <si>
    <t xml:space="preserve">src-orders:251</t>
  </si>
  <si>
    <t xml:space="preserve">src-refunds:168</t>
  </si>
  <si>
    <t xml:space="preserve">src-payments:252</t>
  </si>
  <si>
    <t xml:space="preserve">src-shipments:168</t>
  </si>
  <si>
    <t xml:space="preserve">src-orders:252</t>
  </si>
  <si>
    <t xml:space="preserve">src-inventory:42</t>
  </si>
  <si>
    <t xml:space="preserve">src-payments:253</t>
  </si>
  <si>
    <t xml:space="preserve">src-web-events:84</t>
  </si>
  <si>
    <t xml:space="preserve">src-refunds:169</t>
  </si>
  <si>
    <t xml:space="preserve">src-orders:253</t>
  </si>
  <si>
    <t xml:space="preserve">src-shipments:169</t>
  </si>
  <si>
    <t xml:space="preserve">src-payments:254</t>
  </si>
  <si>
    <t xml:space="preserve">src-orders:254</t>
  </si>
  <si>
    <t xml:space="preserve">src-refunds:170</t>
  </si>
  <si>
    <t xml:space="preserve">src-inventory:bf-013:2026-09-17</t>
  </si>
  <si>
    <t xml:space="preserve">src-payments:255</t>
  </si>
  <si>
    <t xml:space="preserve">src-shipments:170</t>
  </si>
  <si>
    <t xml:space="preserve">src-orders:255</t>
  </si>
  <si>
    <t xml:space="preserve">src-payments:256</t>
  </si>
  <si>
    <t xml:space="preserve">src-web-events:85</t>
  </si>
  <si>
    <t xml:space="preserve">src-refunds:171</t>
  </si>
  <si>
    <t xml:space="preserve">src-orders:256</t>
  </si>
  <si>
    <t xml:space="preserve">src-shipments:171</t>
  </si>
  <si>
    <t xml:space="preserve">src-payments:257</t>
  </si>
  <si>
    <t xml:space="preserve">src-orders:257</t>
  </si>
  <si>
    <t xml:space="preserve">src-refunds:172</t>
  </si>
  <si>
    <t xml:space="preserve">src-payments:258</t>
  </si>
  <si>
    <t xml:space="preserve">src-shipments:172</t>
  </si>
  <si>
    <t xml:space="preserve">src-orders:258</t>
  </si>
  <si>
    <t xml:space="preserve">src-inventory:43</t>
  </si>
  <si>
    <t xml:space="preserve">src-payments:259</t>
  </si>
  <si>
    <t xml:space="preserve">src-web-events:86</t>
  </si>
  <si>
    <t xml:space="preserve">src-refunds:173</t>
  </si>
  <si>
    <t xml:space="preserve">src-orders:259</t>
  </si>
  <si>
    <t xml:space="preserve">src-shipments:173</t>
  </si>
  <si>
    <t xml:space="preserve">src-payments:260</t>
  </si>
  <si>
    <t xml:space="preserve">src-orders:260</t>
  </si>
  <si>
    <t xml:space="preserve">src-refunds:174</t>
  </si>
  <si>
    <t xml:space="preserve">src-payments:261</t>
  </si>
  <si>
    <t xml:space="preserve">src-shipments:174</t>
  </si>
  <si>
    <t xml:space="preserve">src-orders:261</t>
  </si>
  <si>
    <t xml:space="preserve">src-payments:262</t>
  </si>
  <si>
    <t xml:space="preserve">src-web-events:87</t>
  </si>
  <si>
    <t xml:space="preserve">src-refunds:175</t>
  </si>
  <si>
    <t xml:space="preserve">src-orders:262</t>
  </si>
  <si>
    <t xml:space="preserve">src-shipments:175</t>
  </si>
  <si>
    <t xml:space="preserve">src-payments:263</t>
  </si>
  <si>
    <t xml:space="preserve">src-orders:263</t>
  </si>
  <si>
    <t xml:space="preserve">src-refunds:176</t>
  </si>
  <si>
    <t xml:space="preserve">src-payments:264</t>
  </si>
  <si>
    <t xml:space="preserve">src-shipments:176</t>
  </si>
  <si>
    <t xml:space="preserve">src-orders:264</t>
  </si>
  <si>
    <t xml:space="preserve">src-inventory:44</t>
  </si>
  <si>
    <t xml:space="preserve">src-payments:265</t>
  </si>
  <si>
    <t xml:space="preserve">src-web-events:88</t>
  </si>
  <si>
    <t xml:space="preserve">src-refunds:177</t>
  </si>
  <si>
    <t xml:space="preserve">src-orders:265</t>
  </si>
  <si>
    <t xml:space="preserve">src-shipments:177</t>
  </si>
  <si>
    <t xml:space="preserve">src-payments:266</t>
  </si>
  <si>
    <t xml:space="preserve">src-orders:266</t>
  </si>
  <si>
    <t xml:space="preserve">src-refunds:178</t>
  </si>
  <si>
    <t xml:space="preserve">src-payments:267</t>
  </si>
  <si>
    <t xml:space="preserve">src-shipments:178</t>
  </si>
  <si>
    <t xml:space="preserve">src-orders:267</t>
  </si>
  <si>
    <t xml:space="preserve">src-payments:268</t>
  </si>
  <si>
    <t xml:space="preserve">src-web-events:89</t>
  </si>
  <si>
    <t xml:space="preserve">src-refunds:179</t>
  </si>
  <si>
    <t xml:space="preserve">src-orders:268</t>
  </si>
  <si>
    <t xml:space="preserve">src-shipments:179</t>
  </si>
  <si>
    <t xml:space="preserve">src-payments:269</t>
  </si>
  <si>
    <t xml:space="preserve">src-orders:269</t>
  </si>
  <si>
    <t xml:space="preserve">src-refunds:180</t>
  </si>
  <si>
    <t xml:space="preserve">src-payments:270</t>
  </si>
  <si>
    <t xml:space="preserve">src-shipments:180</t>
  </si>
  <si>
    <t xml:space="preserve">src-orders:270</t>
  </si>
  <si>
    <t xml:space="preserve">src-inventory:45</t>
  </si>
  <si>
    <t xml:space="preserve">src-payments:271</t>
  </si>
  <si>
    <t xml:space="preserve">src-web-events:90</t>
  </si>
  <si>
    <t xml:space="preserve">src-shipments:bf-014:2026-09-10</t>
  </si>
  <si>
    <t xml:space="preserve">src-refunds:181</t>
  </si>
  <si>
    <t xml:space="preserve">src-orders:271</t>
  </si>
  <si>
    <t xml:space="preserve">src-shipments:181</t>
  </si>
  <si>
    <t xml:space="preserve">src-payments:272</t>
  </si>
  <si>
    <t xml:space="preserve">src-orders:272</t>
  </si>
  <si>
    <t xml:space="preserve">src-refunds:182</t>
  </si>
  <si>
    <t xml:space="preserve">src-payments:273</t>
  </si>
  <si>
    <t xml:space="preserve">src-shipments:182</t>
  </si>
  <si>
    <t xml:space="preserve">src-orders:273</t>
  </si>
  <si>
    <t xml:space="preserve">src-payments:274</t>
  </si>
  <si>
    <t xml:space="preserve">src-web-events:91</t>
  </si>
  <si>
    <t xml:space="preserve">src-refunds:183</t>
  </si>
  <si>
    <t xml:space="preserve">src-orders:274</t>
  </si>
  <si>
    <t xml:space="preserve">src-shipments:183</t>
  </si>
  <si>
    <t xml:space="preserve">src-payments:275</t>
  </si>
  <si>
    <t xml:space="preserve">src-orders:275</t>
  </si>
  <si>
    <t xml:space="preserve">src-refunds:184</t>
  </si>
  <si>
    <t xml:space="preserve">src-payments:276</t>
  </si>
  <si>
    <t xml:space="preserve">src-shipments:184</t>
  </si>
  <si>
    <t xml:space="preserve">src-orders:276</t>
  </si>
  <si>
    <t xml:space="preserve">src-inventory:46</t>
  </si>
  <si>
    <t xml:space="preserve">src-payments:277</t>
  </si>
  <si>
    <t xml:space="preserve">src-web-events:92</t>
  </si>
  <si>
    <t xml:space="preserve">src-refunds:185</t>
  </si>
  <si>
    <t xml:space="preserve">src-orders:277</t>
  </si>
  <si>
    <t xml:space="preserve">src-shipments:185</t>
  </si>
  <si>
    <t xml:space="preserve">src-payments:278</t>
  </si>
  <si>
    <t xml:space="preserve">src-orders:278</t>
  </si>
  <si>
    <t xml:space="preserve">src-refunds:186</t>
  </si>
  <si>
    <t xml:space="preserve">src-payments:279</t>
  </si>
  <si>
    <t xml:space="preserve">src-shipments:186</t>
  </si>
  <si>
    <t xml:space="preserve">src-orders:279</t>
  </si>
  <si>
    <t xml:space="preserve">src-payments:280</t>
  </si>
  <si>
    <t xml:space="preserve">src-web-events:93</t>
  </si>
  <si>
    <t xml:space="preserve">src-refunds:187</t>
  </si>
  <si>
    <t xml:space="preserve">src-orders:280</t>
  </si>
  <si>
    <t xml:space="preserve">src-shipments:187</t>
  </si>
  <si>
    <t xml:space="preserve">src-payments:281</t>
  </si>
  <si>
    <t xml:space="preserve">src-orders:281</t>
  </si>
  <si>
    <t xml:space="preserve">src-refunds:188</t>
  </si>
  <si>
    <t xml:space="preserve">src-payments:282</t>
  </si>
  <si>
    <t xml:space="preserve">src-shipments:188</t>
  </si>
  <si>
    <t xml:space="preserve">src-orders:282</t>
  </si>
  <si>
    <t xml:space="preserve">src-inventory:47</t>
  </si>
  <si>
    <t xml:space="preserve">src-payments:283</t>
  </si>
  <si>
    <t xml:space="preserve">src-web-events:94</t>
  </si>
  <si>
    <t xml:space="preserve">src-refunds:189</t>
  </si>
  <si>
    <t xml:space="preserve">src-orders:283</t>
  </si>
  <si>
    <t xml:space="preserve">src-shipments:189</t>
  </si>
  <si>
    <t xml:space="preserve">src-payments:284</t>
  </si>
  <si>
    <t xml:space="preserve">src-orders:284</t>
  </si>
  <si>
    <t xml:space="preserve">src-refunds:190</t>
  </si>
  <si>
    <t xml:space="preserve">src-payments:285</t>
  </si>
  <si>
    <t xml:space="preserve">src-shipments:190</t>
  </si>
  <si>
    <t xml:space="preserve">src-payments:286</t>
  </si>
  <si>
    <t xml:space="preserve">src-web-events:95</t>
  </si>
  <si>
    <t xml:space="preserve">src-orders:285</t>
  </si>
  <si>
    <t xml:space="preserve">src-refunds:191</t>
  </si>
  <si>
    <t xml:space="preserve">src-orders:286</t>
  </si>
  <si>
    <t xml:space="preserve">src-shipments:191</t>
  </si>
  <si>
    <t xml:space="preserve">src-payments:287</t>
  </si>
  <si>
    <t xml:space="preserve">src-refunds:bf-015:2026-09-22</t>
  </si>
  <si>
    <t xml:space="preserve">src-orders:287</t>
  </si>
  <si>
    <t xml:space="preserve">src-refunds:bf-015:2026-09-23</t>
  </si>
  <si>
    <t xml:space="preserve">src-refunds:192</t>
  </si>
  <si>
    <t xml:space="preserve">src-payments:288</t>
  </si>
  <si>
    <t xml:space="preserve">src-shipments:192</t>
  </si>
  <si>
    <t xml:space="preserve">src-orders:288</t>
  </si>
  <si>
    <t xml:space="preserve">src-inventory:48</t>
  </si>
  <si>
    <t xml:space="preserve">src-payments:289</t>
  </si>
  <si>
    <t xml:space="preserve">src-web-events:96</t>
  </si>
  <si>
    <t xml:space="preserve">src-refunds:193</t>
  </si>
  <si>
    <t xml:space="preserve">src-orders:289</t>
  </si>
  <si>
    <t xml:space="preserve">src-shipments:193</t>
  </si>
  <si>
    <t xml:space="preserve">src-payments:290</t>
  </si>
  <si>
    <t xml:space="preserve">src-orders:290</t>
  </si>
  <si>
    <t xml:space="preserve">src-refunds:194</t>
  </si>
  <si>
    <t xml:space="preserve">src-payments:291</t>
  </si>
  <si>
    <t xml:space="preserve">src-shipments:194</t>
  </si>
  <si>
    <t xml:space="preserve">src-orders:291</t>
  </si>
  <si>
    <t xml:space="preserve">src-payments:292</t>
  </si>
  <si>
    <t xml:space="preserve">src-web-events:97</t>
  </si>
  <si>
    <t xml:space="preserve">src-refunds:195</t>
  </si>
  <si>
    <t xml:space="preserve">src-orders:292</t>
  </si>
  <si>
    <t xml:space="preserve">src-shipments:195</t>
  </si>
  <si>
    <t xml:space="preserve">src-payments:293</t>
  </si>
  <si>
    <t xml:space="preserve">src-orders:293</t>
  </si>
  <si>
    <t xml:space="preserve">src-refunds:196</t>
  </si>
  <si>
    <t xml:space="preserve">src-payments:294</t>
  </si>
  <si>
    <t xml:space="preserve">src-shipments:196</t>
  </si>
  <si>
    <t xml:space="preserve">src-orders:294</t>
  </si>
  <si>
    <t xml:space="preserve">src-inventory:49</t>
  </si>
  <si>
    <t xml:space="preserve">src-payments:295</t>
  </si>
  <si>
    <t xml:space="preserve">src-web-events:98</t>
  </si>
  <si>
    <t xml:space="preserve">src-refunds:197</t>
  </si>
  <si>
    <t xml:space="preserve">src-orders:295</t>
  </si>
  <si>
    <t xml:space="preserve">src-shipments:197</t>
  </si>
  <si>
    <t xml:space="preserve">src-payments:296</t>
  </si>
  <si>
    <t xml:space="preserve">src-orders:296</t>
  </si>
  <si>
    <t xml:space="preserve">src-refunds:198</t>
  </si>
  <si>
    <t xml:space="preserve">src-payments:297</t>
  </si>
  <si>
    <t xml:space="preserve">src-shipments:198</t>
  </si>
  <si>
    <t xml:space="preserve">src-orders:297</t>
  </si>
  <si>
    <t xml:space="preserve">src-payments:298</t>
  </si>
  <si>
    <t xml:space="preserve">src-web-events:99</t>
  </si>
  <si>
    <t xml:space="preserve">src-refunds:199</t>
  </si>
  <si>
    <t xml:space="preserve">src-orders:298</t>
  </si>
  <si>
    <t xml:space="preserve">src-shipments:199</t>
  </si>
  <si>
    <t xml:space="preserve">src-payments:299</t>
  </si>
  <si>
    <t xml:space="preserve">src-orders:299</t>
  </si>
  <si>
    <t xml:space="preserve">src-refunds:200</t>
  </si>
  <si>
    <t xml:space="preserve">src-payments:300</t>
  </si>
  <si>
    <t xml:space="preserve">src-shipments:200</t>
  </si>
  <si>
    <t xml:space="preserve">src-orders:300</t>
  </si>
  <si>
    <t xml:space="preserve">src-inventory:50</t>
  </si>
  <si>
    <t xml:space="preserve">src-payments:301</t>
  </si>
  <si>
    <t xml:space="preserve">src-web-events:100</t>
  </si>
  <si>
    <t xml:space="preserve">src-refunds:201</t>
  </si>
  <si>
    <t xml:space="preserve">src-orders:301</t>
  </si>
  <si>
    <t xml:space="preserve">src-shipments:201</t>
  </si>
  <si>
    <t xml:space="preserve">src-payments:302</t>
  </si>
  <si>
    <t xml:space="preserve">src-orders:302</t>
  </si>
  <si>
    <t xml:space="preserve">src-refunds:202</t>
  </si>
  <si>
    <t xml:space="preserve">src-payments:303</t>
  </si>
  <si>
    <t xml:space="preserve">src-shipments:202</t>
  </si>
  <si>
    <t xml:space="preserve">src-orders:303</t>
  </si>
  <si>
    <t xml:space="preserve">src-payments:304</t>
  </si>
  <si>
    <t xml:space="preserve">src-web-events:101</t>
  </si>
  <si>
    <t xml:space="preserve">src-refunds:203</t>
  </si>
  <si>
    <t xml:space="preserve">src-orders:304</t>
  </si>
  <si>
    <t xml:space="preserve">src-shipments:203</t>
  </si>
  <si>
    <t xml:space="preserve">src-payments:305</t>
  </si>
  <si>
    <t xml:space="preserve">src-orders:305</t>
  </si>
  <si>
    <t xml:space="preserve">src-refunds:204</t>
  </si>
  <si>
    <t xml:space="preserve">src-payments:306</t>
  </si>
  <si>
    <t xml:space="preserve">src-shipments:204</t>
  </si>
  <si>
    <t xml:space="preserve">src-orders:306</t>
  </si>
  <si>
    <t xml:space="preserve">src-inventory:51</t>
  </si>
  <si>
    <t xml:space="preserve">src-payments:307</t>
  </si>
  <si>
    <t xml:space="preserve">src-web-events:102</t>
  </si>
  <si>
    <t xml:space="preserve">src-refunds:205</t>
  </si>
  <si>
    <t xml:space="preserve">src-orders:307</t>
  </si>
  <si>
    <t xml:space="preserve">src-shipments:205</t>
  </si>
  <si>
    <t xml:space="preserve">src-payments:308</t>
  </si>
  <si>
    <t xml:space="preserve">src-orders:308</t>
  </si>
  <si>
    <t xml:space="preserve">src-refunds:206</t>
  </si>
  <si>
    <t xml:space="preserve">src-payments:309</t>
  </si>
  <si>
    <t xml:space="preserve">src-shipments:206</t>
  </si>
  <si>
    <t xml:space="preserve">src-orders:309</t>
  </si>
  <si>
    <t xml:space="preserve">src-payments:310</t>
  </si>
  <si>
    <t xml:space="preserve">src-web-events:103</t>
  </si>
  <si>
    <t xml:space="preserve">src-refunds:207</t>
  </si>
  <si>
    <t xml:space="preserve">src-orders:310</t>
  </si>
  <si>
    <t xml:space="preserve">src-shipments:207</t>
  </si>
  <si>
    <t xml:space="preserve">src-payments:311</t>
  </si>
  <si>
    <t xml:space="preserve">src-orders:311</t>
  </si>
  <si>
    <t xml:space="preserve">src-refunds:208</t>
  </si>
  <si>
    <t xml:space="preserve">src-payments:312</t>
  </si>
  <si>
    <t xml:space="preserve">src-shipments:208</t>
  </si>
  <si>
    <t xml:space="preserve">src-orders:312</t>
  </si>
  <si>
    <t xml:space="preserve">src-inventory:52</t>
  </si>
  <si>
    <t xml:space="preserve">src-payments:313</t>
  </si>
  <si>
    <t xml:space="preserve">src-web-events:104</t>
  </si>
  <si>
    <t xml:space="preserve">src-refunds:209</t>
  </si>
  <si>
    <t xml:space="preserve">src-orders:313</t>
  </si>
  <si>
    <t xml:space="preserve">src-shipments:209</t>
  </si>
  <si>
    <t xml:space="preserve">src-payments:314</t>
  </si>
  <si>
    <t xml:space="preserve">src-orders:314</t>
  </si>
  <si>
    <t xml:space="preserve">src-refunds:210</t>
  </si>
  <si>
    <t xml:space="preserve">src-payments:315</t>
  </si>
  <si>
    <t xml:space="preserve">src-shipments:210</t>
  </si>
  <si>
    <t xml:space="preserve">src-orders:315</t>
  </si>
  <si>
    <t xml:space="preserve">src-payments:316</t>
  </si>
  <si>
    <t xml:space="preserve">src-web-events:105</t>
  </si>
  <si>
    <t xml:space="preserve">src-refunds:211</t>
  </si>
  <si>
    <t xml:space="preserve">src-orders:316</t>
  </si>
  <si>
    <t xml:space="preserve">src-shipments:211</t>
  </si>
  <si>
    <t xml:space="preserve">src-payments:317</t>
  </si>
  <si>
    <t xml:space="preserve">src-orders:317</t>
  </si>
  <si>
    <t xml:space="preserve">src-refunds:212</t>
  </si>
  <si>
    <t xml:space="preserve">src-payments:318</t>
  </si>
  <si>
    <t xml:space="preserve">src-shipments:212</t>
  </si>
  <si>
    <t xml:space="preserve">src-orders:318</t>
  </si>
  <si>
    <t xml:space="preserve">src-inventory:53</t>
  </si>
  <si>
    <t xml:space="preserve">src-payments:319</t>
  </si>
  <si>
    <t xml:space="preserve">src-web-events:106</t>
  </si>
  <si>
    <t xml:space="preserve">src-refunds:213</t>
  </si>
  <si>
    <t xml:space="preserve">src-orders:319</t>
  </si>
  <si>
    <t xml:space="preserve">src-shipments:213</t>
  </si>
  <si>
    <t xml:space="preserve">src-payments:320</t>
  </si>
  <si>
    <t xml:space="preserve">src-orders:320</t>
  </si>
  <si>
    <t xml:space="preserve">src-refunds:214</t>
  </si>
  <si>
    <t xml:space="preserve">src-payments:321</t>
  </si>
  <si>
    <t xml:space="preserve">src-shipments:214</t>
  </si>
  <si>
    <t xml:space="preserve">src-orders:321</t>
  </si>
  <si>
    <t xml:space="preserve">src-payments:322</t>
  </si>
  <si>
    <t xml:space="preserve">src-web-events:107</t>
  </si>
  <si>
    <t xml:space="preserve">src-refunds:215</t>
  </si>
  <si>
    <t xml:space="preserve">src-orders:322</t>
  </si>
  <si>
    <t xml:space="preserve">src-shipments:215</t>
  </si>
  <si>
    <t xml:space="preserve">src-payments:323</t>
  </si>
  <si>
    <t xml:space="preserve">src-orders:323</t>
  </si>
  <si>
    <t xml:space="preserve">src-refunds:216</t>
  </si>
  <si>
    <t xml:space="preserve">src-payments:324</t>
  </si>
  <si>
    <t xml:space="preserve">src-shipments:216</t>
  </si>
  <si>
    <t xml:space="preserve">src-orders:324</t>
  </si>
  <si>
    <t xml:space="preserve">src-inventory:54</t>
  </si>
  <si>
    <t xml:space="preserve">src-payments:325</t>
  </si>
  <si>
    <t xml:space="preserve">src-web-events:108</t>
  </si>
  <si>
    <t xml:space="preserve">src-refunds:217</t>
  </si>
  <si>
    <t xml:space="preserve">src-orders:325</t>
  </si>
  <si>
    <t xml:space="preserve">src-shipments:217</t>
  </si>
  <si>
    <t xml:space="preserve">src-payments:326</t>
  </si>
  <si>
    <t xml:space="preserve">src-orders:326</t>
  </si>
  <si>
    <t xml:space="preserve">src-refunds:218</t>
  </si>
  <si>
    <t xml:space="preserve">src-payments:327</t>
  </si>
  <si>
    <t xml:space="preserve">src-shipments:218</t>
  </si>
  <si>
    <t xml:space="preserve">src-orders:327</t>
  </si>
  <si>
    <t xml:space="preserve">src-payments:328</t>
  </si>
  <si>
    <t xml:space="preserve">src-web-events:109</t>
  </si>
  <si>
    <t xml:space="preserve">src-refunds:219</t>
  </si>
  <si>
    <t xml:space="preserve">src-orders:328</t>
  </si>
  <si>
    <t xml:space="preserve">src-shipments:219</t>
  </si>
  <si>
    <t xml:space="preserve">src-payments:329</t>
  </si>
  <si>
    <t xml:space="preserve">src-orders:329</t>
  </si>
  <si>
    <t xml:space="preserve">src-refunds:220</t>
  </si>
  <si>
    <t xml:space="preserve">src-payments:330</t>
  </si>
  <si>
    <t xml:space="preserve">src-shipments:220</t>
  </si>
  <si>
    <t xml:space="preserve">src-orders:330</t>
  </si>
  <si>
    <t xml:space="preserve">src-inventory:55</t>
  </si>
  <si>
    <t xml:space="preserve">src-payments:331</t>
  </si>
  <si>
    <t xml:space="preserve">src-web-events:110</t>
  </si>
  <si>
    <t xml:space="preserve">src-refunds:221</t>
  </si>
  <si>
    <t xml:space="preserve">src-orders:331</t>
  </si>
  <si>
    <t xml:space="preserve">src-shipments:221</t>
  </si>
  <si>
    <t xml:space="preserve">src-payments:332</t>
  </si>
  <si>
    <t xml:space="preserve">src-orders:332</t>
  </si>
  <si>
    <t xml:space="preserve">src-refunds:222</t>
  </si>
  <si>
    <t xml:space="preserve">src-payments:333</t>
  </si>
  <si>
    <t xml:space="preserve">src-shipments:222</t>
  </si>
  <si>
    <t xml:space="preserve">src-orders:333</t>
  </si>
  <si>
    <t xml:space="preserve">src-payments:334</t>
  </si>
  <si>
    <t xml:space="preserve">src-web-events:111</t>
  </si>
  <si>
    <t xml:space="preserve">src-refunds:223</t>
  </si>
  <si>
    <t xml:space="preserve">src-orders:334</t>
  </si>
  <si>
    <t xml:space="preserve">src-shipments:223</t>
  </si>
  <si>
    <t xml:space="preserve">src-payments:335</t>
  </si>
  <si>
    <t xml:space="preserve">PASTED VALUES: the Python domain over the published files and the manifest's recorded statistics (check columns only)</t>
  </si>
  <si>
    <t xml:space="preserve">Run, task, incident, backfill and ingestion-age figures are the domain's over the published files (complete for those entities). Per-source ingestion counts, freshness and completeness are the generator's RECORD for the complete world (manifest stats): the files hold only a sample of the raw rows.</t>
  </si>
  <si>
    <t xml:space="preserve">source of the counts</t>
  </si>
  <si>
    <t xml:space="preserve">manifest stats (recorded, complete world); ingestion age: domain</t>
  </si>
  <si>
    <t xml:space="preserve">Run funnel, tasks and attempts (domain over the published files)</t>
  </si>
  <si>
    <t xml:space="preserve">reached_gate</t>
  </si>
  <si>
    <t xml:space="preserve">blocked_at_gate</t>
  </si>
  <si>
    <t xml:space="preserve">failed_before_gate</t>
  </si>
  <si>
    <t xml:space="preserve">task_success_rate</t>
  </si>
  <si>
    <t xml:space="preserve">attempt_success_rate</t>
  </si>
  <si>
    <t xml:space="preserve">Incidents, backfills, retries</t>
  </si>
  <si>
    <t xml:space="preserve">mean_recovery_minutes</t>
  </si>
  <si>
    <t xml:space="preserve">backfill_requested</t>
  </si>
  <si>
    <t xml:space="preserve">backfill_verified</t>
  </si>
  <si>
    <t xml:space="preserve">backfill_coverage</t>
  </si>
  <si>
    <t xml:space="preserve">refused_requests</t>
  </si>
  <si>
    <t xml:space="preserve">retries_honoured</t>
  </si>
  <si>
    <t xml:space="preserve">pointer</t>
  </si>
  <si>
    <t xml:space="preserve">PASTED VALUES from data/sql/analysis/run_all.py (artifacts/analysis-results.json)</t>
  </si>
  <si>
    <t xml:space="preserve">The headline result sets; reconciliation: every row equal across the SQL, the reference SQL, the Python domain, the manifests and the independent Python side.</t>
  </si>
  <si>
    <t xml:space="preserve">reconciliation rows 204, equal 204; result sets 64, rows 303; dataset po-20261026-20261026 / 0a90687778634365c402c5431661b56625de20785e28d9b2388d36c0cad19aab; code ed7eb5a</t>
  </si>
  <si>
    <t xml:space="preserve">01_ingestion_by_source__overall</t>
  </si>
  <si>
    <t xml:space="preserve">unclassified</t>
  </si>
  <si>
    <t xml:space="preserve">02_run_funnel_by_failure_kind__funnel</t>
  </si>
  <si>
    <t xml:space="preserve">succeeded</t>
  </si>
  <si>
    <t xml:space="preserve">backfill_runs</t>
  </si>
  <si>
    <t xml:space="preserve">03_task_vs_attempt_success__overall</t>
  </si>
  <si>
    <t xml:space="preserve">tasks_retried</t>
  </si>
  <si>
    <t xml:space="preserve">retried_then_succeeded</t>
  </si>
  <si>
    <t xml:space="preserve">04_freshness_vs_ingestion_age__silent_source</t>
  </si>
  <si>
    <t xml:space="preserve">silent_since</t>
  </si>
  <si>
    <t xml:space="preserve">runs_since</t>
  </si>
  <si>
    <t xml:space="preserve">runs_succeeded</t>
  </si>
  <si>
    <t xml:space="preserve">runs_allowed_by_the_gate</t>
  </si>
  <si>
    <t xml:space="preserve">freshness_checks_passed</t>
  </si>
  <si>
    <t xml:space="preserve">committed_batches_since</t>
  </si>
  <si>
    <t xml:space="preserve">batches_with_no_accepted_record</t>
  </si>
  <si>
    <t xml:space="preserve">accepted_since</t>
  </si>
  <si>
    <t xml:space="preserve">duplicates_since</t>
  </si>
  <si>
    <t xml:space="preserve">2026-10-02T00:00:00Z</t>
  </si>
  <si>
    <t xml:space="preserve">05_publication_pointer_and_blocked_runs__summary</t>
  </si>
  <si>
    <t xml:space="preserve">publications</t>
  </si>
  <si>
    <t xml:space="preserve">runs_that_moved_the_pointer</t>
  </si>
  <si>
    <t xml:space="preserve">runs_that_left_it</t>
  </si>
  <si>
    <t xml:space="preserve">pointer_run</t>
  </si>
  <si>
    <t xml:space="preserve">latest_publication</t>
  </si>
  <si>
    <t xml:space="preserve">publications_of_failed_or_blocked_runs</t>
  </si>
  <si>
    <t xml:space="preserve">first_published_at</t>
  </si>
  <si>
    <t xml:space="preserve">last_published_at</t>
  </si>
  <si>
    <t xml:space="preserve">2026-08-10T01:30:34Z</t>
  </si>
  <si>
    <t xml:space="preserve">2026-10-04T23:34:14Z</t>
  </si>
  <si>
    <t xml:space="preserve">06_incidents_and_verified_recovery__summary</t>
  </si>
  <si>
    <t xml:space="preserve">open</t>
  </si>
  <si>
    <t xml:space="preserve">closed</t>
  </si>
  <si>
    <t xml:space="preserve">closures_consistent</t>
  </si>
  <si>
    <t xml:space="preserve">min_recovery_minutes</t>
  </si>
  <si>
    <t xml:space="preserve">max_recovery_minutes</t>
  </si>
  <si>
    <t xml:space="preserve">07_backfill_coverage_and_refused_overlaps__coverage_summary</t>
  </si>
  <si>
    <t xml:space="preserve">accepted_requests</t>
  </si>
  <si>
    <t xml:space="preserve">requested_partitions</t>
  </si>
  <si>
    <t xml:space="preserve">verified_partitions</t>
  </si>
  <si>
    <t xml:space="preserve">refused_partitions</t>
  </si>
  <si>
    <t xml:space="preserve">requests_complete</t>
  </si>
  <si>
    <t xml:space="preserve">requests_partial</t>
  </si>
  <si>
    <t xml:space="preserve">08_fetch_log_retry_after__retry_summary</t>
  </si>
  <si>
    <t xml:space="preserve">rate_limited_responses</t>
  </si>
  <si>
    <t xml:space="preserve">retries</t>
  </si>
  <si>
    <t xml:space="preserve">retries_honouring_retry_after</t>
  </si>
  <si>
    <t xml:space="preserve">retries_too_soon</t>
  </si>
  <si>
    <t xml:space="preserve">min_slack_seconds</t>
  </si>
  <si>
    <t xml:space="preserve">max_slack_seconds</t>
  </si>
  <si>
    <t xml:space="preserve">sessions_rate_limited</t>
  </si>
  <si>
    <t xml:space="preserve">sources_rate_limited</t>
  </si>
  <si>
    <t xml:space="preserve">retries_rate_limited_again</t>
  </si>
  <si>
    <t xml:space="preserve">10_sample_scope_reconciliation__rates_by_scope</t>
  </si>
  <si>
    <t xml:space="preserve">scope</t>
  </si>
  <si>
    <t xml:space="preserve">complete world, 1,302 committed batches</t>
  </si>
  <si>
    <t xml:space="preserve">the sampled committed batches, classified with the full key history</t>
  </si>
  <si>
    <t xml:space="preserve">the 2,000-row sample, classified from the loaded rows only</t>
  </si>
  <si>
    <t xml:space="preserve">09_golden_known_answer__runs_overall</t>
  </si>
</sst>
</file>

<file path=xl/styles.xml><?xml version="1.0" encoding="utf-8"?>
<styleSheet xmlns="http://schemas.openxmlformats.org/spreadsheetml/2006/main">
  <numFmts count="4">
    <numFmt numFmtId="164" formatCode="General"/>
    <numFmt numFmtId="165" formatCode="yyyy\-mm\-dd\ hh:mm"/>
    <numFmt numFmtId="166" formatCode="General"/>
    <numFmt numFmtId="167" formatCode="yyyy\-mm\-dd\ hh:mm:ss"/>
  </numFmts>
  <fonts count="9">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sz val="11"/>
      <color rgb="FF0000FF"/>
      <name val="Cambria"/>
      <family val="0"/>
      <charset val="1"/>
    </font>
    <font>
      <sz val="11"/>
      <name val="Cambria"/>
      <family val="0"/>
      <charset val="1"/>
    </font>
    <font>
      <b val="true"/>
      <sz val="11"/>
      <color rgb="FFFFFFFF"/>
      <name val="Cambria"/>
      <family val="0"/>
      <charset val="1"/>
    </font>
  </fonts>
  <fills count="3">
    <fill>
      <patternFill patternType="none"/>
    </fill>
    <fill>
      <patternFill patternType="gray125"/>
    </fill>
    <fill>
      <patternFill patternType="solid">
        <fgColor rgb="FF23303A"/>
        <bgColor rgb="FF33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330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0"/>
  </cols>
  <sheetData>
    <row r="1" customFormat="false" ht="17.35" hidden="false" customHeight="false" outlineLevel="0" collapsed="false">
      <c r="A1" s="1" t="s">
        <v>0</v>
      </c>
    </row>
    <row r="3" customFormat="false" ht="41.75" hidden="false" customHeight="false" outlineLevel="0" collapsed="false">
      <c r="A3" s="2" t="s">
        <v>1</v>
      </c>
      <c r="B3" s="3" t="s">
        <v>2</v>
      </c>
    </row>
    <row r="4" customFormat="false" ht="28.35" hidden="false" customHeight="false" outlineLevel="0" collapsed="false">
      <c r="A4" s="2" t="s">
        <v>3</v>
      </c>
      <c r="B4" s="3" t="s">
        <v>4</v>
      </c>
    </row>
    <row r="5" customFormat="false" ht="28.35" hidden="false" customHeight="false" outlineLevel="0" collapsed="false">
      <c r="A5" s="2" t="s">
        <v>5</v>
      </c>
      <c r="B5" s="3" t="s">
        <v>6</v>
      </c>
    </row>
    <row r="6" customFormat="false" ht="41.75" hidden="false" customHeight="false" outlineLevel="0" collapsed="false">
      <c r="A6" s="2" t="s">
        <v>7</v>
      </c>
      <c r="B6" s="3" t="s">
        <v>8</v>
      </c>
    </row>
    <row r="7" customFormat="false" ht="28.35" hidden="false" customHeight="false" outlineLevel="0" collapsed="false">
      <c r="A7" s="2" t="s">
        <v>9</v>
      </c>
      <c r="B7" s="3" t="s">
        <v>10</v>
      </c>
    </row>
    <row r="8" customFormat="false" ht="28.35" hidden="false" customHeight="false" outlineLevel="0" collapsed="false">
      <c r="A8" s="2" t="s">
        <v>11</v>
      </c>
      <c r="B8" s="3" t="s">
        <v>12</v>
      </c>
    </row>
    <row r="9" customFormat="false" ht="15" hidden="false" customHeight="false" outlineLevel="0" collapsed="false">
      <c r="A9" s="2" t="s">
        <v>13</v>
      </c>
      <c r="B9" s="3"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4"/>
    <col collapsed="false" customWidth="true" hidden="false" outlineLevel="0" max="2" min="2" style="0" width="80"/>
  </cols>
  <sheetData>
    <row r="1" customFormat="false" ht="17.35" hidden="false" customHeight="false" outlineLevel="0" collapsed="false">
      <c r="A1" s="1" t="s">
        <v>15</v>
      </c>
    </row>
    <row r="2" customFormat="false" ht="15" hidden="false" customHeight="false" outlineLevel="0" collapsed="false">
      <c r="A2" s="0" t="s">
        <v>16</v>
      </c>
    </row>
    <row r="3" customFormat="false" ht="15" hidden="false" customHeight="false" outlineLevel="0" collapsed="false">
      <c r="A3" s="0" t="s">
        <v>17</v>
      </c>
      <c r="B3" s="4" t="n">
        <v>2</v>
      </c>
    </row>
    <row r="4" customFormat="false" ht="15" hidden="false" customHeight="false" outlineLevel="0" collapsed="false">
      <c r="A4" s="0" t="s">
        <v>18</v>
      </c>
      <c r="B4" s="5" t="n">
        <v>46300</v>
      </c>
    </row>
    <row r="5" customFormat="false" ht="15" hidden="false" customHeight="false" outlineLevel="0" collapsed="false">
      <c r="A5" s="0" t="s">
        <v>19</v>
      </c>
      <c r="B5" s="4" t="s">
        <v>20</v>
      </c>
    </row>
    <row r="7" customFormat="false" ht="15" hidden="false" customHeight="false" outlineLevel="0" collapsed="false">
      <c r="A7" s="2" t="s">
        <v>21</v>
      </c>
      <c r="B7" s="6" t="b">
        <f aca="false">Checks!B2</f>
        <v>1</v>
      </c>
    </row>
    <row r="8" customFormat="false" ht="15" hidden="false" customHeight="false" outlineLevel="0" collapsed="false">
      <c r="A8" s="0" t="s">
        <v>22</v>
      </c>
      <c r="B8" s="0" t="str">
        <f aca="false">'Publish decision'!B10</f>
        <v>PUBLISH WITH A STATED EXCEPTION: 1 source is silent while the jobs stay green, the first is src-refunds</v>
      </c>
    </row>
  </sheetData>
  <dataValidations count="2">
    <dataValidation allowBlank="false" errorStyle="stop" operator="between" showDropDown="false" showErrorMessage="false" showInputMessage="false" sqref="B3" type="list">
      <formula1>"1,2,3,4"</formula1>
      <formula2>0</formula2>
    </dataValidation>
    <dataValidation allowBlank="false" errorStyle="stop" operator="between" showDropDown="false" showErrorMessage="false" showInputMessage="false" sqref="B5" type="list">
      <formula1>"complete world,sample"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 collapsed="false" customWidth="true" hidden="false" outlineLevel="0" max="2" min="2" style="0" width="12"/>
  </cols>
  <sheetData>
    <row r="1" customFormat="false" ht="17.35" hidden="false" customHeight="false" outlineLevel="0" collapsed="false">
      <c r="A1" s="1" t="s">
        <v>23</v>
      </c>
    </row>
    <row r="2" customFormat="false" ht="15" hidden="false" customHeight="false" outlineLevel="0" collapsed="false">
      <c r="A2" s="2" t="s">
        <v>24</v>
      </c>
      <c r="B2" s="6" t="b">
        <f aca="false">AND(B5:B15)</f>
        <v>1</v>
      </c>
    </row>
    <row r="4" customFormat="false" ht="15" hidden="false" customHeight="false" outlineLevel="0" collapsed="false">
      <c r="A4" s="2" t="s">
        <v>25</v>
      </c>
      <c r="B4" s="2" t="s">
        <v>26</v>
      </c>
    </row>
    <row r="5" customFormat="false" ht="15" hidden="false" customHeight="false" outlineLevel="0" collapsed="false">
      <c r="A5" s="0" t="s">
        <v>27</v>
      </c>
      <c r="B5" s="6" t="b">
        <f aca="false">COUNTIF('Source health'!T4:T9,TRUE())=ROWS('Source health'!T4:T9)</f>
        <v>1</v>
      </c>
    </row>
    <row r="6" customFormat="false" ht="15" hidden="false" customHeight="false" outlineLevel="0" collapsed="false">
      <c r="A6" s="0" t="s">
        <v>28</v>
      </c>
      <c r="B6" s="6" t="b">
        <f aca="false">AND('Publish decision'!B14='Domain reference'!A13,'Publish decision'!B15='Domain reference'!B13,'Publish decision'!B16='Domain reference'!C13,'Publish decision'!B17='Domain reference'!D13,'Publish decision'!B18='Domain reference'!E13)</f>
        <v>1</v>
      </c>
    </row>
    <row r="7" customFormat="false" ht="15" hidden="false" customHeight="false" outlineLevel="0" collapsed="false">
      <c r="A7" s="0" t="s">
        <v>29</v>
      </c>
      <c r="B7" s="6" t="b">
        <f aca="false">AND(ROUND('Publish decision'!B30-'Domain reference'!F13,6)=0,ROUND('Publish decision'!B31-'Domain reference'!G13,6)=0)</f>
        <v>1</v>
      </c>
    </row>
    <row r="8" customFormat="false" ht="15" hidden="false" customHeight="false" outlineLevel="0" collapsed="false">
      <c r="A8" s="0" t="s">
        <v>30</v>
      </c>
      <c r="B8" s="6" t="b">
        <f aca="false">AND('Publish decision'!B22=5,'Publish decision'!B23=4,'Publish decision'!B24=1,'Publish decision'!B25=3,'Publish decision'!B26=9,'Publish decision'!B27=3)</f>
        <v>1</v>
      </c>
    </row>
    <row r="9" customFormat="false" ht="15" hidden="false" customHeight="false" outlineLevel="0" collapsed="false">
      <c r="A9" s="0" t="s">
        <v>31</v>
      </c>
      <c r="B9" s="6" t="b">
        <f aca="false">AND('Publish decision'!B34='Domain reference'!A17,ROUND('Publish decision'!B35-'Domain reference'!B17,4)=0)</f>
        <v>1</v>
      </c>
    </row>
    <row r="10" customFormat="false" ht="15" hidden="false" customHeight="false" outlineLevel="0" collapsed="false">
      <c r="A10" s="0" t="s">
        <v>32</v>
      </c>
      <c r="B10" s="6" t="b">
        <f aca="false">AND('Publish decision'!B38='Domain reference'!C17,'Publish decision'!B39='Domain reference'!D17,ROUND('Publish decision'!B40-'Domain reference'!E17,6)=0,'Publish decision'!B41=4)</f>
        <v>1</v>
      </c>
    </row>
    <row r="11" customFormat="false" ht="15" hidden="false" customHeight="false" outlineLevel="0" collapsed="false">
      <c r="A11" s="0" t="s">
        <v>33</v>
      </c>
      <c r="B11" s="6" t="b">
        <f aca="false">AND('Publish decision'!B44='Domain reference'!G17,'Publish decision'!B45='Domain reference'!H17,'Publish decision'!B44='Publish decision'!B45)</f>
        <v>1</v>
      </c>
    </row>
    <row r="12" customFormat="false" ht="15" hidden="false" customHeight="false" outlineLevel="0" collapsed="false">
      <c r="A12" s="0" t="s">
        <v>34</v>
      </c>
      <c r="B12" s="6" t="b">
        <f aca="false">'Publish decision'!B6='Domain reference'!I17</f>
        <v>1</v>
      </c>
    </row>
    <row r="13" customFormat="false" ht="15" hidden="false" customHeight="false" outlineLevel="0" collapsed="false">
      <c r="A13" s="0" t="s">
        <v>35</v>
      </c>
      <c r="B13" s="6" t="b">
        <f aca="false">IF(AND(Controls!B3=2,Controls!B4=46300),LEFT('Publish decision'!B10,31)="PUBLISH WITH A STATED EXCEPTION",TRUE())</f>
        <v>1</v>
      </c>
    </row>
    <row r="14" customFormat="false" ht="15" hidden="false" customHeight="false" outlineLevel="0" collapsed="false">
      <c r="A14" s="0" t="s">
        <v>36</v>
      </c>
      <c r="B14" s="6" t="b">
        <f aca="false">COUNTIF('Golden case'!D16:D34,TRUE())=ROWS('Golden case'!D16:D34)</f>
        <v>1</v>
      </c>
    </row>
    <row r="15" customFormat="false" ht="15" hidden="false" customHeight="false" outlineLevel="0" collapsed="false">
      <c r="A15" s="0" t="s">
        <v>37</v>
      </c>
      <c r="B15" s="6" t="b">
        <f aca="false">AND('Sample scope'!K10&gt;0,'Sample scope'!L10&lt;0)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90"/>
    <col collapsed="false" customWidth="true" hidden="false" outlineLevel="0" max="3" min="3" style="0" width="22"/>
  </cols>
  <sheetData>
    <row r="1" customFormat="false" ht="17.35" hidden="false" customHeight="false" outlineLevel="0" collapsed="false">
      <c r="A1" s="1" t="s">
        <v>38</v>
      </c>
    </row>
    <row r="2" customFormat="false" ht="15" hidden="false" customHeight="false" outlineLevel="0" collapsed="false">
      <c r="A2" s="0" t="s">
        <v>39</v>
      </c>
    </row>
    <row r="3" customFormat="false" ht="15" hidden="false" customHeight="false" outlineLevel="0" collapsed="false">
      <c r="A3" s="7" t="s">
        <v>40</v>
      </c>
      <c r="B3" s="0" t="str">
        <f aca="false">INDEX(Runs!$A$4:$A$1346,ROWS(Runs!$A$4:$A$1346))</f>
        <v>run-1343</v>
      </c>
    </row>
    <row r="4" customFormat="false" ht="15" hidden="false" customHeight="false" outlineLevel="0" collapsed="false">
      <c r="A4" s="7" t="s">
        <v>41</v>
      </c>
      <c r="B4" s="0" t="str">
        <f aca="false">INDEX(Runs!$C$4:$C$1346,ROWS(Runs!$C$4:$C$1346))</f>
        <v>success</v>
      </c>
    </row>
    <row r="5" customFormat="false" ht="15" hidden="false" customHeight="false" outlineLevel="0" collapsed="false">
      <c r="A5" s="7" t="s">
        <v>42</v>
      </c>
      <c r="B5" s="0" t="str">
        <f aca="false">INDEX(Runs!$P$4:$P$1346,ROWS(Runs!$P$4:$P$1346))</f>
        <v>allowed</v>
      </c>
    </row>
    <row r="6" customFormat="false" ht="15" hidden="false" customHeight="false" outlineLevel="0" collapsed="false">
      <c r="A6" s="7" t="s">
        <v>43</v>
      </c>
      <c r="B6" s="0" t="str">
        <f aca="false">LOOKUP(2,1/(Runs!$J$4:$J$1346=TRUE()),Runs!$K$4:$K$1346)</f>
        <v>pub-1343</v>
      </c>
    </row>
    <row r="7" customFormat="false" ht="15" hidden="false" customHeight="false" outlineLevel="0" collapsed="false">
      <c r="A7" s="7" t="s">
        <v>44</v>
      </c>
      <c r="B7" s="8" t="n">
        <f aca="false">'Source health'!P10</f>
        <v>0</v>
      </c>
    </row>
    <row r="8" customFormat="false" ht="15" hidden="false" customHeight="false" outlineLevel="0" collapsed="false">
      <c r="A8" s="7" t="s">
        <v>45</v>
      </c>
      <c r="B8" s="8" t="n">
        <f aca="false">'Source health'!Q10</f>
        <v>1</v>
      </c>
    </row>
    <row r="9" customFormat="false" ht="15" hidden="false" customHeight="false" outlineLevel="0" collapsed="false">
      <c r="A9" s="7" t="s">
        <v>46</v>
      </c>
      <c r="B9" s="0" t="str">
        <f aca="false">IFERROR(INDEX('Source health'!A4:A9,MATCH(TRUE(),'Source health'!Q4:Q9,0)),"none")</f>
        <v>src-refunds</v>
      </c>
    </row>
    <row r="10" customFormat="false" ht="15" hidden="false" customHeight="false" outlineLevel="0" collapsed="false">
      <c r="A10" s="2" t="s">
        <v>47</v>
      </c>
      <c r="B10" s="0" t="str">
        <f aca="false">IF(B5&lt;&gt;"allowed","DO NOT PUBLISH: the latest gate did not allow the run",IF(B7&gt;0,"DO NOT PUBLISH: a source is past its declared freshness target",IF(B8&gt;0,"PUBLISH WITH A STATED EXCEPTION: "&amp;B8&amp;IF(B8=1," source is"," sources are")&amp;" silent while the jobs stay green, the first is "&amp;B9,"PUBLISH")))</f>
        <v>PUBLISH WITH A STATED EXCEPTION: 1 source is silent while the jobs stay green, the first is src-refunds</v>
      </c>
    </row>
    <row r="13" customFormat="false" ht="15" hidden="false" customHeight="false" outlineLevel="0" collapsed="false">
      <c r="A13" s="2" t="s">
        <v>48</v>
      </c>
    </row>
    <row r="14" customFormat="false" ht="15" hidden="false" customHeight="false" outlineLevel="0" collapsed="false">
      <c r="A14" s="0" t="s">
        <v>49</v>
      </c>
      <c r="B14" s="0" t="n">
        <f aca="false">COUNTA(Runs!$A$4:$A$1346)</f>
        <v>1343</v>
      </c>
    </row>
    <row r="15" customFormat="false" ht="15" hidden="false" customHeight="false" outlineLevel="0" collapsed="false">
      <c r="A15" s="0" t="s">
        <v>50</v>
      </c>
      <c r="B15" s="0" t="n">
        <f aca="false">COUNTIF(Runs!$P$4:$P$1346,"allowed")+COUNTIF(Runs!$P$4:$P$1346,"blocked")</f>
        <v>1328</v>
      </c>
    </row>
    <row r="16" customFormat="false" ht="15" hidden="false" customHeight="false" outlineLevel="0" collapsed="false">
      <c r="A16" s="0" t="s">
        <v>51</v>
      </c>
      <c r="B16" s="0" t="n">
        <f aca="false">COUNTIF(Runs!$P$4:$P$1346,"allowed")</f>
        <v>1318</v>
      </c>
    </row>
    <row r="17" customFormat="false" ht="15" hidden="false" customHeight="false" outlineLevel="0" collapsed="false">
      <c r="A17" s="0" t="s">
        <v>52</v>
      </c>
      <c r="B17" s="0" t="n">
        <f aca="false">COUNTIF(Runs!$Q$4:$Q$1346,"blocked_at_gate")</f>
        <v>10</v>
      </c>
    </row>
    <row r="18" customFormat="false" ht="15" hidden="false" customHeight="false" outlineLevel="0" collapsed="false">
      <c r="A18" s="0" t="s">
        <v>53</v>
      </c>
      <c r="B18" s="0" t="n">
        <f aca="false">COUNTIF(Runs!$Q$4:$Q$1346,"failed_before_gate")</f>
        <v>15</v>
      </c>
    </row>
    <row r="19" customFormat="false" ht="15" hidden="false" customHeight="false" outlineLevel="0" collapsed="false">
      <c r="A19" s="0" t="s">
        <v>54</v>
      </c>
      <c r="B19" s="0" t="n">
        <f aca="false">COUNTIF(Runs!$J$4:$J$1346,TRUE())</f>
        <v>1318</v>
      </c>
    </row>
    <row r="21" customFormat="false" ht="15" hidden="false" customHeight="false" outlineLevel="0" collapsed="false">
      <c r="A21" s="2" t="s">
        <v>55</v>
      </c>
      <c r="C21" s="8" t="s">
        <v>56</v>
      </c>
    </row>
    <row r="22" customFormat="false" ht="15" hidden="false" customHeight="false" outlineLevel="0" collapsed="false">
      <c r="A22" s="4" t="s">
        <v>57</v>
      </c>
      <c r="B22" s="8" t="n">
        <f aca="false">COUNTIF(Runs!$R$4:$R$1346,A22)</f>
        <v>5</v>
      </c>
      <c r="C22" s="8" t="n">
        <f aca="false">ROUND(AVERAGEIFS(Incidents!$E$4:$E$28,Incidents!$G$4:$G$28,A22)/60,4)</f>
        <v>66.78</v>
      </c>
    </row>
    <row r="23" customFormat="false" ht="15" hidden="false" customHeight="false" outlineLevel="0" collapsed="false">
      <c r="A23" s="4" t="s">
        <v>58</v>
      </c>
      <c r="B23" s="8" t="n">
        <f aca="false">COUNTIF(Runs!$R$4:$R$1346,A23)</f>
        <v>4</v>
      </c>
      <c r="C23" s="8" t="n">
        <f aca="false">ROUND(AVERAGEIFS(Incidents!$E$4:$E$28,Incidents!$G$4:$G$28,A23)/60,4)</f>
        <v>64.1</v>
      </c>
    </row>
    <row r="24" customFormat="false" ht="15" hidden="false" customHeight="false" outlineLevel="0" collapsed="false">
      <c r="A24" s="4" t="s">
        <v>59</v>
      </c>
      <c r="B24" s="8" t="n">
        <f aca="false">COUNTIF(Runs!$R$4:$R$1346,A24)</f>
        <v>1</v>
      </c>
      <c r="C24" s="8" t="n">
        <f aca="false">ROUND(AVERAGEIFS(Incidents!$E$4:$E$28,Incidents!$G$4:$G$28,A24)/60,4)</f>
        <v>63.1</v>
      </c>
    </row>
    <row r="25" customFormat="false" ht="15" hidden="false" customHeight="false" outlineLevel="0" collapsed="false">
      <c r="A25" s="4" t="s">
        <v>60</v>
      </c>
      <c r="B25" s="8" t="n">
        <f aca="false">COUNTIF(Runs!$R$4:$R$1346,A25)</f>
        <v>3</v>
      </c>
      <c r="C25" s="8" t="n">
        <f aca="false">ROUND(AVERAGEIFS(Incidents!$E$4:$E$28,Incidents!$G$4:$G$28,A25)/60,4)</f>
        <v>65.2778</v>
      </c>
    </row>
    <row r="26" customFormat="false" ht="15" hidden="false" customHeight="false" outlineLevel="0" collapsed="false">
      <c r="A26" s="4" t="s">
        <v>61</v>
      </c>
      <c r="B26" s="8" t="n">
        <f aca="false">COUNTIF(Runs!$R$4:$R$1346,A26)</f>
        <v>9</v>
      </c>
      <c r="C26" s="8" t="n">
        <f aca="false">ROUND(AVERAGEIFS(Incidents!$E$4:$E$28,Incidents!$G$4:$G$28,A26)/60,4)</f>
        <v>55.3611</v>
      </c>
    </row>
    <row r="27" customFormat="false" ht="15" hidden="false" customHeight="false" outlineLevel="0" collapsed="false">
      <c r="A27" s="4" t="s">
        <v>62</v>
      </c>
      <c r="B27" s="8" t="n">
        <f aca="false">COUNTIF(Runs!$R$4:$R$1346,A27)</f>
        <v>3</v>
      </c>
      <c r="C27" s="8" t="n">
        <f aca="false">ROUND(AVERAGEIFS(Incidents!$E$4:$E$28,Incidents!$G$4:$G$28,A27)/60,4)</f>
        <v>56.5278</v>
      </c>
    </row>
    <row r="29" customFormat="false" ht="15" hidden="false" customHeight="false" outlineLevel="0" collapsed="false">
      <c r="A29" s="2" t="s">
        <v>63</v>
      </c>
    </row>
    <row r="30" customFormat="false" ht="15" hidden="false" customHeight="false" outlineLevel="0" collapsed="false">
      <c r="A30" s="0" t="s">
        <v>64</v>
      </c>
      <c r="B30" s="0" t="n">
        <f aca="false">ROUND(SUM(Runs!$M$4:$M$1346)/SUM(Runs!$L$4:$L$1346),6)</f>
        <v>0.995311</v>
      </c>
    </row>
    <row r="31" customFormat="false" ht="15" hidden="false" customHeight="false" outlineLevel="0" collapsed="false">
      <c r="A31" s="0" t="s">
        <v>65</v>
      </c>
      <c r="B31" s="0" t="n">
        <f aca="false">ROUND(SUM(Runs!$O$4:$O$1346)/SUM(Runs!$N$4:$N$1346),6)</f>
        <v>0.971622</v>
      </c>
    </row>
    <row r="33" customFormat="false" ht="15" hidden="false" customHeight="false" outlineLevel="0" collapsed="false">
      <c r="A33" s="2" t="s">
        <v>66</v>
      </c>
    </row>
    <row r="34" customFormat="false" ht="15" hidden="false" customHeight="false" outlineLevel="0" collapsed="false">
      <c r="A34" s="0" t="s">
        <v>67</v>
      </c>
      <c r="B34" s="0" t="n">
        <f aca="false">COUNTA(Incidents!$A$4:$A$28)</f>
        <v>25</v>
      </c>
    </row>
    <row r="35" customFormat="false" ht="15" hidden="false" customHeight="false" outlineLevel="0" collapsed="false">
      <c r="A35" s="0" t="s">
        <v>68</v>
      </c>
      <c r="B35" s="0" t="n">
        <f aca="false">ROUND(AVERAGE(Incidents!$E$4:$E$28)/60,4)</f>
        <v>60.6827</v>
      </c>
    </row>
    <row r="37" customFormat="false" ht="15" hidden="false" customHeight="false" outlineLevel="0" collapsed="false">
      <c r="A37" s="2" t="s">
        <v>69</v>
      </c>
    </row>
    <row r="38" customFormat="false" ht="15" hidden="false" customHeight="false" outlineLevel="0" collapsed="false">
      <c r="A38" s="0" t="s">
        <v>70</v>
      </c>
      <c r="B38" s="0" t="n">
        <f aca="false">COUNTIF(Backfills!$C$4:$C$22,"accepted")</f>
        <v>15</v>
      </c>
    </row>
    <row r="39" customFormat="false" ht="15" hidden="false" customHeight="false" outlineLevel="0" collapsed="false">
      <c r="A39" s="0" t="s">
        <v>71</v>
      </c>
      <c r="B39" s="0" t="n">
        <f aca="false">COUNTIFS(Backfills!$C$4:$C$22,"accepted",Backfills!$E$4:$E$22,TRUE())</f>
        <v>11</v>
      </c>
    </row>
    <row r="40" customFormat="false" ht="15" hidden="false" customHeight="false" outlineLevel="0" collapsed="false">
      <c r="A40" s="0" t="s">
        <v>72</v>
      </c>
      <c r="B40" s="0" t="n">
        <f aca="false">ROUND(B39/B38,6)</f>
        <v>0.733333</v>
      </c>
    </row>
    <row r="41" customFormat="false" ht="15" hidden="false" customHeight="false" outlineLevel="0" collapsed="false">
      <c r="A41" s="0" t="s">
        <v>73</v>
      </c>
      <c r="B41" s="0" t="n">
        <f aca="false">COUNTIF(Backfills!$C$4:$C$22,"refused")</f>
        <v>4</v>
      </c>
    </row>
    <row r="43" customFormat="false" ht="15" hidden="false" customHeight="false" outlineLevel="0" collapsed="false">
      <c r="A43" s="2" t="s">
        <v>74</v>
      </c>
    </row>
    <row r="44" customFormat="false" ht="15" hidden="false" customHeight="false" outlineLevel="0" collapsed="false">
      <c r="A44" s="0" t="s">
        <v>75</v>
      </c>
      <c r="B44" s="0" t="n">
        <f aca="false">COUNTIF('Fetch log'!$D$4:$D$1364,"rate_limited")</f>
        <v>49</v>
      </c>
    </row>
    <row r="45" customFormat="false" ht="15" hidden="false" customHeight="false" outlineLevel="0" collapsed="false">
      <c r="A45" s="0" t="s">
        <v>76</v>
      </c>
      <c r="B45" s="0" t="n">
        <f aca="false">COUNTIF(Retries!$H$4:$H$52,TRUE())</f>
        <v>49</v>
      </c>
    </row>
    <row r="46" customFormat="false" ht="15" hidden="false" customHeight="false" outlineLevel="0" collapsed="false">
      <c r="A46" s="0" t="s">
        <v>77</v>
      </c>
      <c r="B46" s="0" t="str">
        <f aca="false">COUNTIF('Fetch log'!$D$4:$D$1364,"refetch")&amp;" | "&amp;COUNTIF('Fetch log'!$D$4:$D$1364,"cursor_loop")</f>
        <v>48 | 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0" min="20" style="0" width="8"/>
  </cols>
  <sheetData>
    <row r="1" customFormat="false" ht="17.35" hidden="false" customHeight="false" outlineLevel="0" collapsed="false">
      <c r="A1" s="1" t="s">
        <v>78</v>
      </c>
    </row>
    <row r="2" customFormat="false" ht="15" hidden="false" customHeight="false" outlineLevel="0" collapsed="false">
      <c r="A2" s="0" t="s">
        <v>79</v>
      </c>
    </row>
    <row r="3" customFormat="false" ht="41.75" hidden="false" customHeight="false" outlineLevel="0" collapsed="false">
      <c r="A3" s="9" t="s">
        <v>80</v>
      </c>
      <c r="B3" s="9" t="s">
        <v>81</v>
      </c>
      <c r="C3" s="9" t="s">
        <v>82</v>
      </c>
      <c r="D3" s="9" t="s">
        <v>83</v>
      </c>
      <c r="E3" s="9" t="s">
        <v>84</v>
      </c>
      <c r="F3" s="9" t="s">
        <v>85</v>
      </c>
      <c r="G3" s="9" t="s">
        <v>86</v>
      </c>
      <c r="H3" s="9" t="s">
        <v>87</v>
      </c>
      <c r="I3" s="9" t="s">
        <v>88</v>
      </c>
      <c r="J3" s="9" t="s">
        <v>89</v>
      </c>
      <c r="K3" s="9" t="s">
        <v>90</v>
      </c>
      <c r="L3" s="9" t="s">
        <v>91</v>
      </c>
      <c r="M3" s="9" t="s">
        <v>92</v>
      </c>
      <c r="N3" s="9" t="s">
        <v>93</v>
      </c>
      <c r="O3" s="9" t="s">
        <v>94</v>
      </c>
      <c r="P3" s="9" t="s">
        <v>95</v>
      </c>
      <c r="Q3" s="9" t="s">
        <v>96</v>
      </c>
      <c r="R3" s="9" t="s">
        <v>97</v>
      </c>
      <c r="S3" s="9" t="s">
        <v>98</v>
      </c>
      <c r="T3" s="9" t="s">
        <v>25</v>
      </c>
    </row>
    <row r="4" customFormat="false" ht="15" hidden="false" customHeight="false" outlineLevel="0" collapsed="false">
      <c r="A4" s="4" t="s">
        <v>99</v>
      </c>
      <c r="B4" s="8" t="n">
        <f aca="false">INDEX(Sources!$C$4:$C$9,MATCH(A4,Sources!$A$4:$A$9,0))</f>
        <v>86400</v>
      </c>
      <c r="C4" s="8" t="n">
        <f aca="false">INDEX(Sources!$D$4:$D$9,MATCH(A4,Sources!$A$4:$A$9,0))</f>
        <v>259200</v>
      </c>
      <c r="D4" s="8" t="n">
        <f aca="false">COUNTIFS(Batches!$B$4:$B$1314,A4,Batches!$C$4:$C$1314,"committed")</f>
        <v>61</v>
      </c>
      <c r="E4" s="8" t="n">
        <f aca="false">SUMIFS(Batches!$G$4:$G$1314,Batches!$B$4:$B$1314,$A4,Batches!$C$4:$C$1314,"committed")</f>
        <v>1723</v>
      </c>
      <c r="F4" s="8" t="n">
        <f aca="false">SUMIFS(Batches!$H$4:$H$1314,Batches!$B$4:$B$1314,$A4,Batches!$C$4:$C$1314,"committed")</f>
        <v>1630</v>
      </c>
      <c r="G4" s="8" t="n">
        <f aca="false">SUMIFS(Batches!$I$4:$I$1314,Batches!$B$4:$B$1314,$A4,Batches!$C$4:$C$1314,"committed")</f>
        <v>72</v>
      </c>
      <c r="H4" s="8" t="n">
        <f aca="false">SUMIFS(Batches!$J$4:$J$1314,Batches!$B$4:$B$1314,$A4,Batches!$C$4:$C$1314,"committed")</f>
        <v>21</v>
      </c>
      <c r="I4" s="8" t="n">
        <f aca="false">SUMIFS(Batches!$K$4:$K$1314,Batches!$B$4:$B$1314,$A4,Batches!$C$4:$C$1314,"committed")</f>
        <v>0</v>
      </c>
      <c r="J4" s="8" t="n">
        <f aca="false">ROUND(H4/E4,6)</f>
        <v>0.012188</v>
      </c>
      <c r="K4" s="8" t="n">
        <f aca="false">ROUND(G4/E4,6)</f>
        <v>0.041788</v>
      </c>
      <c r="L4" s="8" t="n">
        <f aca="false">IF(Controls!$B$5="sample",'Sample scope'!G4,J4)</f>
        <v>0.012188</v>
      </c>
      <c r="M4" s="8" t="n">
        <f aca="false">IF(Controls!$B$5="sample",'Sample scope'!H4,K4)</f>
        <v>0.041788</v>
      </c>
      <c r="N4" s="8" t="n">
        <f aca="false">ROUND((Controls!$B$4-_xlfn.MAXIFS(Checkpoints!$C$4:$C$1305,Checkpoints!$B$4:$B$1305,A4))*86400,0)</f>
        <v>67674</v>
      </c>
      <c r="O4" s="8" t="n">
        <f aca="false">ROUND((Controls!$B$4-INDEX(Sources!$G$4:$G$9,MATCH(A4,Sources!$A$4:$A$9,0)))*86400,0)</f>
        <v>79203</v>
      </c>
      <c r="P4" s="6" t="b">
        <f aca="false">O4&gt;C4</f>
        <v>0</v>
      </c>
      <c r="Q4" s="6" t="b">
        <f aca="false">O4&gt;Controls!$B$3*B4</f>
        <v>0</v>
      </c>
      <c r="R4" s="8" t="n">
        <f aca="false">INDEX(Sources!$F$4:$F$9,MATCH(A4,Sources!$A$4:$A$9,0))</f>
        <v>1645</v>
      </c>
      <c r="S4" s="8" t="n">
        <f aca="false">ROUND(F4/R4,6)</f>
        <v>0.990881</v>
      </c>
      <c r="T4" s="6" t="b">
        <f aca="false">AND(E4='Domain reference'!B4,F4='Domain reference'!C4,G4='Domain reference'!D4,H4='Domain reference'!E4,ROUND(J4-'Domain reference'!F4,6)=0,ROUND(K4-'Domain reference'!G4,6)=0,N4='Domain reference'!H4,O4='Domain reference'!I4,ROUND(S4-'Domain reference'!J4,6)=0)</f>
        <v>1</v>
      </c>
    </row>
    <row r="5" customFormat="false" ht="15" hidden="false" customHeight="false" outlineLevel="0" collapsed="false">
      <c r="A5" s="4" t="s">
        <v>100</v>
      </c>
      <c r="B5" s="8" t="n">
        <f aca="false">INDEX(Sources!$C$4:$C$9,MATCH(A5,Sources!$A$4:$A$9,0))</f>
        <v>14400</v>
      </c>
      <c r="C5" s="8" t="n">
        <f aca="false">INDEX(Sources!$D$4:$D$9,MATCH(A5,Sources!$A$4:$A$9,0))</f>
        <v>19800</v>
      </c>
      <c r="D5" s="8" t="n">
        <f aca="false">COUNTIFS(Batches!$B$4:$B$1314,A5,Batches!$C$4:$C$1314,"committed")</f>
        <v>335</v>
      </c>
      <c r="E5" s="8" t="n">
        <f aca="false">SUMIFS(Batches!$G$4:$G$1314,Batches!$B$4:$B$1314,$A5,Batches!$C$4:$C$1314,"committed")</f>
        <v>16815</v>
      </c>
      <c r="F5" s="8" t="n">
        <f aca="false">SUMIFS(Batches!$H$4:$H$1314,Batches!$B$4:$B$1314,$A5,Batches!$C$4:$C$1314,"committed")</f>
        <v>16066</v>
      </c>
      <c r="G5" s="8" t="n">
        <f aca="false">SUMIFS(Batches!$I$4:$I$1314,Batches!$B$4:$B$1314,$A5,Batches!$C$4:$C$1314,"committed")</f>
        <v>502</v>
      </c>
      <c r="H5" s="8" t="n">
        <f aca="false">SUMIFS(Batches!$J$4:$J$1314,Batches!$B$4:$B$1314,$A5,Batches!$C$4:$C$1314,"committed")</f>
        <v>181</v>
      </c>
      <c r="I5" s="8" t="n">
        <f aca="false">SUMIFS(Batches!$K$4:$K$1314,Batches!$B$4:$B$1314,$A5,Batches!$C$4:$C$1314,"committed")</f>
        <v>66</v>
      </c>
      <c r="J5" s="8" t="n">
        <f aca="false">ROUND(H5/E5,6)</f>
        <v>0.010764</v>
      </c>
      <c r="K5" s="8" t="n">
        <f aca="false">ROUND(G5/E5,6)</f>
        <v>0.029854</v>
      </c>
      <c r="L5" s="8" t="n">
        <f aca="false">IF(Controls!$B$5="sample",'Sample scope'!G5,J5)</f>
        <v>0.010764</v>
      </c>
      <c r="M5" s="8" t="n">
        <f aca="false">IF(Controls!$B$5="sample",'Sample scope'!H5,K5)</f>
        <v>0.029854</v>
      </c>
      <c r="N5" s="8" t="n">
        <f aca="false">ROUND((Controls!$B$4-_xlfn.MAXIFS(Checkpoints!$C$4:$C$1305,Checkpoints!$B$4:$B$1305,A5))*86400,0)</f>
        <v>13887</v>
      </c>
      <c r="O5" s="8" t="n">
        <f aca="false">ROUND((Controls!$B$4-INDEX(Sources!$G$4:$G$9,MATCH(A5,Sources!$A$4:$A$9,0)))*86400,0)</f>
        <v>14514</v>
      </c>
      <c r="P5" s="6" t="b">
        <f aca="false">O5&gt;C5</f>
        <v>0</v>
      </c>
      <c r="Q5" s="6" t="b">
        <f aca="false">O5&gt;Controls!$B$3*B5</f>
        <v>0</v>
      </c>
      <c r="R5" s="8" t="n">
        <f aca="false">INDEX(Sources!$F$4:$F$9,MATCH(A5,Sources!$A$4:$A$9,0))</f>
        <v>16176</v>
      </c>
      <c r="S5" s="8" t="n">
        <f aca="false">ROUND(F5/R5,6)</f>
        <v>0.9932</v>
      </c>
      <c r="T5" s="6" t="b">
        <f aca="false">AND(E5='Domain reference'!B5,F5='Domain reference'!C5,G5='Domain reference'!D5,H5='Domain reference'!E5,ROUND(J5-'Domain reference'!F5,6)=0,ROUND(K5-'Domain reference'!G5,6)=0,N5='Domain reference'!H5,O5='Domain reference'!I5,ROUND(S5-'Domain reference'!J5,6)=0)</f>
        <v>1</v>
      </c>
    </row>
    <row r="6" customFormat="false" ht="15" hidden="false" customHeight="false" outlineLevel="0" collapsed="false">
      <c r="A6" s="4" t="s">
        <v>101</v>
      </c>
      <c r="B6" s="8" t="n">
        <f aca="false">INDEX(Sources!$C$4:$C$9,MATCH(A6,Sources!$A$4:$A$9,0))</f>
        <v>14400</v>
      </c>
      <c r="C6" s="8" t="n">
        <f aca="false">INDEX(Sources!$D$4:$D$9,MATCH(A6,Sources!$A$4:$A$9,0))</f>
        <v>21600</v>
      </c>
      <c r="D6" s="8" t="n">
        <f aca="false">COUNTIFS(Batches!$B$4:$B$1314,A6,Batches!$C$4:$C$1314,"committed")</f>
        <v>336</v>
      </c>
      <c r="E6" s="8" t="n">
        <f aca="false">SUMIFS(Batches!$G$4:$G$1314,Batches!$B$4:$B$1314,$A6,Batches!$C$4:$C$1314,"committed")</f>
        <v>10805</v>
      </c>
      <c r="F6" s="8" t="n">
        <f aca="false">SUMIFS(Batches!$H$4:$H$1314,Batches!$B$4:$B$1314,$A6,Batches!$C$4:$C$1314,"committed")</f>
        <v>10125</v>
      </c>
      <c r="G6" s="8" t="n">
        <f aca="false">SUMIFS(Batches!$I$4:$I$1314,Batches!$B$4:$B$1314,$A6,Batches!$C$4:$C$1314,"committed")</f>
        <v>522</v>
      </c>
      <c r="H6" s="8" t="n">
        <f aca="false">SUMIFS(Batches!$J$4:$J$1314,Batches!$B$4:$B$1314,$A6,Batches!$C$4:$C$1314,"committed")</f>
        <v>123</v>
      </c>
      <c r="I6" s="8" t="n">
        <f aca="false">SUMIFS(Batches!$K$4:$K$1314,Batches!$B$4:$B$1314,$A6,Batches!$C$4:$C$1314,"committed")</f>
        <v>35</v>
      </c>
      <c r="J6" s="8" t="n">
        <f aca="false">ROUND(H6/E6,6)</f>
        <v>0.011384</v>
      </c>
      <c r="K6" s="8" t="n">
        <f aca="false">ROUND(G6/E6,6)</f>
        <v>0.048311</v>
      </c>
      <c r="L6" s="8" t="n">
        <f aca="false">IF(Controls!$B$5="sample",'Sample scope'!G6,J6)</f>
        <v>0.011384</v>
      </c>
      <c r="M6" s="8" t="n">
        <f aca="false">IF(Controls!$B$5="sample",'Sample scope'!H6,K6)</f>
        <v>0.048311</v>
      </c>
      <c r="N6" s="8" t="n">
        <f aca="false">ROUND((Controls!$B$4-_xlfn.MAXIFS(Checkpoints!$C$4:$C$1305,Checkpoints!$B$4:$B$1305,A6))*86400,0)</f>
        <v>6638</v>
      </c>
      <c r="O6" s="8" t="n">
        <f aca="false">ROUND((Controls!$B$4-INDEX(Sources!$G$4:$G$9,MATCH(A6,Sources!$A$4:$A$9,0)))*86400,0)</f>
        <v>7766</v>
      </c>
      <c r="P6" s="6" t="b">
        <f aca="false">O6&gt;C6</f>
        <v>0</v>
      </c>
      <c r="Q6" s="6" t="b">
        <f aca="false">O6&gt;Controls!$B$3*B6</f>
        <v>0</v>
      </c>
      <c r="R6" s="8" t="n">
        <f aca="false">INDEX(Sources!$F$4:$F$9,MATCH(A6,Sources!$A$4:$A$9,0))</f>
        <v>10207</v>
      </c>
      <c r="S6" s="8" t="n">
        <f aca="false">ROUND(F6/R6,6)</f>
        <v>0.991966</v>
      </c>
      <c r="T6" s="6" t="b">
        <f aca="false">AND(E6='Domain reference'!B6,F6='Domain reference'!C6,G6='Domain reference'!D6,H6='Domain reference'!E6,ROUND(J6-'Domain reference'!F6,6)=0,ROUND(K6-'Domain reference'!G6,6)=0,N6='Domain reference'!H6,O6='Domain reference'!I6,ROUND(S6-'Domain reference'!J6,6)=0)</f>
        <v>1</v>
      </c>
    </row>
    <row r="7" customFormat="false" ht="15" hidden="false" customHeight="false" outlineLevel="0" collapsed="false">
      <c r="A7" s="4" t="s">
        <v>102</v>
      </c>
      <c r="B7" s="8" t="n">
        <f aca="false">INDEX(Sources!$C$4:$C$9,MATCH(A7,Sources!$A$4:$A$9,0))</f>
        <v>21600</v>
      </c>
      <c r="C7" s="8" t="n">
        <f aca="false">INDEX(Sources!$D$4:$D$9,MATCH(A7,Sources!$A$4:$A$9,0))</f>
        <v>604800</v>
      </c>
      <c r="D7" s="8" t="n">
        <f aca="false">COUNTIFS(Batches!$B$4:$B$1314,A7,Batches!$C$4:$C$1314,"committed")</f>
        <v>228</v>
      </c>
      <c r="E7" s="8" t="n">
        <f aca="false">SUMIFS(Batches!$G$4:$G$1314,Batches!$B$4:$B$1314,$A7,Batches!$C$4:$C$1314,"committed")</f>
        <v>4295</v>
      </c>
      <c r="F7" s="8" t="n">
        <f aca="false">SUMIFS(Batches!$H$4:$H$1314,Batches!$B$4:$B$1314,$A7,Batches!$C$4:$C$1314,"committed")</f>
        <v>3785</v>
      </c>
      <c r="G7" s="8" t="n">
        <f aca="false">SUMIFS(Batches!$I$4:$I$1314,Batches!$B$4:$B$1314,$A7,Batches!$C$4:$C$1314,"committed")</f>
        <v>468</v>
      </c>
      <c r="H7" s="8" t="n">
        <f aca="false">SUMIFS(Batches!$J$4:$J$1314,Batches!$B$4:$B$1314,$A7,Batches!$C$4:$C$1314,"committed")</f>
        <v>42</v>
      </c>
      <c r="I7" s="8" t="n">
        <f aca="false">SUMIFS(Batches!$K$4:$K$1314,Batches!$B$4:$B$1314,$A7,Batches!$C$4:$C$1314,"committed")</f>
        <v>0</v>
      </c>
      <c r="J7" s="8" t="n">
        <f aca="false">ROUND(H7/E7,6)</f>
        <v>0.009779</v>
      </c>
      <c r="K7" s="8" t="n">
        <f aca="false">ROUND(G7/E7,6)</f>
        <v>0.108964</v>
      </c>
      <c r="L7" s="8" t="n">
        <f aca="false">IF(Controls!$B$5="sample",'Sample scope'!G7,J7)</f>
        <v>0.009779</v>
      </c>
      <c r="M7" s="8" t="n">
        <f aca="false">IF(Controls!$B$5="sample",'Sample scope'!H7,K7)</f>
        <v>0.108964</v>
      </c>
      <c r="N7" s="8" t="n">
        <f aca="false">ROUND((Controls!$B$4-_xlfn.MAXIFS(Checkpoints!$C$4:$C$1305,Checkpoints!$B$4:$B$1305,A7))*86400,0)</f>
        <v>17363</v>
      </c>
      <c r="O7" s="8" t="n">
        <f aca="false">ROUND((Controls!$B$4-INDEX(Sources!$G$4:$G$9,MATCH(A7,Sources!$A$4:$A$9,0)))*86400,0)</f>
        <v>262378</v>
      </c>
      <c r="P7" s="6" t="b">
        <f aca="false">O7&gt;C7</f>
        <v>0</v>
      </c>
      <c r="Q7" s="6" t="b">
        <f aca="false">O7&gt;Controls!$B$3*B7</f>
        <v>1</v>
      </c>
      <c r="R7" s="8" t="n">
        <f aca="false">INDEX(Sources!$F$4:$F$9,MATCH(A7,Sources!$A$4:$A$9,0))</f>
        <v>4003</v>
      </c>
      <c r="S7" s="8" t="n">
        <f aca="false">ROUND(F7/R7,6)</f>
        <v>0.945541</v>
      </c>
      <c r="T7" s="6" t="b">
        <f aca="false">AND(E7='Domain reference'!B7,F7='Domain reference'!C7,G7='Domain reference'!D7,H7='Domain reference'!E7,ROUND(J7-'Domain reference'!F7,6)=0,ROUND(K7-'Domain reference'!G7,6)=0,N7='Domain reference'!H7,O7='Domain reference'!I7,ROUND(S7-'Domain reference'!J7,6)=0)</f>
        <v>1</v>
      </c>
    </row>
    <row r="8" customFormat="false" ht="15" hidden="false" customHeight="false" outlineLevel="0" collapsed="false">
      <c r="A8" s="4" t="s">
        <v>103</v>
      </c>
      <c r="B8" s="8" t="n">
        <f aca="false">INDEX(Sources!$C$4:$C$9,MATCH(A8,Sources!$A$4:$A$9,0))</f>
        <v>21600</v>
      </c>
      <c r="C8" s="8" t="n">
        <f aca="false">INDEX(Sources!$D$4:$D$9,MATCH(A8,Sources!$A$4:$A$9,0))</f>
        <v>259200</v>
      </c>
      <c r="D8" s="8" t="n">
        <f aca="false">COUNTIFS(Batches!$B$4:$B$1314,A8,Batches!$C$4:$C$1314,"committed")</f>
        <v>226</v>
      </c>
      <c r="E8" s="8" t="n">
        <f aca="false">SUMIFS(Batches!$G$4:$G$1314,Batches!$B$4:$B$1314,$A8,Batches!$C$4:$C$1314,"committed")</f>
        <v>4410</v>
      </c>
      <c r="F8" s="8" t="n">
        <f aca="false">SUMIFS(Batches!$H$4:$H$1314,Batches!$B$4:$B$1314,$A8,Batches!$C$4:$C$1314,"committed")</f>
        <v>3985</v>
      </c>
      <c r="G8" s="8" t="n">
        <f aca="false">SUMIFS(Batches!$I$4:$I$1314,Batches!$B$4:$B$1314,$A8,Batches!$C$4:$C$1314,"committed")</f>
        <v>368</v>
      </c>
      <c r="H8" s="8" t="n">
        <f aca="false">SUMIFS(Batches!$J$4:$J$1314,Batches!$B$4:$B$1314,$A8,Batches!$C$4:$C$1314,"committed")</f>
        <v>35</v>
      </c>
      <c r="I8" s="8" t="n">
        <f aca="false">SUMIFS(Batches!$K$4:$K$1314,Batches!$B$4:$B$1314,$A8,Batches!$C$4:$C$1314,"committed")</f>
        <v>22</v>
      </c>
      <c r="J8" s="8" t="n">
        <f aca="false">ROUND(H8/E8,6)</f>
        <v>0.007937</v>
      </c>
      <c r="K8" s="8" t="n">
        <f aca="false">ROUND(G8/E8,6)</f>
        <v>0.083447</v>
      </c>
      <c r="L8" s="8" t="n">
        <f aca="false">IF(Controls!$B$5="sample",'Sample scope'!G8,J8)</f>
        <v>0.007937</v>
      </c>
      <c r="M8" s="8" t="n">
        <f aca="false">IF(Controls!$B$5="sample",'Sample scope'!H8,K8)</f>
        <v>0.083447</v>
      </c>
      <c r="N8" s="8" t="n">
        <f aca="false">ROUND((Controls!$B$4-_xlfn.MAXIFS(Checkpoints!$C$4:$C$1305,Checkpoints!$B$4:$B$1305,A8))*86400,0)</f>
        <v>9931</v>
      </c>
      <c r="O8" s="8" t="n">
        <f aca="false">ROUND((Controls!$B$4-INDEX(Sources!$G$4:$G$9,MATCH(A8,Sources!$A$4:$A$9,0)))*86400,0)</f>
        <v>11789</v>
      </c>
      <c r="P8" s="6" t="b">
        <f aca="false">O8&gt;C8</f>
        <v>0</v>
      </c>
      <c r="Q8" s="6" t="b">
        <f aca="false">O8&gt;Controls!$B$3*B8</f>
        <v>0</v>
      </c>
      <c r="R8" s="8" t="n">
        <f aca="false">INDEX(Sources!$F$4:$F$9,MATCH(A8,Sources!$A$4:$A$9,0))</f>
        <v>4004</v>
      </c>
      <c r="S8" s="8" t="n">
        <f aca="false">ROUND(F8/R8,6)</f>
        <v>0.995255</v>
      </c>
      <c r="T8" s="6" t="b">
        <f aca="false">AND(E8='Domain reference'!B8,F8='Domain reference'!C8,G8='Domain reference'!D8,H8='Domain reference'!E8,ROUND(J8-'Domain reference'!F8,6)=0,ROUND(K8-'Domain reference'!G8,6)=0,N8='Domain reference'!H8,O8='Domain reference'!I8,ROUND(S8-'Domain reference'!J8,6)=0)</f>
        <v>1</v>
      </c>
    </row>
    <row r="9" customFormat="false" ht="15" hidden="false" customHeight="false" outlineLevel="0" collapsed="false">
      <c r="A9" s="4" t="s">
        <v>104</v>
      </c>
      <c r="B9" s="8" t="n">
        <f aca="false">INDEX(Sources!$C$4:$C$9,MATCH(A9,Sources!$A$4:$A$9,0))</f>
        <v>43200</v>
      </c>
      <c r="C9" s="8" t="n">
        <f aca="false">INDEX(Sources!$D$4:$D$9,MATCH(A9,Sources!$A$4:$A$9,0))</f>
        <v>216000</v>
      </c>
      <c r="D9" s="8" t="n">
        <f aca="false">COUNTIFS(Batches!$B$4:$B$1314,A9,Batches!$C$4:$C$1314,"committed")</f>
        <v>116</v>
      </c>
      <c r="E9" s="8" t="n">
        <f aca="false">SUMIFS(Batches!$G$4:$G$1314,Batches!$B$4:$B$1314,$A9,Batches!$C$4:$C$1314,"committed")</f>
        <v>1853</v>
      </c>
      <c r="F9" s="8" t="n">
        <f aca="false">SUMIFS(Batches!$H$4:$H$1314,Batches!$B$4:$B$1314,$A9,Batches!$C$4:$C$1314,"committed")</f>
        <v>1657</v>
      </c>
      <c r="G9" s="8" t="n">
        <f aca="false">SUMIFS(Batches!$I$4:$I$1314,Batches!$B$4:$B$1314,$A9,Batches!$C$4:$C$1314,"committed")</f>
        <v>169</v>
      </c>
      <c r="H9" s="8" t="n">
        <f aca="false">SUMIFS(Batches!$J$4:$J$1314,Batches!$B$4:$B$1314,$A9,Batches!$C$4:$C$1314,"committed")</f>
        <v>27</v>
      </c>
      <c r="I9" s="8" t="n">
        <f aca="false">SUMIFS(Batches!$K$4:$K$1314,Batches!$B$4:$B$1314,$A9,Batches!$C$4:$C$1314,"committed")</f>
        <v>0</v>
      </c>
      <c r="J9" s="8" t="n">
        <f aca="false">ROUND(H9/E9,6)</f>
        <v>0.014571</v>
      </c>
      <c r="K9" s="8" t="n">
        <f aca="false">ROUND(G9/E9,6)</f>
        <v>0.091203</v>
      </c>
      <c r="L9" s="8" t="n">
        <f aca="false">IF(Controls!$B$5="sample",'Sample scope'!G9,J9)</f>
        <v>0.014571</v>
      </c>
      <c r="M9" s="8" t="n">
        <f aca="false">IF(Controls!$B$5="sample",'Sample scope'!H9,K9)</f>
        <v>0.091203</v>
      </c>
      <c r="N9" s="8" t="n">
        <f aca="false">ROUND((Controls!$B$4-_xlfn.MAXIFS(Checkpoints!$C$4:$C$1305,Checkpoints!$B$4:$B$1305,A9))*86400,0)</f>
        <v>20724</v>
      </c>
      <c r="O9" s="8" t="n">
        <f aca="false">ROUND((Controls!$B$4-INDEX(Sources!$G$4:$G$9,MATCH(A9,Sources!$A$4:$A$9,0)))*86400,0)</f>
        <v>21398</v>
      </c>
      <c r="P9" s="6" t="b">
        <f aca="false">O9&gt;C9</f>
        <v>0</v>
      </c>
      <c r="Q9" s="6" t="b">
        <f aca="false">O9&gt;Controls!$B$3*B9</f>
        <v>0</v>
      </c>
      <c r="R9" s="8" t="n">
        <f aca="false">INDEX(Sources!$F$4:$F$9,MATCH(A9,Sources!$A$4:$A$9,0))</f>
        <v>1678</v>
      </c>
      <c r="S9" s="8" t="n">
        <f aca="false">ROUND(F9/R9,6)</f>
        <v>0.987485</v>
      </c>
      <c r="T9" s="6" t="b">
        <f aca="false">AND(E9='Domain reference'!B9,F9='Domain reference'!C9,G9='Domain reference'!D9,H9='Domain reference'!E9,ROUND(J9-'Domain reference'!F9,6)=0,ROUND(K9-'Domain reference'!G9,6)=0,N9='Domain reference'!H9,O9='Domain reference'!I9,ROUND(S9-'Domain reference'!J9,6)=0)</f>
        <v>1</v>
      </c>
    </row>
    <row r="10" customFormat="false" ht="15" hidden="false" customHeight="false" outlineLevel="0" collapsed="false">
      <c r="A10" s="2" t="s">
        <v>105</v>
      </c>
      <c r="D10" s="8" t="n">
        <f aca="false">SUM(D4:D9)</f>
        <v>1302</v>
      </c>
      <c r="E10" s="8" t="n">
        <f aca="false">SUM(E4:E9)</f>
        <v>39901</v>
      </c>
      <c r="F10" s="8" t="n">
        <f aca="false">SUM(F4:F9)</f>
        <v>37248</v>
      </c>
      <c r="G10" s="8" t="n">
        <f aca="false">SUM(G4:G9)</f>
        <v>2101</v>
      </c>
      <c r="H10" s="8" t="n">
        <f aca="false">SUM(H4:H9)</f>
        <v>429</v>
      </c>
      <c r="I10" s="8" t="n">
        <f aca="false">SUM(I4:I9)</f>
        <v>123</v>
      </c>
      <c r="J10" s="8" t="n">
        <f aca="false">ROUND(H10/E10,6)</f>
        <v>0.010752</v>
      </c>
      <c r="K10" s="8" t="n">
        <f aca="false">ROUND(G10/E10,6)</f>
        <v>0.052655</v>
      </c>
      <c r="P10" s="8" t="n">
        <f aca="false">COUNTIF(P4:P9,TRUE())</f>
        <v>0</v>
      </c>
      <c r="Q10" s="8" t="n">
        <f aca="false">COUNTIF(Q4:Q9,TRUE())</f>
        <v>1</v>
      </c>
      <c r="T10" s="6" t="b">
        <f aca="false">AND(T4:T9)</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s>
  <sheetData>
    <row r="1" customFormat="false" ht="17.35" hidden="false" customHeight="false" outlineLevel="0" collapsed="false">
      <c r="A1" s="1" t="s">
        <v>106</v>
      </c>
    </row>
    <row r="2" customFormat="false" ht="15" hidden="false" customHeight="false" outlineLevel="0" collapsed="false">
      <c r="A2" s="0" t="s">
        <v>107</v>
      </c>
    </row>
    <row r="3" customFormat="false" ht="55.2" hidden="false" customHeight="false" outlineLevel="0" collapsed="false">
      <c r="A3" s="9" t="s">
        <v>80</v>
      </c>
      <c r="B3" s="9" t="s">
        <v>108</v>
      </c>
      <c r="C3" s="9" t="s">
        <v>109</v>
      </c>
      <c r="D3" s="9" t="s">
        <v>110</v>
      </c>
      <c r="E3" s="9" t="s">
        <v>111</v>
      </c>
      <c r="F3" s="9" t="s">
        <v>112</v>
      </c>
      <c r="G3" s="9" t="s">
        <v>113</v>
      </c>
      <c r="H3" s="9" t="s">
        <v>114</v>
      </c>
      <c r="I3" s="9" t="s">
        <v>115</v>
      </c>
      <c r="J3" s="9" t="s">
        <v>116</v>
      </c>
      <c r="K3" s="9" t="s">
        <v>117</v>
      </c>
      <c r="L3" s="9" t="s">
        <v>118</v>
      </c>
    </row>
    <row r="4" customFormat="false" ht="15" hidden="false" customHeight="false" outlineLevel="0" collapsed="false">
      <c r="A4" s="4" t="s">
        <v>99</v>
      </c>
      <c r="B4" s="4" t="n">
        <v>86</v>
      </c>
      <c r="C4" s="4" t="n">
        <v>83</v>
      </c>
      <c r="D4" s="4" t="n">
        <v>3</v>
      </c>
      <c r="E4" s="4" t="n">
        <v>0</v>
      </c>
      <c r="F4" s="4" t="n">
        <v>0</v>
      </c>
      <c r="G4" s="8" t="n">
        <f aca="false">ROUND(D4/B4,6)</f>
        <v>0.034884</v>
      </c>
      <c r="H4" s="8" t="n">
        <f aca="false">ROUND(E4/B4,6)</f>
        <v>0</v>
      </c>
      <c r="I4" s="4" t="n">
        <v>81</v>
      </c>
      <c r="J4" s="4" t="n">
        <v>2</v>
      </c>
      <c r="K4" s="8" t="n">
        <f aca="false">C4-I4</f>
        <v>2</v>
      </c>
      <c r="L4" s="8" t="n">
        <f aca="false">E4-J4</f>
        <v>-2</v>
      </c>
    </row>
    <row r="5" customFormat="false" ht="15" hidden="false" customHeight="false" outlineLevel="0" collapsed="false">
      <c r="A5" s="4" t="s">
        <v>100</v>
      </c>
      <c r="B5" s="4" t="n">
        <v>983</v>
      </c>
      <c r="C5" s="4" t="n">
        <v>967</v>
      </c>
      <c r="D5" s="4" t="n">
        <v>11</v>
      </c>
      <c r="E5" s="4" t="n">
        <v>4</v>
      </c>
      <c r="F5" s="4" t="n">
        <v>1</v>
      </c>
      <c r="G5" s="8" t="n">
        <f aca="false">ROUND(D5/B5,6)</f>
        <v>0.01119</v>
      </c>
      <c r="H5" s="8" t="n">
        <f aca="false">ROUND(E5/B5,6)</f>
        <v>0.004069</v>
      </c>
      <c r="I5" s="4" t="n">
        <v>948</v>
      </c>
      <c r="J5" s="4" t="n">
        <v>23</v>
      </c>
      <c r="K5" s="8" t="n">
        <f aca="false">C5-I5</f>
        <v>19</v>
      </c>
      <c r="L5" s="8" t="n">
        <f aca="false">E5-J5</f>
        <v>-19</v>
      </c>
    </row>
    <row r="6" customFormat="false" ht="15" hidden="false" customHeight="false" outlineLevel="0" collapsed="false">
      <c r="A6" s="4" t="s">
        <v>101</v>
      </c>
      <c r="B6" s="4" t="n">
        <v>367</v>
      </c>
      <c r="C6" s="4" t="n">
        <v>356</v>
      </c>
      <c r="D6" s="4" t="n">
        <v>11</v>
      </c>
      <c r="E6" s="4" t="n">
        <v>0</v>
      </c>
      <c r="F6" s="4" t="n">
        <v>0</v>
      </c>
      <c r="G6" s="8" t="n">
        <f aca="false">ROUND(D6/B6,6)</f>
        <v>0.029973</v>
      </c>
      <c r="H6" s="8" t="n">
        <f aca="false">ROUND(E6/B6,6)</f>
        <v>0</v>
      </c>
      <c r="I6" s="4" t="n">
        <v>346</v>
      </c>
      <c r="J6" s="4" t="n">
        <v>10</v>
      </c>
      <c r="K6" s="8" t="n">
        <f aca="false">C6-I6</f>
        <v>10</v>
      </c>
      <c r="L6" s="8" t="n">
        <f aca="false">E6-J6</f>
        <v>-10</v>
      </c>
    </row>
    <row r="7" customFormat="false" ht="15" hidden="false" customHeight="false" outlineLevel="0" collapsed="false">
      <c r="A7" s="4" t="s">
        <v>102</v>
      </c>
      <c r="B7" s="4" t="n">
        <v>152</v>
      </c>
      <c r="C7" s="4" t="n">
        <v>131</v>
      </c>
      <c r="D7" s="4" t="n">
        <v>2</v>
      </c>
      <c r="E7" s="4" t="n">
        <v>19</v>
      </c>
      <c r="F7" s="4" t="n">
        <v>0</v>
      </c>
      <c r="G7" s="8" t="n">
        <f aca="false">ROUND(D7/B7,6)</f>
        <v>0.013158</v>
      </c>
      <c r="H7" s="8" t="n">
        <f aca="false">ROUND(E7/B7,6)</f>
        <v>0.125</v>
      </c>
      <c r="I7" s="4" t="n">
        <v>124</v>
      </c>
      <c r="J7" s="4" t="n">
        <v>26</v>
      </c>
      <c r="K7" s="8" t="n">
        <f aca="false">C7-I7</f>
        <v>7</v>
      </c>
      <c r="L7" s="8" t="n">
        <f aca="false">E7-J7</f>
        <v>-7</v>
      </c>
    </row>
    <row r="8" customFormat="false" ht="15" hidden="false" customHeight="false" outlineLevel="0" collapsed="false">
      <c r="A8" s="4" t="s">
        <v>103</v>
      </c>
      <c r="B8" s="4" t="n">
        <v>193</v>
      </c>
      <c r="C8" s="4" t="n">
        <v>191</v>
      </c>
      <c r="D8" s="4" t="n">
        <v>2</v>
      </c>
      <c r="E8" s="4" t="n">
        <v>0</v>
      </c>
      <c r="F8" s="4" t="n">
        <v>0</v>
      </c>
      <c r="G8" s="8" t="n">
        <f aca="false">ROUND(D8/B8,6)</f>
        <v>0.010363</v>
      </c>
      <c r="H8" s="8" t="n">
        <f aca="false">ROUND(E8/B8,6)</f>
        <v>0</v>
      </c>
      <c r="I8" s="4" t="n">
        <v>182</v>
      </c>
      <c r="J8" s="4" t="n">
        <v>9</v>
      </c>
      <c r="K8" s="8" t="n">
        <f aca="false">C8-I8</f>
        <v>9</v>
      </c>
      <c r="L8" s="8" t="n">
        <f aca="false">E8-J8</f>
        <v>-9</v>
      </c>
    </row>
    <row r="9" customFormat="false" ht="15" hidden="false" customHeight="false" outlineLevel="0" collapsed="false">
      <c r="A9" s="4" t="s">
        <v>104</v>
      </c>
      <c r="B9" s="4" t="n">
        <v>97</v>
      </c>
      <c r="C9" s="4" t="n">
        <v>94</v>
      </c>
      <c r="D9" s="4" t="n">
        <v>3</v>
      </c>
      <c r="E9" s="4" t="n">
        <v>0</v>
      </c>
      <c r="F9" s="4" t="n">
        <v>0</v>
      </c>
      <c r="G9" s="8" t="n">
        <f aca="false">ROUND(D9/B9,6)</f>
        <v>0.030928</v>
      </c>
      <c r="H9" s="8" t="n">
        <f aca="false">ROUND(E9/B9,6)</f>
        <v>0</v>
      </c>
      <c r="I9" s="4" t="n">
        <v>88</v>
      </c>
      <c r="J9" s="4" t="n">
        <v>6</v>
      </c>
      <c r="K9" s="8" t="n">
        <f aca="false">C9-I9</f>
        <v>6</v>
      </c>
      <c r="L9" s="8" t="n">
        <f aca="false">E9-J9</f>
        <v>-6</v>
      </c>
    </row>
    <row r="10" customFormat="false" ht="15" hidden="false" customHeight="false" outlineLevel="0" collapsed="false">
      <c r="A10" s="2" t="s">
        <v>105</v>
      </c>
      <c r="B10" s="8" t="n">
        <f aca="false">SUM(B4:B9)</f>
        <v>1878</v>
      </c>
      <c r="C10" s="8" t="n">
        <f aca="false">SUM(C4:C9)</f>
        <v>1822</v>
      </c>
      <c r="D10" s="8" t="n">
        <f aca="false">SUM(D4:D9)</f>
        <v>32</v>
      </c>
      <c r="E10" s="8" t="n">
        <f aca="false">SUM(E4:E9)</f>
        <v>23</v>
      </c>
      <c r="F10" s="8" t="n">
        <f aca="false">SUM(F4:F9)</f>
        <v>1</v>
      </c>
      <c r="G10" s="8" t="n">
        <f aca="false">ROUND(D10/B10,6)</f>
        <v>0.017039</v>
      </c>
      <c r="H10" s="8" t="n">
        <f aca="false">ROUND(E10/B10,6)</f>
        <v>0.012247</v>
      </c>
      <c r="I10" s="8" t="n">
        <f aca="false">SUM(I4:I9)</f>
        <v>1769</v>
      </c>
      <c r="J10" s="8" t="n">
        <f aca="false">SUM(J4:J9)</f>
        <v>76</v>
      </c>
      <c r="K10" s="8" t="n">
        <f aca="false">SUM(K4:K9)</f>
        <v>53</v>
      </c>
      <c r="L10" s="8" t="n">
        <f aca="false">SUM(L4:L9)</f>
        <v>-53</v>
      </c>
    </row>
    <row r="12" customFormat="false" ht="15" hidden="false" customHeight="false" outlineLevel="0" collapsed="false">
      <c r="A12" s="0" t="s">
        <v>119</v>
      </c>
      <c r="B12" s="0" t="n">
        <f aca="false">IF(Controls!$B$5="sample",H10,'Source health'!K10)</f>
        <v>0.052655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4"/>
    <col collapsed="false" customWidth="true" hidden="false" outlineLevel="0" max="2" min="2" style="0" width="18"/>
    <col collapsed="false" customWidth="true" hidden="false" outlineLevel="0" max="3" min="3" style="0" width="22"/>
    <col collapsed="false" customWidth="true" hidden="false" outlineLevel="0" max="4" min="4" style="0" width="10"/>
    <col collapsed="false" customWidth="true" hidden="false" outlineLevel="0" max="5" min="5" style="0" width="20"/>
    <col collapsed="false" customWidth="true" hidden="false" outlineLevel="0" max="6" min="6" style="0" width="14"/>
  </cols>
  <sheetData>
    <row r="1" customFormat="false" ht="17.35" hidden="false" customHeight="false" outlineLevel="0" collapsed="false">
      <c r="A1" s="1" t="s">
        <v>120</v>
      </c>
    </row>
    <row r="2" customFormat="false" ht="15" hidden="false" customHeight="false" outlineLevel="0" collapsed="false">
      <c r="A2" s="0" t="s">
        <v>121</v>
      </c>
    </row>
    <row r="3" customFormat="false" ht="28.35" hidden="false" customHeight="false" outlineLevel="0" collapsed="false">
      <c r="A3" s="9" t="s">
        <v>122</v>
      </c>
      <c r="B3" s="9" t="s">
        <v>123</v>
      </c>
      <c r="C3" s="9" t="s">
        <v>124</v>
      </c>
      <c r="D3" s="9" t="s">
        <v>125</v>
      </c>
      <c r="E3" s="9" t="s">
        <v>126</v>
      </c>
      <c r="F3" s="9" t="s">
        <v>127</v>
      </c>
    </row>
    <row r="4" customFormat="false" ht="15" hidden="false" customHeight="false" outlineLevel="0" collapsed="false">
      <c r="A4" s="4" t="s">
        <v>128</v>
      </c>
      <c r="B4" s="4" t="n">
        <v>2</v>
      </c>
      <c r="C4" s="4" t="n">
        <v>12.5</v>
      </c>
      <c r="D4" s="4" t="n">
        <v>25</v>
      </c>
      <c r="E4" s="5" t="n">
        <v>46299.3333333333</v>
      </c>
      <c r="F4" s="0" t="str">
        <f aca="false">IF(COUNTIFS(A$3:A3,A4,F$3:F3,"accepted")&gt;0,"duplicate",IF(B4&lt;0,"quarantined","accepted"))</f>
        <v>accepted</v>
      </c>
    </row>
    <row r="5" customFormat="false" ht="15" hidden="false" customHeight="false" outlineLevel="0" collapsed="false">
      <c r="A5" s="4" t="s">
        <v>129</v>
      </c>
      <c r="B5" s="4" t="n">
        <v>1</v>
      </c>
      <c r="C5" s="4" t="n">
        <v>40</v>
      </c>
      <c r="D5" s="4" t="n">
        <v>40</v>
      </c>
      <c r="E5" s="5" t="n">
        <v>46299.3472222222</v>
      </c>
      <c r="F5" s="0" t="str">
        <f aca="false">IF(COUNTIFS(A$3:A4,A5,F$3:F4,"accepted")&gt;0,"duplicate",IF(B5&lt;0,"quarantined","accepted"))</f>
        <v>accepted</v>
      </c>
    </row>
    <row r="6" customFormat="false" ht="15" hidden="false" customHeight="false" outlineLevel="0" collapsed="false">
      <c r="A6" s="4" t="s">
        <v>130</v>
      </c>
      <c r="B6" s="4" t="n">
        <v>3</v>
      </c>
      <c r="C6" s="4" t="n">
        <v>9.99</v>
      </c>
      <c r="D6" s="4" t="n">
        <v>29.97</v>
      </c>
      <c r="E6" s="5" t="n">
        <v>46299.3611111111</v>
      </c>
      <c r="F6" s="0" t="str">
        <f aca="false">IF(COUNTIFS(A$3:A5,A6,F$3:F5,"accepted")&gt;0,"duplicate",IF(B6&lt;0,"quarantined","accepted"))</f>
        <v>accepted</v>
      </c>
    </row>
    <row r="7" customFormat="false" ht="15" hidden="false" customHeight="false" outlineLevel="0" collapsed="false">
      <c r="A7" s="4" t="s">
        <v>131</v>
      </c>
      <c r="B7" s="4" t="n">
        <v>5</v>
      </c>
      <c r="C7" s="4" t="n">
        <v>4</v>
      </c>
      <c r="D7" s="4" t="n">
        <v>20</v>
      </c>
      <c r="E7" s="5" t="n">
        <v>46299.375</v>
      </c>
      <c r="F7" s="0" t="str">
        <f aca="false">IF(COUNTIFS(A$3:A6,A7,F$3:F6,"accepted")&gt;0,"duplicate",IF(B7&lt;0,"quarantined","accepted"))</f>
        <v>accepted</v>
      </c>
    </row>
    <row r="8" customFormat="false" ht="15" hidden="false" customHeight="false" outlineLevel="0" collapsed="false">
      <c r="A8" s="4" t="s">
        <v>132</v>
      </c>
      <c r="B8" s="4" t="n">
        <v>1</v>
      </c>
      <c r="C8" s="4" t="n">
        <v>100</v>
      </c>
      <c r="D8" s="4" t="n">
        <v>100</v>
      </c>
      <c r="E8" s="5" t="n">
        <v>46299.3819444445</v>
      </c>
      <c r="F8" s="0" t="str">
        <f aca="false">IF(COUNTIFS(A$3:A7,A8,F$3:F7,"accepted")&gt;0,"duplicate",IF(B8&lt;0,"quarantined","accepted"))</f>
        <v>accepted</v>
      </c>
    </row>
    <row r="9" customFormat="false" ht="15" hidden="false" customHeight="false" outlineLevel="0" collapsed="false">
      <c r="A9" s="4" t="s">
        <v>130</v>
      </c>
      <c r="B9" s="4" t="n">
        <v>3</v>
      </c>
      <c r="C9" s="4" t="n">
        <v>9.99</v>
      </c>
      <c r="D9" s="4" t="n">
        <v>29.97</v>
      </c>
      <c r="E9" s="5" t="n">
        <v>46299.3611111111</v>
      </c>
      <c r="F9" s="0" t="str">
        <f aca="false">IF(COUNTIFS(A$3:A8,A9,F$3:F8,"accepted")&gt;0,"duplicate",IF(B9&lt;0,"quarantined","accepted"))</f>
        <v>duplicate</v>
      </c>
    </row>
    <row r="10" customFormat="false" ht="15" hidden="false" customHeight="false" outlineLevel="0" collapsed="false">
      <c r="A10" s="4" t="s">
        <v>133</v>
      </c>
      <c r="B10" s="4" t="n">
        <v>4</v>
      </c>
      <c r="C10" s="4" t="n">
        <v>7.25</v>
      </c>
      <c r="D10" s="4" t="n">
        <v>29</v>
      </c>
      <c r="E10" s="5" t="n">
        <v>46299.3888888889</v>
      </c>
      <c r="F10" s="0" t="str">
        <f aca="false">IF(COUNTIFS(A$3:A9,A10,F$3:F9,"accepted")&gt;0,"duplicate",IF(B10&lt;0,"quarantined","accepted"))</f>
        <v>accepted</v>
      </c>
    </row>
    <row r="11" customFormat="false" ht="15" hidden="false" customHeight="false" outlineLevel="0" collapsed="false">
      <c r="A11" s="4" t="s">
        <v>134</v>
      </c>
      <c r="B11" s="4" t="n">
        <v>-3</v>
      </c>
      <c r="C11" s="4" t="n">
        <v>10</v>
      </c>
      <c r="D11" s="4" t="n">
        <v>-30</v>
      </c>
      <c r="E11" s="5" t="n">
        <v>46299.3923611111</v>
      </c>
      <c r="F11" s="0" t="str">
        <f aca="false">IF(COUNTIFS(A$3:A10,A11,F$3:F10,"accepted")&gt;0,"duplicate",IF(B11&lt;0,"quarantined","accepted"))</f>
        <v>quarantined</v>
      </c>
    </row>
    <row r="12" customFormat="false" ht="15" hidden="false" customHeight="false" outlineLevel="0" collapsed="false">
      <c r="A12" s="4" t="s">
        <v>135</v>
      </c>
      <c r="B12" s="4" t="n">
        <v>2</v>
      </c>
      <c r="C12" s="4" t="n">
        <v>15.5</v>
      </c>
      <c r="D12" s="4" t="n">
        <v>31</v>
      </c>
      <c r="E12" s="5" t="n">
        <v>46299.3958333333</v>
      </c>
      <c r="F12" s="0" t="str">
        <f aca="false">IF(COUNTIFS(A$3:A11,A12,F$3:F11,"accepted")&gt;0,"duplicate",IF(B12&lt;0,"quarantined","accepted"))</f>
        <v>accepted</v>
      </c>
    </row>
    <row r="13" customFormat="false" ht="15" hidden="false" customHeight="false" outlineLevel="0" collapsed="false">
      <c r="A13" s="4" t="s">
        <v>136</v>
      </c>
      <c r="B13" s="4" t="n">
        <v>6</v>
      </c>
      <c r="C13" s="4" t="n">
        <v>2.5</v>
      </c>
      <c r="D13" s="4" t="n">
        <v>15</v>
      </c>
      <c r="E13" s="5" t="n">
        <v>46299.3854166667</v>
      </c>
      <c r="F13" s="0" t="str">
        <f aca="false">IF(COUNTIFS(A$3:A12,A13,F$3:F12,"accepted")&gt;0,"duplicate",IF(B13&lt;0,"quarantined","accepted"))</f>
        <v>accepted</v>
      </c>
    </row>
    <row r="15" customFormat="false" ht="15" hidden="false" customHeight="false" outlineLevel="0" collapsed="false">
      <c r="A15" s="2" t="s">
        <v>137</v>
      </c>
      <c r="B15" s="2" t="s">
        <v>138</v>
      </c>
      <c r="C15" s="2" t="s">
        <v>139</v>
      </c>
      <c r="D15" s="2" t="s">
        <v>25</v>
      </c>
    </row>
    <row r="16" customFormat="false" ht="15" hidden="false" customHeight="false" outlineLevel="0" collapsed="false">
      <c r="A16" s="0" t="s">
        <v>84</v>
      </c>
      <c r="B16" s="0" t="n">
        <f aca="false">COUNTA(A4:A13)</f>
        <v>10</v>
      </c>
      <c r="C16" s="4" t="n">
        <v>10</v>
      </c>
      <c r="D16" s="6" t="b">
        <f aca="false">ROUND(B16-C16,6)=0</f>
        <v>1</v>
      </c>
    </row>
    <row r="17" customFormat="false" ht="15" hidden="false" customHeight="false" outlineLevel="0" collapsed="false">
      <c r="A17" s="0" t="s">
        <v>140</v>
      </c>
      <c r="B17" s="0" t="n">
        <f aca="false">COUNTIF(F4:F13,"accepted")</f>
        <v>8</v>
      </c>
      <c r="C17" s="4" t="n">
        <v>8</v>
      </c>
      <c r="D17" s="6" t="b">
        <f aca="false">ROUND(B17-C17,6)=0</f>
        <v>1</v>
      </c>
    </row>
    <row r="18" customFormat="false" ht="15" hidden="false" customHeight="false" outlineLevel="0" collapsed="false">
      <c r="A18" s="0" t="s">
        <v>86</v>
      </c>
      <c r="B18" s="0" t="n">
        <f aca="false">COUNTIF(F4:F13,"duplicate")</f>
        <v>1</v>
      </c>
      <c r="C18" s="4" t="n">
        <v>1</v>
      </c>
      <c r="D18" s="6" t="b">
        <f aca="false">ROUND(B18-C18,6)=0</f>
        <v>1</v>
      </c>
    </row>
    <row r="19" customFormat="false" ht="15" hidden="false" customHeight="false" outlineLevel="0" collapsed="false">
      <c r="A19" s="0" t="s">
        <v>87</v>
      </c>
      <c r="B19" s="0" t="n">
        <f aca="false">COUNTIF(F4:F13,"quarantined")</f>
        <v>1</v>
      </c>
      <c r="C19" s="4" t="n">
        <v>1</v>
      </c>
      <c r="D19" s="6" t="b">
        <f aca="false">ROUND(B19-C19,6)=0</f>
        <v>1</v>
      </c>
    </row>
    <row r="20" customFormat="false" ht="15" hidden="false" customHeight="false" outlineLevel="0" collapsed="false">
      <c r="A20" s="0" t="s">
        <v>141</v>
      </c>
      <c r="B20" s="0" t="n">
        <f aca="false">ROUND(B19/B16,6)</f>
        <v>0.1</v>
      </c>
      <c r="C20" s="4" t="n">
        <v>0.1</v>
      </c>
      <c r="D20" s="6" t="b">
        <f aca="false">ROUND(B20-C20,6)=0</f>
        <v>1</v>
      </c>
    </row>
    <row r="21" customFormat="false" ht="15" hidden="false" customHeight="false" outlineLevel="0" collapsed="false">
      <c r="A21" s="0" t="s">
        <v>142</v>
      </c>
      <c r="B21" s="0" t="n">
        <f aca="false">ROUND(B18/B16,6)</f>
        <v>0.1</v>
      </c>
      <c r="C21" s="4" t="n">
        <v>0.1</v>
      </c>
      <c r="D21" s="6" t="b">
        <f aca="false">ROUND(B21-C21,6)=0</f>
        <v>1</v>
      </c>
    </row>
    <row r="22" customFormat="false" ht="15" hidden="false" customHeight="false" outlineLevel="0" collapsed="false">
      <c r="A22" s="0" t="s">
        <v>143</v>
      </c>
      <c r="B22" s="0" t="n">
        <f aca="false">ROUND((Controls!$B$4-_xlfn.MAXIFS(E4:E13,F4:F13,"accepted"))*86400,0)</f>
        <v>52200</v>
      </c>
      <c r="C22" s="4" t="n">
        <v>52200</v>
      </c>
      <c r="D22" s="6" t="b">
        <f aca="false">ROUND(B22-C22,6)=0</f>
        <v>1</v>
      </c>
    </row>
    <row r="23" customFormat="false" ht="15" hidden="false" customHeight="false" outlineLevel="0" collapsed="false">
      <c r="A23" s="0" t="s">
        <v>144</v>
      </c>
      <c r="B23" s="0" t="n">
        <f aca="false">ROUND((Controls!$B$4-46299.5034722222)*86400,0)</f>
        <v>42900</v>
      </c>
      <c r="C23" s="4" t="n">
        <v>42900</v>
      </c>
      <c r="D23" s="6" t="b">
        <f aca="false">ROUND(B23-C23,6)=0</f>
        <v>1</v>
      </c>
    </row>
    <row r="24" customFormat="false" ht="15" hidden="false" customHeight="false" outlineLevel="0" collapsed="false">
      <c r="A24" s="0" t="s">
        <v>145</v>
      </c>
      <c r="B24" s="0" t="n">
        <f aca="false">ROUND(B17/9,6)</f>
        <v>0.888889</v>
      </c>
      <c r="C24" s="4" t="n">
        <v>0.888889</v>
      </c>
      <c r="D24" s="6" t="b">
        <f aca="false">ROUND(B24-C24,6)=0</f>
        <v>1</v>
      </c>
    </row>
    <row r="25" customFormat="false" ht="15" hidden="false" customHeight="false" outlineLevel="0" collapsed="false">
      <c r="A25" s="0" t="s">
        <v>146</v>
      </c>
      <c r="B25" s="0" t="n">
        <f aca="false">ROUND(4/4,6)</f>
        <v>1</v>
      </c>
      <c r="C25" s="4" t="n">
        <v>1</v>
      </c>
      <c r="D25" s="6" t="b">
        <f aca="false">ROUND(B25-C25,6)=0</f>
        <v>1</v>
      </c>
    </row>
    <row r="26" customFormat="false" ht="15" hidden="false" customHeight="false" outlineLevel="0" collapsed="false">
      <c r="A26" s="0" t="s">
        <v>147</v>
      </c>
      <c r="B26" s="0" t="n">
        <f aca="false">ROUND(4/(1+2+1+1),6)</f>
        <v>0.8</v>
      </c>
      <c r="C26" s="4" t="n">
        <v>0.8</v>
      </c>
      <c r="D26" s="6" t="b">
        <f aca="false">ROUND(B26-C26,6)=0</f>
        <v>1</v>
      </c>
    </row>
    <row r="27" customFormat="false" ht="15" hidden="false" customHeight="false" outlineLevel="0" collapsed="false">
      <c r="A27" s="0" t="s">
        <v>148</v>
      </c>
      <c r="B27" s="0" t="n">
        <f aca="false">ROUND(SUM(D4:D13),2)</f>
        <v>289.94</v>
      </c>
      <c r="C27" s="4" t="n">
        <v>289.94</v>
      </c>
      <c r="D27" s="6" t="b">
        <f aca="false">ROUND(B27-C27,6)=0</f>
        <v>1</v>
      </c>
    </row>
    <row r="28" customFormat="false" ht="15" hidden="false" customHeight="false" outlineLevel="0" collapsed="false">
      <c r="A28" s="0" t="s">
        <v>149</v>
      </c>
      <c r="B28" s="0" t="n">
        <f aca="false">ROUND(SUMIF(F4:F13,"accepted",D4:D13),2)</f>
        <v>289.97</v>
      </c>
      <c r="C28" s="4" t="n">
        <v>289.97</v>
      </c>
      <c r="D28" s="6" t="b">
        <f aca="false">ROUND(B28-C28,6)=0</f>
        <v>1</v>
      </c>
    </row>
    <row r="29" customFormat="false" ht="15" hidden="false" customHeight="false" outlineLevel="0" collapsed="false">
      <c r="A29" s="0" t="s">
        <v>150</v>
      </c>
      <c r="B29" s="0" t="n">
        <f aca="false">ROUND(SUMIF(F4:F13,"quarantined",D4:D13),2)</f>
        <v>-30</v>
      </c>
      <c r="C29" s="4" t="n">
        <v>-30</v>
      </c>
      <c r="D29" s="6" t="b">
        <f aca="false">ROUND(B29-C29,6)=0</f>
        <v>1</v>
      </c>
    </row>
    <row r="30" customFormat="false" ht="15" hidden="false" customHeight="false" outlineLevel="0" collapsed="false">
      <c r="A30" s="0" t="s">
        <v>151</v>
      </c>
      <c r="B30" s="0" t="n">
        <f aca="false">ROUND(SUMIF(F4:F13,"duplicate",D4:D13),2)</f>
        <v>29.97</v>
      </c>
      <c r="C30" s="4" t="n">
        <v>29.97</v>
      </c>
      <c r="D30" s="6" t="b">
        <f aca="false">ROUND(B30-C30,6)=0</f>
        <v>1</v>
      </c>
    </row>
    <row r="31" customFormat="false" ht="15" hidden="false" customHeight="false" outlineLevel="0" collapsed="false">
      <c r="A31" s="0" t="s">
        <v>152</v>
      </c>
      <c r="B31" s="0" t="n">
        <f aca="false">ROUND(B27-B28-(B29+B30),2)</f>
        <v>-0</v>
      </c>
      <c r="C31" s="4" t="n">
        <v>0</v>
      </c>
      <c r="D31" s="6" t="b">
        <f aca="false">ROUND(B31-C31,6)=0</f>
        <v>1</v>
      </c>
    </row>
    <row r="32" customFormat="false" ht="15" hidden="false" customHeight="false" outlineLevel="0" collapsed="false">
      <c r="A32" s="0" t="s">
        <v>153</v>
      </c>
      <c r="B32" s="0" t="n">
        <f aca="false">ROUND(ROUND((46299.84375-46299.5138888889)*86400,0)/60,4)</f>
        <v>475</v>
      </c>
      <c r="C32" s="4" t="n">
        <v>475</v>
      </c>
      <c r="D32" s="6" t="b">
        <f aca="false">ROUND(B32-C32,6)=0</f>
        <v>1</v>
      </c>
    </row>
    <row r="33" customFormat="false" ht="15" hidden="false" customHeight="false" outlineLevel="0" collapsed="false">
      <c r="A33" s="0" t="s">
        <v>154</v>
      </c>
      <c r="B33" s="0" t="n">
        <f aca="false">ROUND(2/3,6)</f>
        <v>0.666667</v>
      </c>
      <c r="C33" s="4" t="n">
        <v>0.666667</v>
      </c>
      <c r="D33" s="6" t="b">
        <f aca="false">ROUND(B33-C33,6)=0</f>
        <v>1</v>
      </c>
    </row>
    <row r="34" customFormat="false" ht="15" hidden="false" customHeight="false" outlineLevel="0" collapsed="false">
      <c r="A34" s="0" t="s">
        <v>155</v>
      </c>
      <c r="B34" s="0" t="n">
        <f aca="false">ROUND(B17/12,6)</f>
        <v>0.666667</v>
      </c>
      <c r="C34" s="4" t="n">
        <v>0.666667</v>
      </c>
      <c r="D34" s="6" t="b">
        <f aca="false">ROUND(B34-C34,6)=0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50"/>
  </cols>
  <sheetData>
    <row r="1" customFormat="false" ht="17.35" hidden="false" customHeight="false" outlineLevel="0" collapsed="false">
      <c r="A1" s="1" t="s">
        <v>156</v>
      </c>
    </row>
    <row r="3" customFormat="false" ht="15" hidden="false" customHeight="false" outlineLevel="0" collapsed="false">
      <c r="A3" s="9" t="s">
        <v>157</v>
      </c>
      <c r="B3" s="9" t="s">
        <v>158</v>
      </c>
    </row>
    <row r="4" customFormat="false" ht="28.35" hidden="false" customHeight="false" outlineLevel="0" collapsed="false">
      <c r="A4" s="0" t="s">
        <v>159</v>
      </c>
      <c r="B4" s="3" t="s">
        <v>160</v>
      </c>
    </row>
    <row r="5" customFormat="false" ht="28.35" hidden="false" customHeight="false" outlineLevel="0" collapsed="false">
      <c r="A5" s="0" t="s">
        <v>161</v>
      </c>
      <c r="B5" s="3" t="s">
        <v>162</v>
      </c>
    </row>
    <row r="6" customFormat="false" ht="28.35" hidden="false" customHeight="false" outlineLevel="0" collapsed="false">
      <c r="A6" s="0" t="s">
        <v>163</v>
      </c>
      <c r="B6" s="3" t="s">
        <v>164</v>
      </c>
    </row>
    <row r="7" customFormat="false" ht="28.35" hidden="false" customHeight="false" outlineLevel="0" collapsed="false">
      <c r="A7" s="0" t="s">
        <v>165</v>
      </c>
      <c r="B7" s="3" t="s">
        <v>166</v>
      </c>
    </row>
    <row r="8" customFormat="false" ht="15" hidden="false" customHeight="false" outlineLevel="0" collapsed="false">
      <c r="A8" s="0" t="s">
        <v>167</v>
      </c>
      <c r="B8" s="3" t="s">
        <v>168</v>
      </c>
    </row>
    <row r="9" customFormat="false" ht="28.35" hidden="false" customHeight="false" outlineLevel="0" collapsed="false">
      <c r="A9" s="0" t="s">
        <v>169</v>
      </c>
      <c r="B9" s="3" t="s">
        <v>170</v>
      </c>
    </row>
    <row r="10" customFormat="false" ht="15" hidden="false" customHeight="false" outlineLevel="0" collapsed="false">
      <c r="A10" s="0" t="s">
        <v>171</v>
      </c>
      <c r="B10" s="3" t="s">
        <v>172</v>
      </c>
    </row>
    <row r="11" customFormat="false" ht="28.35" hidden="false" customHeight="false" outlineLevel="0" collapsed="false">
      <c r="A11" s="0" t="s">
        <v>173</v>
      </c>
      <c r="B11" s="3" t="s">
        <v>174</v>
      </c>
    </row>
    <row r="12" customFormat="false" ht="41.75" hidden="false" customHeight="false" outlineLevel="0" collapsed="false">
      <c r="A12" s="0" t="s">
        <v>175</v>
      </c>
      <c r="B12" s="3" t="s">
        <v>176</v>
      </c>
    </row>
    <row r="13" customFormat="false" ht="41.75" hidden="false" customHeight="false" outlineLevel="0" collapsed="false">
      <c r="A13" s="0" t="s">
        <v>177</v>
      </c>
      <c r="B13" s="3" t="s">
        <v>178</v>
      </c>
    </row>
    <row r="14" customFormat="false" ht="15" hidden="false" customHeight="false" outlineLevel="0" collapsed="false">
      <c r="A14" s="0" t="s">
        <v>179</v>
      </c>
      <c r="B14" s="3" t="s">
        <v>180</v>
      </c>
    </row>
    <row r="15" customFormat="false" ht="15" hidden="false" customHeight="false" outlineLevel="0" collapsed="false">
      <c r="A15" s="0" t="s">
        <v>181</v>
      </c>
      <c r="B15" s="3" t="s">
        <v>182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7" min="7" style="0" width="34"/>
  </cols>
  <sheetData>
    <row r="1" customFormat="false" ht="17.35" hidden="false" customHeight="false" outlineLevel="0" collapsed="false">
      <c r="A1" s="1" t="s">
        <v>183</v>
      </c>
    </row>
    <row r="2" customFormat="false" ht="15" hidden="false" customHeight="false" outlineLevel="0" collapsed="false">
      <c r="A2" s="0" t="s">
        <v>184</v>
      </c>
    </row>
    <row r="3" customFormat="false" ht="41.75" hidden="false" customHeight="false" outlineLevel="0" collapsed="false">
      <c r="A3" s="9" t="s">
        <v>80</v>
      </c>
      <c r="B3" s="9" t="s">
        <v>185</v>
      </c>
      <c r="C3" s="9" t="s">
        <v>81</v>
      </c>
      <c r="D3" s="9" t="s">
        <v>186</v>
      </c>
      <c r="E3" s="9" t="s">
        <v>187</v>
      </c>
      <c r="F3" s="9" t="s">
        <v>97</v>
      </c>
      <c r="G3" s="9" t="s">
        <v>188</v>
      </c>
      <c r="H3" s="9" t="s">
        <v>189</v>
      </c>
    </row>
    <row r="4" customFormat="false" ht="15" hidden="false" customHeight="false" outlineLevel="0" collapsed="false">
      <c r="A4" s="4" t="s">
        <v>99</v>
      </c>
      <c r="B4" s="4" t="s">
        <v>190</v>
      </c>
      <c r="C4" s="4" t="n">
        <v>86400</v>
      </c>
      <c r="D4" s="4" t="n">
        <v>259200</v>
      </c>
      <c r="E4" s="4" t="s">
        <v>191</v>
      </c>
      <c r="F4" s="4" t="n">
        <v>1645</v>
      </c>
      <c r="G4" s="10" t="n">
        <v>46299.0832986111</v>
      </c>
      <c r="H4" s="4" t="n">
        <v>86</v>
      </c>
    </row>
    <row r="5" customFormat="false" ht="15" hidden="false" customHeight="false" outlineLevel="0" collapsed="false">
      <c r="A5" s="4" t="s">
        <v>100</v>
      </c>
      <c r="B5" s="4" t="s">
        <v>192</v>
      </c>
      <c r="C5" s="4" t="n">
        <v>14400</v>
      </c>
      <c r="D5" s="4" t="n">
        <v>19800</v>
      </c>
      <c r="E5" s="4" t="s">
        <v>191</v>
      </c>
      <c r="F5" s="4" t="n">
        <v>16176</v>
      </c>
      <c r="G5" s="10" t="n">
        <v>46299.8320138889</v>
      </c>
      <c r="H5" s="4" t="n">
        <v>1054</v>
      </c>
    </row>
    <row r="6" customFormat="false" ht="15" hidden="false" customHeight="false" outlineLevel="0" collapsed="false">
      <c r="A6" s="4" t="s">
        <v>101</v>
      </c>
      <c r="B6" s="4" t="s">
        <v>192</v>
      </c>
      <c r="C6" s="4" t="n">
        <v>14400</v>
      </c>
      <c r="D6" s="4" t="n">
        <v>21600</v>
      </c>
      <c r="E6" s="4" t="s">
        <v>193</v>
      </c>
      <c r="F6" s="4" t="n">
        <v>10207</v>
      </c>
      <c r="G6" s="10" t="n">
        <v>46299.9101157407</v>
      </c>
      <c r="H6" s="4" t="n">
        <v>418</v>
      </c>
    </row>
    <row r="7" customFormat="false" ht="15" hidden="false" customHeight="false" outlineLevel="0" collapsed="false">
      <c r="A7" s="4" t="s">
        <v>102</v>
      </c>
      <c r="B7" s="4" t="s">
        <v>194</v>
      </c>
      <c r="C7" s="4" t="n">
        <v>21600</v>
      </c>
      <c r="D7" s="4" t="n">
        <v>604800</v>
      </c>
      <c r="E7" s="4" t="s">
        <v>191</v>
      </c>
      <c r="F7" s="4" t="n">
        <v>4003</v>
      </c>
      <c r="G7" s="10" t="n">
        <v>46296.9632175926</v>
      </c>
      <c r="H7" s="4" t="n">
        <v>152</v>
      </c>
    </row>
    <row r="8" customFormat="false" ht="15" hidden="false" customHeight="false" outlineLevel="0" collapsed="false">
      <c r="A8" s="4" t="s">
        <v>103</v>
      </c>
      <c r="B8" s="4" t="s">
        <v>194</v>
      </c>
      <c r="C8" s="4" t="n">
        <v>21600</v>
      </c>
      <c r="D8" s="4" t="n">
        <v>259200</v>
      </c>
      <c r="E8" s="4" t="s">
        <v>191</v>
      </c>
      <c r="F8" s="4" t="n">
        <v>4004</v>
      </c>
      <c r="G8" s="10" t="n">
        <v>46299.8635532407</v>
      </c>
      <c r="H8" s="4" t="n">
        <v>193</v>
      </c>
    </row>
    <row r="9" customFormat="false" ht="15" hidden="false" customHeight="false" outlineLevel="0" collapsed="false">
      <c r="A9" s="4" t="s">
        <v>104</v>
      </c>
      <c r="B9" s="4" t="s">
        <v>195</v>
      </c>
      <c r="C9" s="4" t="n">
        <v>43200</v>
      </c>
      <c r="D9" s="4" t="n">
        <v>216000</v>
      </c>
      <c r="E9" s="4" t="s">
        <v>191</v>
      </c>
      <c r="F9" s="4" t="n">
        <v>1678</v>
      </c>
      <c r="G9" s="10" t="n">
        <v>46299.752337963</v>
      </c>
      <c r="H9" s="4" t="n">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2"/>
    <col collapsed="false" customWidth="true" hidden="false" outlineLevel="0" max="4" min="4" style="0" width="16"/>
    <col collapsed="false" customWidth="true" hidden="false" outlineLevel="0" max="5" min="5" style="0" width="20"/>
  </cols>
  <sheetData>
    <row r="1" customFormat="false" ht="17.35" hidden="false" customHeight="false" outlineLevel="0" collapsed="false">
      <c r="A1" s="1" t="s">
        <v>196</v>
      </c>
    </row>
    <row r="2" customFormat="false" ht="15" hidden="false" customHeight="false" outlineLevel="0" collapsed="false">
      <c r="A2" s="0" t="s">
        <v>197</v>
      </c>
    </row>
    <row r="3" customFormat="false" ht="41.75" hidden="false" customHeight="false" outlineLevel="0" collapsed="false">
      <c r="A3" s="9" t="s">
        <v>198</v>
      </c>
      <c r="B3" s="9" t="s">
        <v>80</v>
      </c>
      <c r="C3" s="9" t="s">
        <v>199</v>
      </c>
      <c r="D3" s="9" t="s">
        <v>200</v>
      </c>
      <c r="E3" s="9" t="s">
        <v>201</v>
      </c>
      <c r="F3" s="9" t="s">
        <v>202</v>
      </c>
      <c r="G3" s="9" t="s">
        <v>84</v>
      </c>
      <c r="H3" s="9" t="s">
        <v>85</v>
      </c>
      <c r="I3" s="9" t="s">
        <v>86</v>
      </c>
      <c r="J3" s="9" t="s">
        <v>87</v>
      </c>
      <c r="K3" s="9" t="s">
        <v>88</v>
      </c>
      <c r="L3" s="9" t="s">
        <v>203</v>
      </c>
    </row>
    <row r="4" customFormat="false" ht="15" hidden="false" customHeight="false" outlineLevel="0" collapsed="false">
      <c r="A4" s="4" t="s">
        <v>204</v>
      </c>
      <c r="B4" s="4" t="s">
        <v>102</v>
      </c>
      <c r="C4" s="4" t="s">
        <v>205</v>
      </c>
      <c r="D4" s="4" t="s">
        <v>206</v>
      </c>
      <c r="E4" s="4" t="n">
        <v>46244.0463888889</v>
      </c>
      <c r="F4" s="4" t="n">
        <v>1</v>
      </c>
      <c r="G4" s="4" t="n">
        <v>1</v>
      </c>
      <c r="H4" s="4" t="n">
        <v>1</v>
      </c>
      <c r="I4" s="4" t="n">
        <v>0</v>
      </c>
      <c r="J4" s="4" t="n">
        <v>0</v>
      </c>
      <c r="K4" s="4" t="n">
        <v>0</v>
      </c>
      <c r="L4" s="11" t="b">
        <f aca="false">FALSE()</f>
        <v>0</v>
      </c>
    </row>
    <row r="5" customFormat="false" ht="15" hidden="false" customHeight="false" outlineLevel="0" collapsed="false">
      <c r="A5" s="4" t="s">
        <v>207</v>
      </c>
      <c r="B5" s="4" t="s">
        <v>101</v>
      </c>
      <c r="C5" s="4" t="s">
        <v>205</v>
      </c>
      <c r="D5" s="4" t="s">
        <v>206</v>
      </c>
      <c r="E5" s="4" t="n">
        <v>46244.0876157407</v>
      </c>
      <c r="F5" s="4" t="n">
        <v>4</v>
      </c>
      <c r="G5" s="4" t="n">
        <v>4</v>
      </c>
      <c r="H5" s="4" t="n">
        <v>4</v>
      </c>
      <c r="I5" s="4" t="n">
        <v>0</v>
      </c>
      <c r="J5" s="4" t="n">
        <v>0</v>
      </c>
      <c r="K5" s="4" t="n">
        <v>0</v>
      </c>
      <c r="L5" s="11" t="b">
        <f aca="false">FALSE()</f>
        <v>0</v>
      </c>
    </row>
    <row r="6" customFormat="false" ht="15" hidden="false" customHeight="false" outlineLevel="0" collapsed="false">
      <c r="A6" s="4" t="s">
        <v>208</v>
      </c>
      <c r="B6" s="4" t="s">
        <v>103</v>
      </c>
      <c r="C6" s="4" t="s">
        <v>205</v>
      </c>
      <c r="D6" s="4" t="s">
        <v>206</v>
      </c>
      <c r="E6" s="4" t="n">
        <v>46244.1296643519</v>
      </c>
      <c r="F6" s="4" t="n">
        <v>2</v>
      </c>
      <c r="G6" s="4" t="n">
        <v>2</v>
      </c>
      <c r="H6" s="4" t="n">
        <v>2</v>
      </c>
      <c r="I6" s="4" t="n">
        <v>0</v>
      </c>
      <c r="J6" s="4" t="n">
        <v>0</v>
      </c>
      <c r="K6" s="4" t="n">
        <v>0</v>
      </c>
      <c r="L6" s="11" t="b">
        <f aca="false">FALSE()</f>
        <v>0</v>
      </c>
    </row>
    <row r="7" customFormat="false" ht="15" hidden="false" customHeight="false" outlineLevel="0" collapsed="false">
      <c r="A7" s="4" t="s">
        <v>209</v>
      </c>
      <c r="B7" s="4" t="s">
        <v>100</v>
      </c>
      <c r="C7" s="4" t="s">
        <v>205</v>
      </c>
      <c r="D7" s="4" t="s">
        <v>206</v>
      </c>
      <c r="E7" s="4" t="n">
        <v>46244.1704166667</v>
      </c>
      <c r="F7" s="4" t="n">
        <v>15</v>
      </c>
      <c r="G7" s="4" t="n">
        <v>15</v>
      </c>
      <c r="H7" s="4" t="n">
        <v>15</v>
      </c>
      <c r="I7" s="4" t="n">
        <v>0</v>
      </c>
      <c r="J7" s="4" t="n">
        <v>0</v>
      </c>
      <c r="K7" s="4" t="n">
        <v>0</v>
      </c>
      <c r="L7" s="11" t="b">
        <f aca="false">FALSE()</f>
        <v>0</v>
      </c>
    </row>
    <row r="8" customFormat="false" ht="15" hidden="false" customHeight="false" outlineLevel="0" collapsed="false">
      <c r="A8" s="4" t="s">
        <v>210</v>
      </c>
      <c r="B8" s="4" t="s">
        <v>99</v>
      </c>
      <c r="C8" s="4" t="s">
        <v>205</v>
      </c>
      <c r="D8" s="4" t="s">
        <v>206</v>
      </c>
      <c r="E8" s="4" t="n">
        <v>46244.2133101852</v>
      </c>
      <c r="F8" s="4" t="n">
        <v>2</v>
      </c>
      <c r="G8" s="4" t="n">
        <v>2</v>
      </c>
      <c r="H8" s="4" t="n">
        <v>2</v>
      </c>
      <c r="I8" s="4" t="n">
        <v>0</v>
      </c>
      <c r="J8" s="4" t="n">
        <v>0</v>
      </c>
      <c r="K8" s="4" t="n">
        <v>0</v>
      </c>
      <c r="L8" s="11" t="b">
        <f aca="false">TRUE()</f>
        <v>1</v>
      </c>
    </row>
    <row r="9" customFormat="false" ht="15" hidden="false" customHeight="false" outlineLevel="0" collapsed="false">
      <c r="A9" s="4" t="s">
        <v>211</v>
      </c>
      <c r="B9" s="4" t="s">
        <v>101</v>
      </c>
      <c r="C9" s="4" t="s">
        <v>205</v>
      </c>
      <c r="D9" s="4" t="s">
        <v>206</v>
      </c>
      <c r="E9" s="4" t="n">
        <v>46244.2532291667</v>
      </c>
      <c r="F9" s="4" t="n">
        <v>12</v>
      </c>
      <c r="G9" s="4" t="n">
        <v>12</v>
      </c>
      <c r="H9" s="4" t="n">
        <v>9</v>
      </c>
      <c r="I9" s="4" t="n">
        <v>3</v>
      </c>
      <c r="J9" s="4" t="n">
        <v>0</v>
      </c>
      <c r="K9" s="4" t="n">
        <v>0</v>
      </c>
      <c r="L9" s="11" t="b">
        <f aca="false">FALSE()</f>
        <v>0</v>
      </c>
    </row>
    <row r="10" customFormat="false" ht="15" hidden="false" customHeight="false" outlineLevel="0" collapsed="false">
      <c r="A10" s="4" t="s">
        <v>212</v>
      </c>
      <c r="B10" s="4" t="s">
        <v>104</v>
      </c>
      <c r="C10" s="4" t="s">
        <v>205</v>
      </c>
      <c r="D10" s="4" t="s">
        <v>206</v>
      </c>
      <c r="E10" s="4" t="n">
        <v>46244.2560185185</v>
      </c>
      <c r="F10" s="4" t="n">
        <v>1</v>
      </c>
      <c r="G10" s="4" t="n">
        <v>1</v>
      </c>
      <c r="H10" s="4" t="n">
        <v>1</v>
      </c>
      <c r="I10" s="4" t="n">
        <v>0</v>
      </c>
      <c r="J10" s="4" t="n">
        <v>0</v>
      </c>
      <c r="K10" s="4" t="n">
        <v>0</v>
      </c>
      <c r="L10" s="11" t="b">
        <f aca="false">FALSE()</f>
        <v>0</v>
      </c>
    </row>
    <row r="11" customFormat="false" ht="15" hidden="false" customHeight="false" outlineLevel="0" collapsed="false">
      <c r="A11" s="4" t="s">
        <v>213</v>
      </c>
      <c r="B11" s="4" t="s">
        <v>102</v>
      </c>
      <c r="C11" s="4" t="s">
        <v>205</v>
      </c>
      <c r="D11" s="4" t="s">
        <v>206</v>
      </c>
      <c r="E11" s="4" t="n">
        <v>46244.2966550926</v>
      </c>
      <c r="F11" s="4" t="n">
        <v>7</v>
      </c>
      <c r="G11" s="4" t="n">
        <v>7</v>
      </c>
      <c r="H11" s="4" t="n">
        <v>7</v>
      </c>
      <c r="I11" s="4" t="n">
        <v>0</v>
      </c>
      <c r="J11" s="4" t="n">
        <v>0</v>
      </c>
      <c r="K11" s="4" t="n">
        <v>0</v>
      </c>
      <c r="L11" s="11" t="b">
        <f aca="false">FALSE()</f>
        <v>0</v>
      </c>
    </row>
    <row r="12" customFormat="false" ht="15" hidden="false" customHeight="false" outlineLevel="0" collapsed="false">
      <c r="A12" s="4" t="s">
        <v>214</v>
      </c>
      <c r="B12" s="4" t="s">
        <v>100</v>
      </c>
      <c r="C12" s="4" t="s">
        <v>205</v>
      </c>
      <c r="D12" s="4" t="s">
        <v>206</v>
      </c>
      <c r="E12" s="4" t="n">
        <v>46244.3364930556</v>
      </c>
      <c r="F12" s="4" t="n">
        <v>33</v>
      </c>
      <c r="G12" s="4" t="n">
        <v>33</v>
      </c>
      <c r="H12" s="4" t="n">
        <v>29</v>
      </c>
      <c r="I12" s="4" t="n">
        <v>3</v>
      </c>
      <c r="J12" s="4" t="n">
        <v>1</v>
      </c>
      <c r="K12" s="4" t="n">
        <v>0</v>
      </c>
      <c r="L12" s="11" t="b">
        <f aca="false">FALSE()</f>
        <v>0</v>
      </c>
    </row>
    <row r="13" customFormat="false" ht="15" hidden="false" customHeight="false" outlineLevel="0" collapsed="false">
      <c r="A13" s="4" t="s">
        <v>215</v>
      </c>
      <c r="B13" s="4" t="s">
        <v>103</v>
      </c>
      <c r="C13" s="4" t="s">
        <v>205</v>
      </c>
      <c r="D13" s="4" t="s">
        <v>206</v>
      </c>
      <c r="E13" s="4" t="n">
        <v>46244.3798958333</v>
      </c>
      <c r="F13" s="4" t="n">
        <v>14</v>
      </c>
      <c r="G13" s="4" t="n">
        <v>14</v>
      </c>
      <c r="H13" s="4" t="n">
        <v>14</v>
      </c>
      <c r="I13" s="4" t="n">
        <v>0</v>
      </c>
      <c r="J13" s="4" t="n">
        <v>0</v>
      </c>
      <c r="K13" s="4" t="n">
        <v>0</v>
      </c>
      <c r="L13" s="11" t="b">
        <f aca="false">FALSE()</f>
        <v>0</v>
      </c>
    </row>
    <row r="14" customFormat="false" ht="15" hidden="false" customHeight="false" outlineLevel="0" collapsed="false">
      <c r="A14" s="4" t="s">
        <v>216</v>
      </c>
      <c r="B14" s="4" t="s">
        <v>101</v>
      </c>
      <c r="C14" s="4" t="s">
        <v>205</v>
      </c>
      <c r="D14" s="4" t="s">
        <v>206</v>
      </c>
      <c r="E14" s="4" t="n">
        <v>46244.4203240741</v>
      </c>
      <c r="F14" s="4" t="n">
        <v>36</v>
      </c>
      <c r="G14" s="4" t="n">
        <v>36</v>
      </c>
      <c r="H14" s="4" t="n">
        <v>33</v>
      </c>
      <c r="I14" s="4" t="n">
        <v>3</v>
      </c>
      <c r="J14" s="4" t="n">
        <v>0</v>
      </c>
      <c r="K14" s="4" t="n">
        <v>0</v>
      </c>
      <c r="L14" s="11" t="b">
        <f aca="false">FALSE()</f>
        <v>0</v>
      </c>
    </row>
    <row r="15" customFormat="false" ht="15" hidden="false" customHeight="false" outlineLevel="0" collapsed="false">
      <c r="A15" s="4" t="s">
        <v>217</v>
      </c>
      <c r="B15" s="4" t="s">
        <v>100</v>
      </c>
      <c r="C15" s="4" t="s">
        <v>205</v>
      </c>
      <c r="D15" s="4" t="s">
        <v>206</v>
      </c>
      <c r="E15" s="4" t="n">
        <v>46244.5021643519</v>
      </c>
      <c r="F15" s="4" t="n">
        <v>74</v>
      </c>
      <c r="G15" s="4" t="n">
        <v>74</v>
      </c>
      <c r="H15" s="4" t="n">
        <v>72</v>
      </c>
      <c r="I15" s="4" t="n">
        <v>1</v>
      </c>
      <c r="J15" s="4" t="n">
        <v>1</v>
      </c>
      <c r="K15" s="4" t="n">
        <v>0</v>
      </c>
      <c r="L15" s="11" t="b">
        <f aca="false">FALSE()</f>
        <v>0</v>
      </c>
    </row>
    <row r="16" customFormat="false" ht="15" hidden="false" customHeight="false" outlineLevel="0" collapsed="false">
      <c r="A16" s="4" t="s">
        <v>218</v>
      </c>
      <c r="B16" s="4" t="s">
        <v>102</v>
      </c>
      <c r="C16" s="4" t="s">
        <v>205</v>
      </c>
      <c r="D16" s="4" t="s">
        <v>206</v>
      </c>
      <c r="E16" s="4" t="n">
        <v>46244.5465625</v>
      </c>
      <c r="F16" s="4" t="n">
        <v>30</v>
      </c>
      <c r="G16" s="4" t="n">
        <v>30</v>
      </c>
      <c r="H16" s="4" t="n">
        <v>27</v>
      </c>
      <c r="I16" s="4" t="n">
        <v>3</v>
      </c>
      <c r="J16" s="4" t="n">
        <v>0</v>
      </c>
      <c r="K16" s="4" t="n">
        <v>0</v>
      </c>
      <c r="L16" s="11" t="b">
        <f aca="false">FALSE()</f>
        <v>0</v>
      </c>
    </row>
    <row r="17" customFormat="false" ht="15" hidden="false" customHeight="false" outlineLevel="0" collapsed="false">
      <c r="A17" s="4" t="s">
        <v>219</v>
      </c>
      <c r="B17" s="4" t="s">
        <v>101</v>
      </c>
      <c r="C17" s="4" t="s">
        <v>205</v>
      </c>
      <c r="D17" s="4" t="s">
        <v>206</v>
      </c>
      <c r="E17" s="4" t="n">
        <v>46244.5867708333</v>
      </c>
      <c r="F17" s="4" t="n">
        <v>52</v>
      </c>
      <c r="G17" s="4" t="n">
        <v>52</v>
      </c>
      <c r="H17" s="4" t="n">
        <v>50</v>
      </c>
      <c r="I17" s="4" t="n">
        <v>2</v>
      </c>
      <c r="J17" s="4" t="n">
        <v>0</v>
      </c>
      <c r="K17" s="4" t="n">
        <v>0</v>
      </c>
      <c r="L17" s="11" t="b">
        <f aca="false">FALSE()</f>
        <v>0</v>
      </c>
    </row>
    <row r="18" customFormat="false" ht="15" hidden="false" customHeight="false" outlineLevel="0" collapsed="false">
      <c r="A18" s="4" t="s">
        <v>220</v>
      </c>
      <c r="B18" s="4" t="s">
        <v>103</v>
      </c>
      <c r="C18" s="4" t="s">
        <v>205</v>
      </c>
      <c r="D18" s="4" t="s">
        <v>206</v>
      </c>
      <c r="E18" s="4" t="n">
        <v>46244.6305555556</v>
      </c>
      <c r="F18" s="4" t="n">
        <v>34</v>
      </c>
      <c r="G18" s="4" t="n">
        <v>34</v>
      </c>
      <c r="H18" s="4" t="n">
        <v>31</v>
      </c>
      <c r="I18" s="4" t="n">
        <v>3</v>
      </c>
      <c r="J18" s="4" t="n">
        <v>0</v>
      </c>
      <c r="K18" s="4" t="n">
        <v>0</v>
      </c>
      <c r="L18" s="11" t="b">
        <f aca="false">FALSE()</f>
        <v>0</v>
      </c>
    </row>
    <row r="19" customFormat="false" ht="15" hidden="false" customHeight="false" outlineLevel="0" collapsed="false">
      <c r="A19" s="4" t="s">
        <v>221</v>
      </c>
      <c r="B19" s="4" t="s">
        <v>100</v>
      </c>
      <c r="C19" s="4" t="s">
        <v>205</v>
      </c>
      <c r="D19" s="4" t="s">
        <v>206</v>
      </c>
      <c r="E19" s="4" t="n">
        <v>46244.6694560185</v>
      </c>
      <c r="F19" s="4" t="n">
        <v>74</v>
      </c>
      <c r="G19" s="4" t="n">
        <v>74</v>
      </c>
      <c r="H19" s="4" t="n">
        <v>72</v>
      </c>
      <c r="I19" s="4" t="n">
        <v>2</v>
      </c>
      <c r="J19" s="4" t="n">
        <v>0</v>
      </c>
      <c r="K19" s="4" t="n">
        <v>0</v>
      </c>
      <c r="L19" s="11" t="b">
        <f aca="false">FALSE()</f>
        <v>0</v>
      </c>
    </row>
    <row r="20" customFormat="false" ht="15" hidden="false" customHeight="false" outlineLevel="0" collapsed="false">
      <c r="A20" s="4" t="s">
        <v>222</v>
      </c>
      <c r="B20" s="4" t="s">
        <v>101</v>
      </c>
      <c r="C20" s="4" t="s">
        <v>205</v>
      </c>
      <c r="D20" s="4" t="s">
        <v>206</v>
      </c>
      <c r="E20" s="4" t="n">
        <v>46244.7532986111</v>
      </c>
      <c r="F20" s="4" t="n">
        <v>48</v>
      </c>
      <c r="G20" s="4" t="n">
        <v>48</v>
      </c>
      <c r="H20" s="4" t="n">
        <v>47</v>
      </c>
      <c r="I20" s="4" t="n">
        <v>1</v>
      </c>
      <c r="J20" s="4" t="n">
        <v>0</v>
      </c>
      <c r="K20" s="4" t="n">
        <v>0</v>
      </c>
      <c r="L20" s="11" t="b">
        <f aca="false">FALSE()</f>
        <v>0</v>
      </c>
    </row>
    <row r="21" customFormat="false" ht="15" hidden="false" customHeight="false" outlineLevel="0" collapsed="false">
      <c r="A21" s="4" t="s">
        <v>223</v>
      </c>
      <c r="B21" s="4" t="s">
        <v>104</v>
      </c>
      <c r="C21" s="4" t="s">
        <v>205</v>
      </c>
      <c r="D21" s="4" t="s">
        <v>206</v>
      </c>
      <c r="E21" s="4" t="n">
        <v>46244.7555555556</v>
      </c>
      <c r="F21" s="4" t="n">
        <v>21</v>
      </c>
      <c r="G21" s="4" t="n">
        <v>21</v>
      </c>
      <c r="H21" s="4" t="n">
        <v>19</v>
      </c>
      <c r="I21" s="4" t="n">
        <v>0</v>
      </c>
      <c r="J21" s="4" t="n">
        <v>2</v>
      </c>
      <c r="K21" s="4" t="n">
        <v>0</v>
      </c>
      <c r="L21" s="11" t="b">
        <f aca="false">FALSE()</f>
        <v>0</v>
      </c>
    </row>
    <row r="22" customFormat="false" ht="15" hidden="false" customHeight="false" outlineLevel="0" collapsed="false">
      <c r="A22" s="4" t="s">
        <v>224</v>
      </c>
      <c r="B22" s="4" t="s">
        <v>102</v>
      </c>
      <c r="C22" s="4" t="s">
        <v>205</v>
      </c>
      <c r="D22" s="4" t="s">
        <v>206</v>
      </c>
      <c r="E22" s="4" t="n">
        <v>46244.7952199074</v>
      </c>
      <c r="F22" s="4" t="n">
        <v>28</v>
      </c>
      <c r="G22" s="4" t="n">
        <v>28</v>
      </c>
      <c r="H22" s="4" t="n">
        <v>28</v>
      </c>
      <c r="I22" s="4" t="n">
        <v>0</v>
      </c>
      <c r="J22" s="4" t="n">
        <v>0</v>
      </c>
      <c r="K22" s="4" t="n">
        <v>0</v>
      </c>
      <c r="L22" s="11" t="b">
        <f aca="false">FALSE()</f>
        <v>0</v>
      </c>
    </row>
    <row r="23" customFormat="false" ht="15" hidden="false" customHeight="false" outlineLevel="0" collapsed="false">
      <c r="A23" s="4" t="s">
        <v>225</v>
      </c>
      <c r="B23" s="4" t="s">
        <v>100</v>
      </c>
      <c r="C23" s="4" t="s">
        <v>205</v>
      </c>
      <c r="D23" s="4" t="s">
        <v>206</v>
      </c>
      <c r="E23" s="4" t="n">
        <v>46244.8363078704</v>
      </c>
      <c r="F23" s="4" t="n">
        <v>71</v>
      </c>
      <c r="G23" s="4" t="n">
        <v>71</v>
      </c>
      <c r="H23" s="4" t="n">
        <v>66</v>
      </c>
      <c r="I23" s="4" t="n">
        <v>3</v>
      </c>
      <c r="J23" s="4" t="n">
        <v>2</v>
      </c>
      <c r="K23" s="4" t="n">
        <v>0</v>
      </c>
      <c r="L23" s="11" t="b">
        <f aca="false">FALSE()</f>
        <v>0</v>
      </c>
    </row>
    <row r="24" customFormat="false" ht="15" hidden="false" customHeight="false" outlineLevel="0" collapsed="false">
      <c r="A24" s="4" t="s">
        <v>226</v>
      </c>
      <c r="B24" s="4" t="s">
        <v>103</v>
      </c>
      <c r="C24" s="4" t="s">
        <v>205</v>
      </c>
      <c r="D24" s="4" t="s">
        <v>206</v>
      </c>
      <c r="E24" s="4" t="n">
        <v>46244.8806365741</v>
      </c>
      <c r="F24" s="4" t="n">
        <v>26</v>
      </c>
      <c r="G24" s="4" t="n">
        <v>26</v>
      </c>
      <c r="H24" s="4" t="n">
        <v>23</v>
      </c>
      <c r="I24" s="4" t="n">
        <v>2</v>
      </c>
      <c r="J24" s="4" t="n">
        <v>1</v>
      </c>
      <c r="K24" s="4" t="n">
        <v>0</v>
      </c>
      <c r="L24" s="11" t="b">
        <f aca="false">FALSE()</f>
        <v>0</v>
      </c>
    </row>
    <row r="25" customFormat="false" ht="15" hidden="false" customHeight="false" outlineLevel="0" collapsed="false">
      <c r="A25" s="4" t="s">
        <v>227</v>
      </c>
      <c r="B25" s="4" t="s">
        <v>101</v>
      </c>
      <c r="C25" s="4" t="s">
        <v>205</v>
      </c>
      <c r="D25" s="4" t="s">
        <v>206</v>
      </c>
      <c r="E25" s="4" t="n">
        <v>46244.9203703704</v>
      </c>
      <c r="F25" s="4" t="n">
        <v>40</v>
      </c>
      <c r="G25" s="4" t="n">
        <v>40</v>
      </c>
      <c r="H25" s="4" t="n">
        <v>39</v>
      </c>
      <c r="I25" s="4" t="n">
        <v>1</v>
      </c>
      <c r="J25" s="4" t="n">
        <v>0</v>
      </c>
      <c r="K25" s="4" t="n">
        <v>0</v>
      </c>
      <c r="L25" s="11" t="b">
        <f aca="false">FALSE()</f>
        <v>0</v>
      </c>
    </row>
    <row r="26" customFormat="false" ht="15" hidden="false" customHeight="false" outlineLevel="0" collapsed="false">
      <c r="A26" s="4" t="s">
        <v>228</v>
      </c>
      <c r="B26" s="4" t="s">
        <v>100</v>
      </c>
      <c r="C26" s="4" t="s">
        <v>205</v>
      </c>
      <c r="D26" s="4" t="s">
        <v>206</v>
      </c>
      <c r="E26" s="4" t="n">
        <v>46245.0033449074</v>
      </c>
      <c r="F26" s="4" t="n">
        <v>40</v>
      </c>
      <c r="G26" s="4" t="n">
        <v>40</v>
      </c>
      <c r="H26" s="4" t="n">
        <v>38</v>
      </c>
      <c r="I26" s="4" t="n">
        <v>2</v>
      </c>
      <c r="J26" s="4" t="n">
        <v>0</v>
      </c>
      <c r="K26" s="4" t="n">
        <v>0</v>
      </c>
      <c r="L26" s="11" t="b">
        <f aca="false">FALSE()</f>
        <v>0</v>
      </c>
    </row>
    <row r="27" customFormat="false" ht="15" hidden="false" customHeight="false" outlineLevel="0" collapsed="false">
      <c r="A27" s="4" t="s">
        <v>229</v>
      </c>
      <c r="B27" s="4" t="s">
        <v>102</v>
      </c>
      <c r="C27" s="4" t="s">
        <v>205</v>
      </c>
      <c r="D27" s="4" t="s">
        <v>206</v>
      </c>
      <c r="E27" s="4" t="n">
        <v>46245.0459143519</v>
      </c>
      <c r="F27" s="4" t="n">
        <v>16</v>
      </c>
      <c r="G27" s="4" t="n">
        <v>16</v>
      </c>
      <c r="H27" s="4" t="n">
        <v>12</v>
      </c>
      <c r="I27" s="4" t="n">
        <v>3</v>
      </c>
      <c r="J27" s="4" t="n">
        <v>1</v>
      </c>
      <c r="K27" s="4" t="n">
        <v>0</v>
      </c>
      <c r="L27" s="11" t="b">
        <f aca="false">FALSE()</f>
        <v>0</v>
      </c>
    </row>
    <row r="28" customFormat="false" ht="15" hidden="false" customHeight="false" outlineLevel="0" collapsed="false">
      <c r="A28" s="4" t="s">
        <v>230</v>
      </c>
      <c r="B28" s="4" t="s">
        <v>101</v>
      </c>
      <c r="C28" s="4" t="s">
        <v>205</v>
      </c>
      <c r="D28" s="4" t="s">
        <v>206</v>
      </c>
      <c r="E28" s="4" t="n">
        <v>46245.0866087963</v>
      </c>
      <c r="F28" s="4" t="n">
        <v>16</v>
      </c>
      <c r="G28" s="4" t="n">
        <v>16</v>
      </c>
      <c r="H28" s="4" t="n">
        <v>14</v>
      </c>
      <c r="I28" s="4" t="n">
        <v>2</v>
      </c>
      <c r="J28" s="4" t="n">
        <v>0</v>
      </c>
      <c r="K28" s="4" t="n">
        <v>0</v>
      </c>
      <c r="L28" s="11" t="b">
        <f aca="false">FALSE()</f>
        <v>0</v>
      </c>
    </row>
    <row r="29" customFormat="false" ht="15" hidden="false" customHeight="false" outlineLevel="0" collapsed="false">
      <c r="A29" s="4" t="s">
        <v>231</v>
      </c>
      <c r="B29" s="4" t="s">
        <v>103</v>
      </c>
      <c r="C29" s="4" t="s">
        <v>205</v>
      </c>
      <c r="D29" s="4" t="s">
        <v>206</v>
      </c>
      <c r="E29" s="4" t="n">
        <v>46245.1303009259</v>
      </c>
      <c r="F29" s="4" t="n">
        <v>12</v>
      </c>
      <c r="G29" s="4" t="n">
        <v>12</v>
      </c>
      <c r="H29" s="4" t="n">
        <v>11</v>
      </c>
      <c r="I29" s="4" t="n">
        <v>1</v>
      </c>
      <c r="J29" s="4" t="n">
        <v>0</v>
      </c>
      <c r="K29" s="4" t="n">
        <v>0</v>
      </c>
      <c r="L29" s="11" t="b">
        <f aca="false">FALSE()</f>
        <v>0</v>
      </c>
    </row>
    <row r="30" customFormat="false" ht="15" hidden="false" customHeight="false" outlineLevel="0" collapsed="false">
      <c r="A30" s="4" t="s">
        <v>232</v>
      </c>
      <c r="B30" s="4" t="s">
        <v>100</v>
      </c>
      <c r="C30" s="4" t="s">
        <v>205</v>
      </c>
      <c r="D30" s="4" t="s">
        <v>206</v>
      </c>
      <c r="E30" s="4" t="n">
        <v>46245.1698726852</v>
      </c>
      <c r="F30" s="4" t="n">
        <v>13</v>
      </c>
      <c r="G30" s="4" t="n">
        <v>13</v>
      </c>
      <c r="H30" s="4" t="n">
        <v>13</v>
      </c>
      <c r="I30" s="4" t="n">
        <v>0</v>
      </c>
      <c r="J30" s="4" t="n">
        <v>0</v>
      </c>
      <c r="K30" s="4" t="n">
        <v>0</v>
      </c>
      <c r="L30" s="11" t="b">
        <f aca="false">FALSE()</f>
        <v>0</v>
      </c>
    </row>
    <row r="31" customFormat="false" ht="15" hidden="false" customHeight="false" outlineLevel="0" collapsed="false">
      <c r="A31" s="4" t="s">
        <v>233</v>
      </c>
      <c r="B31" s="4" t="s">
        <v>99</v>
      </c>
      <c r="C31" s="4" t="s">
        <v>205</v>
      </c>
      <c r="D31" s="4" t="s">
        <v>206</v>
      </c>
      <c r="E31" s="4" t="n">
        <v>46245.214375</v>
      </c>
      <c r="F31" s="4" t="n">
        <v>32</v>
      </c>
      <c r="G31" s="4" t="n">
        <v>32</v>
      </c>
      <c r="H31" s="4" t="n">
        <v>32</v>
      </c>
      <c r="I31" s="4" t="n">
        <v>0</v>
      </c>
      <c r="J31" s="4" t="n">
        <v>0</v>
      </c>
      <c r="K31" s="4" t="n">
        <v>0</v>
      </c>
      <c r="L31" s="11" t="b">
        <f aca="false">FALSE()</f>
        <v>0</v>
      </c>
    </row>
    <row r="32" customFormat="false" ht="15" hidden="false" customHeight="false" outlineLevel="0" collapsed="false">
      <c r="A32" s="4" t="s">
        <v>234</v>
      </c>
      <c r="B32" s="4" t="s">
        <v>101</v>
      </c>
      <c r="C32" s="4" t="s">
        <v>205</v>
      </c>
      <c r="D32" s="4" t="s">
        <v>206</v>
      </c>
      <c r="E32" s="4" t="n">
        <v>46245.2539236111</v>
      </c>
      <c r="F32" s="4" t="n">
        <v>13</v>
      </c>
      <c r="G32" s="4" t="n">
        <v>13</v>
      </c>
      <c r="H32" s="4" t="n">
        <v>10</v>
      </c>
      <c r="I32" s="4" t="n">
        <v>3</v>
      </c>
      <c r="J32" s="4" t="n">
        <v>0</v>
      </c>
      <c r="K32" s="4" t="n">
        <v>0</v>
      </c>
      <c r="L32" s="11" t="b">
        <f aca="false">FALSE()</f>
        <v>0</v>
      </c>
    </row>
    <row r="33" customFormat="false" ht="15" hidden="false" customHeight="false" outlineLevel="0" collapsed="false">
      <c r="A33" s="4" t="s">
        <v>235</v>
      </c>
      <c r="B33" s="4" t="s">
        <v>104</v>
      </c>
      <c r="C33" s="4" t="s">
        <v>205</v>
      </c>
      <c r="D33" s="4" t="s">
        <v>206</v>
      </c>
      <c r="E33" s="4" t="n">
        <v>46245.2564236111</v>
      </c>
      <c r="F33" s="4" t="n">
        <v>12</v>
      </c>
      <c r="G33" s="4" t="n">
        <v>12</v>
      </c>
      <c r="H33" s="4" t="n">
        <v>11</v>
      </c>
      <c r="I33" s="4" t="n">
        <v>1</v>
      </c>
      <c r="J33" s="4" t="n">
        <v>0</v>
      </c>
      <c r="K33" s="4" t="n">
        <v>0</v>
      </c>
      <c r="L33" s="11" t="b">
        <f aca="false">FALSE()</f>
        <v>0</v>
      </c>
    </row>
    <row r="34" customFormat="false" ht="15" hidden="false" customHeight="false" outlineLevel="0" collapsed="false">
      <c r="A34" s="4" t="s">
        <v>236</v>
      </c>
      <c r="B34" s="4" t="s">
        <v>102</v>
      </c>
      <c r="C34" s="4" t="s">
        <v>205</v>
      </c>
      <c r="D34" s="4" t="s">
        <v>206</v>
      </c>
      <c r="E34" s="4" t="n">
        <v>46245.2961111111</v>
      </c>
      <c r="F34" s="4" t="n">
        <v>10</v>
      </c>
      <c r="G34" s="4" t="n">
        <v>10</v>
      </c>
      <c r="H34" s="4" t="n">
        <v>7</v>
      </c>
      <c r="I34" s="4" t="n">
        <v>3</v>
      </c>
      <c r="J34" s="4" t="n">
        <v>0</v>
      </c>
      <c r="K34" s="4" t="n">
        <v>0</v>
      </c>
      <c r="L34" s="11" t="b">
        <f aca="false">FALSE()</f>
        <v>0</v>
      </c>
    </row>
    <row r="35" customFormat="false" ht="15" hidden="false" customHeight="false" outlineLevel="0" collapsed="false">
      <c r="A35" s="4" t="s">
        <v>237</v>
      </c>
      <c r="B35" s="4" t="s">
        <v>100</v>
      </c>
      <c r="C35" s="4" t="s">
        <v>205</v>
      </c>
      <c r="D35" s="4" t="s">
        <v>206</v>
      </c>
      <c r="E35" s="4" t="n">
        <v>46245.3365972222</v>
      </c>
      <c r="F35" s="4" t="n">
        <v>33</v>
      </c>
      <c r="G35" s="4" t="n">
        <v>33</v>
      </c>
      <c r="H35" s="4" t="n">
        <v>33</v>
      </c>
      <c r="I35" s="4" t="n">
        <v>0</v>
      </c>
      <c r="J35" s="4" t="n">
        <v>0</v>
      </c>
      <c r="K35" s="4" t="n">
        <v>0</v>
      </c>
      <c r="L35" s="11" t="b">
        <f aca="false">FALSE()</f>
        <v>0</v>
      </c>
    </row>
    <row r="36" customFormat="false" ht="15" hidden="false" customHeight="false" outlineLevel="0" collapsed="false">
      <c r="A36" s="4" t="s">
        <v>238</v>
      </c>
      <c r="B36" s="4" t="s">
        <v>103</v>
      </c>
      <c r="C36" s="4" t="s">
        <v>205</v>
      </c>
      <c r="D36" s="4" t="s">
        <v>206</v>
      </c>
      <c r="E36" s="4" t="n">
        <v>46245.3805439815</v>
      </c>
      <c r="F36" s="4" t="n">
        <v>13</v>
      </c>
      <c r="G36" s="4" t="n">
        <v>13</v>
      </c>
      <c r="H36" s="4" t="n">
        <v>13</v>
      </c>
      <c r="I36" s="4" t="n">
        <v>0</v>
      </c>
      <c r="J36" s="4" t="n">
        <v>0</v>
      </c>
      <c r="K36" s="4" t="n">
        <v>0</v>
      </c>
      <c r="L36" s="11" t="b">
        <f aca="false">FALSE()</f>
        <v>0</v>
      </c>
    </row>
    <row r="37" customFormat="false" ht="15" hidden="false" customHeight="false" outlineLevel="0" collapsed="false">
      <c r="A37" s="4" t="s">
        <v>239</v>
      </c>
      <c r="B37" s="4" t="s">
        <v>101</v>
      </c>
      <c r="C37" s="4" t="s">
        <v>205</v>
      </c>
      <c r="D37" s="4" t="s">
        <v>206</v>
      </c>
      <c r="E37" s="4" t="n">
        <v>46245.4205787037</v>
      </c>
      <c r="F37" s="4" t="n">
        <v>35</v>
      </c>
      <c r="G37" s="4" t="n">
        <v>35</v>
      </c>
      <c r="H37" s="4" t="n">
        <v>33</v>
      </c>
      <c r="I37" s="4" t="n">
        <v>2</v>
      </c>
      <c r="J37" s="4" t="n">
        <v>0</v>
      </c>
      <c r="K37" s="4" t="n">
        <v>0</v>
      </c>
      <c r="L37" s="11" t="b">
        <f aca="false">FALSE()</f>
        <v>0</v>
      </c>
    </row>
    <row r="38" customFormat="false" ht="15" hidden="false" customHeight="false" outlineLevel="0" collapsed="false">
      <c r="A38" s="4" t="s">
        <v>240</v>
      </c>
      <c r="B38" s="4" t="s">
        <v>100</v>
      </c>
      <c r="C38" s="4" t="s">
        <v>205</v>
      </c>
      <c r="D38" s="4" t="s">
        <v>206</v>
      </c>
      <c r="E38" s="4" t="n">
        <v>46245.5028819444</v>
      </c>
      <c r="F38" s="4" t="n">
        <v>73</v>
      </c>
      <c r="G38" s="4" t="n">
        <v>73</v>
      </c>
      <c r="H38" s="4" t="n">
        <v>72</v>
      </c>
      <c r="I38" s="4" t="n">
        <v>1</v>
      </c>
      <c r="J38" s="4" t="n">
        <v>0</v>
      </c>
      <c r="K38" s="4" t="n">
        <v>0</v>
      </c>
      <c r="L38" s="11" t="b">
        <f aca="false">FALSE()</f>
        <v>0</v>
      </c>
    </row>
    <row r="39" customFormat="false" ht="15" hidden="false" customHeight="false" outlineLevel="0" collapsed="false">
      <c r="A39" s="4" t="s">
        <v>241</v>
      </c>
      <c r="B39" s="4" t="s">
        <v>102</v>
      </c>
      <c r="C39" s="4" t="s">
        <v>205</v>
      </c>
      <c r="D39" s="4" t="s">
        <v>206</v>
      </c>
      <c r="E39" s="4" t="n">
        <v>46245.5453125</v>
      </c>
      <c r="F39" s="4" t="n">
        <v>24</v>
      </c>
      <c r="G39" s="4" t="n">
        <v>24</v>
      </c>
      <c r="H39" s="4" t="n">
        <v>22</v>
      </c>
      <c r="I39" s="4" t="n">
        <v>1</v>
      </c>
      <c r="J39" s="4" t="n">
        <v>1</v>
      </c>
      <c r="K39" s="4" t="n">
        <v>0</v>
      </c>
      <c r="L39" s="11" t="b">
        <f aca="false">FALSE()</f>
        <v>0</v>
      </c>
    </row>
    <row r="40" customFormat="false" ht="15" hidden="false" customHeight="false" outlineLevel="0" collapsed="false">
      <c r="A40" s="4" t="s">
        <v>242</v>
      </c>
      <c r="B40" s="4" t="s">
        <v>101</v>
      </c>
      <c r="C40" s="4" t="s">
        <v>205</v>
      </c>
      <c r="D40" s="4" t="s">
        <v>206</v>
      </c>
      <c r="E40" s="4" t="n">
        <v>46245.587349537</v>
      </c>
      <c r="F40" s="4" t="n">
        <v>54</v>
      </c>
      <c r="G40" s="4" t="n">
        <v>54</v>
      </c>
      <c r="H40" s="4" t="n">
        <v>54</v>
      </c>
      <c r="I40" s="4" t="n">
        <v>0</v>
      </c>
      <c r="J40" s="4" t="n">
        <v>0</v>
      </c>
      <c r="K40" s="4" t="n">
        <v>0</v>
      </c>
      <c r="L40" s="11" t="b">
        <f aca="false">FALSE()</f>
        <v>0</v>
      </c>
    </row>
    <row r="41" customFormat="false" ht="15" hidden="false" customHeight="false" outlineLevel="0" collapsed="false">
      <c r="A41" s="4" t="s">
        <v>243</v>
      </c>
      <c r="B41" s="4" t="s">
        <v>103</v>
      </c>
      <c r="C41" s="4" t="s">
        <v>205</v>
      </c>
      <c r="D41" s="4" t="s">
        <v>206</v>
      </c>
      <c r="E41" s="4" t="n">
        <v>46245.6307986111</v>
      </c>
      <c r="F41" s="4" t="n">
        <v>28</v>
      </c>
      <c r="G41" s="4" t="n">
        <v>28</v>
      </c>
      <c r="H41" s="4" t="n">
        <v>27</v>
      </c>
      <c r="I41" s="4" t="n">
        <v>1</v>
      </c>
      <c r="J41" s="4" t="n">
        <v>0</v>
      </c>
      <c r="K41" s="4" t="n">
        <v>0</v>
      </c>
      <c r="L41" s="11" t="b">
        <f aca="false">FALSE()</f>
        <v>0</v>
      </c>
    </row>
    <row r="42" customFormat="false" ht="15" hidden="false" customHeight="false" outlineLevel="0" collapsed="false">
      <c r="A42" s="4" t="s">
        <v>244</v>
      </c>
      <c r="B42" s="4" t="s">
        <v>100</v>
      </c>
      <c r="C42" s="4" t="s">
        <v>205</v>
      </c>
      <c r="D42" s="4" t="s">
        <v>206</v>
      </c>
      <c r="E42" s="4" t="n">
        <v>46245.6703240741</v>
      </c>
      <c r="F42" s="4" t="n">
        <v>80</v>
      </c>
      <c r="G42" s="4" t="n">
        <v>80</v>
      </c>
      <c r="H42" s="4" t="n">
        <v>77</v>
      </c>
      <c r="I42" s="4" t="n">
        <v>3</v>
      </c>
      <c r="J42" s="4" t="n">
        <v>0</v>
      </c>
      <c r="K42" s="4" t="n">
        <v>0</v>
      </c>
      <c r="L42" s="11" t="b">
        <f aca="false">FALSE()</f>
        <v>0</v>
      </c>
    </row>
    <row r="43" customFormat="false" ht="15" hidden="false" customHeight="false" outlineLevel="0" collapsed="false">
      <c r="A43" s="4" t="s">
        <v>245</v>
      </c>
      <c r="B43" s="4" t="s">
        <v>101</v>
      </c>
      <c r="C43" s="4" t="s">
        <v>205</v>
      </c>
      <c r="D43" s="4" t="s">
        <v>206</v>
      </c>
      <c r="E43" s="4" t="n">
        <v>46245.7544328704</v>
      </c>
      <c r="F43" s="4" t="n">
        <v>50</v>
      </c>
      <c r="G43" s="4" t="n">
        <v>50</v>
      </c>
      <c r="H43" s="4" t="n">
        <v>49</v>
      </c>
      <c r="I43" s="4" t="n">
        <v>0</v>
      </c>
      <c r="J43" s="4" t="n">
        <v>1</v>
      </c>
      <c r="K43" s="4" t="n">
        <v>0</v>
      </c>
      <c r="L43" s="11" t="b">
        <f aca="false">FALSE()</f>
        <v>0</v>
      </c>
    </row>
    <row r="44" customFormat="false" ht="15" hidden="false" customHeight="false" outlineLevel="0" collapsed="false">
      <c r="A44" s="4" t="s">
        <v>246</v>
      </c>
      <c r="B44" s="4" t="s">
        <v>104</v>
      </c>
      <c r="C44" s="4" t="s">
        <v>205</v>
      </c>
      <c r="D44" s="4" t="s">
        <v>206</v>
      </c>
      <c r="E44" s="4" t="n">
        <v>46245.7567939815</v>
      </c>
      <c r="F44" s="4" t="n">
        <v>24</v>
      </c>
      <c r="G44" s="4" t="n">
        <v>24</v>
      </c>
      <c r="H44" s="4" t="n">
        <v>23</v>
      </c>
      <c r="I44" s="4" t="n">
        <v>1</v>
      </c>
      <c r="J44" s="4" t="n">
        <v>0</v>
      </c>
      <c r="K44" s="4" t="n">
        <v>0</v>
      </c>
      <c r="L44" s="11" t="b">
        <f aca="false">FALSE()</f>
        <v>0</v>
      </c>
    </row>
    <row r="45" customFormat="false" ht="15" hidden="false" customHeight="false" outlineLevel="0" collapsed="false">
      <c r="A45" s="4" t="s">
        <v>247</v>
      </c>
      <c r="B45" s="4" t="s">
        <v>102</v>
      </c>
      <c r="C45" s="4" t="s">
        <v>205</v>
      </c>
      <c r="D45" s="4" t="s">
        <v>206</v>
      </c>
      <c r="E45" s="4" t="n">
        <v>46245.7963888889</v>
      </c>
      <c r="F45" s="4" t="n">
        <v>29</v>
      </c>
      <c r="G45" s="4" t="n">
        <v>29</v>
      </c>
      <c r="H45" s="4" t="n">
        <v>29</v>
      </c>
      <c r="I45" s="4" t="n">
        <v>0</v>
      </c>
      <c r="J45" s="4" t="n">
        <v>0</v>
      </c>
      <c r="K45" s="4" t="n">
        <v>0</v>
      </c>
      <c r="L45" s="11" t="b">
        <f aca="false">FALSE()</f>
        <v>0</v>
      </c>
    </row>
    <row r="46" customFormat="false" ht="15" hidden="false" customHeight="false" outlineLevel="0" collapsed="false">
      <c r="A46" s="4" t="s">
        <v>248</v>
      </c>
      <c r="B46" s="4" t="s">
        <v>100</v>
      </c>
      <c r="C46" s="4" t="s">
        <v>205</v>
      </c>
      <c r="D46" s="4" t="s">
        <v>206</v>
      </c>
      <c r="E46" s="4" t="n">
        <v>46245.8370138889</v>
      </c>
      <c r="F46" s="4" t="n">
        <v>72</v>
      </c>
      <c r="G46" s="4" t="n">
        <v>72</v>
      </c>
      <c r="H46" s="4" t="n">
        <v>66</v>
      </c>
      <c r="I46" s="4" t="n">
        <v>3</v>
      </c>
      <c r="J46" s="4" t="n">
        <v>3</v>
      </c>
      <c r="K46" s="4" t="n">
        <v>0</v>
      </c>
      <c r="L46" s="11" t="b">
        <f aca="false">FALSE()</f>
        <v>0</v>
      </c>
    </row>
    <row r="47" customFormat="false" ht="15" hidden="false" customHeight="false" outlineLevel="0" collapsed="false">
      <c r="A47" s="4" t="s">
        <v>249</v>
      </c>
      <c r="B47" s="4" t="s">
        <v>103</v>
      </c>
      <c r="C47" s="4" t="s">
        <v>205</v>
      </c>
      <c r="D47" s="4" t="s">
        <v>206</v>
      </c>
      <c r="E47" s="4" t="n">
        <v>46245.8793981482</v>
      </c>
      <c r="F47" s="4" t="n">
        <v>25</v>
      </c>
      <c r="G47" s="4" t="n">
        <v>25</v>
      </c>
      <c r="H47" s="4" t="n">
        <v>21</v>
      </c>
      <c r="I47" s="4" t="n">
        <v>3</v>
      </c>
      <c r="J47" s="4" t="n">
        <v>1</v>
      </c>
      <c r="K47" s="4" t="n">
        <v>0</v>
      </c>
      <c r="L47" s="11" t="b">
        <f aca="false">FALSE()</f>
        <v>0</v>
      </c>
    </row>
    <row r="48" customFormat="false" ht="15" hidden="false" customHeight="false" outlineLevel="0" collapsed="false">
      <c r="A48" s="4" t="s">
        <v>250</v>
      </c>
      <c r="B48" s="4" t="s">
        <v>101</v>
      </c>
      <c r="C48" s="4" t="s">
        <v>205</v>
      </c>
      <c r="D48" s="4" t="s">
        <v>206</v>
      </c>
      <c r="E48" s="4" t="n">
        <v>46245.9197569444</v>
      </c>
      <c r="F48" s="4" t="n">
        <v>40</v>
      </c>
      <c r="G48" s="4" t="n">
        <v>40</v>
      </c>
      <c r="H48" s="4" t="n">
        <v>36</v>
      </c>
      <c r="I48" s="4" t="n">
        <v>3</v>
      </c>
      <c r="J48" s="4" t="n">
        <v>0</v>
      </c>
      <c r="K48" s="4" t="n">
        <v>1</v>
      </c>
      <c r="L48" s="11" t="b">
        <f aca="false">FALSE()</f>
        <v>0</v>
      </c>
    </row>
    <row r="49" customFormat="false" ht="15" hidden="false" customHeight="false" outlineLevel="0" collapsed="false">
      <c r="A49" s="4" t="s">
        <v>251</v>
      </c>
      <c r="B49" s="4" t="s">
        <v>100</v>
      </c>
      <c r="C49" s="4" t="s">
        <v>205</v>
      </c>
      <c r="D49" s="4" t="s">
        <v>206</v>
      </c>
      <c r="E49" s="4" t="n">
        <v>46246.0034375</v>
      </c>
      <c r="F49" s="4" t="n">
        <v>44</v>
      </c>
      <c r="G49" s="4" t="n">
        <v>44</v>
      </c>
      <c r="H49" s="4" t="n">
        <v>41</v>
      </c>
      <c r="I49" s="4" t="n">
        <v>1</v>
      </c>
      <c r="J49" s="4" t="n">
        <v>0</v>
      </c>
      <c r="K49" s="4" t="n">
        <v>2</v>
      </c>
      <c r="L49" s="11" t="b">
        <f aca="false">FALSE()</f>
        <v>0</v>
      </c>
    </row>
    <row r="50" customFormat="false" ht="15" hidden="false" customHeight="false" outlineLevel="0" collapsed="false">
      <c r="A50" s="4" t="s">
        <v>252</v>
      </c>
      <c r="B50" s="4" t="s">
        <v>102</v>
      </c>
      <c r="C50" s="4" t="s">
        <v>205</v>
      </c>
      <c r="D50" s="4" t="s">
        <v>206</v>
      </c>
      <c r="E50" s="4" t="n">
        <v>46246.046099537</v>
      </c>
      <c r="F50" s="4" t="n">
        <v>16</v>
      </c>
      <c r="G50" s="4" t="n">
        <v>16</v>
      </c>
      <c r="H50" s="4" t="n">
        <v>14</v>
      </c>
      <c r="I50" s="4" t="n">
        <v>2</v>
      </c>
      <c r="J50" s="4" t="n">
        <v>0</v>
      </c>
      <c r="K50" s="4" t="n">
        <v>0</v>
      </c>
      <c r="L50" s="11" t="b">
        <f aca="false">FALSE()</f>
        <v>0</v>
      </c>
    </row>
    <row r="51" customFormat="false" ht="15" hidden="false" customHeight="false" outlineLevel="0" collapsed="false">
      <c r="A51" s="4" t="s">
        <v>253</v>
      </c>
      <c r="B51" s="4" t="s">
        <v>101</v>
      </c>
      <c r="C51" s="4" t="s">
        <v>205</v>
      </c>
      <c r="D51" s="4" t="s">
        <v>206</v>
      </c>
      <c r="E51" s="4" t="n">
        <v>46246.0874652778</v>
      </c>
      <c r="F51" s="4" t="n">
        <v>19</v>
      </c>
      <c r="G51" s="4" t="n">
        <v>19</v>
      </c>
      <c r="H51" s="4" t="n">
        <v>16</v>
      </c>
      <c r="I51" s="4" t="n">
        <v>3</v>
      </c>
      <c r="J51" s="4" t="n">
        <v>0</v>
      </c>
      <c r="K51" s="4" t="n">
        <v>0</v>
      </c>
      <c r="L51" s="11" t="b">
        <f aca="false">FALSE()</f>
        <v>0</v>
      </c>
    </row>
    <row r="52" customFormat="false" ht="15" hidden="false" customHeight="false" outlineLevel="0" collapsed="false">
      <c r="A52" s="4" t="s">
        <v>254</v>
      </c>
      <c r="B52" s="4" t="s">
        <v>103</v>
      </c>
      <c r="C52" s="4" t="s">
        <v>205</v>
      </c>
      <c r="D52" s="4" t="s">
        <v>206</v>
      </c>
      <c r="E52" s="4" t="n">
        <v>46246.129375</v>
      </c>
      <c r="F52" s="4" t="n">
        <v>10</v>
      </c>
      <c r="G52" s="4" t="n">
        <v>10</v>
      </c>
      <c r="H52" s="4" t="n">
        <v>9</v>
      </c>
      <c r="I52" s="4" t="n">
        <v>1</v>
      </c>
      <c r="J52" s="4" t="n">
        <v>0</v>
      </c>
      <c r="K52" s="4" t="n">
        <v>0</v>
      </c>
      <c r="L52" s="11" t="b">
        <f aca="false">FALSE()</f>
        <v>0</v>
      </c>
    </row>
    <row r="53" customFormat="false" ht="15" hidden="false" customHeight="false" outlineLevel="0" collapsed="false">
      <c r="A53" s="4" t="s">
        <v>255</v>
      </c>
      <c r="B53" s="4" t="s">
        <v>100</v>
      </c>
      <c r="C53" s="4" t="s">
        <v>205</v>
      </c>
      <c r="D53" s="4" t="s">
        <v>206</v>
      </c>
      <c r="E53" s="4" t="n">
        <v>46246.1693402778</v>
      </c>
      <c r="F53" s="4" t="n">
        <v>18</v>
      </c>
      <c r="G53" s="4" t="n">
        <v>18</v>
      </c>
      <c r="H53" s="4" t="n">
        <v>16</v>
      </c>
      <c r="I53" s="4" t="n">
        <v>2</v>
      </c>
      <c r="J53" s="4" t="n">
        <v>0</v>
      </c>
      <c r="K53" s="4" t="n">
        <v>0</v>
      </c>
      <c r="L53" s="11" t="b">
        <f aca="false">FALSE()</f>
        <v>0</v>
      </c>
    </row>
    <row r="54" customFormat="false" ht="15" hidden="false" customHeight="false" outlineLevel="0" collapsed="false">
      <c r="A54" s="4" t="s">
        <v>256</v>
      </c>
      <c r="B54" s="4" t="s">
        <v>99</v>
      </c>
      <c r="C54" s="4" t="s">
        <v>205</v>
      </c>
      <c r="D54" s="4" t="s">
        <v>206</v>
      </c>
      <c r="E54" s="4" t="n">
        <v>46246.2145023148</v>
      </c>
      <c r="F54" s="4" t="n">
        <v>33</v>
      </c>
      <c r="G54" s="4" t="n">
        <v>33</v>
      </c>
      <c r="H54" s="4" t="n">
        <v>30</v>
      </c>
      <c r="I54" s="4" t="n">
        <v>3</v>
      </c>
      <c r="J54" s="4" t="n">
        <v>0</v>
      </c>
      <c r="K54" s="4" t="n">
        <v>0</v>
      </c>
      <c r="L54" s="11" t="b">
        <f aca="false">FALSE()</f>
        <v>0</v>
      </c>
    </row>
    <row r="55" customFormat="false" ht="15" hidden="false" customHeight="false" outlineLevel="0" collapsed="false">
      <c r="A55" s="4" t="s">
        <v>257</v>
      </c>
      <c r="B55" s="4" t="s">
        <v>101</v>
      </c>
      <c r="C55" s="4" t="s">
        <v>205</v>
      </c>
      <c r="D55" s="4" t="s">
        <v>206</v>
      </c>
      <c r="E55" s="4" t="n">
        <v>46246.2538888889</v>
      </c>
      <c r="F55" s="4" t="n">
        <v>12</v>
      </c>
      <c r="G55" s="4" t="n">
        <v>12</v>
      </c>
      <c r="H55" s="4" t="n">
        <v>9</v>
      </c>
      <c r="I55" s="4" t="n">
        <v>3</v>
      </c>
      <c r="J55" s="4" t="n">
        <v>0</v>
      </c>
      <c r="K55" s="4" t="n">
        <v>0</v>
      </c>
      <c r="L55" s="11" t="b">
        <f aca="false">FALSE()</f>
        <v>0</v>
      </c>
    </row>
    <row r="56" customFormat="false" ht="15" hidden="false" customHeight="false" outlineLevel="0" collapsed="false">
      <c r="A56" s="4" t="s">
        <v>258</v>
      </c>
      <c r="B56" s="4" t="s">
        <v>104</v>
      </c>
      <c r="C56" s="4" t="s">
        <v>205</v>
      </c>
      <c r="D56" s="4" t="s">
        <v>206</v>
      </c>
      <c r="E56" s="4" t="n">
        <v>46246.2562731481</v>
      </c>
      <c r="F56" s="4" t="n">
        <v>12</v>
      </c>
      <c r="G56" s="4" t="n">
        <v>12</v>
      </c>
      <c r="H56" s="4" t="n">
        <v>9</v>
      </c>
      <c r="I56" s="4" t="n">
        <v>1</v>
      </c>
      <c r="J56" s="4" t="n">
        <v>2</v>
      </c>
      <c r="K56" s="4" t="n">
        <v>0</v>
      </c>
      <c r="L56" s="11" t="b">
        <f aca="false">FALSE()</f>
        <v>0</v>
      </c>
    </row>
    <row r="57" customFormat="false" ht="15" hidden="false" customHeight="false" outlineLevel="0" collapsed="false">
      <c r="A57" s="4" t="s">
        <v>259</v>
      </c>
      <c r="B57" s="4" t="s">
        <v>102</v>
      </c>
      <c r="C57" s="4" t="s">
        <v>205</v>
      </c>
      <c r="D57" s="4" t="s">
        <v>206</v>
      </c>
      <c r="E57" s="4" t="n">
        <v>46246.2952430556</v>
      </c>
      <c r="F57" s="4" t="n">
        <v>9</v>
      </c>
      <c r="G57" s="4" t="n">
        <v>9</v>
      </c>
      <c r="H57" s="4" t="n">
        <v>6</v>
      </c>
      <c r="I57" s="4" t="n">
        <v>3</v>
      </c>
      <c r="J57" s="4" t="n">
        <v>0</v>
      </c>
      <c r="K57" s="4" t="n">
        <v>0</v>
      </c>
      <c r="L57" s="11" t="b">
        <f aca="false">FALSE()</f>
        <v>0</v>
      </c>
    </row>
    <row r="58" customFormat="false" ht="15" hidden="false" customHeight="false" outlineLevel="0" collapsed="false">
      <c r="A58" s="4" t="s">
        <v>260</v>
      </c>
      <c r="B58" s="4" t="s">
        <v>100</v>
      </c>
      <c r="C58" s="4" t="s">
        <v>205</v>
      </c>
      <c r="D58" s="4" t="s">
        <v>206</v>
      </c>
      <c r="E58" s="4" t="n">
        <v>46246.3362037037</v>
      </c>
      <c r="F58" s="4" t="n">
        <v>36</v>
      </c>
      <c r="G58" s="4" t="n">
        <v>36</v>
      </c>
      <c r="H58" s="4" t="n">
        <v>32</v>
      </c>
      <c r="I58" s="4" t="n">
        <v>1</v>
      </c>
      <c r="J58" s="4" t="n">
        <v>2</v>
      </c>
      <c r="K58" s="4" t="n">
        <v>1</v>
      </c>
      <c r="L58" s="11" t="b">
        <f aca="false">FALSE()</f>
        <v>0</v>
      </c>
    </row>
    <row r="59" customFormat="false" ht="15" hidden="false" customHeight="false" outlineLevel="0" collapsed="false">
      <c r="A59" s="4" t="s">
        <v>261</v>
      </c>
      <c r="B59" s="4" t="s">
        <v>103</v>
      </c>
      <c r="C59" s="4" t="s">
        <v>205</v>
      </c>
      <c r="D59" s="4" t="s">
        <v>206</v>
      </c>
      <c r="E59" s="4" t="n">
        <v>46246.38</v>
      </c>
      <c r="F59" s="4" t="n">
        <v>13</v>
      </c>
      <c r="G59" s="4" t="n">
        <v>13</v>
      </c>
      <c r="H59" s="4" t="n">
        <v>13</v>
      </c>
      <c r="I59" s="4" t="n">
        <v>0</v>
      </c>
      <c r="J59" s="4" t="n">
        <v>0</v>
      </c>
      <c r="K59" s="4" t="n">
        <v>0</v>
      </c>
      <c r="L59" s="11" t="b">
        <f aca="false">FALSE()</f>
        <v>0</v>
      </c>
    </row>
    <row r="60" customFormat="false" ht="15" hidden="false" customHeight="false" outlineLevel="0" collapsed="false">
      <c r="A60" s="4" t="s">
        <v>262</v>
      </c>
      <c r="B60" s="4" t="s">
        <v>101</v>
      </c>
      <c r="C60" s="4" t="s">
        <v>205</v>
      </c>
      <c r="D60" s="4" t="s">
        <v>206</v>
      </c>
      <c r="E60" s="4" t="n">
        <v>46246.4205671296</v>
      </c>
      <c r="F60" s="4" t="n">
        <v>32</v>
      </c>
      <c r="G60" s="4" t="n">
        <v>32</v>
      </c>
      <c r="H60" s="4" t="n">
        <v>32</v>
      </c>
      <c r="I60" s="4" t="n">
        <v>0</v>
      </c>
      <c r="J60" s="4" t="n">
        <v>0</v>
      </c>
      <c r="K60" s="4" t="n">
        <v>0</v>
      </c>
      <c r="L60" s="11" t="b">
        <f aca="false">FALSE()</f>
        <v>0</v>
      </c>
    </row>
    <row r="61" customFormat="false" ht="15" hidden="false" customHeight="false" outlineLevel="0" collapsed="false">
      <c r="A61" s="4" t="s">
        <v>263</v>
      </c>
      <c r="B61" s="4" t="s">
        <v>100</v>
      </c>
      <c r="C61" s="4" t="s">
        <v>205</v>
      </c>
      <c r="D61" s="4" t="s">
        <v>206</v>
      </c>
      <c r="E61" s="4" t="n">
        <v>46246.5026851852</v>
      </c>
      <c r="F61" s="4" t="n">
        <v>71</v>
      </c>
      <c r="G61" s="4" t="n">
        <v>71</v>
      </c>
      <c r="H61" s="4" t="n">
        <v>69</v>
      </c>
      <c r="I61" s="4" t="n">
        <v>1</v>
      </c>
      <c r="J61" s="4" t="n">
        <v>1</v>
      </c>
      <c r="K61" s="4" t="n">
        <v>0</v>
      </c>
      <c r="L61" s="11" t="b">
        <f aca="false">FALSE()</f>
        <v>0</v>
      </c>
    </row>
    <row r="62" customFormat="false" ht="15" hidden="false" customHeight="false" outlineLevel="0" collapsed="false">
      <c r="A62" s="4" t="s">
        <v>264</v>
      </c>
      <c r="B62" s="4" t="s">
        <v>102</v>
      </c>
      <c r="C62" s="4" t="s">
        <v>205</v>
      </c>
      <c r="D62" s="4" t="s">
        <v>206</v>
      </c>
      <c r="E62" s="4" t="n">
        <v>46246.5467824074</v>
      </c>
      <c r="F62" s="4" t="n">
        <v>33</v>
      </c>
      <c r="G62" s="4" t="n">
        <v>33</v>
      </c>
      <c r="H62" s="4" t="n">
        <v>30</v>
      </c>
      <c r="I62" s="4" t="n">
        <v>3</v>
      </c>
      <c r="J62" s="4" t="n">
        <v>0</v>
      </c>
      <c r="K62" s="4" t="n">
        <v>0</v>
      </c>
      <c r="L62" s="11" t="b">
        <f aca="false">FALSE()</f>
        <v>0</v>
      </c>
    </row>
    <row r="63" customFormat="false" ht="15" hidden="false" customHeight="false" outlineLevel="0" collapsed="false">
      <c r="A63" s="4" t="s">
        <v>265</v>
      </c>
      <c r="B63" s="4" t="s">
        <v>101</v>
      </c>
      <c r="C63" s="4" t="s">
        <v>205</v>
      </c>
      <c r="D63" s="4" t="s">
        <v>206</v>
      </c>
      <c r="E63" s="4" t="n">
        <v>46246.5877199074</v>
      </c>
      <c r="F63" s="4" t="n">
        <v>48</v>
      </c>
      <c r="G63" s="4" t="n">
        <v>48</v>
      </c>
      <c r="H63" s="4" t="n">
        <v>48</v>
      </c>
      <c r="I63" s="4" t="n">
        <v>0</v>
      </c>
      <c r="J63" s="4" t="n">
        <v>0</v>
      </c>
      <c r="K63" s="4" t="n">
        <v>0</v>
      </c>
      <c r="L63" s="11" t="b">
        <f aca="false">FALSE()</f>
        <v>0</v>
      </c>
    </row>
    <row r="64" customFormat="false" ht="15" hidden="false" customHeight="false" outlineLevel="0" collapsed="false">
      <c r="A64" s="4" t="s">
        <v>266</v>
      </c>
      <c r="B64" s="4" t="s">
        <v>103</v>
      </c>
      <c r="C64" s="4" t="s">
        <v>205</v>
      </c>
      <c r="D64" s="4" t="s">
        <v>206</v>
      </c>
      <c r="E64" s="4" t="n">
        <v>46246.631400463</v>
      </c>
      <c r="F64" s="4" t="n">
        <v>27</v>
      </c>
      <c r="G64" s="4" t="n">
        <v>27</v>
      </c>
      <c r="H64" s="4" t="n">
        <v>25</v>
      </c>
      <c r="I64" s="4" t="n">
        <v>2</v>
      </c>
      <c r="J64" s="4" t="n">
        <v>0</v>
      </c>
      <c r="K64" s="4" t="n">
        <v>0</v>
      </c>
      <c r="L64" s="11" t="b">
        <f aca="false">TRUE()</f>
        <v>1</v>
      </c>
    </row>
    <row r="65" customFormat="false" ht="15" hidden="false" customHeight="false" outlineLevel="0" collapsed="false">
      <c r="A65" s="4" t="s">
        <v>267</v>
      </c>
      <c r="B65" s="4" t="s">
        <v>100</v>
      </c>
      <c r="C65" s="4" t="s">
        <v>205</v>
      </c>
      <c r="D65" s="4" t="s">
        <v>206</v>
      </c>
      <c r="E65" s="4" t="n">
        <v>46246.668912037</v>
      </c>
      <c r="F65" s="4" t="n">
        <v>85</v>
      </c>
      <c r="G65" s="4" t="n">
        <v>85</v>
      </c>
      <c r="H65" s="4" t="n">
        <v>84</v>
      </c>
      <c r="I65" s="4" t="n">
        <v>1</v>
      </c>
      <c r="J65" s="4" t="n">
        <v>0</v>
      </c>
      <c r="K65" s="4" t="n">
        <v>0</v>
      </c>
      <c r="L65" s="11" t="b">
        <f aca="false">FALSE()</f>
        <v>0</v>
      </c>
    </row>
    <row r="66" customFormat="false" ht="15" hidden="false" customHeight="false" outlineLevel="0" collapsed="false">
      <c r="A66" s="4" t="s">
        <v>268</v>
      </c>
      <c r="B66" s="4" t="s">
        <v>101</v>
      </c>
      <c r="C66" s="4" t="s">
        <v>205</v>
      </c>
      <c r="D66" s="4" t="s">
        <v>206</v>
      </c>
      <c r="E66" s="4" t="n">
        <v>46246.7541435185</v>
      </c>
      <c r="F66" s="4" t="n">
        <v>48</v>
      </c>
      <c r="G66" s="4" t="n">
        <v>48</v>
      </c>
      <c r="H66" s="4" t="n">
        <v>43</v>
      </c>
      <c r="I66" s="4" t="n">
        <v>3</v>
      </c>
      <c r="J66" s="4" t="n">
        <v>2</v>
      </c>
      <c r="K66" s="4" t="n">
        <v>0</v>
      </c>
      <c r="L66" s="11" t="b">
        <f aca="false">FALSE()</f>
        <v>0</v>
      </c>
    </row>
    <row r="67" customFormat="false" ht="15" hidden="false" customHeight="false" outlineLevel="0" collapsed="false">
      <c r="A67" s="4" t="s">
        <v>269</v>
      </c>
      <c r="B67" s="4" t="s">
        <v>104</v>
      </c>
      <c r="C67" s="4" t="s">
        <v>205</v>
      </c>
      <c r="D67" s="4" t="s">
        <v>206</v>
      </c>
      <c r="E67" s="4" t="n">
        <v>46246.7565162037</v>
      </c>
      <c r="F67" s="4" t="n">
        <v>25</v>
      </c>
      <c r="G67" s="4" t="n">
        <v>25</v>
      </c>
      <c r="H67" s="4" t="n">
        <v>21</v>
      </c>
      <c r="I67" s="4" t="n">
        <v>3</v>
      </c>
      <c r="J67" s="4" t="n">
        <v>1</v>
      </c>
      <c r="K67" s="4" t="n">
        <v>0</v>
      </c>
      <c r="L67" s="11" t="b">
        <f aca="false">FALSE()</f>
        <v>0</v>
      </c>
    </row>
    <row r="68" customFormat="false" ht="15" hidden="false" customHeight="false" outlineLevel="0" collapsed="false">
      <c r="A68" s="4" t="s">
        <v>270</v>
      </c>
      <c r="B68" s="4" t="s">
        <v>102</v>
      </c>
      <c r="C68" s="4" t="s">
        <v>205</v>
      </c>
      <c r="D68" s="4" t="s">
        <v>206</v>
      </c>
      <c r="E68" s="4" t="n">
        <v>46246.7958912037</v>
      </c>
      <c r="F68" s="4" t="n">
        <v>26</v>
      </c>
      <c r="G68" s="4" t="n">
        <v>26</v>
      </c>
      <c r="H68" s="4" t="n">
        <v>24</v>
      </c>
      <c r="I68" s="4" t="n">
        <v>2</v>
      </c>
      <c r="J68" s="4" t="n">
        <v>0</v>
      </c>
      <c r="K68" s="4" t="n">
        <v>0</v>
      </c>
      <c r="L68" s="11" t="b">
        <f aca="false">FALSE()</f>
        <v>0</v>
      </c>
    </row>
    <row r="69" customFormat="false" ht="15" hidden="false" customHeight="false" outlineLevel="0" collapsed="false">
      <c r="A69" s="4" t="s">
        <v>271</v>
      </c>
      <c r="B69" s="4" t="s">
        <v>100</v>
      </c>
      <c r="C69" s="4" t="s">
        <v>205</v>
      </c>
      <c r="D69" s="4" t="s">
        <v>206</v>
      </c>
      <c r="E69" s="4" t="n">
        <v>46246.8364236111</v>
      </c>
      <c r="F69" s="4" t="n">
        <v>75</v>
      </c>
      <c r="G69" s="4" t="n">
        <v>75</v>
      </c>
      <c r="H69" s="4" t="n">
        <v>71</v>
      </c>
      <c r="I69" s="4" t="n">
        <v>3</v>
      </c>
      <c r="J69" s="4" t="n">
        <v>1</v>
      </c>
      <c r="K69" s="4" t="n">
        <v>0</v>
      </c>
      <c r="L69" s="11" t="b">
        <f aca="false">FALSE()</f>
        <v>0</v>
      </c>
    </row>
    <row r="70" customFormat="false" ht="15" hidden="false" customHeight="false" outlineLevel="0" collapsed="false">
      <c r="A70" s="4" t="s">
        <v>272</v>
      </c>
      <c r="B70" s="4" t="s">
        <v>103</v>
      </c>
      <c r="C70" s="4" t="s">
        <v>205</v>
      </c>
      <c r="D70" s="4" t="s">
        <v>206</v>
      </c>
      <c r="E70" s="4" t="n">
        <v>46246.8801041667</v>
      </c>
      <c r="F70" s="4" t="n">
        <v>24</v>
      </c>
      <c r="G70" s="4" t="n">
        <v>24</v>
      </c>
      <c r="H70" s="4" t="n">
        <v>23</v>
      </c>
      <c r="I70" s="4" t="n">
        <v>1</v>
      </c>
      <c r="J70" s="4" t="n">
        <v>0</v>
      </c>
      <c r="K70" s="4" t="n">
        <v>0</v>
      </c>
      <c r="L70" s="11" t="b">
        <f aca="false">FALSE()</f>
        <v>0</v>
      </c>
    </row>
    <row r="71" customFormat="false" ht="15" hidden="false" customHeight="false" outlineLevel="0" collapsed="false">
      <c r="A71" s="4" t="s">
        <v>273</v>
      </c>
      <c r="B71" s="4" t="s">
        <v>101</v>
      </c>
      <c r="C71" s="4" t="s">
        <v>205</v>
      </c>
      <c r="D71" s="4" t="s">
        <v>206</v>
      </c>
      <c r="E71" s="4" t="n">
        <v>46246.9208333333</v>
      </c>
      <c r="F71" s="4" t="n">
        <v>39</v>
      </c>
      <c r="G71" s="4" t="n">
        <v>39</v>
      </c>
      <c r="H71" s="4" t="n">
        <v>36</v>
      </c>
      <c r="I71" s="4" t="n">
        <v>3</v>
      </c>
      <c r="J71" s="4" t="n">
        <v>0</v>
      </c>
      <c r="K71" s="4" t="n">
        <v>0</v>
      </c>
      <c r="L71" s="11" t="b">
        <f aca="false">FALSE()</f>
        <v>0</v>
      </c>
    </row>
    <row r="72" customFormat="false" ht="15" hidden="false" customHeight="false" outlineLevel="0" collapsed="false">
      <c r="A72" s="4" t="s">
        <v>274</v>
      </c>
      <c r="B72" s="4" t="s">
        <v>100</v>
      </c>
      <c r="C72" s="4" t="s">
        <v>205</v>
      </c>
      <c r="D72" s="4" t="s">
        <v>206</v>
      </c>
      <c r="E72" s="4" t="n">
        <v>46247.003587963</v>
      </c>
      <c r="F72" s="4" t="n">
        <v>42</v>
      </c>
      <c r="G72" s="4" t="n">
        <v>42</v>
      </c>
      <c r="H72" s="4" t="n">
        <v>41</v>
      </c>
      <c r="I72" s="4" t="n">
        <v>1</v>
      </c>
      <c r="J72" s="4" t="n">
        <v>0</v>
      </c>
      <c r="K72" s="4" t="n">
        <v>0</v>
      </c>
      <c r="L72" s="11" t="b">
        <f aca="false">FALSE()</f>
        <v>0</v>
      </c>
    </row>
    <row r="73" customFormat="false" ht="15" hidden="false" customHeight="false" outlineLevel="0" collapsed="false">
      <c r="A73" s="4" t="s">
        <v>275</v>
      </c>
      <c r="B73" s="4" t="s">
        <v>102</v>
      </c>
      <c r="C73" s="4" t="s">
        <v>205</v>
      </c>
      <c r="D73" s="4" t="s">
        <v>206</v>
      </c>
      <c r="E73" s="4" t="n">
        <v>46247.045775463</v>
      </c>
      <c r="F73" s="4" t="n">
        <v>17</v>
      </c>
      <c r="G73" s="4" t="n">
        <v>17</v>
      </c>
      <c r="H73" s="4" t="n">
        <v>15</v>
      </c>
      <c r="I73" s="4" t="n">
        <v>2</v>
      </c>
      <c r="J73" s="4" t="n">
        <v>0</v>
      </c>
      <c r="K73" s="4" t="n">
        <v>0</v>
      </c>
      <c r="L73" s="11" t="b">
        <f aca="false">FALSE()</f>
        <v>0</v>
      </c>
    </row>
    <row r="74" customFormat="false" ht="15" hidden="false" customHeight="false" outlineLevel="0" collapsed="false">
      <c r="A74" s="4" t="s">
        <v>276</v>
      </c>
      <c r="B74" s="4" t="s">
        <v>101</v>
      </c>
      <c r="C74" s="4" t="s">
        <v>205</v>
      </c>
      <c r="D74" s="4" t="s">
        <v>206</v>
      </c>
      <c r="E74" s="4" t="n">
        <v>46247.0861226852</v>
      </c>
      <c r="F74" s="4" t="n">
        <v>14</v>
      </c>
      <c r="G74" s="4" t="n">
        <v>14</v>
      </c>
      <c r="H74" s="4" t="n">
        <v>13</v>
      </c>
      <c r="I74" s="4" t="n">
        <v>0</v>
      </c>
      <c r="J74" s="4" t="n">
        <v>1</v>
      </c>
      <c r="K74" s="4" t="n">
        <v>0</v>
      </c>
      <c r="L74" s="11" t="b">
        <f aca="false">FALSE()</f>
        <v>0</v>
      </c>
    </row>
    <row r="75" customFormat="false" ht="15" hidden="false" customHeight="false" outlineLevel="0" collapsed="false">
      <c r="A75" s="4" t="s">
        <v>277</v>
      </c>
      <c r="B75" s="4" t="s">
        <v>103</v>
      </c>
      <c r="C75" s="4" t="s">
        <v>205</v>
      </c>
      <c r="D75" s="4" t="s">
        <v>206</v>
      </c>
      <c r="E75" s="4" t="n">
        <v>46247.1300925926</v>
      </c>
      <c r="F75" s="4" t="n">
        <v>10</v>
      </c>
      <c r="G75" s="4" t="n">
        <v>10</v>
      </c>
      <c r="H75" s="4" t="n">
        <v>10</v>
      </c>
      <c r="I75" s="4" t="n">
        <v>0</v>
      </c>
      <c r="J75" s="4" t="n">
        <v>0</v>
      </c>
      <c r="K75" s="4" t="n">
        <v>0</v>
      </c>
      <c r="L75" s="11" t="b">
        <f aca="false">TRUE()</f>
        <v>1</v>
      </c>
    </row>
    <row r="76" customFormat="false" ht="15" hidden="false" customHeight="false" outlineLevel="0" collapsed="false">
      <c r="A76" s="4" t="s">
        <v>278</v>
      </c>
      <c r="B76" s="4" t="s">
        <v>100</v>
      </c>
      <c r="C76" s="4" t="s">
        <v>205</v>
      </c>
      <c r="D76" s="4" t="s">
        <v>206</v>
      </c>
      <c r="E76" s="4" t="n">
        <v>46247.17</v>
      </c>
      <c r="F76" s="4" t="n">
        <v>15</v>
      </c>
      <c r="G76" s="4" t="n">
        <v>15</v>
      </c>
      <c r="H76" s="4" t="n">
        <v>13</v>
      </c>
      <c r="I76" s="4" t="n">
        <v>2</v>
      </c>
      <c r="J76" s="4" t="n">
        <v>0</v>
      </c>
      <c r="K76" s="4" t="n">
        <v>0</v>
      </c>
      <c r="L76" s="11" t="b">
        <f aca="false">FALSE()</f>
        <v>0</v>
      </c>
    </row>
    <row r="77" customFormat="false" ht="15" hidden="false" customHeight="false" outlineLevel="0" collapsed="false">
      <c r="A77" s="4" t="s">
        <v>279</v>
      </c>
      <c r="B77" s="4" t="s">
        <v>99</v>
      </c>
      <c r="C77" s="4" t="s">
        <v>205</v>
      </c>
      <c r="D77" s="4" t="s">
        <v>206</v>
      </c>
      <c r="E77" s="4" t="n">
        <v>46247.213900463</v>
      </c>
      <c r="F77" s="4" t="n">
        <v>36</v>
      </c>
      <c r="G77" s="4" t="n">
        <v>36</v>
      </c>
      <c r="H77" s="4" t="n">
        <v>34</v>
      </c>
      <c r="I77" s="4" t="n">
        <v>2</v>
      </c>
      <c r="J77" s="4" t="n">
        <v>0</v>
      </c>
      <c r="K77" s="4" t="n">
        <v>0</v>
      </c>
      <c r="L77" s="11" t="b">
        <f aca="false">FALSE()</f>
        <v>0</v>
      </c>
    </row>
    <row r="78" customFormat="false" ht="15" hidden="false" customHeight="false" outlineLevel="0" collapsed="false">
      <c r="A78" s="4" t="s">
        <v>280</v>
      </c>
      <c r="B78" s="4" t="s">
        <v>101</v>
      </c>
      <c r="C78" s="4" t="s">
        <v>205</v>
      </c>
      <c r="D78" s="4" t="s">
        <v>206</v>
      </c>
      <c r="E78" s="4" t="n">
        <v>46247.2534143519</v>
      </c>
      <c r="F78" s="4" t="n">
        <v>10</v>
      </c>
      <c r="G78" s="4" t="n">
        <v>10</v>
      </c>
      <c r="H78" s="4" t="n">
        <v>8</v>
      </c>
      <c r="I78" s="4" t="n">
        <v>2</v>
      </c>
      <c r="J78" s="4" t="n">
        <v>0</v>
      </c>
      <c r="K78" s="4" t="n">
        <v>0</v>
      </c>
      <c r="L78" s="11" t="b">
        <f aca="false">FALSE()</f>
        <v>0</v>
      </c>
    </row>
    <row r="79" customFormat="false" ht="15" hidden="false" customHeight="false" outlineLevel="0" collapsed="false">
      <c r="A79" s="4" t="s">
        <v>281</v>
      </c>
      <c r="B79" s="4" t="s">
        <v>104</v>
      </c>
      <c r="C79" s="4" t="s">
        <v>205</v>
      </c>
      <c r="D79" s="4" t="s">
        <v>206</v>
      </c>
      <c r="E79" s="4" t="n">
        <v>46247.2557060185</v>
      </c>
      <c r="F79" s="4" t="n">
        <v>8</v>
      </c>
      <c r="G79" s="4" t="n">
        <v>8</v>
      </c>
      <c r="H79" s="4" t="n">
        <v>7</v>
      </c>
      <c r="I79" s="4" t="n">
        <v>1</v>
      </c>
      <c r="J79" s="4" t="n">
        <v>0</v>
      </c>
      <c r="K79" s="4" t="n">
        <v>0</v>
      </c>
      <c r="L79" s="11" t="b">
        <f aca="false">FALSE()</f>
        <v>0</v>
      </c>
    </row>
    <row r="80" customFormat="false" ht="15" hidden="false" customHeight="false" outlineLevel="0" collapsed="false">
      <c r="A80" s="4" t="s">
        <v>282</v>
      </c>
      <c r="B80" s="4" t="s">
        <v>102</v>
      </c>
      <c r="C80" s="4" t="s">
        <v>205</v>
      </c>
      <c r="D80" s="4" t="s">
        <v>206</v>
      </c>
      <c r="E80" s="4" t="n">
        <v>46247.2963078704</v>
      </c>
      <c r="F80" s="4" t="n">
        <v>9</v>
      </c>
      <c r="G80" s="4" t="n">
        <v>9</v>
      </c>
      <c r="H80" s="4" t="n">
        <v>6</v>
      </c>
      <c r="I80" s="4" t="n">
        <v>3</v>
      </c>
      <c r="J80" s="4" t="n">
        <v>0</v>
      </c>
      <c r="K80" s="4" t="n">
        <v>0</v>
      </c>
      <c r="L80" s="11" t="b">
        <f aca="false">FALSE()</f>
        <v>0</v>
      </c>
    </row>
    <row r="81" customFormat="false" ht="15" hidden="false" customHeight="false" outlineLevel="0" collapsed="false">
      <c r="A81" s="4" t="s">
        <v>283</v>
      </c>
      <c r="B81" s="4" t="s">
        <v>100</v>
      </c>
      <c r="C81" s="4" t="s">
        <v>205</v>
      </c>
      <c r="D81" s="4" t="s">
        <v>206</v>
      </c>
      <c r="E81" s="4" t="n">
        <v>46247.3364699074</v>
      </c>
      <c r="F81" s="4" t="n">
        <v>33</v>
      </c>
      <c r="G81" s="4" t="n">
        <v>33</v>
      </c>
      <c r="H81" s="4" t="n">
        <v>30</v>
      </c>
      <c r="I81" s="4" t="n">
        <v>2</v>
      </c>
      <c r="J81" s="4" t="n">
        <v>1</v>
      </c>
      <c r="K81" s="4" t="n">
        <v>0</v>
      </c>
      <c r="L81" s="11" t="b">
        <f aca="false">FALSE()</f>
        <v>0</v>
      </c>
    </row>
    <row r="82" customFormat="false" ht="15" hidden="false" customHeight="false" outlineLevel="0" collapsed="false">
      <c r="A82" s="4" t="s">
        <v>284</v>
      </c>
      <c r="B82" s="4" t="s">
        <v>103</v>
      </c>
      <c r="C82" s="4" t="s">
        <v>205</v>
      </c>
      <c r="D82" s="4" t="s">
        <v>206</v>
      </c>
      <c r="E82" s="4" t="n">
        <v>46247.3804861111</v>
      </c>
      <c r="F82" s="4" t="n">
        <v>15</v>
      </c>
      <c r="G82" s="4" t="n">
        <v>15</v>
      </c>
      <c r="H82" s="4" t="n">
        <v>14</v>
      </c>
      <c r="I82" s="4" t="n">
        <v>1</v>
      </c>
      <c r="J82" s="4" t="n">
        <v>0</v>
      </c>
      <c r="K82" s="4" t="n">
        <v>0</v>
      </c>
      <c r="L82" s="11" t="b">
        <f aca="false">FALSE()</f>
        <v>0</v>
      </c>
    </row>
    <row r="83" customFormat="false" ht="15" hidden="false" customHeight="false" outlineLevel="0" collapsed="false">
      <c r="A83" s="4" t="s">
        <v>285</v>
      </c>
      <c r="B83" s="4" t="s">
        <v>101</v>
      </c>
      <c r="C83" s="4" t="s">
        <v>205</v>
      </c>
      <c r="D83" s="4" t="s">
        <v>206</v>
      </c>
      <c r="E83" s="4" t="n">
        <v>46247.4198726852</v>
      </c>
      <c r="F83" s="4" t="n">
        <v>36</v>
      </c>
      <c r="G83" s="4" t="n">
        <v>36</v>
      </c>
      <c r="H83" s="4" t="n">
        <v>35</v>
      </c>
      <c r="I83" s="4" t="n">
        <v>1</v>
      </c>
      <c r="J83" s="4" t="n">
        <v>0</v>
      </c>
      <c r="K83" s="4" t="n">
        <v>0</v>
      </c>
      <c r="L83" s="11" t="b">
        <f aca="false">FALSE()</f>
        <v>0</v>
      </c>
    </row>
    <row r="84" customFormat="false" ht="15" hidden="false" customHeight="false" outlineLevel="0" collapsed="false">
      <c r="A84" s="4" t="s">
        <v>286</v>
      </c>
      <c r="B84" s="4" t="s">
        <v>100</v>
      </c>
      <c r="C84" s="4" t="s">
        <v>205</v>
      </c>
      <c r="D84" s="4" t="s">
        <v>206</v>
      </c>
      <c r="E84" s="4" t="n">
        <v>46247.502349537</v>
      </c>
      <c r="F84" s="4" t="n">
        <v>73</v>
      </c>
      <c r="G84" s="4" t="n">
        <v>73</v>
      </c>
      <c r="H84" s="4" t="n">
        <v>69</v>
      </c>
      <c r="I84" s="4" t="n">
        <v>2</v>
      </c>
      <c r="J84" s="4" t="n">
        <v>2</v>
      </c>
      <c r="K84" s="4" t="n">
        <v>0</v>
      </c>
      <c r="L84" s="11" t="b">
        <f aca="false">FALSE()</f>
        <v>0</v>
      </c>
    </row>
    <row r="85" customFormat="false" ht="15" hidden="false" customHeight="false" outlineLevel="0" collapsed="false">
      <c r="A85" s="4" t="s">
        <v>287</v>
      </c>
      <c r="B85" s="4" t="s">
        <v>102</v>
      </c>
      <c r="C85" s="4" t="s">
        <v>205</v>
      </c>
      <c r="D85" s="4" t="s">
        <v>206</v>
      </c>
      <c r="E85" s="4" t="n">
        <v>46247.5459953704</v>
      </c>
      <c r="F85" s="4" t="n">
        <v>32</v>
      </c>
      <c r="G85" s="4" t="n">
        <v>32</v>
      </c>
      <c r="H85" s="4" t="n">
        <v>30</v>
      </c>
      <c r="I85" s="4" t="n">
        <v>2</v>
      </c>
      <c r="J85" s="4" t="n">
        <v>0</v>
      </c>
      <c r="K85" s="4" t="n">
        <v>0</v>
      </c>
      <c r="L85" s="11" t="b">
        <f aca="false">FALSE()</f>
        <v>0</v>
      </c>
    </row>
    <row r="86" customFormat="false" ht="15" hidden="false" customHeight="false" outlineLevel="0" collapsed="false">
      <c r="A86" s="4" t="s">
        <v>288</v>
      </c>
      <c r="B86" s="4" t="s">
        <v>101</v>
      </c>
      <c r="C86" s="4" t="s">
        <v>205</v>
      </c>
      <c r="D86" s="4" t="s">
        <v>206</v>
      </c>
      <c r="E86" s="4" t="n">
        <v>46247.5877777778</v>
      </c>
      <c r="F86" s="4" t="n">
        <v>53</v>
      </c>
      <c r="G86" s="4" t="n">
        <v>53</v>
      </c>
      <c r="H86" s="4" t="n">
        <v>50</v>
      </c>
      <c r="I86" s="4" t="n">
        <v>3</v>
      </c>
      <c r="J86" s="4" t="n">
        <v>0</v>
      </c>
      <c r="K86" s="4" t="n">
        <v>0</v>
      </c>
      <c r="L86" s="11" t="b">
        <f aca="false">FALSE()</f>
        <v>0</v>
      </c>
    </row>
    <row r="87" customFormat="false" ht="15" hidden="false" customHeight="false" outlineLevel="0" collapsed="false">
      <c r="A87" s="4" t="s">
        <v>289</v>
      </c>
      <c r="B87" s="4" t="s">
        <v>103</v>
      </c>
      <c r="C87" s="4" t="s">
        <v>205</v>
      </c>
      <c r="D87" s="4" t="s">
        <v>206</v>
      </c>
      <c r="E87" s="4" t="n">
        <v>46247.6293287037</v>
      </c>
      <c r="F87" s="4" t="n">
        <v>36</v>
      </c>
      <c r="G87" s="4" t="n">
        <v>36</v>
      </c>
      <c r="H87" s="4" t="n">
        <v>33</v>
      </c>
      <c r="I87" s="4" t="n">
        <v>3</v>
      </c>
      <c r="J87" s="4" t="n">
        <v>0</v>
      </c>
      <c r="K87" s="4" t="n">
        <v>0</v>
      </c>
      <c r="L87" s="11" t="b">
        <f aca="false">FALSE()</f>
        <v>0</v>
      </c>
    </row>
    <row r="88" customFormat="false" ht="15" hidden="false" customHeight="false" outlineLevel="0" collapsed="false">
      <c r="A88" s="4" t="s">
        <v>290</v>
      </c>
      <c r="B88" s="4" t="s">
        <v>100</v>
      </c>
      <c r="C88" s="4" t="s">
        <v>205</v>
      </c>
      <c r="D88" s="4" t="s">
        <v>206</v>
      </c>
      <c r="E88" s="4" t="n">
        <v>46247.6696064815</v>
      </c>
      <c r="F88" s="4" t="n">
        <v>83</v>
      </c>
      <c r="G88" s="4" t="n">
        <v>83</v>
      </c>
      <c r="H88" s="4" t="n">
        <v>79</v>
      </c>
      <c r="I88" s="4" t="n">
        <v>3</v>
      </c>
      <c r="J88" s="4" t="n">
        <v>1</v>
      </c>
      <c r="K88" s="4" t="n">
        <v>0</v>
      </c>
      <c r="L88" s="11" t="b">
        <f aca="false">FALSE()</f>
        <v>0</v>
      </c>
    </row>
    <row r="89" customFormat="false" ht="15" hidden="false" customHeight="false" outlineLevel="0" collapsed="false">
      <c r="A89" s="4" t="s">
        <v>291</v>
      </c>
      <c r="B89" s="4" t="s">
        <v>101</v>
      </c>
      <c r="C89" s="4" t="s">
        <v>205</v>
      </c>
      <c r="D89" s="4" t="s">
        <v>206</v>
      </c>
      <c r="E89" s="4" t="n">
        <v>46247.7541782407</v>
      </c>
      <c r="F89" s="4" t="n">
        <v>49</v>
      </c>
      <c r="G89" s="4" t="n">
        <v>49</v>
      </c>
      <c r="H89" s="4" t="n">
        <v>47</v>
      </c>
      <c r="I89" s="4" t="n">
        <v>2</v>
      </c>
      <c r="J89" s="4" t="n">
        <v>0</v>
      </c>
      <c r="K89" s="4" t="n">
        <v>0</v>
      </c>
      <c r="L89" s="11" t="b">
        <f aca="false">FALSE()</f>
        <v>0</v>
      </c>
    </row>
    <row r="90" customFormat="false" ht="15" hidden="false" customHeight="false" outlineLevel="0" collapsed="false">
      <c r="A90" s="4" t="s">
        <v>292</v>
      </c>
      <c r="B90" s="4" t="s">
        <v>104</v>
      </c>
      <c r="C90" s="4" t="s">
        <v>205</v>
      </c>
      <c r="D90" s="4" t="s">
        <v>206</v>
      </c>
      <c r="E90" s="4" t="n">
        <v>46247.7558333333</v>
      </c>
      <c r="F90" s="4" t="n">
        <v>2</v>
      </c>
      <c r="G90" s="4" t="n">
        <v>2</v>
      </c>
      <c r="H90" s="4" t="n">
        <v>1</v>
      </c>
      <c r="I90" s="4" t="n">
        <v>1</v>
      </c>
      <c r="J90" s="4" t="n">
        <v>0</v>
      </c>
      <c r="K90" s="4" t="n">
        <v>0</v>
      </c>
      <c r="L90" s="11" t="b">
        <f aca="false">FALSE()</f>
        <v>0</v>
      </c>
    </row>
    <row r="91" customFormat="false" ht="15" hidden="false" customHeight="false" outlineLevel="0" collapsed="false">
      <c r="A91" s="4" t="s">
        <v>293</v>
      </c>
      <c r="B91" s="4" t="s">
        <v>102</v>
      </c>
      <c r="C91" s="4" t="s">
        <v>205</v>
      </c>
      <c r="D91" s="4" t="s">
        <v>206</v>
      </c>
      <c r="E91" s="4" t="n">
        <v>46247.796099537</v>
      </c>
      <c r="F91" s="4" t="n">
        <v>34</v>
      </c>
      <c r="G91" s="4" t="n">
        <v>34</v>
      </c>
      <c r="H91" s="4" t="n">
        <v>31</v>
      </c>
      <c r="I91" s="4" t="n">
        <v>3</v>
      </c>
      <c r="J91" s="4" t="n">
        <v>0</v>
      </c>
      <c r="K91" s="4" t="n">
        <v>0</v>
      </c>
      <c r="L91" s="11" t="b">
        <f aca="false">FALSE()</f>
        <v>0</v>
      </c>
    </row>
    <row r="92" customFormat="false" ht="15" hidden="false" customHeight="false" outlineLevel="0" collapsed="false">
      <c r="A92" s="4" t="s">
        <v>294</v>
      </c>
      <c r="B92" s="4" t="s">
        <v>100</v>
      </c>
      <c r="C92" s="4" t="s">
        <v>205</v>
      </c>
      <c r="D92" s="4" t="s">
        <v>206</v>
      </c>
      <c r="E92" s="4" t="n">
        <v>46247.8363773148</v>
      </c>
      <c r="F92" s="4" t="n">
        <v>67</v>
      </c>
      <c r="G92" s="4" t="n">
        <v>67</v>
      </c>
      <c r="H92" s="4" t="n">
        <v>67</v>
      </c>
      <c r="I92" s="4" t="n">
        <v>0</v>
      </c>
      <c r="J92" s="4" t="n">
        <v>0</v>
      </c>
      <c r="K92" s="4" t="n">
        <v>0</v>
      </c>
      <c r="L92" s="11" t="b">
        <f aca="false">FALSE()</f>
        <v>0</v>
      </c>
    </row>
    <row r="93" customFormat="false" ht="15" hidden="false" customHeight="false" outlineLevel="0" collapsed="false">
      <c r="A93" s="4" t="s">
        <v>295</v>
      </c>
      <c r="B93" s="4" t="s">
        <v>103</v>
      </c>
      <c r="C93" s="4" t="s">
        <v>205</v>
      </c>
      <c r="D93" s="4" t="s">
        <v>206</v>
      </c>
      <c r="E93" s="4" t="n">
        <v>46247.8801851852</v>
      </c>
      <c r="F93" s="4" t="n">
        <v>28</v>
      </c>
      <c r="G93" s="4" t="n">
        <v>28</v>
      </c>
      <c r="H93" s="4" t="n">
        <v>24</v>
      </c>
      <c r="I93" s="4" t="n">
        <v>2</v>
      </c>
      <c r="J93" s="4" t="n">
        <v>2</v>
      </c>
      <c r="K93" s="4" t="n">
        <v>0</v>
      </c>
      <c r="L93" s="11" t="b">
        <f aca="false">TRUE()</f>
        <v>1</v>
      </c>
    </row>
    <row r="94" customFormat="false" ht="15" hidden="false" customHeight="false" outlineLevel="0" collapsed="false">
      <c r="A94" s="4" t="s">
        <v>296</v>
      </c>
      <c r="B94" s="4" t="s">
        <v>101</v>
      </c>
      <c r="C94" s="4" t="s">
        <v>205</v>
      </c>
      <c r="D94" s="4" t="s">
        <v>206</v>
      </c>
      <c r="E94" s="4" t="n">
        <v>46247.9199652778</v>
      </c>
      <c r="F94" s="4" t="n">
        <v>38</v>
      </c>
      <c r="G94" s="4" t="n">
        <v>38</v>
      </c>
      <c r="H94" s="4" t="n">
        <v>35</v>
      </c>
      <c r="I94" s="4" t="n">
        <v>3</v>
      </c>
      <c r="J94" s="4" t="n">
        <v>0</v>
      </c>
      <c r="K94" s="4" t="n">
        <v>0</v>
      </c>
      <c r="L94" s="11" t="b">
        <f aca="false">FALSE()</f>
        <v>0</v>
      </c>
    </row>
    <row r="95" customFormat="false" ht="15" hidden="false" customHeight="false" outlineLevel="0" collapsed="false">
      <c r="A95" s="4" t="s">
        <v>297</v>
      </c>
      <c r="B95" s="4" t="s">
        <v>100</v>
      </c>
      <c r="C95" s="4" t="s">
        <v>205</v>
      </c>
      <c r="D95" s="4" t="s">
        <v>206</v>
      </c>
      <c r="E95" s="4" t="n">
        <v>46248.0031944444</v>
      </c>
      <c r="F95" s="4" t="n">
        <v>40</v>
      </c>
      <c r="G95" s="4" t="n">
        <v>40</v>
      </c>
      <c r="H95" s="4" t="n">
        <v>40</v>
      </c>
      <c r="I95" s="4" t="n">
        <v>0</v>
      </c>
      <c r="J95" s="4" t="n">
        <v>0</v>
      </c>
      <c r="K95" s="4" t="n">
        <v>0</v>
      </c>
      <c r="L95" s="11" t="b">
        <f aca="false">FALSE()</f>
        <v>0</v>
      </c>
    </row>
    <row r="96" customFormat="false" ht="15" hidden="false" customHeight="false" outlineLevel="0" collapsed="false">
      <c r="A96" s="4" t="s">
        <v>298</v>
      </c>
      <c r="B96" s="4" t="s">
        <v>102</v>
      </c>
      <c r="C96" s="4" t="s">
        <v>205</v>
      </c>
      <c r="D96" s="4" t="s">
        <v>206</v>
      </c>
      <c r="E96" s="4" t="n">
        <v>46248.0452314815</v>
      </c>
      <c r="F96" s="4" t="n">
        <v>14</v>
      </c>
      <c r="G96" s="4" t="n">
        <v>14</v>
      </c>
      <c r="H96" s="4" t="n">
        <v>14</v>
      </c>
      <c r="I96" s="4" t="n">
        <v>0</v>
      </c>
      <c r="J96" s="4" t="n">
        <v>0</v>
      </c>
      <c r="K96" s="4" t="n">
        <v>0</v>
      </c>
      <c r="L96" s="11" t="b">
        <f aca="false">FALSE()</f>
        <v>0</v>
      </c>
    </row>
    <row r="97" customFormat="false" ht="15" hidden="false" customHeight="false" outlineLevel="0" collapsed="false">
      <c r="A97" s="4" t="s">
        <v>299</v>
      </c>
      <c r="B97" s="4" t="s">
        <v>101</v>
      </c>
      <c r="C97" s="4" t="s">
        <v>205</v>
      </c>
      <c r="D97" s="4" t="s">
        <v>206</v>
      </c>
      <c r="E97" s="4" t="n">
        <v>46248.0870717593</v>
      </c>
      <c r="F97" s="4" t="n">
        <v>16</v>
      </c>
      <c r="G97" s="4" t="n">
        <v>16</v>
      </c>
      <c r="H97" s="4" t="n">
        <v>13</v>
      </c>
      <c r="I97" s="4" t="n">
        <v>2</v>
      </c>
      <c r="J97" s="4" t="n">
        <v>1</v>
      </c>
      <c r="K97" s="4" t="n">
        <v>0</v>
      </c>
      <c r="L97" s="11" t="b">
        <f aca="false">FALSE()</f>
        <v>0</v>
      </c>
    </row>
    <row r="98" customFormat="false" ht="15" hidden="false" customHeight="false" outlineLevel="0" collapsed="false">
      <c r="A98" s="4" t="s">
        <v>300</v>
      </c>
      <c r="B98" s="4" t="s">
        <v>103</v>
      </c>
      <c r="C98" s="4" t="s">
        <v>205</v>
      </c>
      <c r="D98" s="4" t="s">
        <v>206</v>
      </c>
      <c r="E98" s="4" t="n">
        <v>46248.1306597222</v>
      </c>
      <c r="F98" s="4" t="n">
        <v>10</v>
      </c>
      <c r="G98" s="4" t="n">
        <v>10</v>
      </c>
      <c r="H98" s="4" t="n">
        <v>9</v>
      </c>
      <c r="I98" s="4" t="n">
        <v>1</v>
      </c>
      <c r="J98" s="4" t="n">
        <v>0</v>
      </c>
      <c r="K98" s="4" t="n">
        <v>0</v>
      </c>
      <c r="L98" s="11" t="b">
        <f aca="false">FALSE()</f>
        <v>0</v>
      </c>
    </row>
    <row r="99" customFormat="false" ht="15" hidden="false" customHeight="false" outlineLevel="0" collapsed="false">
      <c r="A99" s="4" t="s">
        <v>301</v>
      </c>
      <c r="B99" s="4" t="s">
        <v>100</v>
      </c>
      <c r="C99" s="4" t="s">
        <v>205</v>
      </c>
      <c r="D99" s="4" t="s">
        <v>206</v>
      </c>
      <c r="E99" s="4" t="n">
        <v>46248.1688194444</v>
      </c>
      <c r="F99" s="4" t="n">
        <v>16</v>
      </c>
      <c r="G99" s="4" t="n">
        <v>16</v>
      </c>
      <c r="H99" s="4" t="n">
        <v>13</v>
      </c>
      <c r="I99" s="4" t="n">
        <v>3</v>
      </c>
      <c r="J99" s="4" t="n">
        <v>0</v>
      </c>
      <c r="K99" s="4" t="n">
        <v>0</v>
      </c>
      <c r="L99" s="11" t="b">
        <f aca="false">FALSE()</f>
        <v>0</v>
      </c>
    </row>
    <row r="100" customFormat="false" ht="15" hidden="false" customHeight="false" outlineLevel="0" collapsed="false">
      <c r="A100" s="4" t="s">
        <v>302</v>
      </c>
      <c r="B100" s="4" t="s">
        <v>99</v>
      </c>
      <c r="C100" s="4" t="s">
        <v>205</v>
      </c>
      <c r="D100" s="4" t="s">
        <v>206</v>
      </c>
      <c r="E100" s="4" t="n">
        <v>46248.2134722222</v>
      </c>
      <c r="F100" s="4" t="n">
        <v>31</v>
      </c>
      <c r="G100" s="4" t="n">
        <v>31</v>
      </c>
      <c r="H100" s="4" t="n">
        <v>29</v>
      </c>
      <c r="I100" s="4" t="n">
        <v>1</v>
      </c>
      <c r="J100" s="4" t="n">
        <v>1</v>
      </c>
      <c r="K100" s="4" t="n">
        <v>0</v>
      </c>
      <c r="L100" s="11" t="b">
        <f aca="false">FALSE()</f>
        <v>0</v>
      </c>
    </row>
    <row r="101" customFormat="false" ht="15" hidden="false" customHeight="false" outlineLevel="0" collapsed="false">
      <c r="A101" s="4" t="s">
        <v>303</v>
      </c>
      <c r="B101" s="4" t="s">
        <v>101</v>
      </c>
      <c r="C101" s="4" t="s">
        <v>205</v>
      </c>
      <c r="D101" s="4" t="s">
        <v>206</v>
      </c>
      <c r="E101" s="4" t="n">
        <v>46248.2541550926</v>
      </c>
      <c r="F101" s="4" t="n">
        <v>10</v>
      </c>
      <c r="G101" s="4" t="n">
        <v>10</v>
      </c>
      <c r="H101" s="4" t="n">
        <v>9</v>
      </c>
      <c r="I101" s="4" t="n">
        <v>1</v>
      </c>
      <c r="J101" s="4" t="n">
        <v>0</v>
      </c>
      <c r="K101" s="4" t="n">
        <v>0</v>
      </c>
      <c r="L101" s="11" t="b">
        <f aca="false">FALSE()</f>
        <v>0</v>
      </c>
    </row>
    <row r="102" customFormat="false" ht="15" hidden="false" customHeight="false" outlineLevel="0" collapsed="false">
      <c r="A102" s="4" t="s">
        <v>304</v>
      </c>
      <c r="B102" s="4" t="s">
        <v>104</v>
      </c>
      <c r="C102" s="4" t="s">
        <v>205</v>
      </c>
      <c r="D102" s="4" t="s">
        <v>206</v>
      </c>
      <c r="E102" s="4" t="n">
        <v>46248.2562731481</v>
      </c>
      <c r="F102" s="4" t="n">
        <v>3</v>
      </c>
      <c r="G102" s="4" t="n">
        <v>3</v>
      </c>
      <c r="H102" s="4" t="n">
        <v>3</v>
      </c>
      <c r="I102" s="4" t="n">
        <v>0</v>
      </c>
      <c r="J102" s="4" t="n">
        <v>0</v>
      </c>
      <c r="K102" s="4" t="n">
        <v>0</v>
      </c>
      <c r="L102" s="11" t="b">
        <f aca="false">FALSE()</f>
        <v>0</v>
      </c>
    </row>
    <row r="103" customFormat="false" ht="15" hidden="false" customHeight="false" outlineLevel="0" collapsed="false">
      <c r="A103" s="4" t="s">
        <v>305</v>
      </c>
      <c r="B103" s="4" t="s">
        <v>102</v>
      </c>
      <c r="C103" s="4" t="s">
        <v>205</v>
      </c>
      <c r="D103" s="4" t="s">
        <v>206</v>
      </c>
      <c r="E103" s="4" t="n">
        <v>46248.2963425926</v>
      </c>
      <c r="F103" s="4" t="n">
        <v>9</v>
      </c>
      <c r="G103" s="4" t="n">
        <v>9</v>
      </c>
      <c r="H103" s="4" t="n">
        <v>6</v>
      </c>
      <c r="I103" s="4" t="n">
        <v>3</v>
      </c>
      <c r="J103" s="4" t="n">
        <v>0</v>
      </c>
      <c r="K103" s="4" t="n">
        <v>0</v>
      </c>
      <c r="L103" s="11" t="b">
        <f aca="false">FALSE()</f>
        <v>0</v>
      </c>
    </row>
    <row r="104" customFormat="false" ht="15" hidden="false" customHeight="false" outlineLevel="0" collapsed="false">
      <c r="A104" s="4" t="s">
        <v>306</v>
      </c>
      <c r="B104" s="4" t="s">
        <v>100</v>
      </c>
      <c r="C104" s="4" t="s">
        <v>205</v>
      </c>
      <c r="D104" s="4" t="s">
        <v>206</v>
      </c>
      <c r="E104" s="4" t="n">
        <v>46248.3369907407</v>
      </c>
      <c r="F104" s="4" t="n">
        <v>30</v>
      </c>
      <c r="G104" s="4" t="n">
        <v>30</v>
      </c>
      <c r="H104" s="4" t="n">
        <v>26</v>
      </c>
      <c r="I104" s="4" t="n">
        <v>3</v>
      </c>
      <c r="J104" s="4" t="n">
        <v>1</v>
      </c>
      <c r="K104" s="4" t="n">
        <v>0</v>
      </c>
      <c r="L104" s="11" t="b">
        <f aca="false">FALSE()</f>
        <v>0</v>
      </c>
    </row>
    <row r="105" customFormat="false" ht="15" hidden="false" customHeight="false" outlineLevel="0" collapsed="false">
      <c r="A105" s="4" t="s">
        <v>307</v>
      </c>
      <c r="B105" s="4" t="s">
        <v>103</v>
      </c>
      <c r="C105" s="4" t="s">
        <v>205</v>
      </c>
      <c r="D105" s="4" t="s">
        <v>206</v>
      </c>
      <c r="E105" s="4" t="n">
        <v>46248.3793287037</v>
      </c>
      <c r="F105" s="4" t="n">
        <v>17</v>
      </c>
      <c r="G105" s="4" t="n">
        <v>17</v>
      </c>
      <c r="H105" s="4" t="n">
        <v>14</v>
      </c>
      <c r="I105" s="4" t="n">
        <v>2</v>
      </c>
      <c r="J105" s="4" t="n">
        <v>1</v>
      </c>
      <c r="K105" s="4" t="n">
        <v>0</v>
      </c>
      <c r="L105" s="11" t="b">
        <f aca="false">FALSE()</f>
        <v>0</v>
      </c>
    </row>
    <row r="106" customFormat="false" ht="15" hidden="false" customHeight="false" outlineLevel="0" collapsed="false">
      <c r="A106" s="4" t="s">
        <v>308</v>
      </c>
      <c r="B106" s="4" t="s">
        <v>101</v>
      </c>
      <c r="C106" s="4" t="s">
        <v>205</v>
      </c>
      <c r="D106" s="4" t="s">
        <v>206</v>
      </c>
      <c r="E106" s="4" t="n">
        <v>46248.4197453704</v>
      </c>
      <c r="F106" s="4" t="n">
        <v>35</v>
      </c>
      <c r="G106" s="4" t="n">
        <v>35</v>
      </c>
      <c r="H106" s="4" t="n">
        <v>33</v>
      </c>
      <c r="I106" s="4" t="n">
        <v>1</v>
      </c>
      <c r="J106" s="4" t="n">
        <v>1</v>
      </c>
      <c r="K106" s="4" t="n">
        <v>0</v>
      </c>
      <c r="L106" s="11" t="b">
        <f aca="false">FALSE()</f>
        <v>0</v>
      </c>
    </row>
    <row r="107" customFormat="false" ht="15" hidden="false" customHeight="false" outlineLevel="0" collapsed="false">
      <c r="A107" s="4" t="s">
        <v>309</v>
      </c>
      <c r="B107" s="4" t="s">
        <v>100</v>
      </c>
      <c r="C107" s="4" t="s">
        <v>205</v>
      </c>
      <c r="D107" s="4" t="s">
        <v>206</v>
      </c>
      <c r="E107" s="4" t="n">
        <v>46248.5022337963</v>
      </c>
      <c r="F107" s="4" t="n">
        <v>75</v>
      </c>
      <c r="G107" s="4" t="n">
        <v>75</v>
      </c>
      <c r="H107" s="4" t="n">
        <v>74</v>
      </c>
      <c r="I107" s="4" t="n">
        <v>1</v>
      </c>
      <c r="J107" s="4" t="n">
        <v>0</v>
      </c>
      <c r="K107" s="4" t="n">
        <v>0</v>
      </c>
      <c r="L107" s="11" t="b">
        <f aca="false">FALSE()</f>
        <v>0</v>
      </c>
    </row>
    <row r="108" customFormat="false" ht="15" hidden="false" customHeight="false" outlineLevel="0" collapsed="false">
      <c r="A108" s="4" t="s">
        <v>310</v>
      </c>
      <c r="B108" s="4" t="s">
        <v>102</v>
      </c>
      <c r="C108" s="4" t="s">
        <v>205</v>
      </c>
      <c r="D108" s="4" t="s">
        <v>206</v>
      </c>
      <c r="E108" s="4" t="n">
        <v>46248.5457986111</v>
      </c>
      <c r="F108" s="4" t="n">
        <v>30</v>
      </c>
      <c r="G108" s="4" t="n">
        <v>30</v>
      </c>
      <c r="H108" s="4" t="n">
        <v>28</v>
      </c>
      <c r="I108" s="4" t="n">
        <v>2</v>
      </c>
      <c r="J108" s="4" t="n">
        <v>0</v>
      </c>
      <c r="K108" s="4" t="n">
        <v>0</v>
      </c>
      <c r="L108" s="11" t="b">
        <f aca="false">FALSE()</f>
        <v>0</v>
      </c>
    </row>
    <row r="109" customFormat="false" ht="15" hidden="false" customHeight="false" outlineLevel="0" collapsed="false">
      <c r="A109" s="4" t="s">
        <v>311</v>
      </c>
      <c r="B109" s="4" t="s">
        <v>101</v>
      </c>
      <c r="C109" s="4" t="s">
        <v>205</v>
      </c>
      <c r="D109" s="4" t="s">
        <v>206</v>
      </c>
      <c r="E109" s="4" t="n">
        <v>46248.5867476852</v>
      </c>
      <c r="F109" s="4" t="n">
        <v>49</v>
      </c>
      <c r="G109" s="4" t="n">
        <v>49</v>
      </c>
      <c r="H109" s="4" t="n">
        <v>47</v>
      </c>
      <c r="I109" s="4" t="n">
        <v>2</v>
      </c>
      <c r="J109" s="4" t="n">
        <v>0</v>
      </c>
      <c r="K109" s="4" t="n">
        <v>0</v>
      </c>
      <c r="L109" s="11" t="b">
        <f aca="false">FALSE()</f>
        <v>0</v>
      </c>
    </row>
    <row r="110" customFormat="false" ht="15" hidden="false" customHeight="false" outlineLevel="0" collapsed="false">
      <c r="A110" s="4" t="s">
        <v>312</v>
      </c>
      <c r="B110" s="4" t="s">
        <v>103</v>
      </c>
      <c r="C110" s="4" t="s">
        <v>205</v>
      </c>
      <c r="D110" s="4" t="s">
        <v>206</v>
      </c>
      <c r="E110" s="4" t="n">
        <v>46248.6299537037</v>
      </c>
      <c r="F110" s="4" t="n">
        <v>25</v>
      </c>
      <c r="G110" s="4" t="n">
        <v>25</v>
      </c>
      <c r="H110" s="4" t="n">
        <v>25</v>
      </c>
      <c r="I110" s="4" t="n">
        <v>0</v>
      </c>
      <c r="J110" s="4" t="n">
        <v>0</v>
      </c>
      <c r="K110" s="4" t="n">
        <v>0</v>
      </c>
      <c r="L110" s="11" t="b">
        <f aca="false">FALSE()</f>
        <v>0</v>
      </c>
    </row>
    <row r="111" customFormat="false" ht="15" hidden="false" customHeight="false" outlineLevel="0" collapsed="false">
      <c r="A111" s="4" t="s">
        <v>313</v>
      </c>
      <c r="B111" s="4" t="s">
        <v>100</v>
      </c>
      <c r="C111" s="4" t="s">
        <v>205</v>
      </c>
      <c r="D111" s="4" t="s">
        <v>206</v>
      </c>
      <c r="E111" s="4" t="n">
        <v>46248.6699537037</v>
      </c>
      <c r="F111" s="4" t="n">
        <v>78</v>
      </c>
      <c r="G111" s="4" t="n">
        <v>78</v>
      </c>
      <c r="H111" s="4" t="n">
        <v>78</v>
      </c>
      <c r="I111" s="4" t="n">
        <v>0</v>
      </c>
      <c r="J111" s="4" t="n">
        <v>0</v>
      </c>
      <c r="K111" s="4" t="n">
        <v>0</v>
      </c>
      <c r="L111" s="11" t="b">
        <f aca="false">FALSE()</f>
        <v>0</v>
      </c>
    </row>
    <row r="112" customFormat="false" ht="15" hidden="false" customHeight="false" outlineLevel="0" collapsed="false">
      <c r="A112" s="4" t="s">
        <v>314</v>
      </c>
      <c r="B112" s="4" t="s">
        <v>101</v>
      </c>
      <c r="C112" s="4" t="s">
        <v>205</v>
      </c>
      <c r="D112" s="4" t="s">
        <v>206</v>
      </c>
      <c r="E112" s="4" t="n">
        <v>46248.7529861111</v>
      </c>
      <c r="F112" s="4" t="n">
        <v>50</v>
      </c>
      <c r="G112" s="4" t="n">
        <v>50</v>
      </c>
      <c r="H112" s="4" t="n">
        <v>46</v>
      </c>
      <c r="I112" s="4" t="n">
        <v>3</v>
      </c>
      <c r="J112" s="4" t="n">
        <v>1</v>
      </c>
      <c r="K112" s="4" t="n">
        <v>0</v>
      </c>
      <c r="L112" s="11" t="b">
        <f aca="false">FALSE()</f>
        <v>0</v>
      </c>
    </row>
    <row r="113" customFormat="false" ht="15" hidden="false" customHeight="false" outlineLevel="0" collapsed="false">
      <c r="A113" s="4" t="s">
        <v>315</v>
      </c>
      <c r="B113" s="4" t="s">
        <v>104</v>
      </c>
      <c r="C113" s="4" t="s">
        <v>205</v>
      </c>
      <c r="D113" s="4" t="s">
        <v>206</v>
      </c>
      <c r="E113" s="4" t="n">
        <v>46248.7568171296</v>
      </c>
      <c r="F113" s="4" t="n">
        <v>23</v>
      </c>
      <c r="G113" s="4" t="n">
        <v>23</v>
      </c>
      <c r="H113" s="4" t="n">
        <v>22</v>
      </c>
      <c r="I113" s="4" t="n">
        <v>1</v>
      </c>
      <c r="J113" s="4" t="n">
        <v>0</v>
      </c>
      <c r="K113" s="4" t="n">
        <v>0</v>
      </c>
      <c r="L113" s="11" t="b">
        <f aca="false">FALSE()</f>
        <v>0</v>
      </c>
    </row>
    <row r="114" customFormat="false" ht="15" hidden="false" customHeight="false" outlineLevel="0" collapsed="false">
      <c r="A114" s="4" t="s">
        <v>316</v>
      </c>
      <c r="B114" s="4" t="s">
        <v>102</v>
      </c>
      <c r="C114" s="4" t="s">
        <v>205</v>
      </c>
      <c r="D114" s="4" t="s">
        <v>206</v>
      </c>
      <c r="E114" s="4" t="n">
        <v>46248.7956712963</v>
      </c>
      <c r="F114" s="4" t="n">
        <v>30</v>
      </c>
      <c r="G114" s="4" t="n">
        <v>30</v>
      </c>
      <c r="H114" s="4" t="n">
        <v>26</v>
      </c>
      <c r="I114" s="4" t="n">
        <v>3</v>
      </c>
      <c r="J114" s="4" t="n">
        <v>1</v>
      </c>
      <c r="K114" s="4" t="n">
        <v>0</v>
      </c>
      <c r="L114" s="11" t="b">
        <f aca="false">FALSE()</f>
        <v>0</v>
      </c>
    </row>
    <row r="115" customFormat="false" ht="15" hidden="false" customHeight="false" outlineLevel="0" collapsed="false">
      <c r="A115" s="4" t="s">
        <v>317</v>
      </c>
      <c r="B115" s="4" t="s">
        <v>100</v>
      </c>
      <c r="C115" s="4" t="s">
        <v>205</v>
      </c>
      <c r="D115" s="4" t="s">
        <v>206</v>
      </c>
      <c r="E115" s="4" t="n">
        <v>46248.8359722222</v>
      </c>
      <c r="F115" s="4" t="n">
        <v>70</v>
      </c>
      <c r="G115" s="4" t="n">
        <v>70</v>
      </c>
      <c r="H115" s="4" t="n">
        <v>69</v>
      </c>
      <c r="I115" s="4" t="n">
        <v>0</v>
      </c>
      <c r="J115" s="4" t="n">
        <v>1</v>
      </c>
      <c r="K115" s="4" t="n">
        <v>0</v>
      </c>
      <c r="L115" s="11" t="b">
        <f aca="false">FALSE()</f>
        <v>0</v>
      </c>
    </row>
    <row r="116" customFormat="false" ht="15" hidden="false" customHeight="false" outlineLevel="0" collapsed="false">
      <c r="A116" s="4" t="s">
        <v>318</v>
      </c>
      <c r="B116" s="4" t="s">
        <v>103</v>
      </c>
      <c r="C116" s="4" t="s">
        <v>205</v>
      </c>
      <c r="D116" s="4" t="s">
        <v>206</v>
      </c>
      <c r="E116" s="4" t="n">
        <v>46248.879837963</v>
      </c>
      <c r="F116" s="4" t="n">
        <v>25</v>
      </c>
      <c r="G116" s="4" t="n">
        <v>25</v>
      </c>
      <c r="H116" s="4" t="n">
        <v>24</v>
      </c>
      <c r="I116" s="4" t="n">
        <v>1</v>
      </c>
      <c r="J116" s="4" t="n">
        <v>0</v>
      </c>
      <c r="K116" s="4" t="n">
        <v>0</v>
      </c>
      <c r="L116" s="11" t="b">
        <f aca="false">FALSE()</f>
        <v>0</v>
      </c>
    </row>
    <row r="117" customFormat="false" ht="15" hidden="false" customHeight="false" outlineLevel="0" collapsed="false">
      <c r="A117" s="4" t="s">
        <v>319</v>
      </c>
      <c r="B117" s="4" t="s">
        <v>101</v>
      </c>
      <c r="C117" s="4" t="s">
        <v>205</v>
      </c>
      <c r="D117" s="4" t="s">
        <v>206</v>
      </c>
      <c r="E117" s="4" t="n">
        <v>46248.9207986111</v>
      </c>
      <c r="F117" s="4" t="n">
        <v>40</v>
      </c>
      <c r="G117" s="4" t="n">
        <v>40</v>
      </c>
      <c r="H117" s="4" t="n">
        <v>38</v>
      </c>
      <c r="I117" s="4" t="n">
        <v>2</v>
      </c>
      <c r="J117" s="4" t="n">
        <v>0</v>
      </c>
      <c r="K117" s="4" t="n">
        <v>0</v>
      </c>
      <c r="L117" s="11" t="b">
        <f aca="false">FALSE()</f>
        <v>0</v>
      </c>
    </row>
    <row r="118" customFormat="false" ht="15" hidden="false" customHeight="false" outlineLevel="0" collapsed="false">
      <c r="A118" s="4" t="s">
        <v>320</v>
      </c>
      <c r="B118" s="4" t="s">
        <v>100</v>
      </c>
      <c r="C118" s="4" t="s">
        <v>205</v>
      </c>
      <c r="D118" s="4" t="s">
        <v>206</v>
      </c>
      <c r="E118" s="4" t="n">
        <v>46249.0032638889</v>
      </c>
      <c r="F118" s="4" t="n">
        <v>40</v>
      </c>
      <c r="G118" s="4" t="n">
        <v>40</v>
      </c>
      <c r="H118" s="4" t="n">
        <v>39</v>
      </c>
      <c r="I118" s="4" t="n">
        <v>1</v>
      </c>
      <c r="J118" s="4" t="n">
        <v>0</v>
      </c>
      <c r="K118" s="4" t="n">
        <v>0</v>
      </c>
      <c r="L118" s="11" t="b">
        <f aca="false">FALSE()</f>
        <v>0</v>
      </c>
    </row>
    <row r="119" customFormat="false" ht="15" hidden="false" customHeight="false" outlineLevel="0" collapsed="false">
      <c r="A119" s="4" t="s">
        <v>321</v>
      </c>
      <c r="B119" s="4" t="s">
        <v>102</v>
      </c>
      <c r="C119" s="4" t="s">
        <v>205</v>
      </c>
      <c r="D119" s="4" t="s">
        <v>206</v>
      </c>
      <c r="E119" s="4" t="n">
        <v>46249.0460532407</v>
      </c>
      <c r="F119" s="4" t="n">
        <v>20</v>
      </c>
      <c r="G119" s="4" t="n">
        <v>20</v>
      </c>
      <c r="H119" s="4" t="n">
        <v>17</v>
      </c>
      <c r="I119" s="4" t="n">
        <v>3</v>
      </c>
      <c r="J119" s="4" t="n">
        <v>0</v>
      </c>
      <c r="K119" s="4" t="n">
        <v>0</v>
      </c>
      <c r="L119" s="11" t="b">
        <f aca="false">FALSE()</f>
        <v>0</v>
      </c>
    </row>
    <row r="120" customFormat="false" ht="15" hidden="false" customHeight="false" outlineLevel="0" collapsed="false">
      <c r="A120" s="4" t="s">
        <v>322</v>
      </c>
      <c r="B120" s="4" t="s">
        <v>101</v>
      </c>
      <c r="C120" s="4" t="s">
        <v>205</v>
      </c>
      <c r="D120" s="4" t="s">
        <v>206</v>
      </c>
      <c r="E120" s="4" t="n">
        <v>46249.0871759259</v>
      </c>
      <c r="F120" s="4" t="n">
        <v>13</v>
      </c>
      <c r="G120" s="4" t="n">
        <v>13</v>
      </c>
      <c r="H120" s="4" t="n">
        <v>12</v>
      </c>
      <c r="I120" s="4" t="n">
        <v>1</v>
      </c>
      <c r="J120" s="4" t="n">
        <v>0</v>
      </c>
      <c r="K120" s="4" t="n">
        <v>0</v>
      </c>
      <c r="L120" s="11" t="b">
        <f aca="false">FALSE()</f>
        <v>0</v>
      </c>
    </row>
    <row r="121" customFormat="false" ht="15" hidden="false" customHeight="false" outlineLevel="0" collapsed="false">
      <c r="A121" s="4" t="s">
        <v>323</v>
      </c>
      <c r="B121" s="4" t="s">
        <v>103</v>
      </c>
      <c r="C121" s="4" t="s">
        <v>205</v>
      </c>
      <c r="D121" s="4" t="s">
        <v>206</v>
      </c>
      <c r="E121" s="4" t="n">
        <v>46249.1305439815</v>
      </c>
      <c r="F121" s="4" t="n">
        <v>9</v>
      </c>
      <c r="G121" s="4" t="n">
        <v>9</v>
      </c>
      <c r="H121" s="4" t="n">
        <v>6</v>
      </c>
      <c r="I121" s="4" t="n">
        <v>3</v>
      </c>
      <c r="J121" s="4" t="n">
        <v>0</v>
      </c>
      <c r="K121" s="4" t="n">
        <v>0</v>
      </c>
      <c r="L121" s="11" t="b">
        <f aca="false">FALSE()</f>
        <v>0</v>
      </c>
    </row>
    <row r="122" customFormat="false" ht="15" hidden="false" customHeight="false" outlineLevel="0" collapsed="false">
      <c r="A122" s="4" t="s">
        <v>324</v>
      </c>
      <c r="B122" s="4" t="s">
        <v>100</v>
      </c>
      <c r="C122" s="4" t="s">
        <v>205</v>
      </c>
      <c r="D122" s="4" t="s">
        <v>206</v>
      </c>
      <c r="E122" s="4" t="n">
        <v>46249.1695486111</v>
      </c>
      <c r="F122" s="4" t="n">
        <v>12</v>
      </c>
      <c r="G122" s="4" t="n">
        <v>12</v>
      </c>
      <c r="H122" s="4" t="n">
        <v>11</v>
      </c>
      <c r="I122" s="4" t="n">
        <v>1</v>
      </c>
      <c r="J122" s="4" t="n">
        <v>0</v>
      </c>
      <c r="K122" s="4" t="n">
        <v>0</v>
      </c>
      <c r="L122" s="11" t="b">
        <f aca="false">FALSE()</f>
        <v>0</v>
      </c>
    </row>
    <row r="123" customFormat="false" ht="15" hidden="false" customHeight="false" outlineLevel="0" collapsed="false">
      <c r="A123" s="4" t="s">
        <v>325</v>
      </c>
      <c r="B123" s="4" t="s">
        <v>99</v>
      </c>
      <c r="C123" s="4" t="s">
        <v>205</v>
      </c>
      <c r="D123" s="4" t="s">
        <v>206</v>
      </c>
      <c r="E123" s="4" t="n">
        <v>46249.2147800926</v>
      </c>
      <c r="F123" s="4" t="n">
        <v>35</v>
      </c>
      <c r="G123" s="4" t="n">
        <v>35</v>
      </c>
      <c r="H123" s="4" t="n">
        <v>32</v>
      </c>
      <c r="I123" s="4" t="n">
        <v>3</v>
      </c>
      <c r="J123" s="4" t="n">
        <v>0</v>
      </c>
      <c r="K123" s="4" t="n">
        <v>0</v>
      </c>
      <c r="L123" s="11" t="b">
        <f aca="false">FALSE()</f>
        <v>0</v>
      </c>
    </row>
    <row r="124" customFormat="false" ht="15" hidden="false" customHeight="false" outlineLevel="0" collapsed="false">
      <c r="A124" s="4" t="s">
        <v>326</v>
      </c>
      <c r="B124" s="4" t="s">
        <v>101</v>
      </c>
      <c r="C124" s="4" t="s">
        <v>205</v>
      </c>
      <c r="D124" s="4" t="s">
        <v>206</v>
      </c>
      <c r="E124" s="4" t="n">
        <v>46249.2536342593</v>
      </c>
      <c r="F124" s="4" t="n">
        <v>9</v>
      </c>
      <c r="G124" s="4" t="n">
        <v>9</v>
      </c>
      <c r="H124" s="4" t="n">
        <v>7</v>
      </c>
      <c r="I124" s="4" t="n">
        <v>2</v>
      </c>
      <c r="J124" s="4" t="n">
        <v>0</v>
      </c>
      <c r="K124" s="4" t="n">
        <v>0</v>
      </c>
      <c r="L124" s="11" t="b">
        <f aca="false">FALSE()</f>
        <v>0</v>
      </c>
    </row>
    <row r="125" customFormat="false" ht="15" hidden="false" customHeight="false" outlineLevel="0" collapsed="false">
      <c r="A125" s="4" t="s">
        <v>327</v>
      </c>
      <c r="B125" s="4" t="s">
        <v>104</v>
      </c>
      <c r="C125" s="4" t="s">
        <v>205</v>
      </c>
      <c r="D125" s="4" t="s">
        <v>206</v>
      </c>
      <c r="E125" s="4" t="n">
        <v>46249.2565162037</v>
      </c>
      <c r="F125" s="4" t="n">
        <v>12</v>
      </c>
      <c r="G125" s="4" t="n">
        <v>12</v>
      </c>
      <c r="H125" s="4" t="n">
        <v>11</v>
      </c>
      <c r="I125" s="4" t="n">
        <v>1</v>
      </c>
      <c r="J125" s="4" t="n">
        <v>0</v>
      </c>
      <c r="K125" s="4" t="n">
        <v>0</v>
      </c>
      <c r="L125" s="11" t="b">
        <f aca="false">FALSE()</f>
        <v>0</v>
      </c>
    </row>
    <row r="126" customFormat="false" ht="15" hidden="false" customHeight="false" outlineLevel="0" collapsed="false">
      <c r="A126" s="4" t="s">
        <v>328</v>
      </c>
      <c r="B126" s="4" t="s">
        <v>102</v>
      </c>
      <c r="C126" s="4" t="s">
        <v>205</v>
      </c>
      <c r="D126" s="4" t="s">
        <v>206</v>
      </c>
      <c r="E126" s="4" t="n">
        <v>46249.2951967593</v>
      </c>
      <c r="F126" s="4" t="n">
        <v>9</v>
      </c>
      <c r="G126" s="4" t="n">
        <v>9</v>
      </c>
      <c r="H126" s="4" t="n">
        <v>8</v>
      </c>
      <c r="I126" s="4" t="n">
        <v>1</v>
      </c>
      <c r="J126" s="4" t="n">
        <v>0</v>
      </c>
      <c r="K126" s="4" t="n">
        <v>0</v>
      </c>
      <c r="L126" s="11" t="b">
        <f aca="false">FALSE()</f>
        <v>0</v>
      </c>
    </row>
    <row r="127" customFormat="false" ht="15" hidden="false" customHeight="false" outlineLevel="0" collapsed="false">
      <c r="A127" s="4" t="s">
        <v>329</v>
      </c>
      <c r="B127" s="4" t="s">
        <v>100</v>
      </c>
      <c r="C127" s="4" t="s">
        <v>205</v>
      </c>
      <c r="D127" s="4" t="s">
        <v>206</v>
      </c>
      <c r="E127" s="4" t="n">
        <v>46249.3362731482</v>
      </c>
      <c r="F127" s="4" t="n">
        <v>29</v>
      </c>
      <c r="G127" s="4" t="n">
        <v>29</v>
      </c>
      <c r="H127" s="4" t="n">
        <v>28</v>
      </c>
      <c r="I127" s="4" t="n">
        <v>1</v>
      </c>
      <c r="J127" s="4" t="n">
        <v>0</v>
      </c>
      <c r="K127" s="4" t="n">
        <v>0</v>
      </c>
      <c r="L127" s="11" t="b">
        <f aca="false">FALSE()</f>
        <v>0</v>
      </c>
    </row>
    <row r="128" customFormat="false" ht="15" hidden="false" customHeight="false" outlineLevel="0" collapsed="false">
      <c r="A128" s="4" t="s">
        <v>330</v>
      </c>
      <c r="B128" s="4" t="s">
        <v>103</v>
      </c>
      <c r="C128" s="4" t="s">
        <v>205</v>
      </c>
      <c r="D128" s="4" t="s">
        <v>206</v>
      </c>
      <c r="E128" s="4" t="n">
        <v>46249.3797685185</v>
      </c>
      <c r="F128" s="4" t="n">
        <v>2</v>
      </c>
      <c r="G128" s="4" t="n">
        <v>2</v>
      </c>
      <c r="H128" s="4" t="n">
        <v>0</v>
      </c>
      <c r="I128" s="4" t="n">
        <v>2</v>
      </c>
      <c r="J128" s="4" t="n">
        <v>0</v>
      </c>
      <c r="K128" s="4" t="n">
        <v>0</v>
      </c>
      <c r="L128" s="11" t="b">
        <f aca="false">FALSE()</f>
        <v>0</v>
      </c>
    </row>
    <row r="129" customFormat="false" ht="15" hidden="false" customHeight="false" outlineLevel="0" collapsed="false">
      <c r="A129" s="4" t="s">
        <v>331</v>
      </c>
      <c r="B129" s="4" t="s">
        <v>101</v>
      </c>
      <c r="C129" s="4" t="s">
        <v>205</v>
      </c>
      <c r="D129" s="4" t="s">
        <v>206</v>
      </c>
      <c r="E129" s="4" t="n">
        <v>46249.4205787037</v>
      </c>
      <c r="F129" s="4" t="n">
        <v>32</v>
      </c>
      <c r="G129" s="4" t="n">
        <v>32</v>
      </c>
      <c r="H129" s="4" t="n">
        <v>31</v>
      </c>
      <c r="I129" s="4" t="n">
        <v>1</v>
      </c>
      <c r="J129" s="4" t="n">
        <v>0</v>
      </c>
      <c r="K129" s="4" t="n">
        <v>0</v>
      </c>
      <c r="L129" s="11" t="b">
        <f aca="false">FALSE()</f>
        <v>0</v>
      </c>
    </row>
    <row r="130" customFormat="false" ht="15" hidden="false" customHeight="false" outlineLevel="0" collapsed="false">
      <c r="A130" s="4" t="s">
        <v>332</v>
      </c>
      <c r="B130" s="4" t="s">
        <v>100</v>
      </c>
      <c r="C130" s="4" t="s">
        <v>205</v>
      </c>
      <c r="D130" s="4" t="s">
        <v>206</v>
      </c>
      <c r="E130" s="4" t="n">
        <v>46249.502974537</v>
      </c>
      <c r="F130" s="4" t="n">
        <v>64</v>
      </c>
      <c r="G130" s="4" t="n">
        <v>64</v>
      </c>
      <c r="H130" s="4" t="n">
        <v>61</v>
      </c>
      <c r="I130" s="4" t="n">
        <v>2</v>
      </c>
      <c r="J130" s="4" t="n">
        <v>1</v>
      </c>
      <c r="K130" s="4" t="n">
        <v>0</v>
      </c>
      <c r="L130" s="11" t="b">
        <f aca="false">FALSE()</f>
        <v>0</v>
      </c>
    </row>
    <row r="131" customFormat="false" ht="15" hidden="false" customHeight="false" outlineLevel="0" collapsed="false">
      <c r="A131" s="4" t="s">
        <v>333</v>
      </c>
      <c r="B131" s="4" t="s">
        <v>102</v>
      </c>
      <c r="C131" s="4" t="s">
        <v>205</v>
      </c>
      <c r="D131" s="4" t="s">
        <v>206</v>
      </c>
      <c r="E131" s="4" t="n">
        <v>46249.5453009259</v>
      </c>
      <c r="F131" s="4" t="n">
        <v>26</v>
      </c>
      <c r="G131" s="4" t="n">
        <v>26</v>
      </c>
      <c r="H131" s="4" t="n">
        <v>24</v>
      </c>
      <c r="I131" s="4" t="n">
        <v>1</v>
      </c>
      <c r="J131" s="4" t="n">
        <v>1</v>
      </c>
      <c r="K131" s="4" t="n">
        <v>0</v>
      </c>
      <c r="L131" s="11" t="b">
        <f aca="false">FALSE()</f>
        <v>0</v>
      </c>
    </row>
    <row r="132" customFormat="false" ht="15" hidden="false" customHeight="false" outlineLevel="0" collapsed="false">
      <c r="A132" s="4" t="s">
        <v>334</v>
      </c>
      <c r="B132" s="4" t="s">
        <v>101</v>
      </c>
      <c r="C132" s="4" t="s">
        <v>205</v>
      </c>
      <c r="D132" s="4" t="s">
        <v>206</v>
      </c>
      <c r="E132" s="4" t="n">
        <v>46249.5861921296</v>
      </c>
      <c r="F132" s="4" t="n">
        <v>42</v>
      </c>
      <c r="G132" s="4" t="n">
        <v>42</v>
      </c>
      <c r="H132" s="4" t="n">
        <v>41</v>
      </c>
      <c r="I132" s="4" t="n">
        <v>0</v>
      </c>
      <c r="J132" s="4" t="n">
        <v>1</v>
      </c>
      <c r="K132" s="4" t="n">
        <v>0</v>
      </c>
      <c r="L132" s="11" t="b">
        <f aca="false">FALSE()</f>
        <v>0</v>
      </c>
    </row>
    <row r="133" customFormat="false" ht="15" hidden="false" customHeight="false" outlineLevel="0" collapsed="false">
      <c r="A133" s="4" t="s">
        <v>335</v>
      </c>
      <c r="B133" s="4" t="s">
        <v>103</v>
      </c>
      <c r="C133" s="4" t="s">
        <v>205</v>
      </c>
      <c r="D133" s="4" t="s">
        <v>206</v>
      </c>
      <c r="E133" s="4" t="n">
        <v>46249.6330208333</v>
      </c>
      <c r="F133" s="4" t="n">
        <v>2</v>
      </c>
      <c r="G133" s="4" t="n">
        <v>2</v>
      </c>
      <c r="H133" s="4" t="n">
        <v>0</v>
      </c>
      <c r="I133" s="4" t="n">
        <v>2</v>
      </c>
      <c r="J133" s="4" t="n">
        <v>0</v>
      </c>
      <c r="K133" s="4" t="n">
        <v>0</v>
      </c>
      <c r="L133" s="11" t="b">
        <f aca="false">FALSE()</f>
        <v>0</v>
      </c>
    </row>
    <row r="134" customFormat="false" ht="15" hidden="false" customHeight="false" outlineLevel="0" collapsed="false">
      <c r="A134" s="4" t="s">
        <v>336</v>
      </c>
      <c r="B134" s="4" t="s">
        <v>100</v>
      </c>
      <c r="C134" s="4" t="s">
        <v>205</v>
      </c>
      <c r="D134" s="4" t="s">
        <v>206</v>
      </c>
      <c r="E134" s="4" t="n">
        <v>46249.6693055556</v>
      </c>
      <c r="F134" s="4" t="n">
        <v>71</v>
      </c>
      <c r="G134" s="4" t="n">
        <v>71</v>
      </c>
      <c r="H134" s="4" t="n">
        <v>67</v>
      </c>
      <c r="I134" s="4" t="n">
        <v>3</v>
      </c>
      <c r="J134" s="4" t="n">
        <v>0</v>
      </c>
      <c r="K134" s="4" t="n">
        <v>1</v>
      </c>
      <c r="L134" s="11" t="b">
        <f aca="false">FALSE()</f>
        <v>0</v>
      </c>
    </row>
    <row r="135" customFormat="false" ht="15" hidden="false" customHeight="false" outlineLevel="0" collapsed="false">
      <c r="A135" s="4" t="s">
        <v>337</v>
      </c>
      <c r="B135" s="4" t="s">
        <v>101</v>
      </c>
      <c r="C135" s="4" t="s">
        <v>205</v>
      </c>
      <c r="D135" s="4" t="s">
        <v>206</v>
      </c>
      <c r="E135" s="4" t="n">
        <v>46249.7542476852</v>
      </c>
      <c r="F135" s="4" t="n">
        <v>38</v>
      </c>
      <c r="G135" s="4" t="n">
        <v>38</v>
      </c>
      <c r="H135" s="4" t="n">
        <v>38</v>
      </c>
      <c r="I135" s="4" t="n">
        <v>0</v>
      </c>
      <c r="J135" s="4" t="n">
        <v>0</v>
      </c>
      <c r="K135" s="4" t="n">
        <v>0</v>
      </c>
      <c r="L135" s="11" t="b">
        <f aca="false">FALSE()</f>
        <v>0</v>
      </c>
    </row>
    <row r="136" customFormat="false" ht="15" hidden="false" customHeight="false" outlineLevel="0" collapsed="false">
      <c r="A136" s="4" t="s">
        <v>338</v>
      </c>
      <c r="B136" s="4" t="s">
        <v>104</v>
      </c>
      <c r="C136" s="4" t="s">
        <v>205</v>
      </c>
      <c r="D136" s="4" t="s">
        <v>206</v>
      </c>
      <c r="E136" s="4" t="n">
        <v>46249.7557407407</v>
      </c>
      <c r="F136" s="4" t="n">
        <v>21</v>
      </c>
      <c r="G136" s="4" t="n">
        <v>21</v>
      </c>
      <c r="H136" s="4" t="n">
        <v>18</v>
      </c>
      <c r="I136" s="4" t="n">
        <v>3</v>
      </c>
      <c r="J136" s="4" t="n">
        <v>0</v>
      </c>
      <c r="K136" s="4" t="n">
        <v>0</v>
      </c>
      <c r="L136" s="11" t="b">
        <f aca="false">FALSE()</f>
        <v>0</v>
      </c>
    </row>
    <row r="137" customFormat="false" ht="15" hidden="false" customHeight="false" outlineLevel="0" collapsed="false">
      <c r="A137" s="4" t="s">
        <v>339</v>
      </c>
      <c r="B137" s="4" t="s">
        <v>102</v>
      </c>
      <c r="C137" s="4" t="s">
        <v>205</v>
      </c>
      <c r="D137" s="4" t="s">
        <v>206</v>
      </c>
      <c r="E137" s="4" t="n">
        <v>46249.7963541667</v>
      </c>
      <c r="F137" s="4" t="n">
        <v>26</v>
      </c>
      <c r="G137" s="4" t="n">
        <v>26</v>
      </c>
      <c r="H137" s="4" t="n">
        <v>24</v>
      </c>
      <c r="I137" s="4" t="n">
        <v>2</v>
      </c>
      <c r="J137" s="4" t="n">
        <v>0</v>
      </c>
      <c r="K137" s="4" t="n">
        <v>0</v>
      </c>
      <c r="L137" s="11" t="b">
        <f aca="false">FALSE()</f>
        <v>0</v>
      </c>
    </row>
    <row r="138" customFormat="false" ht="15" hidden="false" customHeight="false" outlineLevel="0" collapsed="false">
      <c r="A138" s="4" t="s">
        <v>340</v>
      </c>
      <c r="B138" s="4" t="s">
        <v>100</v>
      </c>
      <c r="C138" s="4" t="s">
        <v>205</v>
      </c>
      <c r="D138" s="4" t="s">
        <v>206</v>
      </c>
      <c r="E138" s="4" t="n">
        <v>46249.836412037</v>
      </c>
      <c r="F138" s="4" t="n">
        <v>60</v>
      </c>
      <c r="G138" s="4" t="n">
        <v>60</v>
      </c>
      <c r="H138" s="4" t="n">
        <v>57</v>
      </c>
      <c r="I138" s="4" t="n">
        <v>2</v>
      </c>
      <c r="J138" s="4" t="n">
        <v>1</v>
      </c>
      <c r="K138" s="4" t="n">
        <v>0</v>
      </c>
      <c r="L138" s="11" t="b">
        <f aca="false">FALSE()</f>
        <v>0</v>
      </c>
    </row>
    <row r="139" customFormat="false" ht="15" hidden="false" customHeight="false" outlineLevel="0" collapsed="false">
      <c r="A139" s="4" t="s">
        <v>341</v>
      </c>
      <c r="B139" s="4" t="s">
        <v>103</v>
      </c>
      <c r="C139" s="4" t="s">
        <v>205</v>
      </c>
      <c r="D139" s="4" t="s">
        <v>206</v>
      </c>
      <c r="E139" s="4" t="n">
        <v>46249.8791782407</v>
      </c>
      <c r="F139" s="4" t="n">
        <v>3</v>
      </c>
      <c r="G139" s="4" t="n">
        <v>3</v>
      </c>
      <c r="H139" s="4" t="n">
        <v>0</v>
      </c>
      <c r="I139" s="4" t="n">
        <v>3</v>
      </c>
      <c r="J139" s="4" t="n">
        <v>0</v>
      </c>
      <c r="K139" s="4" t="n">
        <v>0</v>
      </c>
      <c r="L139" s="11" t="b">
        <f aca="false">FALSE()</f>
        <v>0</v>
      </c>
    </row>
    <row r="140" customFormat="false" ht="15" hidden="false" customHeight="false" outlineLevel="0" collapsed="false">
      <c r="A140" s="4" t="s">
        <v>342</v>
      </c>
      <c r="B140" s="4" t="s">
        <v>101</v>
      </c>
      <c r="C140" s="4" t="s">
        <v>205</v>
      </c>
      <c r="D140" s="4" t="s">
        <v>206</v>
      </c>
      <c r="E140" s="4" t="n">
        <v>46249.9209259259</v>
      </c>
      <c r="F140" s="4" t="n">
        <v>31</v>
      </c>
      <c r="G140" s="4" t="n">
        <v>31</v>
      </c>
      <c r="H140" s="4" t="n">
        <v>28</v>
      </c>
      <c r="I140" s="4" t="n">
        <v>3</v>
      </c>
      <c r="J140" s="4" t="n">
        <v>0</v>
      </c>
      <c r="K140" s="4" t="n">
        <v>0</v>
      </c>
      <c r="L140" s="11" t="b">
        <f aca="false">FALSE()</f>
        <v>0</v>
      </c>
    </row>
    <row r="141" customFormat="false" ht="15" hidden="false" customHeight="false" outlineLevel="0" collapsed="false">
      <c r="A141" s="4" t="s">
        <v>343</v>
      </c>
      <c r="B141" s="4" t="s">
        <v>100</v>
      </c>
      <c r="C141" s="4" t="s">
        <v>205</v>
      </c>
      <c r="D141" s="4" t="s">
        <v>206</v>
      </c>
      <c r="E141" s="4" t="n">
        <v>46250.0031712963</v>
      </c>
      <c r="F141" s="4" t="n">
        <v>33</v>
      </c>
      <c r="G141" s="4" t="n">
        <v>33</v>
      </c>
      <c r="H141" s="4" t="n">
        <v>30</v>
      </c>
      <c r="I141" s="4" t="n">
        <v>2</v>
      </c>
      <c r="J141" s="4" t="n">
        <v>0</v>
      </c>
      <c r="K141" s="4" t="n">
        <v>1</v>
      </c>
      <c r="L141" s="11" t="b">
        <f aca="false">FALSE()</f>
        <v>0</v>
      </c>
    </row>
    <row r="142" customFormat="false" ht="15" hidden="false" customHeight="false" outlineLevel="0" collapsed="false">
      <c r="A142" s="4" t="s">
        <v>344</v>
      </c>
      <c r="B142" s="4" t="s">
        <v>102</v>
      </c>
      <c r="C142" s="4" t="s">
        <v>205</v>
      </c>
      <c r="D142" s="4" t="s">
        <v>206</v>
      </c>
      <c r="E142" s="4" t="n">
        <v>46250.0466782407</v>
      </c>
      <c r="F142" s="4" t="n">
        <v>14</v>
      </c>
      <c r="G142" s="4" t="n">
        <v>14</v>
      </c>
      <c r="H142" s="4" t="n">
        <v>12</v>
      </c>
      <c r="I142" s="4" t="n">
        <v>2</v>
      </c>
      <c r="J142" s="4" t="n">
        <v>0</v>
      </c>
      <c r="K142" s="4" t="n">
        <v>0</v>
      </c>
      <c r="L142" s="11" t="b">
        <f aca="false">FALSE()</f>
        <v>0</v>
      </c>
    </row>
    <row r="143" customFormat="false" ht="15" hidden="false" customHeight="false" outlineLevel="0" collapsed="false">
      <c r="A143" s="4" t="s">
        <v>345</v>
      </c>
      <c r="B143" s="4" t="s">
        <v>101</v>
      </c>
      <c r="C143" s="4" t="s">
        <v>205</v>
      </c>
      <c r="D143" s="4" t="s">
        <v>206</v>
      </c>
      <c r="E143" s="4" t="n">
        <v>46250.0867476852</v>
      </c>
      <c r="F143" s="4" t="n">
        <v>15</v>
      </c>
      <c r="G143" s="4" t="n">
        <v>15</v>
      </c>
      <c r="H143" s="4" t="n">
        <v>12</v>
      </c>
      <c r="I143" s="4" t="n">
        <v>3</v>
      </c>
      <c r="J143" s="4" t="n">
        <v>0</v>
      </c>
      <c r="K143" s="4" t="n">
        <v>0</v>
      </c>
      <c r="L143" s="11" t="b">
        <f aca="false">FALSE()</f>
        <v>0</v>
      </c>
    </row>
    <row r="144" customFormat="false" ht="15" hidden="false" customHeight="false" outlineLevel="0" collapsed="false">
      <c r="A144" s="4" t="s">
        <v>346</v>
      </c>
      <c r="B144" s="4" t="s">
        <v>103</v>
      </c>
      <c r="C144" s="4" t="s">
        <v>205</v>
      </c>
      <c r="D144" s="4" t="s">
        <v>206</v>
      </c>
      <c r="E144" s="4" t="n">
        <v>46250.1304513889</v>
      </c>
      <c r="F144" s="4" t="n">
        <v>5</v>
      </c>
      <c r="G144" s="4" t="n">
        <v>5</v>
      </c>
      <c r="H144" s="4" t="n">
        <v>2</v>
      </c>
      <c r="I144" s="4" t="n">
        <v>3</v>
      </c>
      <c r="J144" s="4" t="n">
        <v>0</v>
      </c>
      <c r="K144" s="4" t="n">
        <v>0</v>
      </c>
      <c r="L144" s="11" t="b">
        <f aca="false">FALSE()</f>
        <v>0</v>
      </c>
    </row>
    <row r="145" customFormat="false" ht="15" hidden="false" customHeight="false" outlineLevel="0" collapsed="false">
      <c r="A145" s="4" t="s">
        <v>347</v>
      </c>
      <c r="B145" s="4" t="s">
        <v>100</v>
      </c>
      <c r="C145" s="4" t="s">
        <v>205</v>
      </c>
      <c r="D145" s="4" t="s">
        <v>206</v>
      </c>
      <c r="E145" s="4" t="n">
        <v>46250.1688194444</v>
      </c>
      <c r="F145" s="4" t="n">
        <v>12</v>
      </c>
      <c r="G145" s="4" t="n">
        <v>12</v>
      </c>
      <c r="H145" s="4" t="n">
        <v>11</v>
      </c>
      <c r="I145" s="4" t="n">
        <v>1</v>
      </c>
      <c r="J145" s="4" t="n">
        <v>0</v>
      </c>
      <c r="K145" s="4" t="n">
        <v>0</v>
      </c>
      <c r="L145" s="11" t="b">
        <f aca="false">FALSE()</f>
        <v>0</v>
      </c>
    </row>
    <row r="146" customFormat="false" ht="15" hidden="false" customHeight="false" outlineLevel="0" collapsed="false">
      <c r="A146" s="4" t="s">
        <v>348</v>
      </c>
      <c r="B146" s="4" t="s">
        <v>99</v>
      </c>
      <c r="C146" s="4" t="s">
        <v>205</v>
      </c>
      <c r="D146" s="4" t="s">
        <v>206</v>
      </c>
      <c r="E146" s="4" t="n">
        <v>46250.2142824074</v>
      </c>
      <c r="F146" s="4" t="n">
        <v>30</v>
      </c>
      <c r="G146" s="4" t="n">
        <v>30</v>
      </c>
      <c r="H146" s="4" t="n">
        <v>28</v>
      </c>
      <c r="I146" s="4" t="n">
        <v>1</v>
      </c>
      <c r="J146" s="4" t="n">
        <v>1</v>
      </c>
      <c r="K146" s="4" t="n">
        <v>0</v>
      </c>
      <c r="L146" s="11" t="b">
        <f aca="false">FALSE()</f>
        <v>0</v>
      </c>
    </row>
    <row r="147" customFormat="false" ht="15" hidden="false" customHeight="false" outlineLevel="0" collapsed="false">
      <c r="A147" s="4" t="s">
        <v>349</v>
      </c>
      <c r="B147" s="4" t="s">
        <v>101</v>
      </c>
      <c r="C147" s="4" t="s">
        <v>205</v>
      </c>
      <c r="D147" s="4" t="s">
        <v>206</v>
      </c>
      <c r="E147" s="4" t="n">
        <v>46250.2534375</v>
      </c>
      <c r="F147" s="4" t="n">
        <v>10</v>
      </c>
      <c r="G147" s="4" t="n">
        <v>10</v>
      </c>
      <c r="H147" s="4" t="n">
        <v>10</v>
      </c>
      <c r="I147" s="4" t="n">
        <v>0</v>
      </c>
      <c r="J147" s="4" t="n">
        <v>0</v>
      </c>
      <c r="K147" s="4" t="n">
        <v>0</v>
      </c>
      <c r="L147" s="11" t="b">
        <f aca="false">FALSE()</f>
        <v>0</v>
      </c>
    </row>
    <row r="148" customFormat="false" ht="15" hidden="false" customHeight="false" outlineLevel="0" collapsed="false">
      <c r="A148" s="4" t="s">
        <v>350</v>
      </c>
      <c r="B148" s="4" t="s">
        <v>104</v>
      </c>
      <c r="C148" s="4" t="s">
        <v>205</v>
      </c>
      <c r="D148" s="4" t="s">
        <v>206</v>
      </c>
      <c r="E148" s="4" t="n">
        <v>46250.2559953704</v>
      </c>
      <c r="F148" s="4" t="n">
        <v>7</v>
      </c>
      <c r="G148" s="4" t="n">
        <v>7</v>
      </c>
      <c r="H148" s="4" t="n">
        <v>5</v>
      </c>
      <c r="I148" s="4" t="n">
        <v>2</v>
      </c>
      <c r="J148" s="4" t="n">
        <v>0</v>
      </c>
      <c r="K148" s="4" t="n">
        <v>0</v>
      </c>
      <c r="L148" s="11" t="b">
        <f aca="false">FALSE()</f>
        <v>0</v>
      </c>
    </row>
    <row r="149" customFormat="false" ht="15" hidden="false" customHeight="false" outlineLevel="0" collapsed="false">
      <c r="A149" s="4" t="s">
        <v>351</v>
      </c>
      <c r="B149" s="4" t="s">
        <v>102</v>
      </c>
      <c r="C149" s="4" t="s">
        <v>205</v>
      </c>
      <c r="D149" s="4" t="s">
        <v>206</v>
      </c>
      <c r="E149" s="4" t="n">
        <v>46250.2965509259</v>
      </c>
      <c r="F149" s="4" t="n">
        <v>8</v>
      </c>
      <c r="G149" s="4" t="n">
        <v>8</v>
      </c>
      <c r="H149" s="4" t="n">
        <v>8</v>
      </c>
      <c r="I149" s="4" t="n">
        <v>0</v>
      </c>
      <c r="J149" s="4" t="n">
        <v>0</v>
      </c>
      <c r="K149" s="4" t="n">
        <v>0</v>
      </c>
      <c r="L149" s="11" t="b">
        <f aca="false">FALSE()</f>
        <v>0</v>
      </c>
    </row>
    <row r="150" customFormat="false" ht="15" hidden="false" customHeight="false" outlineLevel="0" collapsed="false">
      <c r="A150" s="4" t="s">
        <v>352</v>
      </c>
      <c r="B150" s="4" t="s">
        <v>100</v>
      </c>
      <c r="C150" s="4" t="s">
        <v>205</v>
      </c>
      <c r="D150" s="4" t="s">
        <v>206</v>
      </c>
      <c r="E150" s="4" t="n">
        <v>46250.336712963</v>
      </c>
      <c r="F150" s="4" t="n">
        <v>32</v>
      </c>
      <c r="G150" s="4" t="n">
        <v>32</v>
      </c>
      <c r="H150" s="4" t="n">
        <v>28</v>
      </c>
      <c r="I150" s="4" t="n">
        <v>3</v>
      </c>
      <c r="J150" s="4" t="n">
        <v>1</v>
      </c>
      <c r="K150" s="4" t="n">
        <v>0</v>
      </c>
      <c r="L150" s="11" t="b">
        <f aca="false">FALSE()</f>
        <v>0</v>
      </c>
    </row>
    <row r="151" customFormat="false" ht="15" hidden="false" customHeight="false" outlineLevel="0" collapsed="false">
      <c r="A151" s="4" t="s">
        <v>353</v>
      </c>
      <c r="B151" s="4" t="s">
        <v>103</v>
      </c>
      <c r="C151" s="4" t="s">
        <v>205</v>
      </c>
      <c r="D151" s="4" t="s">
        <v>206</v>
      </c>
      <c r="E151" s="4" t="n">
        <v>46250.3823611111</v>
      </c>
      <c r="F151" s="4" t="n">
        <v>10</v>
      </c>
      <c r="G151" s="4" t="n">
        <v>10</v>
      </c>
      <c r="H151" s="4" t="n">
        <v>10</v>
      </c>
      <c r="I151" s="4" t="n">
        <v>0</v>
      </c>
      <c r="J151" s="4" t="n">
        <v>0</v>
      </c>
      <c r="K151" s="4" t="n">
        <v>0</v>
      </c>
      <c r="L151" s="11" t="b">
        <f aca="false">FALSE()</f>
        <v>0</v>
      </c>
    </row>
    <row r="152" customFormat="false" ht="15" hidden="false" customHeight="false" outlineLevel="0" collapsed="false">
      <c r="A152" s="4" t="s">
        <v>354</v>
      </c>
      <c r="B152" s="4" t="s">
        <v>101</v>
      </c>
      <c r="C152" s="4" t="s">
        <v>205</v>
      </c>
      <c r="D152" s="4" t="s">
        <v>206</v>
      </c>
      <c r="E152" s="4" t="n">
        <v>46250.4209837963</v>
      </c>
      <c r="F152" s="4" t="n">
        <v>29</v>
      </c>
      <c r="G152" s="4" t="n">
        <v>29</v>
      </c>
      <c r="H152" s="4" t="n">
        <v>27</v>
      </c>
      <c r="I152" s="4" t="n">
        <v>2</v>
      </c>
      <c r="J152" s="4" t="n">
        <v>0</v>
      </c>
      <c r="K152" s="4" t="n">
        <v>0</v>
      </c>
      <c r="L152" s="11" t="b">
        <f aca="false">FALSE()</f>
        <v>0</v>
      </c>
    </row>
    <row r="153" customFormat="false" ht="15" hidden="false" customHeight="false" outlineLevel="0" collapsed="false">
      <c r="A153" s="4" t="s">
        <v>355</v>
      </c>
      <c r="B153" s="4" t="s">
        <v>100</v>
      </c>
      <c r="C153" s="4" t="s">
        <v>205</v>
      </c>
      <c r="D153" s="4" t="s">
        <v>206</v>
      </c>
      <c r="E153" s="4" t="n">
        <v>46250.5029861111</v>
      </c>
      <c r="F153" s="4" t="n">
        <v>62</v>
      </c>
      <c r="G153" s="4" t="n">
        <v>62</v>
      </c>
      <c r="H153" s="4" t="n">
        <v>59</v>
      </c>
      <c r="I153" s="4" t="n">
        <v>1</v>
      </c>
      <c r="J153" s="4" t="n">
        <v>2</v>
      </c>
      <c r="K153" s="4" t="n">
        <v>0</v>
      </c>
      <c r="L153" s="11" t="b">
        <f aca="false">FALSE()</f>
        <v>0</v>
      </c>
    </row>
    <row r="154" customFormat="false" ht="15" hidden="false" customHeight="false" outlineLevel="0" collapsed="false">
      <c r="A154" s="4" t="s">
        <v>356</v>
      </c>
      <c r="B154" s="4" t="s">
        <v>102</v>
      </c>
      <c r="C154" s="4" t="s">
        <v>205</v>
      </c>
      <c r="D154" s="4" t="s">
        <v>206</v>
      </c>
      <c r="E154" s="4" t="n">
        <v>46250.5468634259</v>
      </c>
      <c r="F154" s="4" t="n">
        <v>25</v>
      </c>
      <c r="G154" s="4" t="n">
        <v>25</v>
      </c>
      <c r="H154" s="4" t="n">
        <v>22</v>
      </c>
      <c r="I154" s="4" t="n">
        <v>3</v>
      </c>
      <c r="J154" s="4" t="n">
        <v>0</v>
      </c>
      <c r="K154" s="4" t="n">
        <v>0</v>
      </c>
      <c r="L154" s="11" t="b">
        <f aca="false">FALSE()</f>
        <v>0</v>
      </c>
    </row>
    <row r="155" customFormat="false" ht="15" hidden="false" customHeight="false" outlineLevel="0" collapsed="false">
      <c r="A155" s="4" t="s">
        <v>357</v>
      </c>
      <c r="B155" s="4" t="s">
        <v>101</v>
      </c>
      <c r="C155" s="4" t="s">
        <v>205</v>
      </c>
      <c r="D155" s="4" t="s">
        <v>206</v>
      </c>
      <c r="E155" s="4" t="n">
        <v>46250.5871064815</v>
      </c>
      <c r="F155" s="4" t="n">
        <v>44</v>
      </c>
      <c r="G155" s="4" t="n">
        <v>44</v>
      </c>
      <c r="H155" s="4" t="n">
        <v>42</v>
      </c>
      <c r="I155" s="4" t="n">
        <v>1</v>
      </c>
      <c r="J155" s="4" t="n">
        <v>1</v>
      </c>
      <c r="K155" s="4" t="n">
        <v>0</v>
      </c>
      <c r="L155" s="11" t="b">
        <f aca="false">FALSE()</f>
        <v>0</v>
      </c>
    </row>
    <row r="156" customFormat="false" ht="15" hidden="false" customHeight="false" outlineLevel="0" collapsed="false">
      <c r="A156" s="4" t="s">
        <v>358</v>
      </c>
      <c r="B156" s="4" t="s">
        <v>103</v>
      </c>
      <c r="C156" s="4" t="s">
        <v>205</v>
      </c>
      <c r="D156" s="4" t="s">
        <v>206</v>
      </c>
      <c r="E156" s="4" t="n">
        <v>46250.6304050926</v>
      </c>
      <c r="F156" s="4" t="n">
        <v>24</v>
      </c>
      <c r="G156" s="4" t="n">
        <v>24</v>
      </c>
      <c r="H156" s="4" t="n">
        <v>20</v>
      </c>
      <c r="I156" s="4" t="n">
        <v>3</v>
      </c>
      <c r="J156" s="4" t="n">
        <v>1</v>
      </c>
      <c r="K156" s="4" t="n">
        <v>0</v>
      </c>
      <c r="L156" s="11" t="b">
        <f aca="false">FALSE()</f>
        <v>0</v>
      </c>
    </row>
    <row r="157" customFormat="false" ht="15" hidden="false" customHeight="false" outlineLevel="0" collapsed="false">
      <c r="A157" s="4" t="s">
        <v>359</v>
      </c>
      <c r="B157" s="4" t="s">
        <v>100</v>
      </c>
      <c r="C157" s="4" t="s">
        <v>205</v>
      </c>
      <c r="D157" s="4" t="s">
        <v>206</v>
      </c>
      <c r="E157" s="4" t="n">
        <v>46250.6688425926</v>
      </c>
      <c r="F157" s="4" t="n">
        <v>66</v>
      </c>
      <c r="G157" s="4" t="n">
        <v>66</v>
      </c>
      <c r="H157" s="4" t="n">
        <v>63</v>
      </c>
      <c r="I157" s="4" t="n">
        <v>2</v>
      </c>
      <c r="J157" s="4" t="n">
        <v>1</v>
      </c>
      <c r="K157" s="4" t="n">
        <v>0</v>
      </c>
      <c r="L157" s="11" t="b">
        <f aca="false">FALSE()</f>
        <v>0</v>
      </c>
    </row>
    <row r="158" customFormat="false" ht="15" hidden="false" customHeight="false" outlineLevel="0" collapsed="false">
      <c r="A158" s="4" t="s">
        <v>360</v>
      </c>
      <c r="B158" s="4" t="s">
        <v>101</v>
      </c>
      <c r="C158" s="4" t="s">
        <v>205</v>
      </c>
      <c r="D158" s="4" t="s">
        <v>206</v>
      </c>
      <c r="E158" s="4" t="n">
        <v>46250.7536921296</v>
      </c>
      <c r="F158" s="4" t="n">
        <v>40</v>
      </c>
      <c r="G158" s="4" t="n">
        <v>40</v>
      </c>
      <c r="H158" s="4" t="n">
        <v>37</v>
      </c>
      <c r="I158" s="4" t="n">
        <v>3</v>
      </c>
      <c r="J158" s="4" t="n">
        <v>0</v>
      </c>
      <c r="K158" s="4" t="n">
        <v>0</v>
      </c>
      <c r="L158" s="11" t="b">
        <f aca="false">FALSE()</f>
        <v>0</v>
      </c>
    </row>
    <row r="159" customFormat="false" ht="15" hidden="false" customHeight="false" outlineLevel="0" collapsed="false">
      <c r="A159" s="4" t="s">
        <v>361</v>
      </c>
      <c r="B159" s="4" t="s">
        <v>104</v>
      </c>
      <c r="C159" s="4" t="s">
        <v>205</v>
      </c>
      <c r="D159" s="4" t="s">
        <v>206</v>
      </c>
      <c r="E159" s="4" t="n">
        <v>46250.75625</v>
      </c>
      <c r="F159" s="4" t="n">
        <v>21</v>
      </c>
      <c r="G159" s="4" t="n">
        <v>21</v>
      </c>
      <c r="H159" s="4" t="n">
        <v>20</v>
      </c>
      <c r="I159" s="4" t="n">
        <v>1</v>
      </c>
      <c r="J159" s="4" t="n">
        <v>0</v>
      </c>
      <c r="K159" s="4" t="n">
        <v>0</v>
      </c>
      <c r="L159" s="11" t="b">
        <f aca="false">FALSE()</f>
        <v>0</v>
      </c>
    </row>
    <row r="160" customFormat="false" ht="15" hidden="false" customHeight="false" outlineLevel="0" collapsed="false">
      <c r="A160" s="4" t="s">
        <v>362</v>
      </c>
      <c r="B160" s="4" t="s">
        <v>102</v>
      </c>
      <c r="C160" s="4" t="s">
        <v>205</v>
      </c>
      <c r="D160" s="4" t="s">
        <v>206</v>
      </c>
      <c r="E160" s="4" t="n">
        <v>46250.7959143519</v>
      </c>
      <c r="F160" s="4" t="n">
        <v>25</v>
      </c>
      <c r="G160" s="4" t="n">
        <v>25</v>
      </c>
      <c r="H160" s="4" t="n">
        <v>23</v>
      </c>
      <c r="I160" s="4" t="n">
        <v>2</v>
      </c>
      <c r="J160" s="4" t="n">
        <v>0</v>
      </c>
      <c r="K160" s="4" t="n">
        <v>0</v>
      </c>
      <c r="L160" s="11" t="b">
        <f aca="false">FALSE()</f>
        <v>0</v>
      </c>
    </row>
    <row r="161" customFormat="false" ht="15" hidden="false" customHeight="false" outlineLevel="0" collapsed="false">
      <c r="A161" s="4" t="s">
        <v>363</v>
      </c>
      <c r="B161" s="4" t="s">
        <v>100</v>
      </c>
      <c r="C161" s="4" t="s">
        <v>205</v>
      </c>
      <c r="D161" s="4" t="s">
        <v>206</v>
      </c>
      <c r="E161" s="4" t="n">
        <v>46250.8365740741</v>
      </c>
      <c r="F161" s="4" t="n">
        <v>59</v>
      </c>
      <c r="G161" s="4" t="n">
        <v>59</v>
      </c>
      <c r="H161" s="4" t="n">
        <v>56</v>
      </c>
      <c r="I161" s="4" t="n">
        <v>3</v>
      </c>
      <c r="J161" s="4" t="n">
        <v>0</v>
      </c>
      <c r="K161" s="4" t="n">
        <v>0</v>
      </c>
      <c r="L161" s="11" t="b">
        <f aca="false">FALSE()</f>
        <v>0</v>
      </c>
    </row>
    <row r="162" customFormat="false" ht="15" hidden="false" customHeight="false" outlineLevel="0" collapsed="false">
      <c r="A162" s="4" t="s">
        <v>364</v>
      </c>
      <c r="B162" s="4" t="s">
        <v>103</v>
      </c>
      <c r="C162" s="4" t="s">
        <v>205</v>
      </c>
      <c r="D162" s="4" t="s">
        <v>206</v>
      </c>
      <c r="E162" s="4" t="n">
        <v>46250.8792939815</v>
      </c>
      <c r="F162" s="4" t="n">
        <v>22</v>
      </c>
      <c r="G162" s="4" t="n">
        <v>22</v>
      </c>
      <c r="H162" s="4" t="n">
        <v>20</v>
      </c>
      <c r="I162" s="4" t="n">
        <v>2</v>
      </c>
      <c r="J162" s="4" t="n">
        <v>0</v>
      </c>
      <c r="K162" s="4" t="n">
        <v>0</v>
      </c>
      <c r="L162" s="11" t="b">
        <f aca="false">FALSE()</f>
        <v>0</v>
      </c>
    </row>
    <row r="163" customFormat="false" ht="15" hidden="false" customHeight="false" outlineLevel="0" collapsed="false">
      <c r="A163" s="4" t="s">
        <v>365</v>
      </c>
      <c r="B163" s="4" t="s">
        <v>101</v>
      </c>
      <c r="C163" s="4" t="s">
        <v>205</v>
      </c>
      <c r="D163" s="4" t="s">
        <v>206</v>
      </c>
      <c r="E163" s="4" t="n">
        <v>46250.9195717593</v>
      </c>
      <c r="F163" s="4" t="n">
        <v>32</v>
      </c>
      <c r="G163" s="4" t="n">
        <v>32</v>
      </c>
      <c r="H163" s="4" t="n">
        <v>30</v>
      </c>
      <c r="I163" s="4" t="n">
        <v>1</v>
      </c>
      <c r="J163" s="4" t="n">
        <v>1</v>
      </c>
      <c r="K163" s="4" t="n">
        <v>0</v>
      </c>
      <c r="L163" s="11" t="b">
        <f aca="false">FALSE()</f>
        <v>0</v>
      </c>
    </row>
    <row r="164" customFormat="false" ht="15" hidden="false" customHeight="false" outlineLevel="0" collapsed="false">
      <c r="A164" s="4" t="s">
        <v>366</v>
      </c>
      <c r="B164" s="4" t="s">
        <v>100</v>
      </c>
      <c r="C164" s="4" t="s">
        <v>205</v>
      </c>
      <c r="D164" s="4" t="s">
        <v>206</v>
      </c>
      <c r="E164" s="4" t="n">
        <v>46251.0037962963</v>
      </c>
      <c r="F164" s="4" t="n">
        <v>37</v>
      </c>
      <c r="G164" s="4" t="n">
        <v>37</v>
      </c>
      <c r="H164" s="4" t="n">
        <v>36</v>
      </c>
      <c r="I164" s="4" t="n">
        <v>1</v>
      </c>
      <c r="J164" s="4" t="n">
        <v>0</v>
      </c>
      <c r="K164" s="4" t="n">
        <v>0</v>
      </c>
      <c r="L164" s="11" t="b">
        <f aca="false">FALSE()</f>
        <v>0</v>
      </c>
    </row>
    <row r="165" customFormat="false" ht="15" hidden="false" customHeight="false" outlineLevel="0" collapsed="false">
      <c r="A165" s="4" t="s">
        <v>367</v>
      </c>
      <c r="B165" s="4" t="s">
        <v>102</v>
      </c>
      <c r="C165" s="4" t="s">
        <v>205</v>
      </c>
      <c r="D165" s="4" t="s">
        <v>206</v>
      </c>
      <c r="E165" s="4" t="n">
        <v>46251.0455439815</v>
      </c>
      <c r="F165" s="4" t="n">
        <v>13</v>
      </c>
      <c r="G165" s="4" t="n">
        <v>13</v>
      </c>
      <c r="H165" s="4" t="n">
        <v>13</v>
      </c>
      <c r="I165" s="4" t="n">
        <v>0</v>
      </c>
      <c r="J165" s="4" t="n">
        <v>0</v>
      </c>
      <c r="K165" s="4" t="n">
        <v>0</v>
      </c>
      <c r="L165" s="11" t="b">
        <f aca="false">FALSE()</f>
        <v>0</v>
      </c>
    </row>
    <row r="166" customFormat="false" ht="15" hidden="false" customHeight="false" outlineLevel="0" collapsed="false">
      <c r="A166" s="4" t="s">
        <v>368</v>
      </c>
      <c r="B166" s="4" t="s">
        <v>101</v>
      </c>
      <c r="C166" s="4" t="s">
        <v>205</v>
      </c>
      <c r="D166" s="4" t="s">
        <v>206</v>
      </c>
      <c r="E166" s="4" t="n">
        <v>46251.0863425926</v>
      </c>
      <c r="F166" s="4" t="n">
        <v>14</v>
      </c>
      <c r="G166" s="4" t="n">
        <v>14</v>
      </c>
      <c r="H166" s="4" t="n">
        <v>12</v>
      </c>
      <c r="I166" s="4" t="n">
        <v>2</v>
      </c>
      <c r="J166" s="4" t="n">
        <v>0</v>
      </c>
      <c r="K166" s="4" t="n">
        <v>0</v>
      </c>
      <c r="L166" s="11" t="b">
        <f aca="false">FALSE()</f>
        <v>0</v>
      </c>
    </row>
    <row r="167" customFormat="false" ht="15" hidden="false" customHeight="false" outlineLevel="0" collapsed="false">
      <c r="A167" s="4" t="s">
        <v>369</v>
      </c>
      <c r="B167" s="4" t="s">
        <v>103</v>
      </c>
      <c r="C167" s="4" t="s">
        <v>205</v>
      </c>
      <c r="D167" s="4" t="s">
        <v>206</v>
      </c>
      <c r="E167" s="4" t="n">
        <v>46251.1295833333</v>
      </c>
      <c r="F167" s="4" t="n">
        <v>10</v>
      </c>
      <c r="G167" s="4" t="n">
        <v>10</v>
      </c>
      <c r="H167" s="4" t="n">
        <v>8</v>
      </c>
      <c r="I167" s="4" t="n">
        <v>2</v>
      </c>
      <c r="J167" s="4" t="n">
        <v>0</v>
      </c>
      <c r="K167" s="4" t="n">
        <v>0</v>
      </c>
      <c r="L167" s="11" t="b">
        <f aca="false">FALSE()</f>
        <v>0</v>
      </c>
    </row>
    <row r="168" customFormat="false" ht="15" hidden="false" customHeight="false" outlineLevel="0" collapsed="false">
      <c r="A168" s="4" t="s">
        <v>370</v>
      </c>
      <c r="B168" s="4" t="s">
        <v>100</v>
      </c>
      <c r="C168" s="4" t="s">
        <v>371</v>
      </c>
      <c r="D168" s="4" t="s">
        <v>371</v>
      </c>
      <c r="E168" s="4" t="n">
        <v>46251.1691087963</v>
      </c>
      <c r="F168" s="4" t="n">
        <v>18</v>
      </c>
      <c r="G168" s="4" t="n">
        <v>0</v>
      </c>
      <c r="H168" s="4" t="n">
        <v>0</v>
      </c>
      <c r="I168" s="4" t="n">
        <v>0</v>
      </c>
      <c r="J168" s="4" t="n">
        <v>0</v>
      </c>
      <c r="K168" s="4" t="n">
        <v>0</v>
      </c>
      <c r="L168" s="11" t="b">
        <f aca="false">FALSE()</f>
        <v>0</v>
      </c>
    </row>
    <row r="169" customFormat="false" ht="15" hidden="false" customHeight="false" outlineLevel="0" collapsed="false">
      <c r="A169" s="4" t="s">
        <v>372</v>
      </c>
      <c r="B169" s="4" t="s">
        <v>100</v>
      </c>
      <c r="C169" s="4" t="s">
        <v>205</v>
      </c>
      <c r="D169" s="4" t="s">
        <v>373</v>
      </c>
      <c r="E169" s="4" t="n">
        <v>46251.1846875</v>
      </c>
      <c r="F169" s="4" t="n">
        <v>18</v>
      </c>
      <c r="G169" s="4" t="n">
        <v>18</v>
      </c>
      <c r="H169" s="4" t="n">
        <v>15</v>
      </c>
      <c r="I169" s="4" t="n">
        <v>3</v>
      </c>
      <c r="J169" s="4" t="n">
        <v>0</v>
      </c>
      <c r="K169" s="4" t="n">
        <v>0</v>
      </c>
      <c r="L169" s="11" t="b">
        <f aca="false">FALSE()</f>
        <v>0</v>
      </c>
    </row>
    <row r="170" customFormat="false" ht="15" hidden="false" customHeight="false" outlineLevel="0" collapsed="false">
      <c r="A170" s="4" t="s">
        <v>374</v>
      </c>
      <c r="B170" s="4" t="s">
        <v>99</v>
      </c>
      <c r="C170" s="4" t="s">
        <v>205</v>
      </c>
      <c r="D170" s="4" t="s">
        <v>206</v>
      </c>
      <c r="E170" s="4" t="n">
        <v>46251.2137384259</v>
      </c>
      <c r="F170" s="4" t="n">
        <v>31</v>
      </c>
      <c r="G170" s="4" t="n">
        <v>31</v>
      </c>
      <c r="H170" s="4" t="n">
        <v>28</v>
      </c>
      <c r="I170" s="4" t="n">
        <v>3</v>
      </c>
      <c r="J170" s="4" t="n">
        <v>0</v>
      </c>
      <c r="K170" s="4" t="n">
        <v>0</v>
      </c>
      <c r="L170" s="11" t="b">
        <f aca="false">FALSE()</f>
        <v>0</v>
      </c>
    </row>
    <row r="171" customFormat="false" ht="15" hidden="false" customHeight="false" outlineLevel="0" collapsed="false">
      <c r="A171" s="4" t="s">
        <v>375</v>
      </c>
      <c r="B171" s="4" t="s">
        <v>101</v>
      </c>
      <c r="C171" s="4" t="s">
        <v>205</v>
      </c>
      <c r="D171" s="4" t="s">
        <v>206</v>
      </c>
      <c r="E171" s="4" t="n">
        <v>46251.2541319444</v>
      </c>
      <c r="F171" s="4" t="n">
        <v>11</v>
      </c>
      <c r="G171" s="4" t="n">
        <v>11</v>
      </c>
      <c r="H171" s="4" t="n">
        <v>11</v>
      </c>
      <c r="I171" s="4" t="n">
        <v>0</v>
      </c>
      <c r="J171" s="4" t="n">
        <v>0</v>
      </c>
      <c r="K171" s="4" t="n">
        <v>0</v>
      </c>
      <c r="L171" s="11" t="b">
        <f aca="false">FALSE()</f>
        <v>0</v>
      </c>
    </row>
    <row r="172" customFormat="false" ht="15" hidden="false" customHeight="false" outlineLevel="0" collapsed="false">
      <c r="A172" s="4" t="s">
        <v>376</v>
      </c>
      <c r="B172" s="4" t="s">
        <v>104</v>
      </c>
      <c r="C172" s="4" t="s">
        <v>205</v>
      </c>
      <c r="D172" s="4" t="s">
        <v>206</v>
      </c>
      <c r="E172" s="4" t="n">
        <v>46251.256412037</v>
      </c>
      <c r="F172" s="4" t="n">
        <v>13</v>
      </c>
      <c r="G172" s="4" t="n">
        <v>13</v>
      </c>
      <c r="H172" s="4" t="n">
        <v>10</v>
      </c>
      <c r="I172" s="4" t="n">
        <v>3</v>
      </c>
      <c r="J172" s="4" t="n">
        <v>0</v>
      </c>
      <c r="K172" s="4" t="n">
        <v>0</v>
      </c>
      <c r="L172" s="11" t="b">
        <f aca="false">FALSE()</f>
        <v>0</v>
      </c>
    </row>
    <row r="173" customFormat="false" ht="15" hidden="false" customHeight="false" outlineLevel="0" collapsed="false">
      <c r="A173" s="4" t="s">
        <v>377</v>
      </c>
      <c r="B173" s="4" t="s">
        <v>102</v>
      </c>
      <c r="C173" s="4" t="s">
        <v>205</v>
      </c>
      <c r="D173" s="4" t="s">
        <v>206</v>
      </c>
      <c r="E173" s="4" t="n">
        <v>46251.2967013889</v>
      </c>
      <c r="F173" s="4" t="n">
        <v>9</v>
      </c>
      <c r="G173" s="4" t="n">
        <v>9</v>
      </c>
      <c r="H173" s="4" t="n">
        <v>8</v>
      </c>
      <c r="I173" s="4" t="n">
        <v>1</v>
      </c>
      <c r="J173" s="4" t="n">
        <v>0</v>
      </c>
      <c r="K173" s="4" t="n">
        <v>0</v>
      </c>
      <c r="L173" s="11" t="b">
        <f aca="false">FALSE()</f>
        <v>0</v>
      </c>
    </row>
    <row r="174" customFormat="false" ht="15" hidden="false" customHeight="false" outlineLevel="0" collapsed="false">
      <c r="A174" s="4" t="s">
        <v>378</v>
      </c>
      <c r="B174" s="4" t="s">
        <v>100</v>
      </c>
      <c r="C174" s="4" t="s">
        <v>205</v>
      </c>
      <c r="D174" s="4" t="s">
        <v>206</v>
      </c>
      <c r="E174" s="4" t="n">
        <v>46251.3363310185</v>
      </c>
      <c r="F174" s="4" t="n">
        <v>36</v>
      </c>
      <c r="G174" s="4" t="n">
        <v>36</v>
      </c>
      <c r="H174" s="4" t="n">
        <v>33</v>
      </c>
      <c r="I174" s="4" t="n">
        <v>2</v>
      </c>
      <c r="J174" s="4" t="n">
        <v>0</v>
      </c>
      <c r="K174" s="4" t="n">
        <v>1</v>
      </c>
      <c r="L174" s="11" t="b">
        <f aca="false">FALSE()</f>
        <v>0</v>
      </c>
    </row>
    <row r="175" customFormat="false" ht="15" hidden="false" customHeight="false" outlineLevel="0" collapsed="false">
      <c r="A175" s="4" t="s">
        <v>379</v>
      </c>
      <c r="B175" s="4" t="s">
        <v>103</v>
      </c>
      <c r="C175" s="4" t="s">
        <v>205</v>
      </c>
      <c r="D175" s="4" t="s">
        <v>206</v>
      </c>
      <c r="E175" s="4" t="n">
        <v>46251.3797106482</v>
      </c>
      <c r="F175" s="4" t="n">
        <v>16</v>
      </c>
      <c r="G175" s="4" t="n">
        <v>16</v>
      </c>
      <c r="H175" s="4" t="n">
        <v>14</v>
      </c>
      <c r="I175" s="4" t="n">
        <v>2</v>
      </c>
      <c r="J175" s="4" t="n">
        <v>0</v>
      </c>
      <c r="K175" s="4" t="n">
        <v>0</v>
      </c>
      <c r="L175" s="11" t="b">
        <f aca="false">FALSE()</f>
        <v>0</v>
      </c>
    </row>
    <row r="176" customFormat="false" ht="15" hidden="false" customHeight="false" outlineLevel="0" collapsed="false">
      <c r="A176" s="4" t="s">
        <v>380</v>
      </c>
      <c r="B176" s="4" t="s">
        <v>101</v>
      </c>
      <c r="C176" s="4" t="s">
        <v>205</v>
      </c>
      <c r="D176" s="4" t="s">
        <v>206</v>
      </c>
      <c r="E176" s="4" t="n">
        <v>46251.4199074074</v>
      </c>
      <c r="F176" s="4" t="n">
        <v>38</v>
      </c>
      <c r="G176" s="4" t="n">
        <v>38</v>
      </c>
      <c r="H176" s="4" t="n">
        <v>38</v>
      </c>
      <c r="I176" s="4" t="n">
        <v>0</v>
      </c>
      <c r="J176" s="4" t="n">
        <v>0</v>
      </c>
      <c r="K176" s="4" t="n">
        <v>0</v>
      </c>
      <c r="L176" s="11" t="b">
        <f aca="false">FALSE()</f>
        <v>0</v>
      </c>
    </row>
    <row r="177" customFormat="false" ht="15" hidden="false" customHeight="false" outlineLevel="0" collapsed="false">
      <c r="A177" s="4" t="s">
        <v>381</v>
      </c>
      <c r="B177" s="4" t="s">
        <v>100</v>
      </c>
      <c r="C177" s="4" t="s">
        <v>205</v>
      </c>
      <c r="D177" s="4" t="s">
        <v>206</v>
      </c>
      <c r="E177" s="4" t="n">
        <v>46251.5024768519</v>
      </c>
      <c r="F177" s="4" t="n">
        <v>74</v>
      </c>
      <c r="G177" s="4" t="n">
        <v>74</v>
      </c>
      <c r="H177" s="4" t="n">
        <v>72</v>
      </c>
      <c r="I177" s="4" t="n">
        <v>1</v>
      </c>
      <c r="J177" s="4" t="n">
        <v>0</v>
      </c>
      <c r="K177" s="4" t="n">
        <v>1</v>
      </c>
      <c r="L177" s="11" t="b">
        <f aca="false">FALSE()</f>
        <v>0</v>
      </c>
    </row>
    <row r="178" customFormat="false" ht="15" hidden="false" customHeight="false" outlineLevel="0" collapsed="false">
      <c r="A178" s="4" t="s">
        <v>382</v>
      </c>
      <c r="B178" s="4" t="s">
        <v>102</v>
      </c>
      <c r="C178" s="4" t="s">
        <v>205</v>
      </c>
      <c r="D178" s="4" t="s">
        <v>206</v>
      </c>
      <c r="E178" s="4" t="n">
        <v>46251.5465162037</v>
      </c>
      <c r="F178" s="4" t="n">
        <v>26</v>
      </c>
      <c r="G178" s="4" t="n">
        <v>26</v>
      </c>
      <c r="H178" s="4" t="n">
        <v>26</v>
      </c>
      <c r="I178" s="4" t="n">
        <v>0</v>
      </c>
      <c r="J178" s="4" t="n">
        <v>0</v>
      </c>
      <c r="K178" s="4" t="n">
        <v>0</v>
      </c>
      <c r="L178" s="11" t="b">
        <f aca="false">FALSE()</f>
        <v>0</v>
      </c>
    </row>
    <row r="179" customFormat="false" ht="15" hidden="false" customHeight="false" outlineLevel="0" collapsed="false">
      <c r="A179" s="4" t="s">
        <v>383</v>
      </c>
      <c r="B179" s="4" t="s">
        <v>101</v>
      </c>
      <c r="C179" s="4" t="s">
        <v>205</v>
      </c>
      <c r="D179" s="4" t="s">
        <v>206</v>
      </c>
      <c r="E179" s="4" t="n">
        <v>46251.5873263889</v>
      </c>
      <c r="F179" s="4" t="n">
        <v>51</v>
      </c>
      <c r="G179" s="4" t="n">
        <v>51</v>
      </c>
      <c r="H179" s="4" t="n">
        <v>50</v>
      </c>
      <c r="I179" s="4" t="n">
        <v>0</v>
      </c>
      <c r="J179" s="4" t="n">
        <v>1</v>
      </c>
      <c r="K179" s="4" t="n">
        <v>0</v>
      </c>
      <c r="L179" s="11" t="b">
        <f aca="false">FALSE()</f>
        <v>0</v>
      </c>
    </row>
    <row r="180" customFormat="false" ht="15" hidden="false" customHeight="false" outlineLevel="0" collapsed="false">
      <c r="A180" s="4" t="s">
        <v>384</v>
      </c>
      <c r="B180" s="4" t="s">
        <v>103</v>
      </c>
      <c r="C180" s="4" t="s">
        <v>205</v>
      </c>
      <c r="D180" s="4" t="s">
        <v>206</v>
      </c>
      <c r="E180" s="4" t="n">
        <v>46251.6320486111</v>
      </c>
      <c r="F180" s="4" t="n">
        <v>33</v>
      </c>
      <c r="G180" s="4" t="n">
        <v>33</v>
      </c>
      <c r="H180" s="4" t="n">
        <v>31</v>
      </c>
      <c r="I180" s="4" t="n">
        <v>2</v>
      </c>
      <c r="J180" s="4" t="n">
        <v>0</v>
      </c>
      <c r="K180" s="4" t="n">
        <v>0</v>
      </c>
      <c r="L180" s="11" t="b">
        <f aca="false">FALSE()</f>
        <v>0</v>
      </c>
    </row>
    <row r="181" customFormat="false" ht="15" hidden="false" customHeight="false" outlineLevel="0" collapsed="false">
      <c r="A181" s="4" t="s">
        <v>385</v>
      </c>
      <c r="B181" s="4" t="s">
        <v>100</v>
      </c>
      <c r="C181" s="4" t="s">
        <v>205</v>
      </c>
      <c r="D181" s="4" t="s">
        <v>206</v>
      </c>
      <c r="E181" s="4" t="n">
        <v>46251.6687847222</v>
      </c>
      <c r="F181" s="4" t="n">
        <v>81</v>
      </c>
      <c r="G181" s="4" t="n">
        <v>81</v>
      </c>
      <c r="H181" s="4" t="n">
        <v>81</v>
      </c>
      <c r="I181" s="4" t="n">
        <v>0</v>
      </c>
      <c r="J181" s="4" t="n">
        <v>0</v>
      </c>
      <c r="K181" s="4" t="n">
        <v>0</v>
      </c>
      <c r="L181" s="11" t="b">
        <f aca="false">FALSE()</f>
        <v>0</v>
      </c>
    </row>
    <row r="182" customFormat="false" ht="15" hidden="false" customHeight="false" outlineLevel="0" collapsed="false">
      <c r="A182" s="4" t="s">
        <v>386</v>
      </c>
      <c r="B182" s="4" t="s">
        <v>101</v>
      </c>
      <c r="C182" s="4" t="s">
        <v>205</v>
      </c>
      <c r="D182" s="4" t="s">
        <v>206</v>
      </c>
      <c r="E182" s="4" t="n">
        <v>46251.7540277778</v>
      </c>
      <c r="F182" s="4" t="n">
        <v>46</v>
      </c>
      <c r="G182" s="4" t="n">
        <v>46</v>
      </c>
      <c r="H182" s="4" t="n">
        <v>46</v>
      </c>
      <c r="I182" s="4" t="n">
        <v>0</v>
      </c>
      <c r="J182" s="4" t="n">
        <v>0</v>
      </c>
      <c r="K182" s="4" t="n">
        <v>0</v>
      </c>
      <c r="L182" s="11" t="b">
        <f aca="false">FALSE()</f>
        <v>0</v>
      </c>
    </row>
    <row r="183" customFormat="false" ht="15" hidden="false" customHeight="false" outlineLevel="0" collapsed="false">
      <c r="A183" s="4" t="s">
        <v>387</v>
      </c>
      <c r="B183" s="4" t="s">
        <v>104</v>
      </c>
      <c r="C183" s="4" t="s">
        <v>205</v>
      </c>
      <c r="D183" s="4" t="s">
        <v>206</v>
      </c>
      <c r="E183" s="4" t="n">
        <v>46251.7558564815</v>
      </c>
      <c r="F183" s="4" t="n">
        <v>26</v>
      </c>
      <c r="G183" s="4" t="n">
        <v>26</v>
      </c>
      <c r="H183" s="4" t="n">
        <v>23</v>
      </c>
      <c r="I183" s="4" t="n">
        <v>3</v>
      </c>
      <c r="J183" s="4" t="n">
        <v>0</v>
      </c>
      <c r="K183" s="4" t="n">
        <v>0</v>
      </c>
      <c r="L183" s="11" t="b">
        <f aca="false">FALSE()</f>
        <v>0</v>
      </c>
    </row>
    <row r="184" customFormat="false" ht="15" hidden="false" customHeight="false" outlineLevel="0" collapsed="false">
      <c r="A184" s="4" t="s">
        <v>388</v>
      </c>
      <c r="B184" s="4" t="s">
        <v>102</v>
      </c>
      <c r="C184" s="4" t="s">
        <v>205</v>
      </c>
      <c r="D184" s="4" t="s">
        <v>206</v>
      </c>
      <c r="E184" s="4" t="n">
        <v>46251.7966898148</v>
      </c>
      <c r="F184" s="4" t="n">
        <v>32</v>
      </c>
      <c r="G184" s="4" t="n">
        <v>32</v>
      </c>
      <c r="H184" s="4" t="n">
        <v>29</v>
      </c>
      <c r="I184" s="4" t="n">
        <v>3</v>
      </c>
      <c r="J184" s="4" t="n">
        <v>0</v>
      </c>
      <c r="K184" s="4" t="n">
        <v>0</v>
      </c>
      <c r="L184" s="11" t="b">
        <f aca="false">FALSE()</f>
        <v>0</v>
      </c>
    </row>
    <row r="185" customFormat="false" ht="15" hidden="false" customHeight="false" outlineLevel="0" collapsed="false">
      <c r="A185" s="4" t="s">
        <v>389</v>
      </c>
      <c r="B185" s="4" t="s">
        <v>100</v>
      </c>
      <c r="C185" s="4" t="s">
        <v>205</v>
      </c>
      <c r="D185" s="4" t="s">
        <v>206</v>
      </c>
      <c r="E185" s="4" t="n">
        <v>46251.8359953704</v>
      </c>
      <c r="F185" s="4" t="n">
        <v>66</v>
      </c>
      <c r="G185" s="4" t="n">
        <v>66</v>
      </c>
      <c r="H185" s="4" t="n">
        <v>64</v>
      </c>
      <c r="I185" s="4" t="n">
        <v>1</v>
      </c>
      <c r="J185" s="4" t="n">
        <v>1</v>
      </c>
      <c r="K185" s="4" t="n">
        <v>0</v>
      </c>
      <c r="L185" s="11" t="b">
        <f aca="false">FALSE()</f>
        <v>0</v>
      </c>
    </row>
    <row r="186" customFormat="false" ht="15" hidden="false" customHeight="false" outlineLevel="0" collapsed="false">
      <c r="A186" s="4" t="s">
        <v>390</v>
      </c>
      <c r="B186" s="4" t="s">
        <v>103</v>
      </c>
      <c r="C186" s="4" t="s">
        <v>205</v>
      </c>
      <c r="D186" s="4" t="s">
        <v>206</v>
      </c>
      <c r="E186" s="4" t="n">
        <v>46251.880150463</v>
      </c>
      <c r="F186" s="4" t="n">
        <v>27</v>
      </c>
      <c r="G186" s="4" t="n">
        <v>27</v>
      </c>
      <c r="H186" s="4" t="n">
        <v>25</v>
      </c>
      <c r="I186" s="4" t="n">
        <v>2</v>
      </c>
      <c r="J186" s="4" t="n">
        <v>0</v>
      </c>
      <c r="K186" s="4" t="n">
        <v>0</v>
      </c>
      <c r="L186" s="11" t="b">
        <f aca="false">FALSE()</f>
        <v>0</v>
      </c>
    </row>
    <row r="187" customFormat="false" ht="15" hidden="false" customHeight="false" outlineLevel="0" collapsed="false">
      <c r="A187" s="4" t="s">
        <v>391</v>
      </c>
      <c r="B187" s="4" t="s">
        <v>101</v>
      </c>
      <c r="C187" s="4" t="s">
        <v>205</v>
      </c>
      <c r="D187" s="4" t="s">
        <v>206</v>
      </c>
      <c r="E187" s="4" t="n">
        <v>46251.9211111111</v>
      </c>
      <c r="F187" s="4" t="n">
        <v>40</v>
      </c>
      <c r="G187" s="4" t="n">
        <v>40</v>
      </c>
      <c r="H187" s="4" t="n">
        <v>36</v>
      </c>
      <c r="I187" s="4" t="n">
        <v>2</v>
      </c>
      <c r="J187" s="4" t="n">
        <v>1</v>
      </c>
      <c r="K187" s="4" t="n">
        <v>1</v>
      </c>
      <c r="L187" s="11" t="b">
        <f aca="false">FALSE()</f>
        <v>0</v>
      </c>
    </row>
    <row r="188" customFormat="false" ht="15" hidden="false" customHeight="false" outlineLevel="0" collapsed="false">
      <c r="A188" s="4" t="s">
        <v>392</v>
      </c>
      <c r="B188" s="4" t="s">
        <v>100</v>
      </c>
      <c r="C188" s="4" t="s">
        <v>205</v>
      </c>
      <c r="D188" s="4" t="s">
        <v>206</v>
      </c>
      <c r="E188" s="4" t="n">
        <v>46252.0022685185</v>
      </c>
      <c r="F188" s="4" t="n">
        <v>38</v>
      </c>
      <c r="G188" s="4" t="n">
        <v>38</v>
      </c>
      <c r="H188" s="4" t="n">
        <v>38</v>
      </c>
      <c r="I188" s="4" t="n">
        <v>0</v>
      </c>
      <c r="J188" s="4" t="n">
        <v>0</v>
      </c>
      <c r="K188" s="4" t="n">
        <v>0</v>
      </c>
      <c r="L188" s="11" t="b">
        <f aca="false">FALSE()</f>
        <v>0</v>
      </c>
    </row>
    <row r="189" customFormat="false" ht="15" hidden="false" customHeight="false" outlineLevel="0" collapsed="false">
      <c r="A189" s="4" t="s">
        <v>393</v>
      </c>
      <c r="B189" s="4" t="s">
        <v>102</v>
      </c>
      <c r="C189" s="4" t="s">
        <v>205</v>
      </c>
      <c r="D189" s="4" t="s">
        <v>206</v>
      </c>
      <c r="E189" s="4" t="n">
        <v>46252.0455787037</v>
      </c>
      <c r="F189" s="4" t="n">
        <v>15</v>
      </c>
      <c r="G189" s="4" t="n">
        <v>15</v>
      </c>
      <c r="H189" s="4" t="n">
        <v>14</v>
      </c>
      <c r="I189" s="4" t="n">
        <v>1</v>
      </c>
      <c r="J189" s="4" t="n">
        <v>0</v>
      </c>
      <c r="K189" s="4" t="n">
        <v>0</v>
      </c>
      <c r="L189" s="11" t="b">
        <f aca="false">FALSE()</f>
        <v>0</v>
      </c>
    </row>
    <row r="190" customFormat="false" ht="15" hidden="false" customHeight="false" outlineLevel="0" collapsed="false">
      <c r="A190" s="4" t="s">
        <v>394</v>
      </c>
      <c r="B190" s="4" t="s">
        <v>101</v>
      </c>
      <c r="C190" s="4" t="s">
        <v>205</v>
      </c>
      <c r="D190" s="4" t="s">
        <v>206</v>
      </c>
      <c r="E190" s="4" t="n">
        <v>46252.086724537</v>
      </c>
      <c r="F190" s="4" t="n">
        <v>16</v>
      </c>
      <c r="G190" s="4" t="n">
        <v>16</v>
      </c>
      <c r="H190" s="4" t="n">
        <v>15</v>
      </c>
      <c r="I190" s="4" t="n">
        <v>1</v>
      </c>
      <c r="J190" s="4" t="n">
        <v>0</v>
      </c>
      <c r="K190" s="4" t="n">
        <v>0</v>
      </c>
      <c r="L190" s="11" t="b">
        <f aca="false">FALSE()</f>
        <v>0</v>
      </c>
    </row>
    <row r="191" customFormat="false" ht="15" hidden="false" customHeight="false" outlineLevel="0" collapsed="false">
      <c r="A191" s="4" t="s">
        <v>395</v>
      </c>
      <c r="B191" s="4" t="s">
        <v>103</v>
      </c>
      <c r="C191" s="4" t="s">
        <v>205</v>
      </c>
      <c r="D191" s="4" t="s">
        <v>206</v>
      </c>
      <c r="E191" s="4" t="n">
        <v>46252.1291666667</v>
      </c>
      <c r="F191" s="4" t="n">
        <v>10</v>
      </c>
      <c r="G191" s="4" t="n">
        <v>10</v>
      </c>
      <c r="H191" s="4" t="n">
        <v>9</v>
      </c>
      <c r="I191" s="4" t="n">
        <v>1</v>
      </c>
      <c r="J191" s="4" t="n">
        <v>0</v>
      </c>
      <c r="K191" s="4" t="n">
        <v>0</v>
      </c>
      <c r="L191" s="11" t="b">
        <f aca="false">FALSE()</f>
        <v>0</v>
      </c>
    </row>
    <row r="192" customFormat="false" ht="15" hidden="false" customHeight="false" outlineLevel="0" collapsed="false">
      <c r="A192" s="4" t="s">
        <v>396</v>
      </c>
      <c r="B192" s="4" t="s">
        <v>100</v>
      </c>
      <c r="C192" s="4" t="s">
        <v>205</v>
      </c>
      <c r="D192" s="4" t="s">
        <v>206</v>
      </c>
      <c r="E192" s="4" t="n">
        <v>46252.1694444444</v>
      </c>
      <c r="F192" s="4" t="n">
        <v>12</v>
      </c>
      <c r="G192" s="4" t="n">
        <v>12</v>
      </c>
      <c r="H192" s="4" t="n">
        <v>12</v>
      </c>
      <c r="I192" s="4" t="n">
        <v>0</v>
      </c>
      <c r="J192" s="4" t="n">
        <v>0</v>
      </c>
      <c r="K192" s="4" t="n">
        <v>0</v>
      </c>
      <c r="L192" s="11" t="b">
        <f aca="false">FALSE()</f>
        <v>0</v>
      </c>
    </row>
    <row r="193" customFormat="false" ht="15" hidden="false" customHeight="false" outlineLevel="0" collapsed="false">
      <c r="A193" s="4" t="s">
        <v>397</v>
      </c>
      <c r="B193" s="4" t="s">
        <v>99</v>
      </c>
      <c r="C193" s="4" t="s">
        <v>205</v>
      </c>
      <c r="D193" s="4" t="s">
        <v>206</v>
      </c>
      <c r="E193" s="4" t="n">
        <v>46252.2142476852</v>
      </c>
      <c r="F193" s="4" t="n">
        <v>30</v>
      </c>
      <c r="G193" s="4" t="n">
        <v>30</v>
      </c>
      <c r="H193" s="4" t="n">
        <v>29</v>
      </c>
      <c r="I193" s="4" t="n">
        <v>1</v>
      </c>
      <c r="J193" s="4" t="n">
        <v>0</v>
      </c>
      <c r="K193" s="4" t="n">
        <v>0</v>
      </c>
      <c r="L193" s="11" t="b">
        <f aca="false">FALSE()</f>
        <v>0</v>
      </c>
    </row>
    <row r="194" customFormat="false" ht="15" hidden="false" customHeight="false" outlineLevel="0" collapsed="false">
      <c r="A194" s="4" t="s">
        <v>398</v>
      </c>
      <c r="B194" s="4" t="s">
        <v>101</v>
      </c>
      <c r="C194" s="4" t="s">
        <v>205</v>
      </c>
      <c r="D194" s="4" t="s">
        <v>206</v>
      </c>
      <c r="E194" s="4" t="n">
        <v>46252.2535300926</v>
      </c>
      <c r="F194" s="4" t="n">
        <v>11</v>
      </c>
      <c r="G194" s="4" t="n">
        <v>11</v>
      </c>
      <c r="H194" s="4" t="n">
        <v>10</v>
      </c>
      <c r="I194" s="4" t="n">
        <v>1</v>
      </c>
      <c r="J194" s="4" t="n">
        <v>0</v>
      </c>
      <c r="K194" s="4" t="n">
        <v>0</v>
      </c>
      <c r="L194" s="11" t="b">
        <f aca="false">FALSE()</f>
        <v>0</v>
      </c>
    </row>
    <row r="195" customFormat="false" ht="15" hidden="false" customHeight="false" outlineLevel="0" collapsed="false">
      <c r="A195" s="4" t="s">
        <v>399</v>
      </c>
      <c r="B195" s="4" t="s">
        <v>104</v>
      </c>
      <c r="C195" s="4" t="s">
        <v>205</v>
      </c>
      <c r="D195" s="4" t="s">
        <v>206</v>
      </c>
      <c r="E195" s="4" t="n">
        <v>46252.256412037</v>
      </c>
      <c r="F195" s="4" t="n">
        <v>15</v>
      </c>
      <c r="G195" s="4" t="n">
        <v>15</v>
      </c>
      <c r="H195" s="4" t="n">
        <v>12</v>
      </c>
      <c r="I195" s="4" t="n">
        <v>3</v>
      </c>
      <c r="J195" s="4" t="n">
        <v>0</v>
      </c>
      <c r="K195" s="4" t="n">
        <v>0</v>
      </c>
      <c r="L195" s="11" t="b">
        <f aca="false">FALSE()</f>
        <v>0</v>
      </c>
    </row>
    <row r="196" customFormat="false" ht="15" hidden="false" customHeight="false" outlineLevel="0" collapsed="false">
      <c r="A196" s="4" t="s">
        <v>400</v>
      </c>
      <c r="B196" s="4" t="s">
        <v>102</v>
      </c>
      <c r="C196" s="4" t="s">
        <v>205</v>
      </c>
      <c r="D196" s="4" t="s">
        <v>206</v>
      </c>
      <c r="E196" s="4" t="n">
        <v>46252.2959953704</v>
      </c>
      <c r="F196" s="4" t="n">
        <v>9</v>
      </c>
      <c r="G196" s="4" t="n">
        <v>9</v>
      </c>
      <c r="H196" s="4" t="n">
        <v>9</v>
      </c>
      <c r="I196" s="4" t="n">
        <v>0</v>
      </c>
      <c r="J196" s="4" t="n">
        <v>0</v>
      </c>
      <c r="K196" s="4" t="n">
        <v>0</v>
      </c>
      <c r="L196" s="11" t="b">
        <f aca="false">FALSE()</f>
        <v>0</v>
      </c>
    </row>
    <row r="197" customFormat="false" ht="15" hidden="false" customHeight="false" outlineLevel="0" collapsed="false">
      <c r="A197" s="4" t="s">
        <v>401</v>
      </c>
      <c r="B197" s="4" t="s">
        <v>100</v>
      </c>
      <c r="C197" s="4" t="s">
        <v>205</v>
      </c>
      <c r="D197" s="4" t="s">
        <v>206</v>
      </c>
      <c r="E197" s="4" t="n">
        <v>46252.3365625</v>
      </c>
      <c r="F197" s="4" t="n">
        <v>34</v>
      </c>
      <c r="G197" s="4" t="n">
        <v>34</v>
      </c>
      <c r="H197" s="4" t="n">
        <v>32</v>
      </c>
      <c r="I197" s="4" t="n">
        <v>2</v>
      </c>
      <c r="J197" s="4" t="n">
        <v>0</v>
      </c>
      <c r="K197" s="4" t="n">
        <v>0</v>
      </c>
      <c r="L197" s="11" t="b">
        <f aca="false">FALSE()</f>
        <v>0</v>
      </c>
    </row>
    <row r="198" customFormat="false" ht="15" hidden="false" customHeight="false" outlineLevel="0" collapsed="false">
      <c r="A198" s="4" t="s">
        <v>402</v>
      </c>
      <c r="B198" s="4" t="s">
        <v>103</v>
      </c>
      <c r="C198" s="4" t="s">
        <v>205</v>
      </c>
      <c r="D198" s="4" t="s">
        <v>206</v>
      </c>
      <c r="E198" s="4" t="n">
        <v>46252.3820486111</v>
      </c>
      <c r="F198" s="4" t="n">
        <v>13</v>
      </c>
      <c r="G198" s="4" t="n">
        <v>13</v>
      </c>
      <c r="H198" s="4" t="n">
        <v>11</v>
      </c>
      <c r="I198" s="4" t="n">
        <v>2</v>
      </c>
      <c r="J198" s="4" t="n">
        <v>0</v>
      </c>
      <c r="K198" s="4" t="n">
        <v>0</v>
      </c>
      <c r="L198" s="11" t="b">
        <f aca="false">FALSE()</f>
        <v>0</v>
      </c>
    </row>
    <row r="199" customFormat="false" ht="15" hidden="false" customHeight="false" outlineLevel="0" collapsed="false">
      <c r="A199" s="4" t="s">
        <v>403</v>
      </c>
      <c r="B199" s="4" t="s">
        <v>101</v>
      </c>
      <c r="C199" s="4" t="s">
        <v>205</v>
      </c>
      <c r="D199" s="4" t="s">
        <v>206</v>
      </c>
      <c r="E199" s="4" t="n">
        <v>46252.4197800926</v>
      </c>
      <c r="F199" s="4" t="n">
        <v>37</v>
      </c>
      <c r="G199" s="4" t="n">
        <v>37</v>
      </c>
      <c r="H199" s="4" t="n">
        <v>33</v>
      </c>
      <c r="I199" s="4" t="n">
        <v>3</v>
      </c>
      <c r="J199" s="4" t="n">
        <v>1</v>
      </c>
      <c r="K199" s="4" t="n">
        <v>0</v>
      </c>
      <c r="L199" s="11" t="b">
        <f aca="false">FALSE()</f>
        <v>0</v>
      </c>
    </row>
    <row r="200" customFormat="false" ht="15" hidden="false" customHeight="false" outlineLevel="0" collapsed="false">
      <c r="A200" s="4" t="s">
        <v>404</v>
      </c>
      <c r="B200" s="4" t="s">
        <v>100</v>
      </c>
      <c r="C200" s="4" t="s">
        <v>205</v>
      </c>
      <c r="D200" s="4" t="s">
        <v>206</v>
      </c>
      <c r="E200" s="4" t="n">
        <v>46252.5030902778</v>
      </c>
      <c r="F200" s="4" t="n">
        <v>77</v>
      </c>
      <c r="G200" s="4" t="n">
        <v>77</v>
      </c>
      <c r="H200" s="4" t="n">
        <v>72</v>
      </c>
      <c r="I200" s="4" t="n">
        <v>3</v>
      </c>
      <c r="J200" s="4" t="n">
        <v>2</v>
      </c>
      <c r="K200" s="4" t="n">
        <v>0</v>
      </c>
      <c r="L200" s="11" t="b">
        <f aca="false">FALSE()</f>
        <v>0</v>
      </c>
    </row>
    <row r="201" customFormat="false" ht="15" hidden="false" customHeight="false" outlineLevel="0" collapsed="false">
      <c r="A201" s="4" t="s">
        <v>405</v>
      </c>
      <c r="B201" s="4" t="s">
        <v>102</v>
      </c>
      <c r="C201" s="4" t="s">
        <v>205</v>
      </c>
      <c r="D201" s="4" t="s">
        <v>206</v>
      </c>
      <c r="E201" s="4" t="n">
        <v>46252.5460532407</v>
      </c>
      <c r="F201" s="4" t="n">
        <v>28</v>
      </c>
      <c r="G201" s="4" t="n">
        <v>28</v>
      </c>
      <c r="H201" s="4" t="n">
        <v>28</v>
      </c>
      <c r="I201" s="4" t="n">
        <v>0</v>
      </c>
      <c r="J201" s="4" t="n">
        <v>0</v>
      </c>
      <c r="K201" s="4" t="n">
        <v>0</v>
      </c>
      <c r="L201" s="11" t="b">
        <f aca="false">FALSE()</f>
        <v>0</v>
      </c>
    </row>
    <row r="202" customFormat="false" ht="15" hidden="false" customHeight="false" outlineLevel="0" collapsed="false">
      <c r="A202" s="4" t="s">
        <v>406</v>
      </c>
      <c r="B202" s="4" t="s">
        <v>101</v>
      </c>
      <c r="C202" s="4" t="s">
        <v>205</v>
      </c>
      <c r="D202" s="4" t="s">
        <v>206</v>
      </c>
      <c r="E202" s="4" t="n">
        <v>46252.5877314815</v>
      </c>
      <c r="F202" s="4" t="n">
        <v>55</v>
      </c>
      <c r="G202" s="4" t="n">
        <v>55</v>
      </c>
      <c r="H202" s="4" t="n">
        <v>53</v>
      </c>
      <c r="I202" s="4" t="n">
        <v>1</v>
      </c>
      <c r="J202" s="4" t="n">
        <v>1</v>
      </c>
      <c r="K202" s="4" t="n">
        <v>0</v>
      </c>
      <c r="L202" s="11" t="b">
        <f aca="false">FALSE()</f>
        <v>0</v>
      </c>
    </row>
    <row r="203" customFormat="false" ht="15" hidden="false" customHeight="false" outlineLevel="0" collapsed="false">
      <c r="A203" s="4" t="s">
        <v>407</v>
      </c>
      <c r="B203" s="4" t="s">
        <v>103</v>
      </c>
      <c r="C203" s="4" t="s">
        <v>205</v>
      </c>
      <c r="D203" s="4" t="s">
        <v>206</v>
      </c>
      <c r="E203" s="4" t="n">
        <v>46252.6296527778</v>
      </c>
      <c r="F203" s="4" t="n">
        <v>32</v>
      </c>
      <c r="G203" s="4" t="n">
        <v>32</v>
      </c>
      <c r="H203" s="4" t="n">
        <v>29</v>
      </c>
      <c r="I203" s="4" t="n">
        <v>3</v>
      </c>
      <c r="J203" s="4" t="n">
        <v>0</v>
      </c>
      <c r="K203" s="4" t="n">
        <v>0</v>
      </c>
      <c r="L203" s="11" t="b">
        <f aca="false">FALSE()</f>
        <v>0</v>
      </c>
    </row>
    <row r="204" customFormat="false" ht="15" hidden="false" customHeight="false" outlineLevel="0" collapsed="false">
      <c r="A204" s="4" t="s">
        <v>408</v>
      </c>
      <c r="B204" s="4" t="s">
        <v>100</v>
      </c>
      <c r="C204" s="4" t="s">
        <v>205</v>
      </c>
      <c r="D204" s="4" t="s">
        <v>206</v>
      </c>
      <c r="E204" s="4" t="n">
        <v>46252.669849537</v>
      </c>
      <c r="F204" s="4" t="n">
        <v>84</v>
      </c>
      <c r="G204" s="4" t="n">
        <v>84</v>
      </c>
      <c r="H204" s="4" t="n">
        <v>81</v>
      </c>
      <c r="I204" s="4" t="n">
        <v>3</v>
      </c>
      <c r="J204" s="4" t="n">
        <v>0</v>
      </c>
      <c r="K204" s="4" t="n">
        <v>0</v>
      </c>
      <c r="L204" s="11" t="b">
        <f aca="false">FALSE()</f>
        <v>0</v>
      </c>
    </row>
    <row r="205" customFormat="false" ht="15" hidden="false" customHeight="false" outlineLevel="0" collapsed="false">
      <c r="A205" s="4" t="s">
        <v>409</v>
      </c>
      <c r="B205" s="4" t="s">
        <v>101</v>
      </c>
      <c r="C205" s="4" t="s">
        <v>205</v>
      </c>
      <c r="D205" s="4" t="s">
        <v>206</v>
      </c>
      <c r="E205" s="4" t="n">
        <v>46252.7532060185</v>
      </c>
      <c r="F205" s="4" t="n">
        <v>46</v>
      </c>
      <c r="G205" s="4" t="n">
        <v>46</v>
      </c>
      <c r="H205" s="4" t="n">
        <v>45</v>
      </c>
      <c r="I205" s="4" t="n">
        <v>1</v>
      </c>
      <c r="J205" s="4" t="n">
        <v>0</v>
      </c>
      <c r="K205" s="4" t="n">
        <v>0</v>
      </c>
      <c r="L205" s="11" t="b">
        <f aca="false">FALSE()</f>
        <v>0</v>
      </c>
    </row>
    <row r="206" customFormat="false" ht="15" hidden="false" customHeight="false" outlineLevel="0" collapsed="false">
      <c r="A206" s="4" t="s">
        <v>410</v>
      </c>
      <c r="B206" s="4" t="s">
        <v>104</v>
      </c>
      <c r="C206" s="4" t="s">
        <v>205</v>
      </c>
      <c r="D206" s="4" t="s">
        <v>206</v>
      </c>
      <c r="E206" s="4" t="n">
        <v>46252.7562615741</v>
      </c>
      <c r="F206" s="4" t="n">
        <v>24</v>
      </c>
      <c r="G206" s="4" t="n">
        <v>24</v>
      </c>
      <c r="H206" s="4" t="n">
        <v>22</v>
      </c>
      <c r="I206" s="4" t="n">
        <v>2</v>
      </c>
      <c r="J206" s="4" t="n">
        <v>0</v>
      </c>
      <c r="K206" s="4" t="n">
        <v>0</v>
      </c>
      <c r="L206" s="11" t="b">
        <f aca="false">FALSE()</f>
        <v>0</v>
      </c>
    </row>
    <row r="207" customFormat="false" ht="15" hidden="false" customHeight="false" outlineLevel="0" collapsed="false">
      <c r="A207" s="4" t="s">
        <v>411</v>
      </c>
      <c r="B207" s="4" t="s">
        <v>102</v>
      </c>
      <c r="C207" s="4" t="s">
        <v>205</v>
      </c>
      <c r="D207" s="4" t="s">
        <v>206</v>
      </c>
      <c r="E207" s="4" t="n">
        <v>46252.7960300926</v>
      </c>
      <c r="F207" s="4" t="n">
        <v>22</v>
      </c>
      <c r="G207" s="4" t="n">
        <v>22</v>
      </c>
      <c r="H207" s="4" t="n">
        <v>21</v>
      </c>
      <c r="I207" s="4" t="n">
        <v>1</v>
      </c>
      <c r="J207" s="4" t="n">
        <v>0</v>
      </c>
      <c r="K207" s="4" t="n">
        <v>0</v>
      </c>
      <c r="L207" s="11" t="b">
        <f aca="false">FALSE()</f>
        <v>0</v>
      </c>
    </row>
    <row r="208" customFormat="false" ht="15" hidden="false" customHeight="false" outlineLevel="0" collapsed="false">
      <c r="A208" s="4" t="s">
        <v>412</v>
      </c>
      <c r="B208" s="4" t="s">
        <v>100</v>
      </c>
      <c r="C208" s="4" t="s">
        <v>205</v>
      </c>
      <c r="D208" s="4" t="s">
        <v>206</v>
      </c>
      <c r="E208" s="4" t="n">
        <v>46252.835775463</v>
      </c>
      <c r="F208" s="4" t="n">
        <v>71</v>
      </c>
      <c r="G208" s="4" t="n">
        <v>71</v>
      </c>
      <c r="H208" s="4" t="n">
        <v>70</v>
      </c>
      <c r="I208" s="4" t="n">
        <v>0</v>
      </c>
      <c r="J208" s="4" t="n">
        <v>1</v>
      </c>
      <c r="K208" s="4" t="n">
        <v>0</v>
      </c>
      <c r="L208" s="11" t="b">
        <f aca="false">FALSE()</f>
        <v>0</v>
      </c>
    </row>
    <row r="209" customFormat="false" ht="15" hidden="false" customHeight="false" outlineLevel="0" collapsed="false">
      <c r="A209" s="4" t="s">
        <v>413</v>
      </c>
      <c r="B209" s="4" t="s">
        <v>103</v>
      </c>
      <c r="C209" s="4" t="s">
        <v>205</v>
      </c>
      <c r="D209" s="4" t="s">
        <v>206</v>
      </c>
      <c r="E209" s="4" t="n">
        <v>46252.8810763889</v>
      </c>
      <c r="F209" s="4" t="n">
        <v>23</v>
      </c>
      <c r="G209" s="4" t="n">
        <v>23</v>
      </c>
      <c r="H209" s="4" t="n">
        <v>21</v>
      </c>
      <c r="I209" s="4" t="n">
        <v>2</v>
      </c>
      <c r="J209" s="4" t="n">
        <v>0</v>
      </c>
      <c r="K209" s="4" t="n">
        <v>0</v>
      </c>
      <c r="L209" s="11" t="b">
        <f aca="false">TRUE()</f>
        <v>1</v>
      </c>
    </row>
    <row r="210" customFormat="false" ht="15" hidden="false" customHeight="false" outlineLevel="0" collapsed="false">
      <c r="A210" s="4" t="s">
        <v>414</v>
      </c>
      <c r="B210" s="4" t="s">
        <v>101</v>
      </c>
      <c r="C210" s="4" t="s">
        <v>205</v>
      </c>
      <c r="D210" s="4" t="s">
        <v>206</v>
      </c>
      <c r="E210" s="4" t="n">
        <v>46252.9198958333</v>
      </c>
      <c r="F210" s="4" t="n">
        <v>40</v>
      </c>
      <c r="G210" s="4" t="n">
        <v>40</v>
      </c>
      <c r="H210" s="4" t="n">
        <v>38</v>
      </c>
      <c r="I210" s="4" t="n">
        <v>2</v>
      </c>
      <c r="J210" s="4" t="n">
        <v>0</v>
      </c>
      <c r="K210" s="4" t="n">
        <v>0</v>
      </c>
      <c r="L210" s="11" t="b">
        <f aca="false">FALSE()</f>
        <v>0</v>
      </c>
    </row>
    <row r="211" customFormat="false" ht="15" hidden="false" customHeight="false" outlineLevel="0" collapsed="false">
      <c r="A211" s="4" t="s">
        <v>415</v>
      </c>
      <c r="B211" s="4" t="s">
        <v>100</v>
      </c>
      <c r="C211" s="4" t="s">
        <v>205</v>
      </c>
      <c r="D211" s="4" t="s">
        <v>206</v>
      </c>
      <c r="E211" s="4" t="n">
        <v>46253.0024537037</v>
      </c>
      <c r="F211" s="4" t="n">
        <v>41</v>
      </c>
      <c r="G211" s="4" t="n">
        <v>41</v>
      </c>
      <c r="H211" s="4" t="n">
        <v>40</v>
      </c>
      <c r="I211" s="4" t="n">
        <v>1</v>
      </c>
      <c r="J211" s="4" t="n">
        <v>0</v>
      </c>
      <c r="K211" s="4" t="n">
        <v>0</v>
      </c>
      <c r="L211" s="11" t="b">
        <f aca="false">FALSE()</f>
        <v>0</v>
      </c>
    </row>
    <row r="212" customFormat="false" ht="15" hidden="false" customHeight="false" outlineLevel="0" collapsed="false">
      <c r="A212" s="4" t="s">
        <v>416</v>
      </c>
      <c r="B212" s="4" t="s">
        <v>102</v>
      </c>
      <c r="C212" s="4" t="s">
        <v>205</v>
      </c>
      <c r="D212" s="4" t="s">
        <v>206</v>
      </c>
      <c r="E212" s="4" t="n">
        <v>46253.0460416667</v>
      </c>
      <c r="F212" s="4" t="n">
        <v>15</v>
      </c>
      <c r="G212" s="4" t="n">
        <v>15</v>
      </c>
      <c r="H212" s="4" t="n">
        <v>15</v>
      </c>
      <c r="I212" s="4" t="n">
        <v>0</v>
      </c>
      <c r="J212" s="4" t="n">
        <v>0</v>
      </c>
      <c r="K212" s="4" t="n">
        <v>0</v>
      </c>
      <c r="L212" s="11" t="b">
        <f aca="false">FALSE()</f>
        <v>0</v>
      </c>
    </row>
    <row r="213" customFormat="false" ht="15" hidden="false" customHeight="false" outlineLevel="0" collapsed="false">
      <c r="A213" s="4" t="s">
        <v>417</v>
      </c>
      <c r="B213" s="4" t="s">
        <v>101</v>
      </c>
      <c r="C213" s="4" t="s">
        <v>205</v>
      </c>
      <c r="D213" s="4" t="s">
        <v>206</v>
      </c>
      <c r="E213" s="4" t="n">
        <v>46253.0875925926</v>
      </c>
      <c r="F213" s="4" t="n">
        <v>17</v>
      </c>
      <c r="G213" s="4" t="n">
        <v>17</v>
      </c>
      <c r="H213" s="4" t="n">
        <v>14</v>
      </c>
      <c r="I213" s="4" t="n">
        <v>3</v>
      </c>
      <c r="J213" s="4" t="n">
        <v>0</v>
      </c>
      <c r="K213" s="4" t="n">
        <v>0</v>
      </c>
      <c r="L213" s="11" t="b">
        <f aca="false">FALSE()</f>
        <v>0</v>
      </c>
    </row>
    <row r="214" customFormat="false" ht="15" hidden="false" customHeight="false" outlineLevel="0" collapsed="false">
      <c r="A214" s="4" t="s">
        <v>418</v>
      </c>
      <c r="B214" s="4" t="s">
        <v>103</v>
      </c>
      <c r="C214" s="4" t="s">
        <v>205</v>
      </c>
      <c r="D214" s="4" t="s">
        <v>206</v>
      </c>
      <c r="E214" s="4" t="n">
        <v>46253.1325462963</v>
      </c>
      <c r="F214" s="4" t="n">
        <v>14</v>
      </c>
      <c r="G214" s="4" t="n">
        <v>14</v>
      </c>
      <c r="H214" s="4" t="n">
        <v>11</v>
      </c>
      <c r="I214" s="4" t="n">
        <v>3</v>
      </c>
      <c r="J214" s="4" t="n">
        <v>0</v>
      </c>
      <c r="K214" s="4" t="n">
        <v>0</v>
      </c>
      <c r="L214" s="11" t="b">
        <f aca="false">FALSE()</f>
        <v>0</v>
      </c>
    </row>
    <row r="215" customFormat="false" ht="15" hidden="false" customHeight="false" outlineLevel="0" collapsed="false">
      <c r="A215" s="4" t="s">
        <v>419</v>
      </c>
      <c r="B215" s="4" t="s">
        <v>100</v>
      </c>
      <c r="C215" s="4" t="s">
        <v>205</v>
      </c>
      <c r="D215" s="4" t="s">
        <v>206</v>
      </c>
      <c r="E215" s="4" t="n">
        <v>46253.1704282407</v>
      </c>
      <c r="F215" s="4" t="n">
        <v>16</v>
      </c>
      <c r="G215" s="4" t="n">
        <v>16</v>
      </c>
      <c r="H215" s="4" t="n">
        <v>14</v>
      </c>
      <c r="I215" s="4" t="n">
        <v>2</v>
      </c>
      <c r="J215" s="4" t="n">
        <v>0</v>
      </c>
      <c r="K215" s="4" t="n">
        <v>0</v>
      </c>
      <c r="L215" s="11" t="b">
        <f aca="false">FALSE()</f>
        <v>0</v>
      </c>
    </row>
    <row r="216" customFormat="false" ht="15" hidden="false" customHeight="false" outlineLevel="0" collapsed="false">
      <c r="A216" s="4" t="s">
        <v>420</v>
      </c>
      <c r="B216" s="4" t="s">
        <v>99</v>
      </c>
      <c r="C216" s="4" t="s">
        <v>205</v>
      </c>
      <c r="D216" s="4" t="s">
        <v>206</v>
      </c>
      <c r="E216" s="4" t="n">
        <v>46253.2134606482</v>
      </c>
      <c r="F216" s="4" t="n">
        <v>36</v>
      </c>
      <c r="G216" s="4" t="n">
        <v>36</v>
      </c>
      <c r="H216" s="4" t="n">
        <v>34</v>
      </c>
      <c r="I216" s="4" t="n">
        <v>2</v>
      </c>
      <c r="J216" s="4" t="n">
        <v>0</v>
      </c>
      <c r="K216" s="4" t="n">
        <v>0</v>
      </c>
      <c r="L216" s="11" t="b">
        <f aca="false">FALSE()</f>
        <v>0</v>
      </c>
    </row>
    <row r="217" customFormat="false" ht="15" hidden="false" customHeight="false" outlineLevel="0" collapsed="false">
      <c r="A217" s="4" t="s">
        <v>421</v>
      </c>
      <c r="B217" s="4" t="s">
        <v>101</v>
      </c>
      <c r="C217" s="4" t="s">
        <v>205</v>
      </c>
      <c r="D217" s="4" t="s">
        <v>206</v>
      </c>
      <c r="E217" s="4" t="n">
        <v>46253.2532407407</v>
      </c>
      <c r="F217" s="4" t="n">
        <v>8</v>
      </c>
      <c r="G217" s="4" t="n">
        <v>8</v>
      </c>
      <c r="H217" s="4" t="n">
        <v>8</v>
      </c>
      <c r="I217" s="4" t="n">
        <v>0</v>
      </c>
      <c r="J217" s="4" t="n">
        <v>0</v>
      </c>
      <c r="K217" s="4" t="n">
        <v>0</v>
      </c>
      <c r="L217" s="11" t="b">
        <f aca="false">FALSE()</f>
        <v>0</v>
      </c>
    </row>
    <row r="218" customFormat="false" ht="15" hidden="false" customHeight="false" outlineLevel="0" collapsed="false">
      <c r="A218" s="4" t="s">
        <v>422</v>
      </c>
      <c r="B218" s="4" t="s">
        <v>104</v>
      </c>
      <c r="C218" s="4" t="s">
        <v>205</v>
      </c>
      <c r="D218" s="4" t="s">
        <v>206</v>
      </c>
      <c r="E218" s="4" t="n">
        <v>46253.2562037037</v>
      </c>
      <c r="F218" s="4" t="n">
        <v>11</v>
      </c>
      <c r="G218" s="4" t="n">
        <v>11</v>
      </c>
      <c r="H218" s="4" t="n">
        <v>9</v>
      </c>
      <c r="I218" s="4" t="n">
        <v>2</v>
      </c>
      <c r="J218" s="4" t="n">
        <v>0</v>
      </c>
      <c r="K218" s="4" t="n">
        <v>0</v>
      </c>
      <c r="L218" s="11" t="b">
        <f aca="false">FALSE()</f>
        <v>0</v>
      </c>
    </row>
    <row r="219" customFormat="false" ht="15" hidden="false" customHeight="false" outlineLevel="0" collapsed="false">
      <c r="A219" s="4" t="s">
        <v>423</v>
      </c>
      <c r="B219" s="4" t="s">
        <v>102</v>
      </c>
      <c r="C219" s="4" t="s">
        <v>205</v>
      </c>
      <c r="D219" s="4" t="s">
        <v>206</v>
      </c>
      <c r="E219" s="4" t="n">
        <v>46253.2967824074</v>
      </c>
      <c r="F219" s="4" t="n">
        <v>7</v>
      </c>
      <c r="G219" s="4" t="n">
        <v>7</v>
      </c>
      <c r="H219" s="4" t="n">
        <v>7</v>
      </c>
      <c r="I219" s="4" t="n">
        <v>0</v>
      </c>
      <c r="J219" s="4" t="n">
        <v>0</v>
      </c>
      <c r="K219" s="4" t="n">
        <v>0</v>
      </c>
      <c r="L219" s="11" t="b">
        <f aca="false">FALSE()</f>
        <v>0</v>
      </c>
    </row>
    <row r="220" customFormat="false" ht="15" hidden="false" customHeight="false" outlineLevel="0" collapsed="false">
      <c r="A220" s="4" t="s">
        <v>424</v>
      </c>
      <c r="B220" s="4" t="s">
        <v>103</v>
      </c>
      <c r="C220" s="4" t="s">
        <v>205</v>
      </c>
      <c r="D220" s="4" t="s">
        <v>206</v>
      </c>
      <c r="E220" s="4" t="n">
        <v>46253.3793865741</v>
      </c>
      <c r="F220" s="4" t="n">
        <v>15</v>
      </c>
      <c r="G220" s="4" t="n">
        <v>15</v>
      </c>
      <c r="H220" s="4" t="n">
        <v>13</v>
      </c>
      <c r="I220" s="4" t="n">
        <v>2</v>
      </c>
      <c r="J220" s="4" t="n">
        <v>0</v>
      </c>
      <c r="K220" s="4" t="n">
        <v>0</v>
      </c>
      <c r="L220" s="11" t="b">
        <f aca="false">FALSE()</f>
        <v>0</v>
      </c>
    </row>
    <row r="221" customFormat="false" ht="15" hidden="false" customHeight="false" outlineLevel="0" collapsed="false">
      <c r="A221" s="4" t="s">
        <v>425</v>
      </c>
      <c r="B221" s="4" t="s">
        <v>100</v>
      </c>
      <c r="C221" s="4" t="s">
        <v>205</v>
      </c>
      <c r="D221" s="4" t="s">
        <v>206</v>
      </c>
      <c r="E221" s="4" t="n">
        <v>46253.3940162037</v>
      </c>
      <c r="F221" s="4" t="n">
        <v>54</v>
      </c>
      <c r="G221" s="4" t="n">
        <v>54</v>
      </c>
      <c r="H221" s="4" t="n">
        <v>52</v>
      </c>
      <c r="I221" s="4" t="n">
        <v>2</v>
      </c>
      <c r="J221" s="4" t="n">
        <v>0</v>
      </c>
      <c r="K221" s="4" t="n">
        <v>0</v>
      </c>
      <c r="L221" s="11" t="b">
        <f aca="false">TRUE()</f>
        <v>1</v>
      </c>
    </row>
    <row r="222" customFormat="false" ht="15" hidden="false" customHeight="false" outlineLevel="0" collapsed="false">
      <c r="A222" s="4" t="s">
        <v>426</v>
      </c>
      <c r="B222" s="4" t="s">
        <v>101</v>
      </c>
      <c r="C222" s="4" t="s">
        <v>205</v>
      </c>
      <c r="D222" s="4" t="s">
        <v>206</v>
      </c>
      <c r="E222" s="4" t="n">
        <v>46253.4200347222</v>
      </c>
      <c r="F222" s="4" t="n">
        <v>35</v>
      </c>
      <c r="G222" s="4" t="n">
        <v>35</v>
      </c>
      <c r="H222" s="4" t="n">
        <v>34</v>
      </c>
      <c r="I222" s="4" t="n">
        <v>1</v>
      </c>
      <c r="J222" s="4" t="n">
        <v>0</v>
      </c>
      <c r="K222" s="4" t="n">
        <v>0</v>
      </c>
      <c r="L222" s="11" t="b">
        <f aca="false">FALSE()</f>
        <v>0</v>
      </c>
    </row>
    <row r="223" customFormat="false" ht="15" hidden="false" customHeight="false" outlineLevel="0" collapsed="false">
      <c r="A223" s="4" t="s">
        <v>427</v>
      </c>
      <c r="B223" s="4" t="s">
        <v>103</v>
      </c>
      <c r="C223" s="4" t="s">
        <v>205</v>
      </c>
      <c r="D223" s="4" t="s">
        <v>428</v>
      </c>
      <c r="E223" s="4" t="n">
        <v>46253.4600578704</v>
      </c>
      <c r="F223" s="4" t="n">
        <v>65</v>
      </c>
      <c r="G223" s="4" t="n">
        <v>65</v>
      </c>
      <c r="H223" s="4" t="n">
        <v>65</v>
      </c>
      <c r="I223" s="4" t="n">
        <v>0</v>
      </c>
      <c r="J223" s="4" t="n">
        <v>0</v>
      </c>
      <c r="K223" s="4" t="n">
        <v>0</v>
      </c>
      <c r="L223" s="11" t="b">
        <f aca="false">TRUE()</f>
        <v>1</v>
      </c>
    </row>
    <row r="224" customFormat="false" ht="15" hidden="false" customHeight="false" outlineLevel="0" collapsed="false">
      <c r="A224" s="4" t="s">
        <v>429</v>
      </c>
      <c r="B224" s="4" t="s">
        <v>100</v>
      </c>
      <c r="C224" s="4" t="s">
        <v>205</v>
      </c>
      <c r="D224" s="4" t="s">
        <v>206</v>
      </c>
      <c r="E224" s="4" t="n">
        <v>46253.5021643519</v>
      </c>
      <c r="F224" s="4" t="n">
        <v>51</v>
      </c>
      <c r="G224" s="4" t="n">
        <v>51</v>
      </c>
      <c r="H224" s="4" t="n">
        <v>47</v>
      </c>
      <c r="I224" s="4" t="n">
        <v>2</v>
      </c>
      <c r="J224" s="4" t="n">
        <v>1</v>
      </c>
      <c r="K224" s="4" t="n">
        <v>1</v>
      </c>
      <c r="L224" s="11" t="b">
        <f aca="false">FALSE()</f>
        <v>0</v>
      </c>
    </row>
    <row r="225" customFormat="false" ht="15" hidden="false" customHeight="false" outlineLevel="0" collapsed="false">
      <c r="A225" s="4" t="s">
        <v>430</v>
      </c>
      <c r="B225" s="4" t="s">
        <v>102</v>
      </c>
      <c r="C225" s="4" t="s">
        <v>205</v>
      </c>
      <c r="D225" s="4" t="s">
        <v>206</v>
      </c>
      <c r="E225" s="4" t="n">
        <v>46253.5463078704</v>
      </c>
      <c r="F225" s="4" t="n">
        <v>27</v>
      </c>
      <c r="G225" s="4" t="n">
        <v>27</v>
      </c>
      <c r="H225" s="4" t="n">
        <v>26</v>
      </c>
      <c r="I225" s="4" t="n">
        <v>0</v>
      </c>
      <c r="J225" s="4" t="n">
        <v>1</v>
      </c>
      <c r="K225" s="4" t="n">
        <v>0</v>
      </c>
      <c r="L225" s="11" t="b">
        <f aca="false">FALSE()</f>
        <v>0</v>
      </c>
    </row>
    <row r="226" customFormat="false" ht="15" hidden="false" customHeight="false" outlineLevel="0" collapsed="false">
      <c r="A226" s="4" t="s">
        <v>431</v>
      </c>
      <c r="B226" s="4" t="s">
        <v>101</v>
      </c>
      <c r="C226" s="4" t="s">
        <v>205</v>
      </c>
      <c r="D226" s="4" t="s">
        <v>206</v>
      </c>
      <c r="E226" s="4" t="n">
        <v>46253.5866898148</v>
      </c>
      <c r="F226" s="4" t="n">
        <v>49</v>
      </c>
      <c r="G226" s="4" t="n">
        <v>49</v>
      </c>
      <c r="H226" s="4" t="n">
        <v>48</v>
      </c>
      <c r="I226" s="4" t="n">
        <v>0</v>
      </c>
      <c r="J226" s="4" t="n">
        <v>0</v>
      </c>
      <c r="K226" s="4" t="n">
        <v>1</v>
      </c>
      <c r="L226" s="11" t="b">
        <f aca="false">FALSE()</f>
        <v>0</v>
      </c>
    </row>
    <row r="227" customFormat="false" ht="15" hidden="false" customHeight="false" outlineLevel="0" collapsed="false">
      <c r="A227" s="4" t="s">
        <v>432</v>
      </c>
      <c r="B227" s="4" t="s">
        <v>103</v>
      </c>
      <c r="C227" s="4" t="s">
        <v>205</v>
      </c>
      <c r="D227" s="4" t="s">
        <v>206</v>
      </c>
      <c r="E227" s="4" t="n">
        <v>46253.6307175926</v>
      </c>
      <c r="F227" s="4" t="n">
        <v>28</v>
      </c>
      <c r="G227" s="4" t="n">
        <v>28</v>
      </c>
      <c r="H227" s="4" t="n">
        <v>27</v>
      </c>
      <c r="I227" s="4" t="n">
        <v>1</v>
      </c>
      <c r="J227" s="4" t="n">
        <v>0</v>
      </c>
      <c r="K227" s="4" t="n">
        <v>0</v>
      </c>
      <c r="L227" s="11" t="b">
        <f aca="false">FALSE()</f>
        <v>0</v>
      </c>
    </row>
    <row r="228" customFormat="false" ht="15" hidden="false" customHeight="false" outlineLevel="0" collapsed="false">
      <c r="A228" s="4" t="s">
        <v>433</v>
      </c>
      <c r="B228" s="4" t="s">
        <v>100</v>
      </c>
      <c r="C228" s="4" t="s">
        <v>205</v>
      </c>
      <c r="D228" s="4" t="s">
        <v>206</v>
      </c>
      <c r="E228" s="4" t="n">
        <v>46253.6693634259</v>
      </c>
      <c r="F228" s="4" t="n">
        <v>81</v>
      </c>
      <c r="G228" s="4" t="n">
        <v>81</v>
      </c>
      <c r="H228" s="4" t="n">
        <v>78</v>
      </c>
      <c r="I228" s="4" t="n">
        <v>3</v>
      </c>
      <c r="J228" s="4" t="n">
        <v>0</v>
      </c>
      <c r="K228" s="4" t="n">
        <v>0</v>
      </c>
      <c r="L228" s="11" t="b">
        <f aca="false">FALSE()</f>
        <v>0</v>
      </c>
    </row>
    <row r="229" customFormat="false" ht="15" hidden="false" customHeight="false" outlineLevel="0" collapsed="false">
      <c r="A229" s="4" t="s">
        <v>434</v>
      </c>
      <c r="B229" s="4" t="s">
        <v>101</v>
      </c>
      <c r="C229" s="4" t="s">
        <v>205</v>
      </c>
      <c r="D229" s="4" t="s">
        <v>206</v>
      </c>
      <c r="E229" s="4" t="n">
        <v>46253.752974537</v>
      </c>
      <c r="F229" s="4" t="n">
        <v>48</v>
      </c>
      <c r="G229" s="4" t="n">
        <v>48</v>
      </c>
      <c r="H229" s="4" t="n">
        <v>48</v>
      </c>
      <c r="I229" s="4" t="n">
        <v>0</v>
      </c>
      <c r="J229" s="4" t="n">
        <v>0</v>
      </c>
      <c r="K229" s="4" t="n">
        <v>0</v>
      </c>
      <c r="L229" s="11" t="b">
        <f aca="false">FALSE()</f>
        <v>0</v>
      </c>
    </row>
    <row r="230" customFormat="false" ht="15" hidden="false" customHeight="false" outlineLevel="0" collapsed="false">
      <c r="A230" s="4" t="s">
        <v>435</v>
      </c>
      <c r="B230" s="4" t="s">
        <v>104</v>
      </c>
      <c r="C230" s="4" t="s">
        <v>205</v>
      </c>
      <c r="D230" s="4" t="s">
        <v>206</v>
      </c>
      <c r="E230" s="4" t="n">
        <v>46253.757037037</v>
      </c>
      <c r="F230" s="4" t="n">
        <v>27</v>
      </c>
      <c r="G230" s="4" t="n">
        <v>27</v>
      </c>
      <c r="H230" s="4" t="n">
        <v>25</v>
      </c>
      <c r="I230" s="4" t="n">
        <v>2</v>
      </c>
      <c r="J230" s="4" t="n">
        <v>0</v>
      </c>
      <c r="K230" s="4" t="n">
        <v>0</v>
      </c>
      <c r="L230" s="11" t="b">
        <f aca="false">FALSE()</f>
        <v>0</v>
      </c>
    </row>
    <row r="231" customFormat="false" ht="15" hidden="false" customHeight="false" outlineLevel="0" collapsed="false">
      <c r="A231" s="4" t="s">
        <v>436</v>
      </c>
      <c r="B231" s="4" t="s">
        <v>102</v>
      </c>
      <c r="C231" s="4" t="s">
        <v>205</v>
      </c>
      <c r="D231" s="4" t="s">
        <v>206</v>
      </c>
      <c r="E231" s="4" t="n">
        <v>46253.7968055556</v>
      </c>
      <c r="F231" s="4" t="n">
        <v>26</v>
      </c>
      <c r="G231" s="4" t="n">
        <v>26</v>
      </c>
      <c r="H231" s="4" t="n">
        <v>24</v>
      </c>
      <c r="I231" s="4" t="n">
        <v>1</v>
      </c>
      <c r="J231" s="4" t="n">
        <v>1</v>
      </c>
      <c r="K231" s="4" t="n">
        <v>0</v>
      </c>
      <c r="L231" s="11" t="b">
        <f aca="false">FALSE()</f>
        <v>0</v>
      </c>
    </row>
    <row r="232" customFormat="false" ht="15" hidden="false" customHeight="false" outlineLevel="0" collapsed="false">
      <c r="A232" s="4" t="s">
        <v>437</v>
      </c>
      <c r="B232" s="4" t="s">
        <v>100</v>
      </c>
      <c r="C232" s="4" t="s">
        <v>205</v>
      </c>
      <c r="D232" s="4" t="s">
        <v>206</v>
      </c>
      <c r="E232" s="4" t="n">
        <v>46253.8354282407</v>
      </c>
      <c r="F232" s="4" t="n">
        <v>71</v>
      </c>
      <c r="G232" s="4" t="n">
        <v>71</v>
      </c>
      <c r="H232" s="4" t="n">
        <v>69</v>
      </c>
      <c r="I232" s="4" t="n">
        <v>0</v>
      </c>
      <c r="J232" s="4" t="n">
        <v>1</v>
      </c>
      <c r="K232" s="4" t="n">
        <v>1</v>
      </c>
      <c r="L232" s="11" t="b">
        <f aca="false">FALSE()</f>
        <v>0</v>
      </c>
    </row>
    <row r="233" customFormat="false" ht="15" hidden="false" customHeight="false" outlineLevel="0" collapsed="false">
      <c r="A233" s="4" t="s">
        <v>438</v>
      </c>
      <c r="B233" s="4" t="s">
        <v>103</v>
      </c>
      <c r="C233" s="4" t="s">
        <v>205</v>
      </c>
      <c r="D233" s="4" t="s">
        <v>206</v>
      </c>
      <c r="E233" s="4" t="n">
        <v>46253.8792013889</v>
      </c>
      <c r="F233" s="4" t="n">
        <v>26</v>
      </c>
      <c r="G233" s="4" t="n">
        <v>26</v>
      </c>
      <c r="H233" s="4" t="n">
        <v>23</v>
      </c>
      <c r="I233" s="4" t="n">
        <v>2</v>
      </c>
      <c r="J233" s="4" t="n">
        <v>1</v>
      </c>
      <c r="K233" s="4" t="n">
        <v>0</v>
      </c>
      <c r="L233" s="11" t="b">
        <f aca="false">FALSE()</f>
        <v>0</v>
      </c>
    </row>
    <row r="234" customFormat="false" ht="15" hidden="false" customHeight="false" outlineLevel="0" collapsed="false">
      <c r="A234" s="4" t="s">
        <v>439</v>
      </c>
      <c r="B234" s="4" t="s">
        <v>101</v>
      </c>
      <c r="C234" s="4" t="s">
        <v>205</v>
      </c>
      <c r="D234" s="4" t="s">
        <v>206</v>
      </c>
      <c r="E234" s="4" t="n">
        <v>46253.9206481482</v>
      </c>
      <c r="F234" s="4" t="n">
        <v>38</v>
      </c>
      <c r="G234" s="4" t="n">
        <v>38</v>
      </c>
      <c r="H234" s="4" t="n">
        <v>38</v>
      </c>
      <c r="I234" s="4" t="n">
        <v>0</v>
      </c>
      <c r="J234" s="4" t="n">
        <v>0</v>
      </c>
      <c r="K234" s="4" t="n">
        <v>0</v>
      </c>
      <c r="L234" s="11" t="b">
        <f aca="false">FALSE()</f>
        <v>0</v>
      </c>
    </row>
    <row r="235" customFormat="false" ht="15" hidden="false" customHeight="false" outlineLevel="0" collapsed="false">
      <c r="A235" s="4" t="s">
        <v>440</v>
      </c>
      <c r="B235" s="4" t="s">
        <v>100</v>
      </c>
      <c r="C235" s="4" t="s">
        <v>205</v>
      </c>
      <c r="D235" s="4" t="s">
        <v>206</v>
      </c>
      <c r="E235" s="4" t="n">
        <v>46254.0021875</v>
      </c>
      <c r="F235" s="4" t="n">
        <v>42</v>
      </c>
      <c r="G235" s="4" t="n">
        <v>42</v>
      </c>
      <c r="H235" s="4" t="n">
        <v>40</v>
      </c>
      <c r="I235" s="4" t="n">
        <v>1</v>
      </c>
      <c r="J235" s="4" t="n">
        <v>1</v>
      </c>
      <c r="K235" s="4" t="n">
        <v>0</v>
      </c>
      <c r="L235" s="11" t="b">
        <f aca="false">FALSE()</f>
        <v>0</v>
      </c>
    </row>
    <row r="236" customFormat="false" ht="15" hidden="false" customHeight="false" outlineLevel="0" collapsed="false">
      <c r="A236" s="4" t="s">
        <v>441</v>
      </c>
      <c r="B236" s="4" t="s">
        <v>102</v>
      </c>
      <c r="C236" s="4" t="s">
        <v>205</v>
      </c>
      <c r="D236" s="4" t="s">
        <v>206</v>
      </c>
      <c r="E236" s="4" t="n">
        <v>46254.0466087963</v>
      </c>
      <c r="F236" s="4" t="n">
        <v>17</v>
      </c>
      <c r="G236" s="4" t="n">
        <v>17</v>
      </c>
      <c r="H236" s="4" t="n">
        <v>15</v>
      </c>
      <c r="I236" s="4" t="n">
        <v>2</v>
      </c>
      <c r="J236" s="4" t="n">
        <v>0</v>
      </c>
      <c r="K236" s="4" t="n">
        <v>0</v>
      </c>
      <c r="L236" s="11" t="b">
        <f aca="false">FALSE()</f>
        <v>0</v>
      </c>
    </row>
    <row r="237" customFormat="false" ht="15" hidden="false" customHeight="false" outlineLevel="0" collapsed="false">
      <c r="A237" s="4" t="s">
        <v>442</v>
      </c>
      <c r="B237" s="4" t="s">
        <v>101</v>
      </c>
      <c r="C237" s="4" t="s">
        <v>205</v>
      </c>
      <c r="D237" s="4" t="s">
        <v>206</v>
      </c>
      <c r="E237" s="4" t="n">
        <v>46254.0871643519</v>
      </c>
      <c r="F237" s="4" t="n">
        <v>16</v>
      </c>
      <c r="G237" s="4" t="n">
        <v>16</v>
      </c>
      <c r="H237" s="4" t="n">
        <v>13</v>
      </c>
      <c r="I237" s="4" t="n">
        <v>3</v>
      </c>
      <c r="J237" s="4" t="n">
        <v>0</v>
      </c>
      <c r="K237" s="4" t="n">
        <v>0</v>
      </c>
      <c r="L237" s="11" t="b">
        <f aca="false">FALSE()</f>
        <v>0</v>
      </c>
    </row>
    <row r="238" customFormat="false" ht="15" hidden="false" customHeight="false" outlineLevel="0" collapsed="false">
      <c r="A238" s="4" t="s">
        <v>443</v>
      </c>
      <c r="B238" s="4" t="s">
        <v>103</v>
      </c>
      <c r="C238" s="4" t="s">
        <v>205</v>
      </c>
      <c r="D238" s="4" t="s">
        <v>206</v>
      </c>
      <c r="E238" s="4" t="n">
        <v>46254.1314930556</v>
      </c>
      <c r="F238" s="4" t="n">
        <v>11</v>
      </c>
      <c r="G238" s="4" t="n">
        <v>11</v>
      </c>
      <c r="H238" s="4" t="n">
        <v>8</v>
      </c>
      <c r="I238" s="4" t="n">
        <v>2</v>
      </c>
      <c r="J238" s="4" t="n">
        <v>1</v>
      </c>
      <c r="K238" s="4" t="n">
        <v>0</v>
      </c>
      <c r="L238" s="11" t="b">
        <f aca="false">FALSE()</f>
        <v>0</v>
      </c>
    </row>
    <row r="239" customFormat="false" ht="15" hidden="false" customHeight="false" outlineLevel="0" collapsed="false">
      <c r="A239" s="4" t="s">
        <v>444</v>
      </c>
      <c r="B239" s="4" t="s">
        <v>100</v>
      </c>
      <c r="C239" s="4" t="s">
        <v>205</v>
      </c>
      <c r="D239" s="4" t="s">
        <v>206</v>
      </c>
      <c r="E239" s="4" t="n">
        <v>46254.1696064815</v>
      </c>
      <c r="F239" s="4" t="n">
        <v>17</v>
      </c>
      <c r="G239" s="4" t="n">
        <v>17</v>
      </c>
      <c r="H239" s="4" t="n">
        <v>13</v>
      </c>
      <c r="I239" s="4" t="n">
        <v>2</v>
      </c>
      <c r="J239" s="4" t="n">
        <v>1</v>
      </c>
      <c r="K239" s="4" t="n">
        <v>1</v>
      </c>
      <c r="L239" s="11" t="b">
        <f aca="false">FALSE()</f>
        <v>0</v>
      </c>
    </row>
    <row r="240" customFormat="false" ht="15" hidden="false" customHeight="false" outlineLevel="0" collapsed="false">
      <c r="A240" s="4" t="s">
        <v>445</v>
      </c>
      <c r="B240" s="4" t="s">
        <v>99</v>
      </c>
      <c r="C240" s="4" t="s">
        <v>205</v>
      </c>
      <c r="D240" s="4" t="s">
        <v>206</v>
      </c>
      <c r="E240" s="4" t="n">
        <v>46254.2133217593</v>
      </c>
      <c r="F240" s="4" t="n">
        <v>30</v>
      </c>
      <c r="G240" s="4" t="n">
        <v>30</v>
      </c>
      <c r="H240" s="4" t="n">
        <v>28</v>
      </c>
      <c r="I240" s="4" t="n">
        <v>2</v>
      </c>
      <c r="J240" s="4" t="n">
        <v>0</v>
      </c>
      <c r="K240" s="4" t="n">
        <v>0</v>
      </c>
      <c r="L240" s="11" t="b">
        <f aca="false">TRUE()</f>
        <v>1</v>
      </c>
    </row>
    <row r="241" customFormat="false" ht="15" hidden="false" customHeight="false" outlineLevel="0" collapsed="false">
      <c r="A241" s="4" t="s">
        <v>446</v>
      </c>
      <c r="B241" s="4" t="s">
        <v>101</v>
      </c>
      <c r="C241" s="4" t="s">
        <v>205</v>
      </c>
      <c r="D241" s="4" t="s">
        <v>206</v>
      </c>
      <c r="E241" s="4" t="n">
        <v>46254.2531134259</v>
      </c>
      <c r="F241" s="4" t="n">
        <v>10</v>
      </c>
      <c r="G241" s="4" t="n">
        <v>10</v>
      </c>
      <c r="H241" s="4" t="n">
        <v>8</v>
      </c>
      <c r="I241" s="4" t="n">
        <v>1</v>
      </c>
      <c r="J241" s="4" t="n">
        <v>1</v>
      </c>
      <c r="K241" s="4" t="n">
        <v>0</v>
      </c>
      <c r="L241" s="11" t="b">
        <f aca="false">FALSE()</f>
        <v>0</v>
      </c>
    </row>
    <row r="242" customFormat="false" ht="15" hidden="false" customHeight="false" outlineLevel="0" collapsed="false">
      <c r="A242" s="4" t="s">
        <v>447</v>
      </c>
      <c r="B242" s="4" t="s">
        <v>104</v>
      </c>
      <c r="C242" s="4" t="s">
        <v>205</v>
      </c>
      <c r="D242" s="4" t="s">
        <v>206</v>
      </c>
      <c r="E242" s="4" t="n">
        <v>46254.2565972222</v>
      </c>
      <c r="F242" s="4" t="n">
        <v>8</v>
      </c>
      <c r="G242" s="4" t="n">
        <v>8</v>
      </c>
      <c r="H242" s="4" t="n">
        <v>8</v>
      </c>
      <c r="I242" s="4" t="n">
        <v>0</v>
      </c>
      <c r="J242" s="4" t="n">
        <v>0</v>
      </c>
      <c r="K242" s="4" t="n">
        <v>0</v>
      </c>
      <c r="L242" s="11" t="b">
        <f aca="false">FALSE()</f>
        <v>0</v>
      </c>
    </row>
    <row r="243" customFormat="false" ht="15" hidden="false" customHeight="false" outlineLevel="0" collapsed="false">
      <c r="A243" s="4" t="s">
        <v>448</v>
      </c>
      <c r="B243" s="4" t="s">
        <v>102</v>
      </c>
      <c r="C243" s="4" t="s">
        <v>205</v>
      </c>
      <c r="D243" s="4" t="s">
        <v>206</v>
      </c>
      <c r="E243" s="4" t="n">
        <v>46254.2955555556</v>
      </c>
      <c r="F243" s="4" t="n">
        <v>8</v>
      </c>
      <c r="G243" s="4" t="n">
        <v>8</v>
      </c>
      <c r="H243" s="4" t="n">
        <v>6</v>
      </c>
      <c r="I243" s="4" t="n">
        <v>2</v>
      </c>
      <c r="J243" s="4" t="n">
        <v>0</v>
      </c>
      <c r="K243" s="4" t="n">
        <v>0</v>
      </c>
      <c r="L243" s="11" t="b">
        <f aca="false">FALSE()</f>
        <v>0</v>
      </c>
    </row>
    <row r="244" customFormat="false" ht="15" hidden="false" customHeight="false" outlineLevel="0" collapsed="false">
      <c r="A244" s="4" t="s">
        <v>449</v>
      </c>
      <c r="B244" s="4" t="s">
        <v>100</v>
      </c>
      <c r="C244" s="4" t="s">
        <v>205</v>
      </c>
      <c r="D244" s="4" t="s">
        <v>206</v>
      </c>
      <c r="E244" s="4" t="n">
        <v>46254.3363773148</v>
      </c>
      <c r="F244" s="4" t="n">
        <v>35</v>
      </c>
      <c r="G244" s="4" t="n">
        <v>35</v>
      </c>
      <c r="H244" s="4" t="n">
        <v>32</v>
      </c>
      <c r="I244" s="4" t="n">
        <v>2</v>
      </c>
      <c r="J244" s="4" t="n">
        <v>1</v>
      </c>
      <c r="K244" s="4" t="n">
        <v>0</v>
      </c>
      <c r="L244" s="11" t="b">
        <f aca="false">FALSE()</f>
        <v>0</v>
      </c>
    </row>
    <row r="245" customFormat="false" ht="15" hidden="false" customHeight="false" outlineLevel="0" collapsed="false">
      <c r="A245" s="4" t="s">
        <v>450</v>
      </c>
      <c r="B245" s="4" t="s">
        <v>103</v>
      </c>
      <c r="C245" s="4" t="s">
        <v>205</v>
      </c>
      <c r="D245" s="4" t="s">
        <v>206</v>
      </c>
      <c r="E245" s="4" t="n">
        <v>46254.3812847222</v>
      </c>
      <c r="F245" s="4" t="n">
        <v>12</v>
      </c>
      <c r="G245" s="4" t="n">
        <v>12</v>
      </c>
      <c r="H245" s="4" t="n">
        <v>10</v>
      </c>
      <c r="I245" s="4" t="n">
        <v>2</v>
      </c>
      <c r="J245" s="4" t="n">
        <v>0</v>
      </c>
      <c r="K245" s="4" t="n">
        <v>0</v>
      </c>
      <c r="L245" s="11" t="b">
        <f aca="false">FALSE()</f>
        <v>0</v>
      </c>
    </row>
    <row r="246" customFormat="false" ht="15" hidden="false" customHeight="false" outlineLevel="0" collapsed="false">
      <c r="A246" s="4" t="s">
        <v>451</v>
      </c>
      <c r="B246" s="4" t="s">
        <v>101</v>
      </c>
      <c r="C246" s="4" t="s">
        <v>205</v>
      </c>
      <c r="D246" s="4" t="s">
        <v>206</v>
      </c>
      <c r="E246" s="4" t="n">
        <v>46254.4207986111</v>
      </c>
      <c r="F246" s="4" t="n">
        <v>36</v>
      </c>
      <c r="G246" s="4" t="n">
        <v>36</v>
      </c>
      <c r="H246" s="4" t="n">
        <v>34</v>
      </c>
      <c r="I246" s="4" t="n">
        <v>1</v>
      </c>
      <c r="J246" s="4" t="n">
        <v>0</v>
      </c>
      <c r="K246" s="4" t="n">
        <v>1</v>
      </c>
      <c r="L246" s="11" t="b">
        <f aca="false">FALSE()</f>
        <v>0</v>
      </c>
    </row>
    <row r="247" customFormat="false" ht="15" hidden="false" customHeight="false" outlineLevel="0" collapsed="false">
      <c r="A247" s="4" t="s">
        <v>452</v>
      </c>
      <c r="B247" s="4" t="s">
        <v>100</v>
      </c>
      <c r="C247" s="4" t="s">
        <v>205</v>
      </c>
      <c r="D247" s="4" t="s">
        <v>206</v>
      </c>
      <c r="E247" s="4" t="n">
        <v>46254.502650463</v>
      </c>
      <c r="F247" s="4" t="n">
        <v>70</v>
      </c>
      <c r="G247" s="4" t="n">
        <v>70</v>
      </c>
      <c r="H247" s="4" t="n">
        <v>69</v>
      </c>
      <c r="I247" s="4" t="n">
        <v>0</v>
      </c>
      <c r="J247" s="4" t="n">
        <v>0</v>
      </c>
      <c r="K247" s="4" t="n">
        <v>1</v>
      </c>
      <c r="L247" s="11" t="b">
        <f aca="false">FALSE()</f>
        <v>0</v>
      </c>
    </row>
    <row r="248" customFormat="false" ht="15" hidden="false" customHeight="false" outlineLevel="0" collapsed="false">
      <c r="A248" s="4" t="s">
        <v>453</v>
      </c>
      <c r="B248" s="4" t="s">
        <v>102</v>
      </c>
      <c r="C248" s="4" t="s">
        <v>205</v>
      </c>
      <c r="D248" s="4" t="s">
        <v>206</v>
      </c>
      <c r="E248" s="4" t="n">
        <v>46254.5459259259</v>
      </c>
      <c r="F248" s="4" t="n">
        <v>31</v>
      </c>
      <c r="G248" s="4" t="n">
        <v>31</v>
      </c>
      <c r="H248" s="4" t="n">
        <v>27</v>
      </c>
      <c r="I248" s="4" t="n">
        <v>3</v>
      </c>
      <c r="J248" s="4" t="n">
        <v>1</v>
      </c>
      <c r="K248" s="4" t="n">
        <v>0</v>
      </c>
      <c r="L248" s="11" t="b">
        <f aca="false">FALSE()</f>
        <v>0</v>
      </c>
    </row>
    <row r="249" customFormat="false" ht="15" hidden="false" customHeight="false" outlineLevel="0" collapsed="false">
      <c r="A249" s="4" t="s">
        <v>454</v>
      </c>
      <c r="B249" s="4" t="s">
        <v>101</v>
      </c>
      <c r="C249" s="4" t="s">
        <v>205</v>
      </c>
      <c r="D249" s="4" t="s">
        <v>206</v>
      </c>
      <c r="E249" s="4" t="n">
        <v>46254.5867824074</v>
      </c>
      <c r="F249" s="4" t="n">
        <v>51</v>
      </c>
      <c r="G249" s="4" t="n">
        <v>51</v>
      </c>
      <c r="H249" s="4" t="n">
        <v>49</v>
      </c>
      <c r="I249" s="4" t="n">
        <v>2</v>
      </c>
      <c r="J249" s="4" t="n">
        <v>0</v>
      </c>
      <c r="K249" s="4" t="n">
        <v>0</v>
      </c>
      <c r="L249" s="11" t="b">
        <f aca="false">FALSE()</f>
        <v>0</v>
      </c>
    </row>
    <row r="250" customFormat="false" ht="15" hidden="false" customHeight="false" outlineLevel="0" collapsed="false">
      <c r="A250" s="4" t="s">
        <v>455</v>
      </c>
      <c r="B250" s="4" t="s">
        <v>103</v>
      </c>
      <c r="C250" s="4" t="s">
        <v>205</v>
      </c>
      <c r="D250" s="4" t="s">
        <v>206</v>
      </c>
      <c r="E250" s="4" t="n">
        <v>46254.6305324074</v>
      </c>
      <c r="F250" s="4" t="n">
        <v>31</v>
      </c>
      <c r="G250" s="4" t="n">
        <v>31</v>
      </c>
      <c r="H250" s="4" t="n">
        <v>30</v>
      </c>
      <c r="I250" s="4" t="n">
        <v>1</v>
      </c>
      <c r="J250" s="4" t="n">
        <v>0</v>
      </c>
      <c r="K250" s="4" t="n">
        <v>0</v>
      </c>
      <c r="L250" s="11" t="b">
        <f aca="false">FALSE()</f>
        <v>0</v>
      </c>
    </row>
    <row r="251" customFormat="false" ht="15" hidden="false" customHeight="false" outlineLevel="0" collapsed="false">
      <c r="A251" s="4" t="s">
        <v>456</v>
      </c>
      <c r="B251" s="4" t="s">
        <v>100</v>
      </c>
      <c r="C251" s="4" t="s">
        <v>205</v>
      </c>
      <c r="D251" s="4" t="s">
        <v>206</v>
      </c>
      <c r="E251" s="4" t="n">
        <v>46254.669212963</v>
      </c>
      <c r="F251" s="4" t="n">
        <v>78</v>
      </c>
      <c r="G251" s="4" t="n">
        <v>78</v>
      </c>
      <c r="H251" s="4" t="n">
        <v>76</v>
      </c>
      <c r="I251" s="4" t="n">
        <v>1</v>
      </c>
      <c r="J251" s="4" t="n">
        <v>1</v>
      </c>
      <c r="K251" s="4" t="n">
        <v>0</v>
      </c>
      <c r="L251" s="11" t="b">
        <f aca="false">FALSE()</f>
        <v>0</v>
      </c>
    </row>
    <row r="252" customFormat="false" ht="15" hidden="false" customHeight="false" outlineLevel="0" collapsed="false">
      <c r="A252" s="4" t="s">
        <v>457</v>
      </c>
      <c r="B252" s="4" t="s">
        <v>101</v>
      </c>
      <c r="C252" s="4" t="s">
        <v>205</v>
      </c>
      <c r="D252" s="4" t="s">
        <v>206</v>
      </c>
      <c r="E252" s="4" t="n">
        <v>46254.7531712963</v>
      </c>
      <c r="F252" s="4" t="n">
        <v>47</v>
      </c>
      <c r="G252" s="4" t="n">
        <v>47</v>
      </c>
      <c r="H252" s="4" t="n">
        <v>47</v>
      </c>
      <c r="I252" s="4" t="n">
        <v>0</v>
      </c>
      <c r="J252" s="4" t="n">
        <v>0</v>
      </c>
      <c r="K252" s="4" t="n">
        <v>0</v>
      </c>
      <c r="L252" s="11" t="b">
        <f aca="false">FALSE()</f>
        <v>0</v>
      </c>
    </row>
    <row r="253" customFormat="false" ht="15" hidden="false" customHeight="false" outlineLevel="0" collapsed="false">
      <c r="A253" s="4" t="s">
        <v>458</v>
      </c>
      <c r="B253" s="4" t="s">
        <v>104</v>
      </c>
      <c r="C253" s="4" t="s">
        <v>205</v>
      </c>
      <c r="D253" s="4" t="s">
        <v>206</v>
      </c>
      <c r="E253" s="4" t="n">
        <v>46254.7558796296</v>
      </c>
      <c r="F253" s="4" t="n">
        <v>25</v>
      </c>
      <c r="G253" s="4" t="n">
        <v>25</v>
      </c>
      <c r="H253" s="4" t="n">
        <v>22</v>
      </c>
      <c r="I253" s="4" t="n">
        <v>3</v>
      </c>
      <c r="J253" s="4" t="n">
        <v>0</v>
      </c>
      <c r="K253" s="4" t="n">
        <v>0</v>
      </c>
      <c r="L253" s="11" t="b">
        <f aca="false">FALSE()</f>
        <v>0</v>
      </c>
    </row>
    <row r="254" customFormat="false" ht="15" hidden="false" customHeight="false" outlineLevel="0" collapsed="false">
      <c r="A254" s="4" t="s">
        <v>459</v>
      </c>
      <c r="B254" s="4" t="s">
        <v>102</v>
      </c>
      <c r="C254" s="4" t="s">
        <v>205</v>
      </c>
      <c r="D254" s="4" t="s">
        <v>206</v>
      </c>
      <c r="E254" s="4" t="n">
        <v>46254.7960300926</v>
      </c>
      <c r="F254" s="4" t="n">
        <v>25</v>
      </c>
      <c r="G254" s="4" t="n">
        <v>25</v>
      </c>
      <c r="H254" s="4" t="n">
        <v>24</v>
      </c>
      <c r="I254" s="4" t="n">
        <v>0</v>
      </c>
      <c r="J254" s="4" t="n">
        <v>1</v>
      </c>
      <c r="K254" s="4" t="n">
        <v>0</v>
      </c>
      <c r="L254" s="11" t="b">
        <f aca="false">FALSE()</f>
        <v>0</v>
      </c>
    </row>
    <row r="255" customFormat="false" ht="15" hidden="false" customHeight="false" outlineLevel="0" collapsed="false">
      <c r="A255" s="4" t="s">
        <v>460</v>
      </c>
      <c r="B255" s="4" t="s">
        <v>100</v>
      </c>
      <c r="C255" s="4" t="s">
        <v>205</v>
      </c>
      <c r="D255" s="4" t="s">
        <v>206</v>
      </c>
      <c r="E255" s="4" t="n">
        <v>46254.8363310185</v>
      </c>
      <c r="F255" s="4" t="n">
        <v>72</v>
      </c>
      <c r="G255" s="4" t="n">
        <v>72</v>
      </c>
      <c r="H255" s="4" t="n">
        <v>69</v>
      </c>
      <c r="I255" s="4" t="n">
        <v>1</v>
      </c>
      <c r="J255" s="4" t="n">
        <v>0</v>
      </c>
      <c r="K255" s="4" t="n">
        <v>2</v>
      </c>
      <c r="L255" s="11" t="b">
        <f aca="false">FALSE()</f>
        <v>0</v>
      </c>
    </row>
    <row r="256" customFormat="false" ht="15" hidden="false" customHeight="false" outlineLevel="0" collapsed="false">
      <c r="A256" s="4" t="s">
        <v>461</v>
      </c>
      <c r="B256" s="4" t="s">
        <v>103</v>
      </c>
      <c r="C256" s="4" t="s">
        <v>205</v>
      </c>
      <c r="D256" s="4" t="s">
        <v>206</v>
      </c>
      <c r="E256" s="4" t="n">
        <v>46254.8806828704</v>
      </c>
      <c r="F256" s="4" t="n">
        <v>27</v>
      </c>
      <c r="G256" s="4" t="n">
        <v>27</v>
      </c>
      <c r="H256" s="4" t="n">
        <v>24</v>
      </c>
      <c r="I256" s="4" t="n">
        <v>3</v>
      </c>
      <c r="J256" s="4" t="n">
        <v>0</v>
      </c>
      <c r="K256" s="4" t="n">
        <v>0</v>
      </c>
      <c r="L256" s="11" t="b">
        <f aca="false">FALSE()</f>
        <v>0</v>
      </c>
    </row>
    <row r="257" customFormat="false" ht="15" hidden="false" customHeight="false" outlineLevel="0" collapsed="false">
      <c r="A257" s="4" t="s">
        <v>462</v>
      </c>
      <c r="B257" s="4" t="s">
        <v>101</v>
      </c>
      <c r="C257" s="4" t="s">
        <v>205</v>
      </c>
      <c r="D257" s="4" t="s">
        <v>206</v>
      </c>
      <c r="E257" s="4" t="n">
        <v>46254.9200578704</v>
      </c>
      <c r="F257" s="4" t="n">
        <v>38</v>
      </c>
      <c r="G257" s="4" t="n">
        <v>38</v>
      </c>
      <c r="H257" s="4" t="n">
        <v>33</v>
      </c>
      <c r="I257" s="4" t="n">
        <v>3</v>
      </c>
      <c r="J257" s="4" t="n">
        <v>1</v>
      </c>
      <c r="K257" s="4" t="n">
        <v>1</v>
      </c>
      <c r="L257" s="11" t="b">
        <f aca="false">FALSE()</f>
        <v>0</v>
      </c>
    </row>
    <row r="258" customFormat="false" ht="15" hidden="false" customHeight="false" outlineLevel="0" collapsed="false">
      <c r="A258" s="4" t="s">
        <v>463</v>
      </c>
      <c r="B258" s="4" t="s">
        <v>100</v>
      </c>
      <c r="C258" s="4" t="s">
        <v>205</v>
      </c>
      <c r="D258" s="4" t="s">
        <v>206</v>
      </c>
      <c r="E258" s="4" t="n">
        <v>46255.0026157407</v>
      </c>
      <c r="F258" s="4" t="n">
        <v>41</v>
      </c>
      <c r="G258" s="4" t="n">
        <v>41</v>
      </c>
      <c r="H258" s="4" t="n">
        <v>41</v>
      </c>
      <c r="I258" s="4" t="n">
        <v>0</v>
      </c>
      <c r="J258" s="4" t="n">
        <v>0</v>
      </c>
      <c r="K258" s="4" t="n">
        <v>0</v>
      </c>
      <c r="L258" s="11" t="b">
        <f aca="false">FALSE()</f>
        <v>0</v>
      </c>
    </row>
    <row r="259" customFormat="false" ht="15" hidden="false" customHeight="false" outlineLevel="0" collapsed="false">
      <c r="A259" s="4" t="s">
        <v>464</v>
      </c>
      <c r="B259" s="4" t="s">
        <v>102</v>
      </c>
      <c r="C259" s="4" t="s">
        <v>205</v>
      </c>
      <c r="D259" s="4" t="s">
        <v>206</v>
      </c>
      <c r="E259" s="4" t="n">
        <v>46255.0458680556</v>
      </c>
      <c r="F259" s="4" t="n">
        <v>17</v>
      </c>
      <c r="G259" s="4" t="n">
        <v>17</v>
      </c>
      <c r="H259" s="4" t="n">
        <v>15</v>
      </c>
      <c r="I259" s="4" t="n">
        <v>2</v>
      </c>
      <c r="J259" s="4" t="n">
        <v>0</v>
      </c>
      <c r="K259" s="4" t="n">
        <v>0</v>
      </c>
      <c r="L259" s="11" t="b">
        <f aca="false">FALSE()</f>
        <v>0</v>
      </c>
    </row>
    <row r="260" customFormat="false" ht="15" hidden="false" customHeight="false" outlineLevel="0" collapsed="false">
      <c r="A260" s="4" t="s">
        <v>465</v>
      </c>
      <c r="B260" s="4" t="s">
        <v>101</v>
      </c>
      <c r="C260" s="4" t="s">
        <v>205</v>
      </c>
      <c r="D260" s="4" t="s">
        <v>206</v>
      </c>
      <c r="E260" s="4" t="n">
        <v>46255.0862847222</v>
      </c>
      <c r="F260" s="4" t="n">
        <v>18</v>
      </c>
      <c r="G260" s="4" t="n">
        <v>18</v>
      </c>
      <c r="H260" s="4" t="n">
        <v>16</v>
      </c>
      <c r="I260" s="4" t="n">
        <v>1</v>
      </c>
      <c r="J260" s="4" t="n">
        <v>0</v>
      </c>
      <c r="K260" s="4" t="n">
        <v>1</v>
      </c>
      <c r="L260" s="11" t="b">
        <f aca="false">FALSE()</f>
        <v>0</v>
      </c>
    </row>
    <row r="261" customFormat="false" ht="15" hidden="false" customHeight="false" outlineLevel="0" collapsed="false">
      <c r="A261" s="4" t="s">
        <v>466</v>
      </c>
      <c r="B261" s="4" t="s">
        <v>103</v>
      </c>
      <c r="C261" s="4" t="s">
        <v>205</v>
      </c>
      <c r="D261" s="4" t="s">
        <v>206</v>
      </c>
      <c r="E261" s="4" t="n">
        <v>46255.130787037</v>
      </c>
      <c r="F261" s="4" t="n">
        <v>9</v>
      </c>
      <c r="G261" s="4" t="n">
        <v>9</v>
      </c>
      <c r="H261" s="4" t="n">
        <v>8</v>
      </c>
      <c r="I261" s="4" t="n">
        <v>0</v>
      </c>
      <c r="J261" s="4" t="n">
        <v>0</v>
      </c>
      <c r="K261" s="4" t="n">
        <v>1</v>
      </c>
      <c r="L261" s="11" t="b">
        <f aca="false">FALSE()</f>
        <v>0</v>
      </c>
    </row>
    <row r="262" customFormat="false" ht="15" hidden="false" customHeight="false" outlineLevel="0" collapsed="false">
      <c r="A262" s="4" t="s">
        <v>467</v>
      </c>
      <c r="B262" s="4" t="s">
        <v>100</v>
      </c>
      <c r="C262" s="4" t="s">
        <v>205</v>
      </c>
      <c r="D262" s="4" t="s">
        <v>206</v>
      </c>
      <c r="E262" s="4" t="n">
        <v>46255.1702199074</v>
      </c>
      <c r="F262" s="4" t="n">
        <v>16</v>
      </c>
      <c r="G262" s="4" t="n">
        <v>16</v>
      </c>
      <c r="H262" s="4" t="n">
        <v>16</v>
      </c>
      <c r="I262" s="4" t="n">
        <v>0</v>
      </c>
      <c r="J262" s="4" t="n">
        <v>0</v>
      </c>
      <c r="K262" s="4" t="n">
        <v>0</v>
      </c>
      <c r="L262" s="11" t="b">
        <f aca="false">FALSE()</f>
        <v>0</v>
      </c>
    </row>
    <row r="263" customFormat="false" ht="15" hidden="false" customHeight="false" outlineLevel="0" collapsed="false">
      <c r="A263" s="4" t="s">
        <v>468</v>
      </c>
      <c r="B263" s="4" t="s">
        <v>99</v>
      </c>
      <c r="C263" s="4" t="s">
        <v>205</v>
      </c>
      <c r="D263" s="4" t="s">
        <v>206</v>
      </c>
      <c r="E263" s="4" t="n">
        <v>46255.2133101852</v>
      </c>
      <c r="F263" s="4" t="n">
        <v>3</v>
      </c>
      <c r="G263" s="4" t="n">
        <v>3</v>
      </c>
      <c r="H263" s="4" t="n">
        <v>2</v>
      </c>
      <c r="I263" s="4" t="n">
        <v>1</v>
      </c>
      <c r="J263" s="4" t="n">
        <v>0</v>
      </c>
      <c r="K263" s="4" t="n">
        <v>0</v>
      </c>
      <c r="L263" s="11" t="b">
        <f aca="false">FALSE()</f>
        <v>0</v>
      </c>
    </row>
    <row r="264" customFormat="false" ht="15" hidden="false" customHeight="false" outlineLevel="0" collapsed="false">
      <c r="A264" s="4" t="s">
        <v>469</v>
      </c>
      <c r="B264" s="4" t="s">
        <v>101</v>
      </c>
      <c r="C264" s="4" t="s">
        <v>205</v>
      </c>
      <c r="D264" s="4" t="s">
        <v>206</v>
      </c>
      <c r="E264" s="4" t="n">
        <v>46255.2528703704</v>
      </c>
      <c r="F264" s="4" t="n">
        <v>13</v>
      </c>
      <c r="G264" s="4" t="n">
        <v>13</v>
      </c>
      <c r="H264" s="4" t="n">
        <v>10</v>
      </c>
      <c r="I264" s="4" t="n">
        <v>3</v>
      </c>
      <c r="J264" s="4" t="n">
        <v>0</v>
      </c>
      <c r="K264" s="4" t="n">
        <v>0</v>
      </c>
      <c r="L264" s="11" t="b">
        <f aca="false">FALSE()</f>
        <v>0</v>
      </c>
    </row>
    <row r="265" customFormat="false" ht="15" hidden="false" customHeight="false" outlineLevel="0" collapsed="false">
      <c r="A265" s="4" t="s">
        <v>470</v>
      </c>
      <c r="B265" s="4" t="s">
        <v>104</v>
      </c>
      <c r="C265" s="4" t="s">
        <v>205</v>
      </c>
      <c r="D265" s="4" t="s">
        <v>206</v>
      </c>
      <c r="E265" s="4" t="n">
        <v>46255.2559953704</v>
      </c>
      <c r="F265" s="4" t="n">
        <v>9</v>
      </c>
      <c r="G265" s="4" t="n">
        <v>9</v>
      </c>
      <c r="H265" s="4" t="n">
        <v>6</v>
      </c>
      <c r="I265" s="4" t="n">
        <v>3</v>
      </c>
      <c r="J265" s="4" t="n">
        <v>0</v>
      </c>
      <c r="K265" s="4" t="n">
        <v>0</v>
      </c>
      <c r="L265" s="11" t="b">
        <f aca="false">FALSE()</f>
        <v>0</v>
      </c>
    </row>
    <row r="266" customFormat="false" ht="15" hidden="false" customHeight="false" outlineLevel="0" collapsed="false">
      <c r="A266" s="4" t="s">
        <v>471</v>
      </c>
      <c r="B266" s="4" t="s">
        <v>102</v>
      </c>
      <c r="C266" s="4" t="s">
        <v>205</v>
      </c>
      <c r="D266" s="4" t="s">
        <v>206</v>
      </c>
      <c r="E266" s="4" t="n">
        <v>46255.2953356481</v>
      </c>
      <c r="F266" s="4" t="n">
        <v>9</v>
      </c>
      <c r="G266" s="4" t="n">
        <v>9</v>
      </c>
      <c r="H266" s="4" t="n">
        <v>7</v>
      </c>
      <c r="I266" s="4" t="n">
        <v>2</v>
      </c>
      <c r="J266" s="4" t="n">
        <v>0</v>
      </c>
      <c r="K266" s="4" t="n">
        <v>0</v>
      </c>
      <c r="L266" s="11" t="b">
        <f aca="false">FALSE()</f>
        <v>0</v>
      </c>
    </row>
    <row r="267" customFormat="false" ht="15" hidden="false" customHeight="false" outlineLevel="0" collapsed="false">
      <c r="A267" s="4" t="s">
        <v>472</v>
      </c>
      <c r="B267" s="4" t="s">
        <v>100</v>
      </c>
      <c r="C267" s="4" t="s">
        <v>205</v>
      </c>
      <c r="D267" s="4" t="s">
        <v>206</v>
      </c>
      <c r="E267" s="4" t="n">
        <v>46255.3366666667</v>
      </c>
      <c r="F267" s="4" t="n">
        <v>34</v>
      </c>
      <c r="G267" s="4" t="n">
        <v>34</v>
      </c>
      <c r="H267" s="4" t="n">
        <v>29</v>
      </c>
      <c r="I267" s="4" t="n">
        <v>3</v>
      </c>
      <c r="J267" s="4" t="n">
        <v>1</v>
      </c>
      <c r="K267" s="4" t="n">
        <v>1</v>
      </c>
      <c r="L267" s="11" t="b">
        <f aca="false">FALSE()</f>
        <v>0</v>
      </c>
    </row>
    <row r="268" customFormat="false" ht="15" hidden="false" customHeight="false" outlineLevel="0" collapsed="false">
      <c r="A268" s="4" t="s">
        <v>473</v>
      </c>
      <c r="B268" s="4" t="s">
        <v>103</v>
      </c>
      <c r="C268" s="4" t="s">
        <v>205</v>
      </c>
      <c r="D268" s="4" t="s">
        <v>206</v>
      </c>
      <c r="E268" s="4" t="n">
        <v>46255.3816898148</v>
      </c>
      <c r="F268" s="4" t="n">
        <v>10</v>
      </c>
      <c r="G268" s="4" t="n">
        <v>10</v>
      </c>
      <c r="H268" s="4" t="n">
        <v>10</v>
      </c>
      <c r="I268" s="4" t="n">
        <v>0</v>
      </c>
      <c r="J268" s="4" t="n">
        <v>0</v>
      </c>
      <c r="K268" s="4" t="n">
        <v>0</v>
      </c>
      <c r="L268" s="11" t="b">
        <f aca="false">FALSE()</f>
        <v>0</v>
      </c>
    </row>
    <row r="269" customFormat="false" ht="15" hidden="false" customHeight="false" outlineLevel="0" collapsed="false">
      <c r="A269" s="4" t="s">
        <v>474</v>
      </c>
      <c r="B269" s="4" t="s">
        <v>101</v>
      </c>
      <c r="C269" s="4" t="s">
        <v>205</v>
      </c>
      <c r="D269" s="4" t="s">
        <v>206</v>
      </c>
      <c r="E269" s="4" t="n">
        <v>46255.4199768519</v>
      </c>
      <c r="F269" s="4" t="n">
        <v>35</v>
      </c>
      <c r="G269" s="4" t="n">
        <v>35</v>
      </c>
      <c r="H269" s="4" t="n">
        <v>32</v>
      </c>
      <c r="I269" s="4" t="n">
        <v>2</v>
      </c>
      <c r="J269" s="4" t="n">
        <v>1</v>
      </c>
      <c r="K269" s="4" t="n">
        <v>0</v>
      </c>
      <c r="L269" s="11" t="b">
        <f aca="false">FALSE()</f>
        <v>0</v>
      </c>
    </row>
    <row r="270" customFormat="false" ht="15" hidden="false" customHeight="false" outlineLevel="0" collapsed="false">
      <c r="A270" s="4" t="s">
        <v>475</v>
      </c>
      <c r="B270" s="4" t="s">
        <v>100</v>
      </c>
      <c r="C270" s="4" t="s">
        <v>205</v>
      </c>
      <c r="D270" s="4" t="s">
        <v>206</v>
      </c>
      <c r="E270" s="4" t="n">
        <v>46255.5031018519</v>
      </c>
      <c r="F270" s="4" t="n">
        <v>76</v>
      </c>
      <c r="G270" s="4" t="n">
        <v>76</v>
      </c>
      <c r="H270" s="4" t="n">
        <v>73</v>
      </c>
      <c r="I270" s="4" t="n">
        <v>3</v>
      </c>
      <c r="J270" s="4" t="n">
        <v>0</v>
      </c>
      <c r="K270" s="4" t="n">
        <v>0</v>
      </c>
      <c r="L270" s="11" t="b">
        <f aca="false">FALSE()</f>
        <v>0</v>
      </c>
    </row>
    <row r="271" customFormat="false" ht="15" hidden="false" customHeight="false" outlineLevel="0" collapsed="false">
      <c r="A271" s="4" t="s">
        <v>476</v>
      </c>
      <c r="B271" s="4" t="s">
        <v>102</v>
      </c>
      <c r="C271" s="4" t="s">
        <v>205</v>
      </c>
      <c r="D271" s="4" t="s">
        <v>206</v>
      </c>
      <c r="E271" s="4" t="n">
        <v>46255.5458333333</v>
      </c>
      <c r="F271" s="4" t="n">
        <v>31</v>
      </c>
      <c r="G271" s="4" t="n">
        <v>31</v>
      </c>
      <c r="H271" s="4" t="n">
        <v>30</v>
      </c>
      <c r="I271" s="4" t="n">
        <v>1</v>
      </c>
      <c r="J271" s="4" t="n">
        <v>0</v>
      </c>
      <c r="K271" s="4" t="n">
        <v>0</v>
      </c>
      <c r="L271" s="11" t="b">
        <f aca="false">FALSE()</f>
        <v>0</v>
      </c>
    </row>
    <row r="272" customFormat="false" ht="15" hidden="false" customHeight="false" outlineLevel="0" collapsed="false">
      <c r="A272" s="4" t="s">
        <v>477</v>
      </c>
      <c r="B272" s="4" t="s">
        <v>101</v>
      </c>
      <c r="C272" s="4" t="s">
        <v>205</v>
      </c>
      <c r="D272" s="4" t="s">
        <v>206</v>
      </c>
      <c r="E272" s="4" t="n">
        <v>46255.5872222222</v>
      </c>
      <c r="F272" s="4" t="n">
        <v>53</v>
      </c>
      <c r="G272" s="4" t="n">
        <v>53</v>
      </c>
      <c r="H272" s="4" t="n">
        <v>51</v>
      </c>
      <c r="I272" s="4" t="n">
        <v>2</v>
      </c>
      <c r="J272" s="4" t="n">
        <v>0</v>
      </c>
      <c r="K272" s="4" t="n">
        <v>0</v>
      </c>
      <c r="L272" s="11" t="b">
        <f aca="false">FALSE()</f>
        <v>0</v>
      </c>
    </row>
    <row r="273" customFormat="false" ht="15" hidden="false" customHeight="false" outlineLevel="0" collapsed="false">
      <c r="A273" s="4" t="s">
        <v>478</v>
      </c>
      <c r="B273" s="4" t="s">
        <v>103</v>
      </c>
      <c r="C273" s="4" t="s">
        <v>205</v>
      </c>
      <c r="D273" s="4" t="s">
        <v>206</v>
      </c>
      <c r="E273" s="4" t="n">
        <v>46255.6298958333</v>
      </c>
      <c r="F273" s="4" t="n">
        <v>33</v>
      </c>
      <c r="G273" s="4" t="n">
        <v>33</v>
      </c>
      <c r="H273" s="4" t="n">
        <v>32</v>
      </c>
      <c r="I273" s="4" t="n">
        <v>1</v>
      </c>
      <c r="J273" s="4" t="n">
        <v>0</v>
      </c>
      <c r="K273" s="4" t="n">
        <v>0</v>
      </c>
      <c r="L273" s="11" t="b">
        <f aca="false">FALSE()</f>
        <v>0</v>
      </c>
    </row>
    <row r="274" customFormat="false" ht="15" hidden="false" customHeight="false" outlineLevel="0" collapsed="false">
      <c r="A274" s="4" t="s">
        <v>479</v>
      </c>
      <c r="B274" s="4" t="s">
        <v>100</v>
      </c>
      <c r="C274" s="4" t="s">
        <v>205</v>
      </c>
      <c r="D274" s="4" t="s">
        <v>206</v>
      </c>
      <c r="E274" s="4" t="n">
        <v>46255.6690625</v>
      </c>
      <c r="F274" s="4" t="n">
        <v>80</v>
      </c>
      <c r="G274" s="4" t="n">
        <v>80</v>
      </c>
      <c r="H274" s="4" t="n">
        <v>77</v>
      </c>
      <c r="I274" s="4" t="n">
        <v>2</v>
      </c>
      <c r="J274" s="4" t="n">
        <v>1</v>
      </c>
      <c r="K274" s="4" t="n">
        <v>0</v>
      </c>
      <c r="L274" s="11" t="b">
        <f aca="false">FALSE()</f>
        <v>0</v>
      </c>
    </row>
    <row r="275" customFormat="false" ht="15" hidden="false" customHeight="false" outlineLevel="0" collapsed="false">
      <c r="A275" s="4" t="s">
        <v>480</v>
      </c>
      <c r="B275" s="4" t="s">
        <v>101</v>
      </c>
      <c r="C275" s="4" t="s">
        <v>205</v>
      </c>
      <c r="D275" s="4" t="s">
        <v>206</v>
      </c>
      <c r="E275" s="4" t="n">
        <v>46255.7529050926</v>
      </c>
      <c r="F275" s="4" t="n">
        <v>48</v>
      </c>
      <c r="G275" s="4" t="n">
        <v>48</v>
      </c>
      <c r="H275" s="4" t="n">
        <v>46</v>
      </c>
      <c r="I275" s="4" t="n">
        <v>1</v>
      </c>
      <c r="J275" s="4" t="n">
        <v>0</v>
      </c>
      <c r="K275" s="4" t="n">
        <v>1</v>
      </c>
      <c r="L275" s="11" t="b">
        <f aca="false">FALSE()</f>
        <v>0</v>
      </c>
    </row>
    <row r="276" customFormat="false" ht="15" hidden="false" customHeight="false" outlineLevel="0" collapsed="false">
      <c r="A276" s="4" t="s">
        <v>481</v>
      </c>
      <c r="B276" s="4" t="s">
        <v>104</v>
      </c>
      <c r="C276" s="4" t="s">
        <v>205</v>
      </c>
      <c r="D276" s="4" t="s">
        <v>206</v>
      </c>
      <c r="E276" s="4" t="n">
        <v>46255.7560185185</v>
      </c>
      <c r="F276" s="4" t="n">
        <v>0</v>
      </c>
      <c r="G276" s="4" t="n">
        <v>0</v>
      </c>
      <c r="H276" s="4" t="n">
        <v>0</v>
      </c>
      <c r="I276" s="4" t="n">
        <v>0</v>
      </c>
      <c r="J276" s="4" t="n">
        <v>0</v>
      </c>
      <c r="K276" s="4" t="n">
        <v>0</v>
      </c>
      <c r="L276" s="11" t="b">
        <f aca="false">TRUE()</f>
        <v>1</v>
      </c>
    </row>
    <row r="277" customFormat="false" ht="15" hidden="false" customHeight="false" outlineLevel="0" collapsed="false">
      <c r="A277" s="4" t="s">
        <v>482</v>
      </c>
      <c r="B277" s="4" t="s">
        <v>102</v>
      </c>
      <c r="C277" s="4" t="s">
        <v>205</v>
      </c>
      <c r="D277" s="4" t="s">
        <v>206</v>
      </c>
      <c r="E277" s="4" t="n">
        <v>46255.7961689815</v>
      </c>
      <c r="F277" s="4" t="n">
        <v>28</v>
      </c>
      <c r="G277" s="4" t="n">
        <v>28</v>
      </c>
      <c r="H277" s="4" t="n">
        <v>26</v>
      </c>
      <c r="I277" s="4" t="n">
        <v>1</v>
      </c>
      <c r="J277" s="4" t="n">
        <v>1</v>
      </c>
      <c r="K277" s="4" t="n">
        <v>0</v>
      </c>
      <c r="L277" s="11" t="b">
        <f aca="false">FALSE()</f>
        <v>0</v>
      </c>
    </row>
    <row r="278" customFormat="false" ht="15" hidden="false" customHeight="false" outlineLevel="0" collapsed="false">
      <c r="A278" s="4" t="s">
        <v>483</v>
      </c>
      <c r="B278" s="4" t="s">
        <v>100</v>
      </c>
      <c r="C278" s="4" t="s">
        <v>205</v>
      </c>
      <c r="D278" s="4" t="s">
        <v>206</v>
      </c>
      <c r="E278" s="4" t="n">
        <v>46255.836087963</v>
      </c>
      <c r="F278" s="4" t="n">
        <v>69</v>
      </c>
      <c r="G278" s="4" t="n">
        <v>69</v>
      </c>
      <c r="H278" s="4" t="n">
        <v>65</v>
      </c>
      <c r="I278" s="4" t="n">
        <v>1</v>
      </c>
      <c r="J278" s="4" t="n">
        <v>3</v>
      </c>
      <c r="K278" s="4" t="n">
        <v>0</v>
      </c>
      <c r="L278" s="11" t="b">
        <f aca="false">FALSE()</f>
        <v>0</v>
      </c>
    </row>
    <row r="279" customFormat="false" ht="15" hidden="false" customHeight="false" outlineLevel="0" collapsed="false">
      <c r="A279" s="4" t="s">
        <v>484</v>
      </c>
      <c r="B279" s="4" t="s">
        <v>103</v>
      </c>
      <c r="C279" s="4" t="s">
        <v>205</v>
      </c>
      <c r="D279" s="4" t="s">
        <v>206</v>
      </c>
      <c r="E279" s="4" t="n">
        <v>46255.8798148148</v>
      </c>
      <c r="F279" s="4" t="n">
        <v>29</v>
      </c>
      <c r="G279" s="4" t="n">
        <v>29</v>
      </c>
      <c r="H279" s="4" t="n">
        <v>25</v>
      </c>
      <c r="I279" s="4" t="n">
        <v>3</v>
      </c>
      <c r="J279" s="4" t="n">
        <v>0</v>
      </c>
      <c r="K279" s="4" t="n">
        <v>1</v>
      </c>
      <c r="L279" s="11" t="b">
        <f aca="false">FALSE()</f>
        <v>0</v>
      </c>
    </row>
    <row r="280" customFormat="false" ht="15" hidden="false" customHeight="false" outlineLevel="0" collapsed="false">
      <c r="A280" s="4" t="s">
        <v>485</v>
      </c>
      <c r="B280" s="4" t="s">
        <v>101</v>
      </c>
      <c r="C280" s="4" t="s">
        <v>205</v>
      </c>
      <c r="D280" s="4" t="s">
        <v>206</v>
      </c>
      <c r="E280" s="4" t="n">
        <v>46255.9194444444</v>
      </c>
      <c r="F280" s="4" t="n">
        <v>40</v>
      </c>
      <c r="G280" s="4" t="n">
        <v>40</v>
      </c>
      <c r="H280" s="4" t="n">
        <v>39</v>
      </c>
      <c r="I280" s="4" t="n">
        <v>1</v>
      </c>
      <c r="J280" s="4" t="n">
        <v>0</v>
      </c>
      <c r="K280" s="4" t="n">
        <v>0</v>
      </c>
      <c r="L280" s="11" t="b">
        <f aca="false">FALSE()</f>
        <v>0</v>
      </c>
    </row>
    <row r="281" customFormat="false" ht="15" hidden="false" customHeight="false" outlineLevel="0" collapsed="false">
      <c r="A281" s="4" t="s">
        <v>486</v>
      </c>
      <c r="B281" s="4" t="s">
        <v>100</v>
      </c>
      <c r="C281" s="4" t="s">
        <v>205</v>
      </c>
      <c r="D281" s="4" t="s">
        <v>206</v>
      </c>
      <c r="E281" s="4" t="n">
        <v>46256.0036342593</v>
      </c>
      <c r="F281" s="4" t="n">
        <v>45</v>
      </c>
      <c r="G281" s="4" t="n">
        <v>45</v>
      </c>
      <c r="H281" s="4" t="n">
        <v>43</v>
      </c>
      <c r="I281" s="4" t="n">
        <v>0</v>
      </c>
      <c r="J281" s="4" t="n">
        <v>2</v>
      </c>
      <c r="K281" s="4" t="n">
        <v>0</v>
      </c>
      <c r="L281" s="11" t="b">
        <f aca="false">FALSE()</f>
        <v>0</v>
      </c>
    </row>
    <row r="282" customFormat="false" ht="15" hidden="false" customHeight="false" outlineLevel="0" collapsed="false">
      <c r="A282" s="4" t="s">
        <v>487</v>
      </c>
      <c r="B282" s="4" t="s">
        <v>102</v>
      </c>
      <c r="C282" s="4" t="s">
        <v>205</v>
      </c>
      <c r="D282" s="4" t="s">
        <v>206</v>
      </c>
      <c r="E282" s="4" t="n">
        <v>46256.0461689815</v>
      </c>
      <c r="F282" s="4" t="n">
        <v>15</v>
      </c>
      <c r="G282" s="4" t="n">
        <v>15</v>
      </c>
      <c r="H282" s="4" t="n">
        <v>14</v>
      </c>
      <c r="I282" s="4" t="n">
        <v>1</v>
      </c>
      <c r="J282" s="4" t="n">
        <v>0</v>
      </c>
      <c r="K282" s="4" t="n">
        <v>0</v>
      </c>
      <c r="L282" s="11" t="b">
        <f aca="false">FALSE()</f>
        <v>0</v>
      </c>
    </row>
    <row r="283" customFormat="false" ht="15" hidden="false" customHeight="false" outlineLevel="0" collapsed="false">
      <c r="A283" s="4" t="s">
        <v>488</v>
      </c>
      <c r="B283" s="4" t="s">
        <v>101</v>
      </c>
      <c r="C283" s="4" t="s">
        <v>205</v>
      </c>
      <c r="D283" s="4" t="s">
        <v>206</v>
      </c>
      <c r="E283" s="4" t="n">
        <v>46256.087337963</v>
      </c>
      <c r="F283" s="4" t="n">
        <v>13</v>
      </c>
      <c r="G283" s="4" t="n">
        <v>13</v>
      </c>
      <c r="H283" s="4" t="n">
        <v>11</v>
      </c>
      <c r="I283" s="4" t="n">
        <v>2</v>
      </c>
      <c r="J283" s="4" t="n">
        <v>0</v>
      </c>
      <c r="K283" s="4" t="n">
        <v>0</v>
      </c>
      <c r="L283" s="11" t="b">
        <f aca="false">FALSE()</f>
        <v>0</v>
      </c>
    </row>
    <row r="284" customFormat="false" ht="15" hidden="false" customHeight="false" outlineLevel="0" collapsed="false">
      <c r="A284" s="4" t="s">
        <v>489</v>
      </c>
      <c r="B284" s="4" t="s">
        <v>103</v>
      </c>
      <c r="C284" s="4" t="s">
        <v>205</v>
      </c>
      <c r="D284" s="4" t="s">
        <v>206</v>
      </c>
      <c r="E284" s="4" t="n">
        <v>46256.1305208333</v>
      </c>
      <c r="F284" s="4" t="n">
        <v>12</v>
      </c>
      <c r="G284" s="4" t="n">
        <v>12</v>
      </c>
      <c r="H284" s="4" t="n">
        <v>10</v>
      </c>
      <c r="I284" s="4" t="n">
        <v>2</v>
      </c>
      <c r="J284" s="4" t="n">
        <v>0</v>
      </c>
      <c r="K284" s="4" t="n">
        <v>0</v>
      </c>
      <c r="L284" s="11" t="b">
        <f aca="false">FALSE()</f>
        <v>0</v>
      </c>
    </row>
    <row r="285" customFormat="false" ht="15" hidden="false" customHeight="false" outlineLevel="0" collapsed="false">
      <c r="A285" s="4" t="s">
        <v>490</v>
      </c>
      <c r="B285" s="4" t="s">
        <v>100</v>
      </c>
      <c r="C285" s="4" t="s">
        <v>205</v>
      </c>
      <c r="D285" s="4" t="s">
        <v>206</v>
      </c>
      <c r="E285" s="4" t="n">
        <v>46256.1700347222</v>
      </c>
      <c r="F285" s="4" t="n">
        <v>15</v>
      </c>
      <c r="G285" s="4" t="n">
        <v>15</v>
      </c>
      <c r="H285" s="4" t="n">
        <v>13</v>
      </c>
      <c r="I285" s="4" t="n">
        <v>2</v>
      </c>
      <c r="J285" s="4" t="n">
        <v>0</v>
      </c>
      <c r="K285" s="4" t="n">
        <v>0</v>
      </c>
      <c r="L285" s="11" t="b">
        <f aca="false">FALSE()</f>
        <v>0</v>
      </c>
    </row>
    <row r="286" customFormat="false" ht="15" hidden="false" customHeight="false" outlineLevel="0" collapsed="false">
      <c r="A286" s="4" t="s">
        <v>491</v>
      </c>
      <c r="B286" s="4" t="s">
        <v>99</v>
      </c>
      <c r="C286" s="4" t="s">
        <v>205</v>
      </c>
      <c r="D286" s="4" t="s">
        <v>206</v>
      </c>
      <c r="E286" s="4" t="n">
        <v>46256.2132407407</v>
      </c>
      <c r="F286" s="4" t="n">
        <v>29</v>
      </c>
      <c r="G286" s="4" t="n">
        <v>29</v>
      </c>
      <c r="H286" s="4" t="n">
        <v>29</v>
      </c>
      <c r="I286" s="4" t="n">
        <v>0</v>
      </c>
      <c r="J286" s="4" t="n">
        <v>0</v>
      </c>
      <c r="K286" s="4" t="n">
        <v>0</v>
      </c>
      <c r="L286" s="11" t="b">
        <f aca="false">FALSE()</f>
        <v>0</v>
      </c>
    </row>
    <row r="287" customFormat="false" ht="15" hidden="false" customHeight="false" outlineLevel="0" collapsed="false">
      <c r="A287" s="4" t="s">
        <v>492</v>
      </c>
      <c r="B287" s="4" t="s">
        <v>104</v>
      </c>
      <c r="C287" s="4" t="s">
        <v>205</v>
      </c>
      <c r="D287" s="4" t="s">
        <v>428</v>
      </c>
      <c r="E287" s="4" t="n">
        <v>46256.2367476852</v>
      </c>
      <c r="F287" s="4" t="n">
        <v>30</v>
      </c>
      <c r="G287" s="4" t="n">
        <v>30</v>
      </c>
      <c r="H287" s="4" t="n">
        <v>28</v>
      </c>
      <c r="I287" s="4" t="n">
        <v>0</v>
      </c>
      <c r="J287" s="4" t="n">
        <v>2</v>
      </c>
      <c r="K287" s="4" t="n">
        <v>0</v>
      </c>
      <c r="L287" s="11" t="b">
        <f aca="false">TRUE()</f>
        <v>1</v>
      </c>
    </row>
    <row r="288" customFormat="false" ht="15" hidden="false" customHeight="false" outlineLevel="0" collapsed="false">
      <c r="A288" s="4" t="s">
        <v>493</v>
      </c>
      <c r="B288" s="4" t="s">
        <v>101</v>
      </c>
      <c r="C288" s="4" t="s">
        <v>205</v>
      </c>
      <c r="D288" s="4" t="s">
        <v>206</v>
      </c>
      <c r="E288" s="4" t="n">
        <v>46256.2529398148</v>
      </c>
      <c r="F288" s="4" t="n">
        <v>10</v>
      </c>
      <c r="G288" s="4" t="n">
        <v>10</v>
      </c>
      <c r="H288" s="4" t="n">
        <v>8</v>
      </c>
      <c r="I288" s="4" t="n">
        <v>2</v>
      </c>
      <c r="J288" s="4" t="n">
        <v>0</v>
      </c>
      <c r="K288" s="4" t="n">
        <v>0</v>
      </c>
      <c r="L288" s="11" t="b">
        <f aca="false">FALSE()</f>
        <v>0</v>
      </c>
    </row>
    <row r="289" customFormat="false" ht="15" hidden="false" customHeight="false" outlineLevel="0" collapsed="false">
      <c r="A289" s="4" t="s">
        <v>494</v>
      </c>
      <c r="B289" s="4" t="s">
        <v>104</v>
      </c>
      <c r="C289" s="4" t="s">
        <v>205</v>
      </c>
      <c r="D289" s="4" t="s">
        <v>206</v>
      </c>
      <c r="E289" s="4" t="n">
        <v>46256.2564467593</v>
      </c>
      <c r="F289" s="4" t="n">
        <v>4</v>
      </c>
      <c r="G289" s="4" t="n">
        <v>4</v>
      </c>
      <c r="H289" s="4" t="n">
        <v>2</v>
      </c>
      <c r="I289" s="4" t="n">
        <v>2</v>
      </c>
      <c r="J289" s="4" t="n">
        <v>0</v>
      </c>
      <c r="K289" s="4" t="n">
        <v>0</v>
      </c>
      <c r="L289" s="11" t="b">
        <f aca="false">FALSE()</f>
        <v>0</v>
      </c>
    </row>
    <row r="290" customFormat="false" ht="15" hidden="false" customHeight="false" outlineLevel="0" collapsed="false">
      <c r="A290" s="4" t="s">
        <v>495</v>
      </c>
      <c r="B290" s="4" t="s">
        <v>102</v>
      </c>
      <c r="C290" s="4" t="s">
        <v>205</v>
      </c>
      <c r="D290" s="4" t="s">
        <v>206</v>
      </c>
      <c r="E290" s="4" t="n">
        <v>46256.2966203704</v>
      </c>
      <c r="F290" s="4" t="n">
        <v>8</v>
      </c>
      <c r="G290" s="4" t="n">
        <v>8</v>
      </c>
      <c r="H290" s="4" t="n">
        <v>6</v>
      </c>
      <c r="I290" s="4" t="n">
        <v>2</v>
      </c>
      <c r="J290" s="4" t="n">
        <v>0</v>
      </c>
      <c r="K290" s="4" t="n">
        <v>0</v>
      </c>
      <c r="L290" s="11" t="b">
        <f aca="false">FALSE()</f>
        <v>0</v>
      </c>
    </row>
    <row r="291" customFormat="false" ht="15" hidden="false" customHeight="false" outlineLevel="0" collapsed="false">
      <c r="A291" s="4" t="s">
        <v>496</v>
      </c>
      <c r="B291" s="4" t="s">
        <v>100</v>
      </c>
      <c r="C291" s="4" t="s">
        <v>205</v>
      </c>
      <c r="D291" s="4" t="s">
        <v>206</v>
      </c>
      <c r="E291" s="4" t="n">
        <v>46256.3370833333</v>
      </c>
      <c r="F291" s="4" t="n">
        <v>24</v>
      </c>
      <c r="G291" s="4" t="n">
        <v>24</v>
      </c>
      <c r="H291" s="4" t="n">
        <v>24</v>
      </c>
      <c r="I291" s="4" t="n">
        <v>0</v>
      </c>
      <c r="J291" s="4" t="n">
        <v>0</v>
      </c>
      <c r="K291" s="4" t="n">
        <v>0</v>
      </c>
      <c r="L291" s="11" t="b">
        <f aca="false">FALSE()</f>
        <v>0</v>
      </c>
    </row>
    <row r="292" customFormat="false" ht="15" hidden="false" customHeight="false" outlineLevel="0" collapsed="false">
      <c r="A292" s="4" t="s">
        <v>497</v>
      </c>
      <c r="B292" s="4" t="s">
        <v>103</v>
      </c>
      <c r="C292" s="4" t="s">
        <v>205</v>
      </c>
      <c r="D292" s="4" t="s">
        <v>206</v>
      </c>
      <c r="E292" s="4" t="n">
        <v>46256.3807060185</v>
      </c>
      <c r="F292" s="4" t="n">
        <v>13</v>
      </c>
      <c r="G292" s="4" t="n">
        <v>13</v>
      </c>
      <c r="H292" s="4" t="n">
        <v>11</v>
      </c>
      <c r="I292" s="4" t="n">
        <v>2</v>
      </c>
      <c r="J292" s="4" t="n">
        <v>0</v>
      </c>
      <c r="K292" s="4" t="n">
        <v>0</v>
      </c>
      <c r="L292" s="11" t="b">
        <f aca="false">FALSE()</f>
        <v>0</v>
      </c>
    </row>
    <row r="293" customFormat="false" ht="15" hidden="false" customHeight="false" outlineLevel="0" collapsed="false">
      <c r="A293" s="4" t="s">
        <v>498</v>
      </c>
      <c r="B293" s="4" t="s">
        <v>101</v>
      </c>
      <c r="C293" s="4" t="s">
        <v>205</v>
      </c>
      <c r="D293" s="4" t="s">
        <v>206</v>
      </c>
      <c r="E293" s="4" t="n">
        <v>46256.4196643519</v>
      </c>
      <c r="F293" s="4" t="n">
        <v>29</v>
      </c>
      <c r="G293" s="4" t="n">
        <v>29</v>
      </c>
      <c r="H293" s="4" t="n">
        <v>29</v>
      </c>
      <c r="I293" s="4" t="n">
        <v>0</v>
      </c>
      <c r="J293" s="4" t="n">
        <v>0</v>
      </c>
      <c r="K293" s="4" t="n">
        <v>0</v>
      </c>
      <c r="L293" s="11" t="b">
        <f aca="false">FALSE()</f>
        <v>0</v>
      </c>
    </row>
    <row r="294" customFormat="false" ht="15" hidden="false" customHeight="false" outlineLevel="0" collapsed="false">
      <c r="A294" s="4" t="s">
        <v>499</v>
      </c>
      <c r="B294" s="4" t="s">
        <v>102</v>
      </c>
      <c r="C294" s="4" t="s">
        <v>205</v>
      </c>
      <c r="D294" s="4" t="s">
        <v>206</v>
      </c>
      <c r="E294" s="4" t="n">
        <v>46256.5462962963</v>
      </c>
      <c r="F294" s="4" t="n">
        <v>17</v>
      </c>
      <c r="G294" s="4" t="n">
        <v>17</v>
      </c>
      <c r="H294" s="4" t="n">
        <v>16</v>
      </c>
      <c r="I294" s="4" t="n">
        <v>0</v>
      </c>
      <c r="J294" s="4" t="n">
        <v>1</v>
      </c>
      <c r="K294" s="4" t="n">
        <v>0</v>
      </c>
      <c r="L294" s="11" t="b">
        <f aca="false">FALSE()</f>
        <v>0</v>
      </c>
    </row>
    <row r="295" customFormat="false" ht="15" hidden="false" customHeight="false" outlineLevel="0" collapsed="false">
      <c r="A295" s="4" t="s">
        <v>500</v>
      </c>
      <c r="B295" s="4" t="s">
        <v>101</v>
      </c>
      <c r="C295" s="4" t="s">
        <v>205</v>
      </c>
      <c r="D295" s="4" t="s">
        <v>206</v>
      </c>
      <c r="E295" s="4" t="n">
        <v>46256.5870601852</v>
      </c>
      <c r="F295" s="4" t="n">
        <v>41</v>
      </c>
      <c r="G295" s="4" t="n">
        <v>41</v>
      </c>
      <c r="H295" s="4" t="n">
        <v>41</v>
      </c>
      <c r="I295" s="4" t="n">
        <v>0</v>
      </c>
      <c r="J295" s="4" t="n">
        <v>0</v>
      </c>
      <c r="K295" s="4" t="n">
        <v>0</v>
      </c>
      <c r="L295" s="11" t="b">
        <f aca="false">FALSE()</f>
        <v>0</v>
      </c>
    </row>
    <row r="296" customFormat="false" ht="15" hidden="false" customHeight="false" outlineLevel="0" collapsed="false">
      <c r="A296" s="4" t="s">
        <v>501</v>
      </c>
      <c r="B296" s="4" t="s">
        <v>100</v>
      </c>
      <c r="C296" s="4" t="s">
        <v>205</v>
      </c>
      <c r="D296" s="4" t="s">
        <v>206</v>
      </c>
      <c r="E296" s="4" t="n">
        <v>46256.6021180556</v>
      </c>
      <c r="F296" s="4" t="n">
        <v>96</v>
      </c>
      <c r="G296" s="4" t="n">
        <v>96</v>
      </c>
      <c r="H296" s="4" t="n">
        <v>95</v>
      </c>
      <c r="I296" s="4" t="n">
        <v>0</v>
      </c>
      <c r="J296" s="4" t="n">
        <v>1</v>
      </c>
      <c r="K296" s="4" t="n">
        <v>0</v>
      </c>
      <c r="L296" s="11" t="b">
        <f aca="false">TRUE()</f>
        <v>1</v>
      </c>
    </row>
    <row r="297" customFormat="false" ht="15" hidden="false" customHeight="false" outlineLevel="0" collapsed="false">
      <c r="A297" s="4" t="s">
        <v>502</v>
      </c>
      <c r="B297" s="4" t="s">
        <v>103</v>
      </c>
      <c r="C297" s="4" t="s">
        <v>205</v>
      </c>
      <c r="D297" s="4" t="s">
        <v>206</v>
      </c>
      <c r="E297" s="4" t="n">
        <v>46256.6304513889</v>
      </c>
      <c r="F297" s="4" t="n">
        <v>27</v>
      </c>
      <c r="G297" s="4" t="n">
        <v>27</v>
      </c>
      <c r="H297" s="4" t="n">
        <v>23</v>
      </c>
      <c r="I297" s="4" t="n">
        <v>3</v>
      </c>
      <c r="J297" s="4" t="n">
        <v>1</v>
      </c>
      <c r="K297" s="4" t="n">
        <v>0</v>
      </c>
      <c r="L297" s="11" t="b">
        <f aca="false">FALSE()</f>
        <v>0</v>
      </c>
    </row>
    <row r="298" customFormat="false" ht="15" hidden="false" customHeight="false" outlineLevel="0" collapsed="false">
      <c r="A298" s="4" t="s">
        <v>503</v>
      </c>
      <c r="B298" s="4" t="s">
        <v>100</v>
      </c>
      <c r="C298" s="4" t="s">
        <v>205</v>
      </c>
      <c r="D298" s="4" t="s">
        <v>206</v>
      </c>
      <c r="E298" s="4" t="n">
        <v>46256.6702430556</v>
      </c>
      <c r="F298" s="4" t="n">
        <v>33</v>
      </c>
      <c r="G298" s="4" t="n">
        <v>33</v>
      </c>
      <c r="H298" s="4" t="n">
        <v>30</v>
      </c>
      <c r="I298" s="4" t="n">
        <v>3</v>
      </c>
      <c r="J298" s="4" t="n">
        <v>0</v>
      </c>
      <c r="K298" s="4" t="n">
        <v>0</v>
      </c>
      <c r="L298" s="11" t="b">
        <f aca="false">FALSE()</f>
        <v>0</v>
      </c>
    </row>
    <row r="299" customFormat="false" ht="15" hidden="false" customHeight="false" outlineLevel="0" collapsed="false">
      <c r="A299" s="4" t="s">
        <v>504</v>
      </c>
      <c r="B299" s="4" t="s">
        <v>101</v>
      </c>
      <c r="C299" s="4" t="s">
        <v>205</v>
      </c>
      <c r="D299" s="4" t="s">
        <v>206</v>
      </c>
      <c r="E299" s="4" t="n">
        <v>46256.7544097222</v>
      </c>
      <c r="F299" s="4" t="n">
        <v>38</v>
      </c>
      <c r="G299" s="4" t="n">
        <v>38</v>
      </c>
      <c r="H299" s="4" t="n">
        <v>37</v>
      </c>
      <c r="I299" s="4" t="n">
        <v>1</v>
      </c>
      <c r="J299" s="4" t="n">
        <v>0</v>
      </c>
      <c r="K299" s="4" t="n">
        <v>0</v>
      </c>
      <c r="L299" s="11" t="b">
        <f aca="false">FALSE()</f>
        <v>0</v>
      </c>
    </row>
    <row r="300" customFormat="false" ht="15" hidden="false" customHeight="false" outlineLevel="0" collapsed="false">
      <c r="A300" s="4" t="s">
        <v>505</v>
      </c>
      <c r="B300" s="4" t="s">
        <v>104</v>
      </c>
      <c r="C300" s="4" t="s">
        <v>205</v>
      </c>
      <c r="D300" s="4" t="s">
        <v>206</v>
      </c>
      <c r="E300" s="4" t="n">
        <v>46256.7556712963</v>
      </c>
      <c r="F300" s="4" t="n">
        <v>16</v>
      </c>
      <c r="G300" s="4" t="n">
        <v>16</v>
      </c>
      <c r="H300" s="4" t="n">
        <v>16</v>
      </c>
      <c r="I300" s="4" t="n">
        <v>0</v>
      </c>
      <c r="J300" s="4" t="n">
        <v>0</v>
      </c>
      <c r="K300" s="4" t="n">
        <v>0</v>
      </c>
      <c r="L300" s="11" t="b">
        <f aca="false">FALSE()</f>
        <v>0</v>
      </c>
    </row>
    <row r="301" customFormat="false" ht="15" hidden="false" customHeight="false" outlineLevel="0" collapsed="false">
      <c r="A301" s="4" t="s">
        <v>506</v>
      </c>
      <c r="B301" s="4" t="s">
        <v>102</v>
      </c>
      <c r="C301" s="4" t="s">
        <v>205</v>
      </c>
      <c r="D301" s="4" t="s">
        <v>206</v>
      </c>
      <c r="E301" s="4" t="n">
        <v>46256.7963773148</v>
      </c>
      <c r="F301" s="4" t="n">
        <v>27</v>
      </c>
      <c r="G301" s="4" t="n">
        <v>27</v>
      </c>
      <c r="H301" s="4" t="n">
        <v>25</v>
      </c>
      <c r="I301" s="4" t="n">
        <v>2</v>
      </c>
      <c r="J301" s="4" t="n">
        <v>0</v>
      </c>
      <c r="K301" s="4" t="n">
        <v>0</v>
      </c>
      <c r="L301" s="11" t="b">
        <f aca="false">FALSE()</f>
        <v>0</v>
      </c>
    </row>
    <row r="302" customFormat="false" ht="15" hidden="false" customHeight="false" outlineLevel="0" collapsed="false">
      <c r="A302" s="4" t="s">
        <v>507</v>
      </c>
      <c r="B302" s="4" t="s">
        <v>100</v>
      </c>
      <c r="C302" s="4" t="s">
        <v>205</v>
      </c>
      <c r="D302" s="4" t="s">
        <v>206</v>
      </c>
      <c r="E302" s="4" t="n">
        <v>46256.8359143519</v>
      </c>
      <c r="F302" s="4" t="n">
        <v>61</v>
      </c>
      <c r="G302" s="4" t="n">
        <v>61</v>
      </c>
      <c r="H302" s="4" t="n">
        <v>60</v>
      </c>
      <c r="I302" s="4" t="n">
        <v>1</v>
      </c>
      <c r="J302" s="4" t="n">
        <v>0</v>
      </c>
      <c r="K302" s="4" t="n">
        <v>0</v>
      </c>
      <c r="L302" s="11" t="b">
        <f aca="false">TRUE()</f>
        <v>1</v>
      </c>
    </row>
    <row r="303" customFormat="false" ht="15" hidden="false" customHeight="false" outlineLevel="0" collapsed="false">
      <c r="A303" s="4" t="s">
        <v>508</v>
      </c>
      <c r="B303" s="4" t="s">
        <v>103</v>
      </c>
      <c r="C303" s="4" t="s">
        <v>205</v>
      </c>
      <c r="D303" s="4" t="s">
        <v>206</v>
      </c>
      <c r="E303" s="4" t="n">
        <v>46256.8794097222</v>
      </c>
      <c r="F303" s="4" t="n">
        <v>22</v>
      </c>
      <c r="G303" s="4" t="n">
        <v>22</v>
      </c>
      <c r="H303" s="4" t="n">
        <v>21</v>
      </c>
      <c r="I303" s="4" t="n">
        <v>0</v>
      </c>
      <c r="J303" s="4" t="n">
        <v>0</v>
      </c>
      <c r="K303" s="4" t="n">
        <v>1</v>
      </c>
      <c r="L303" s="11" t="b">
        <f aca="false">FALSE()</f>
        <v>0</v>
      </c>
    </row>
    <row r="304" customFormat="false" ht="15" hidden="false" customHeight="false" outlineLevel="0" collapsed="false">
      <c r="A304" s="4" t="s">
        <v>509</v>
      </c>
      <c r="B304" s="4" t="s">
        <v>101</v>
      </c>
      <c r="C304" s="4" t="s">
        <v>205</v>
      </c>
      <c r="D304" s="4" t="s">
        <v>206</v>
      </c>
      <c r="E304" s="4" t="n">
        <v>46256.9199652778</v>
      </c>
      <c r="F304" s="4" t="n">
        <v>34</v>
      </c>
      <c r="G304" s="4" t="n">
        <v>34</v>
      </c>
      <c r="H304" s="4" t="n">
        <v>33</v>
      </c>
      <c r="I304" s="4" t="n">
        <v>0</v>
      </c>
      <c r="J304" s="4" t="n">
        <v>1</v>
      </c>
      <c r="K304" s="4" t="n">
        <v>0</v>
      </c>
      <c r="L304" s="11" t="b">
        <f aca="false">FALSE()</f>
        <v>0</v>
      </c>
    </row>
    <row r="305" customFormat="false" ht="15" hidden="false" customHeight="false" outlineLevel="0" collapsed="false">
      <c r="A305" s="4" t="s">
        <v>510</v>
      </c>
      <c r="B305" s="4" t="s">
        <v>100</v>
      </c>
      <c r="C305" s="4" t="s">
        <v>205</v>
      </c>
      <c r="D305" s="4" t="s">
        <v>206</v>
      </c>
      <c r="E305" s="4" t="n">
        <v>46257.0034027778</v>
      </c>
      <c r="F305" s="4" t="n">
        <v>35</v>
      </c>
      <c r="G305" s="4" t="n">
        <v>35</v>
      </c>
      <c r="H305" s="4" t="n">
        <v>32</v>
      </c>
      <c r="I305" s="4" t="n">
        <v>2</v>
      </c>
      <c r="J305" s="4" t="n">
        <v>0</v>
      </c>
      <c r="K305" s="4" t="n">
        <v>1</v>
      </c>
      <c r="L305" s="11" t="b">
        <f aca="false">FALSE()</f>
        <v>0</v>
      </c>
    </row>
    <row r="306" customFormat="false" ht="15" hidden="false" customHeight="false" outlineLevel="0" collapsed="false">
      <c r="A306" s="4" t="s">
        <v>511</v>
      </c>
      <c r="B306" s="4" t="s">
        <v>102</v>
      </c>
      <c r="C306" s="4" t="s">
        <v>205</v>
      </c>
      <c r="D306" s="4" t="s">
        <v>206</v>
      </c>
      <c r="E306" s="4" t="n">
        <v>46257.0468634259</v>
      </c>
      <c r="F306" s="4" t="n">
        <v>13</v>
      </c>
      <c r="G306" s="4" t="n">
        <v>13</v>
      </c>
      <c r="H306" s="4" t="n">
        <v>13</v>
      </c>
      <c r="I306" s="4" t="n">
        <v>0</v>
      </c>
      <c r="J306" s="4" t="n">
        <v>0</v>
      </c>
      <c r="K306" s="4" t="n">
        <v>0</v>
      </c>
      <c r="L306" s="11" t="b">
        <f aca="false">FALSE()</f>
        <v>0</v>
      </c>
    </row>
    <row r="307" customFormat="false" ht="15" hidden="false" customHeight="false" outlineLevel="0" collapsed="false">
      <c r="A307" s="4" t="s">
        <v>512</v>
      </c>
      <c r="B307" s="4" t="s">
        <v>101</v>
      </c>
      <c r="C307" s="4" t="s">
        <v>205</v>
      </c>
      <c r="D307" s="4" t="s">
        <v>206</v>
      </c>
      <c r="E307" s="4" t="n">
        <v>46257.0877199074</v>
      </c>
      <c r="F307" s="4" t="n">
        <v>11</v>
      </c>
      <c r="G307" s="4" t="n">
        <v>11</v>
      </c>
      <c r="H307" s="4" t="n">
        <v>11</v>
      </c>
      <c r="I307" s="4" t="n">
        <v>0</v>
      </c>
      <c r="J307" s="4" t="n">
        <v>0</v>
      </c>
      <c r="K307" s="4" t="n">
        <v>0</v>
      </c>
      <c r="L307" s="11" t="b">
        <f aca="false">TRUE()</f>
        <v>1</v>
      </c>
    </row>
    <row r="308" customFormat="false" ht="15" hidden="false" customHeight="false" outlineLevel="0" collapsed="false">
      <c r="A308" s="4" t="s">
        <v>513</v>
      </c>
      <c r="B308" s="4" t="s">
        <v>103</v>
      </c>
      <c r="C308" s="4" t="s">
        <v>205</v>
      </c>
      <c r="D308" s="4" t="s">
        <v>206</v>
      </c>
      <c r="E308" s="4" t="n">
        <v>46257.1308101852</v>
      </c>
      <c r="F308" s="4" t="n">
        <v>10</v>
      </c>
      <c r="G308" s="4" t="n">
        <v>10</v>
      </c>
      <c r="H308" s="4" t="n">
        <v>8</v>
      </c>
      <c r="I308" s="4" t="n">
        <v>2</v>
      </c>
      <c r="J308" s="4" t="n">
        <v>0</v>
      </c>
      <c r="K308" s="4" t="n">
        <v>0</v>
      </c>
      <c r="L308" s="11" t="b">
        <f aca="false">FALSE()</f>
        <v>0</v>
      </c>
    </row>
    <row r="309" customFormat="false" ht="15" hidden="false" customHeight="false" outlineLevel="0" collapsed="false">
      <c r="A309" s="4" t="s">
        <v>514</v>
      </c>
      <c r="B309" s="4" t="s">
        <v>100</v>
      </c>
      <c r="C309" s="4" t="s">
        <v>205</v>
      </c>
      <c r="D309" s="4" t="s">
        <v>206</v>
      </c>
      <c r="E309" s="4" t="n">
        <v>46257.1693518519</v>
      </c>
      <c r="F309" s="4" t="n">
        <v>15</v>
      </c>
      <c r="G309" s="4" t="n">
        <v>15</v>
      </c>
      <c r="H309" s="4" t="n">
        <v>12</v>
      </c>
      <c r="I309" s="4" t="n">
        <v>3</v>
      </c>
      <c r="J309" s="4" t="n">
        <v>0</v>
      </c>
      <c r="K309" s="4" t="n">
        <v>0</v>
      </c>
      <c r="L309" s="11" t="b">
        <f aca="false">FALSE()</f>
        <v>0</v>
      </c>
    </row>
    <row r="310" customFormat="false" ht="15" hidden="false" customHeight="false" outlineLevel="0" collapsed="false">
      <c r="A310" s="4" t="s">
        <v>515</v>
      </c>
      <c r="B310" s="4" t="s">
        <v>99</v>
      </c>
      <c r="C310" s="4" t="s">
        <v>205</v>
      </c>
      <c r="D310" s="4" t="s">
        <v>206</v>
      </c>
      <c r="E310" s="4" t="n">
        <v>46257.2146064815</v>
      </c>
      <c r="F310" s="4" t="n">
        <v>3</v>
      </c>
      <c r="G310" s="4" t="n">
        <v>3</v>
      </c>
      <c r="H310" s="4" t="n">
        <v>1</v>
      </c>
      <c r="I310" s="4" t="n">
        <v>2</v>
      </c>
      <c r="J310" s="4" t="n">
        <v>0</v>
      </c>
      <c r="K310" s="4" t="n">
        <v>0</v>
      </c>
      <c r="L310" s="11" t="b">
        <f aca="false">FALSE()</f>
        <v>0</v>
      </c>
    </row>
    <row r="311" customFormat="false" ht="15" hidden="false" customHeight="false" outlineLevel="0" collapsed="false">
      <c r="A311" s="4" t="s">
        <v>516</v>
      </c>
      <c r="B311" s="4" t="s">
        <v>101</v>
      </c>
      <c r="C311" s="4" t="s">
        <v>205</v>
      </c>
      <c r="D311" s="4" t="s">
        <v>206</v>
      </c>
      <c r="E311" s="4" t="n">
        <v>46257.2539351852</v>
      </c>
      <c r="F311" s="4" t="n">
        <v>10</v>
      </c>
      <c r="G311" s="4" t="n">
        <v>10</v>
      </c>
      <c r="H311" s="4" t="n">
        <v>7</v>
      </c>
      <c r="I311" s="4" t="n">
        <v>2</v>
      </c>
      <c r="J311" s="4" t="n">
        <v>1</v>
      </c>
      <c r="K311" s="4" t="n">
        <v>0</v>
      </c>
      <c r="L311" s="11" t="b">
        <f aca="false">FALSE()</f>
        <v>0</v>
      </c>
    </row>
    <row r="312" customFormat="false" ht="15" hidden="false" customHeight="false" outlineLevel="0" collapsed="false">
      <c r="A312" s="4" t="s">
        <v>517</v>
      </c>
      <c r="B312" s="4" t="s">
        <v>104</v>
      </c>
      <c r="C312" s="4" t="s">
        <v>205</v>
      </c>
      <c r="D312" s="4" t="s">
        <v>206</v>
      </c>
      <c r="E312" s="4" t="n">
        <v>46257.2566203704</v>
      </c>
      <c r="F312" s="4" t="n">
        <v>10</v>
      </c>
      <c r="G312" s="4" t="n">
        <v>10</v>
      </c>
      <c r="H312" s="4" t="n">
        <v>7</v>
      </c>
      <c r="I312" s="4" t="n">
        <v>3</v>
      </c>
      <c r="J312" s="4" t="n">
        <v>0</v>
      </c>
      <c r="K312" s="4" t="n">
        <v>0</v>
      </c>
      <c r="L312" s="11" t="b">
        <f aca="false">FALSE()</f>
        <v>0</v>
      </c>
    </row>
    <row r="313" customFormat="false" ht="15" hidden="false" customHeight="false" outlineLevel="0" collapsed="false">
      <c r="A313" s="4" t="s">
        <v>518</v>
      </c>
      <c r="B313" s="4" t="s">
        <v>102</v>
      </c>
      <c r="C313" s="4" t="s">
        <v>205</v>
      </c>
      <c r="D313" s="4" t="s">
        <v>206</v>
      </c>
      <c r="E313" s="4" t="n">
        <v>46257.296712963</v>
      </c>
      <c r="F313" s="4" t="n">
        <v>6</v>
      </c>
      <c r="G313" s="4" t="n">
        <v>6</v>
      </c>
      <c r="H313" s="4" t="n">
        <v>6</v>
      </c>
      <c r="I313" s="4" t="n">
        <v>0</v>
      </c>
      <c r="J313" s="4" t="n">
        <v>0</v>
      </c>
      <c r="K313" s="4" t="n">
        <v>0</v>
      </c>
      <c r="L313" s="11" t="b">
        <f aca="false">FALSE()</f>
        <v>0</v>
      </c>
    </row>
    <row r="314" customFormat="false" ht="15" hidden="false" customHeight="false" outlineLevel="0" collapsed="false">
      <c r="A314" s="4" t="s">
        <v>519</v>
      </c>
      <c r="B314" s="4" t="s">
        <v>100</v>
      </c>
      <c r="C314" s="4" t="s">
        <v>205</v>
      </c>
      <c r="D314" s="4" t="s">
        <v>206</v>
      </c>
      <c r="E314" s="4" t="n">
        <v>46257.335474537</v>
      </c>
      <c r="F314" s="4" t="n">
        <v>25</v>
      </c>
      <c r="G314" s="4" t="n">
        <v>25</v>
      </c>
      <c r="H314" s="4" t="n">
        <v>23</v>
      </c>
      <c r="I314" s="4" t="n">
        <v>1</v>
      </c>
      <c r="J314" s="4" t="n">
        <v>0</v>
      </c>
      <c r="K314" s="4" t="n">
        <v>1</v>
      </c>
      <c r="L314" s="11" t="b">
        <f aca="false">FALSE()</f>
        <v>0</v>
      </c>
    </row>
    <row r="315" customFormat="false" ht="15" hidden="false" customHeight="false" outlineLevel="0" collapsed="false">
      <c r="A315" s="4" t="s">
        <v>520</v>
      </c>
      <c r="B315" s="4" t="s">
        <v>103</v>
      </c>
      <c r="C315" s="4" t="s">
        <v>205</v>
      </c>
      <c r="D315" s="4" t="s">
        <v>206</v>
      </c>
      <c r="E315" s="4" t="n">
        <v>46257.3805902778</v>
      </c>
      <c r="F315" s="4" t="n">
        <v>16</v>
      </c>
      <c r="G315" s="4" t="n">
        <v>16</v>
      </c>
      <c r="H315" s="4" t="n">
        <v>14</v>
      </c>
      <c r="I315" s="4" t="n">
        <v>2</v>
      </c>
      <c r="J315" s="4" t="n">
        <v>0</v>
      </c>
      <c r="K315" s="4" t="n">
        <v>0</v>
      </c>
      <c r="L315" s="11" t="b">
        <f aca="false">FALSE()</f>
        <v>0</v>
      </c>
    </row>
    <row r="316" customFormat="false" ht="15" hidden="false" customHeight="false" outlineLevel="0" collapsed="false">
      <c r="A316" s="4" t="s">
        <v>521</v>
      </c>
      <c r="B316" s="4" t="s">
        <v>101</v>
      </c>
      <c r="C316" s="4" t="s">
        <v>205</v>
      </c>
      <c r="D316" s="4" t="s">
        <v>206</v>
      </c>
      <c r="E316" s="4" t="n">
        <v>46257.4209722222</v>
      </c>
      <c r="F316" s="4" t="n">
        <v>32</v>
      </c>
      <c r="G316" s="4" t="n">
        <v>32</v>
      </c>
      <c r="H316" s="4" t="n">
        <v>30</v>
      </c>
      <c r="I316" s="4" t="n">
        <v>2</v>
      </c>
      <c r="J316" s="4" t="n">
        <v>0</v>
      </c>
      <c r="K316" s="4" t="n">
        <v>0</v>
      </c>
      <c r="L316" s="11" t="b">
        <f aca="false">FALSE()</f>
        <v>0</v>
      </c>
    </row>
    <row r="317" customFormat="false" ht="15" hidden="false" customHeight="false" outlineLevel="0" collapsed="false">
      <c r="A317" s="4" t="s">
        <v>522</v>
      </c>
      <c r="B317" s="4" t="s">
        <v>100</v>
      </c>
      <c r="C317" s="4" t="s">
        <v>205</v>
      </c>
      <c r="D317" s="4" t="s">
        <v>206</v>
      </c>
      <c r="E317" s="4" t="n">
        <v>46257.5033564815</v>
      </c>
      <c r="F317" s="4" t="n">
        <v>61</v>
      </c>
      <c r="G317" s="4" t="n">
        <v>61</v>
      </c>
      <c r="H317" s="4" t="n">
        <v>60</v>
      </c>
      <c r="I317" s="4" t="n">
        <v>1</v>
      </c>
      <c r="J317" s="4" t="n">
        <v>0</v>
      </c>
      <c r="K317" s="4" t="n">
        <v>0</v>
      </c>
      <c r="L317" s="11" t="b">
        <f aca="false">FALSE()</f>
        <v>0</v>
      </c>
    </row>
    <row r="318" customFormat="false" ht="15" hidden="false" customHeight="false" outlineLevel="0" collapsed="false">
      <c r="A318" s="4" t="s">
        <v>523</v>
      </c>
      <c r="B318" s="4" t="s">
        <v>102</v>
      </c>
      <c r="C318" s="4" t="s">
        <v>205</v>
      </c>
      <c r="D318" s="4" t="s">
        <v>206</v>
      </c>
      <c r="E318" s="4" t="n">
        <v>46257.5464236111</v>
      </c>
      <c r="F318" s="4" t="n">
        <v>23</v>
      </c>
      <c r="G318" s="4" t="n">
        <v>23</v>
      </c>
      <c r="H318" s="4" t="n">
        <v>20</v>
      </c>
      <c r="I318" s="4" t="n">
        <v>2</v>
      </c>
      <c r="J318" s="4" t="n">
        <v>1</v>
      </c>
      <c r="K318" s="4" t="n">
        <v>0</v>
      </c>
      <c r="L318" s="11" t="b">
        <f aca="false">FALSE()</f>
        <v>0</v>
      </c>
    </row>
    <row r="319" customFormat="false" ht="15" hidden="false" customHeight="false" outlineLevel="0" collapsed="false">
      <c r="A319" s="4" t="s">
        <v>524</v>
      </c>
      <c r="B319" s="4" t="s">
        <v>101</v>
      </c>
      <c r="C319" s="4" t="s">
        <v>205</v>
      </c>
      <c r="D319" s="4" t="s">
        <v>206</v>
      </c>
      <c r="E319" s="4" t="n">
        <v>46257.5874652778</v>
      </c>
      <c r="F319" s="4" t="n">
        <v>45</v>
      </c>
      <c r="G319" s="4" t="n">
        <v>45</v>
      </c>
      <c r="H319" s="4" t="n">
        <v>42</v>
      </c>
      <c r="I319" s="4" t="n">
        <v>3</v>
      </c>
      <c r="J319" s="4" t="n">
        <v>0</v>
      </c>
      <c r="K319" s="4" t="n">
        <v>0</v>
      </c>
      <c r="L319" s="11" t="b">
        <f aca="false">FALSE()</f>
        <v>0</v>
      </c>
    </row>
    <row r="320" customFormat="false" ht="15" hidden="false" customHeight="false" outlineLevel="0" collapsed="false">
      <c r="A320" s="4" t="s">
        <v>525</v>
      </c>
      <c r="B320" s="4" t="s">
        <v>103</v>
      </c>
      <c r="C320" s="4" t="s">
        <v>205</v>
      </c>
      <c r="D320" s="4" t="s">
        <v>206</v>
      </c>
      <c r="E320" s="4" t="n">
        <v>46257.6307060185</v>
      </c>
      <c r="F320" s="4" t="n">
        <v>24</v>
      </c>
      <c r="G320" s="4" t="n">
        <v>24</v>
      </c>
      <c r="H320" s="4" t="n">
        <v>20</v>
      </c>
      <c r="I320" s="4" t="n">
        <v>3</v>
      </c>
      <c r="J320" s="4" t="n">
        <v>1</v>
      </c>
      <c r="K320" s="4" t="n">
        <v>0</v>
      </c>
      <c r="L320" s="11" t="b">
        <f aca="false">FALSE()</f>
        <v>0</v>
      </c>
    </row>
    <row r="321" customFormat="false" ht="15" hidden="false" customHeight="false" outlineLevel="0" collapsed="false">
      <c r="A321" s="4" t="s">
        <v>526</v>
      </c>
      <c r="B321" s="4" t="s">
        <v>100</v>
      </c>
      <c r="C321" s="4" t="s">
        <v>205</v>
      </c>
      <c r="D321" s="4" t="s">
        <v>206</v>
      </c>
      <c r="E321" s="4" t="n">
        <v>46257.6689236111</v>
      </c>
      <c r="F321" s="4" t="n">
        <v>71</v>
      </c>
      <c r="G321" s="4" t="n">
        <v>71</v>
      </c>
      <c r="H321" s="4" t="n">
        <v>66</v>
      </c>
      <c r="I321" s="4" t="n">
        <v>3</v>
      </c>
      <c r="J321" s="4" t="n">
        <v>1</v>
      </c>
      <c r="K321" s="4" t="n">
        <v>1</v>
      </c>
      <c r="L321" s="11" t="b">
        <f aca="false">FALSE()</f>
        <v>0</v>
      </c>
    </row>
    <row r="322" customFormat="false" ht="15" hidden="false" customHeight="false" outlineLevel="0" collapsed="false">
      <c r="A322" s="4" t="s">
        <v>527</v>
      </c>
      <c r="B322" s="4" t="s">
        <v>101</v>
      </c>
      <c r="C322" s="4" t="s">
        <v>205</v>
      </c>
      <c r="D322" s="4" t="s">
        <v>206</v>
      </c>
      <c r="E322" s="4" t="n">
        <v>46257.7541550926</v>
      </c>
      <c r="F322" s="4" t="n">
        <v>36</v>
      </c>
      <c r="G322" s="4" t="n">
        <v>36</v>
      </c>
      <c r="H322" s="4" t="n">
        <v>36</v>
      </c>
      <c r="I322" s="4" t="n">
        <v>0</v>
      </c>
      <c r="J322" s="4" t="n">
        <v>0</v>
      </c>
      <c r="K322" s="4" t="n">
        <v>0</v>
      </c>
      <c r="L322" s="11" t="b">
        <f aca="false">FALSE()</f>
        <v>0</v>
      </c>
    </row>
    <row r="323" customFormat="false" ht="15" hidden="false" customHeight="false" outlineLevel="0" collapsed="false">
      <c r="A323" s="4" t="s">
        <v>528</v>
      </c>
      <c r="B323" s="4" t="s">
        <v>104</v>
      </c>
      <c r="C323" s="4" t="s">
        <v>205</v>
      </c>
      <c r="D323" s="4" t="s">
        <v>206</v>
      </c>
      <c r="E323" s="4" t="n">
        <v>46257.7557175926</v>
      </c>
      <c r="F323" s="4" t="n">
        <v>20</v>
      </c>
      <c r="G323" s="4" t="n">
        <v>20</v>
      </c>
      <c r="H323" s="4" t="n">
        <v>17</v>
      </c>
      <c r="I323" s="4" t="n">
        <v>2</v>
      </c>
      <c r="J323" s="4" t="n">
        <v>1</v>
      </c>
      <c r="K323" s="4" t="n">
        <v>0</v>
      </c>
      <c r="L323" s="11" t="b">
        <f aca="false">FALSE()</f>
        <v>0</v>
      </c>
    </row>
    <row r="324" customFormat="false" ht="15" hidden="false" customHeight="false" outlineLevel="0" collapsed="false">
      <c r="A324" s="4" t="s">
        <v>529</v>
      </c>
      <c r="B324" s="4" t="s">
        <v>102</v>
      </c>
      <c r="C324" s="4" t="s">
        <v>205</v>
      </c>
      <c r="D324" s="4" t="s">
        <v>206</v>
      </c>
      <c r="E324" s="4" t="n">
        <v>46257.7964699074</v>
      </c>
      <c r="F324" s="4" t="n">
        <v>24</v>
      </c>
      <c r="G324" s="4" t="n">
        <v>24</v>
      </c>
      <c r="H324" s="4" t="n">
        <v>23</v>
      </c>
      <c r="I324" s="4" t="n">
        <v>0</v>
      </c>
      <c r="J324" s="4" t="n">
        <v>1</v>
      </c>
      <c r="K324" s="4" t="n">
        <v>0</v>
      </c>
      <c r="L324" s="11" t="b">
        <f aca="false">FALSE()</f>
        <v>0</v>
      </c>
    </row>
    <row r="325" customFormat="false" ht="15" hidden="false" customHeight="false" outlineLevel="0" collapsed="false">
      <c r="A325" s="4" t="s">
        <v>530</v>
      </c>
      <c r="B325" s="4" t="s">
        <v>100</v>
      </c>
      <c r="C325" s="4" t="s">
        <v>205</v>
      </c>
      <c r="D325" s="4" t="s">
        <v>206</v>
      </c>
      <c r="E325" s="4" t="n">
        <v>46257.8368865741</v>
      </c>
      <c r="F325" s="4" t="n">
        <v>57</v>
      </c>
      <c r="G325" s="4" t="n">
        <v>57</v>
      </c>
      <c r="H325" s="4" t="n">
        <v>55</v>
      </c>
      <c r="I325" s="4" t="n">
        <v>1</v>
      </c>
      <c r="J325" s="4" t="n">
        <v>1</v>
      </c>
      <c r="K325" s="4" t="n">
        <v>0</v>
      </c>
      <c r="L325" s="11" t="b">
        <f aca="false">FALSE()</f>
        <v>0</v>
      </c>
    </row>
    <row r="326" customFormat="false" ht="15" hidden="false" customHeight="false" outlineLevel="0" collapsed="false">
      <c r="A326" s="4" t="s">
        <v>531</v>
      </c>
      <c r="B326" s="4" t="s">
        <v>103</v>
      </c>
      <c r="C326" s="4" t="s">
        <v>205</v>
      </c>
      <c r="D326" s="4" t="s">
        <v>206</v>
      </c>
      <c r="E326" s="4" t="n">
        <v>46257.8795601852</v>
      </c>
      <c r="F326" s="4" t="n">
        <v>23</v>
      </c>
      <c r="G326" s="4" t="n">
        <v>23</v>
      </c>
      <c r="H326" s="4" t="n">
        <v>23</v>
      </c>
      <c r="I326" s="4" t="n">
        <v>0</v>
      </c>
      <c r="J326" s="4" t="n">
        <v>0</v>
      </c>
      <c r="K326" s="4" t="n">
        <v>0</v>
      </c>
      <c r="L326" s="11" t="b">
        <f aca="false">FALSE()</f>
        <v>0</v>
      </c>
    </row>
    <row r="327" customFormat="false" ht="15" hidden="false" customHeight="false" outlineLevel="0" collapsed="false">
      <c r="A327" s="4" t="s">
        <v>532</v>
      </c>
      <c r="B327" s="4" t="s">
        <v>101</v>
      </c>
      <c r="C327" s="4" t="s">
        <v>205</v>
      </c>
      <c r="D327" s="4" t="s">
        <v>206</v>
      </c>
      <c r="E327" s="4" t="n">
        <v>46257.9197106482</v>
      </c>
      <c r="F327" s="4" t="n">
        <v>35</v>
      </c>
      <c r="G327" s="4" t="n">
        <v>35</v>
      </c>
      <c r="H327" s="4" t="n">
        <v>33</v>
      </c>
      <c r="I327" s="4" t="n">
        <v>1</v>
      </c>
      <c r="J327" s="4" t="n">
        <v>1</v>
      </c>
      <c r="K327" s="4" t="n">
        <v>0</v>
      </c>
      <c r="L327" s="11" t="b">
        <f aca="false">FALSE()</f>
        <v>0</v>
      </c>
    </row>
    <row r="328" customFormat="false" ht="15" hidden="false" customHeight="false" outlineLevel="0" collapsed="false">
      <c r="A328" s="4" t="s">
        <v>533</v>
      </c>
      <c r="B328" s="4" t="s">
        <v>100</v>
      </c>
      <c r="C328" s="4" t="s">
        <v>205</v>
      </c>
      <c r="D328" s="4" t="s">
        <v>206</v>
      </c>
      <c r="E328" s="4" t="n">
        <v>46258.0036805556</v>
      </c>
      <c r="F328" s="4" t="n">
        <v>36</v>
      </c>
      <c r="G328" s="4" t="n">
        <v>36</v>
      </c>
      <c r="H328" s="4" t="n">
        <v>34</v>
      </c>
      <c r="I328" s="4" t="n">
        <v>2</v>
      </c>
      <c r="J328" s="4" t="n">
        <v>0</v>
      </c>
      <c r="K328" s="4" t="n">
        <v>0</v>
      </c>
      <c r="L328" s="11" t="b">
        <f aca="false">FALSE()</f>
        <v>0</v>
      </c>
    </row>
    <row r="329" customFormat="false" ht="15" hidden="false" customHeight="false" outlineLevel="0" collapsed="false">
      <c r="A329" s="4" t="s">
        <v>534</v>
      </c>
      <c r="B329" s="4" t="s">
        <v>102</v>
      </c>
      <c r="C329" s="4" t="s">
        <v>205</v>
      </c>
      <c r="D329" s="4" t="s">
        <v>206</v>
      </c>
      <c r="E329" s="4" t="n">
        <v>46258.0458564815</v>
      </c>
      <c r="F329" s="4" t="n">
        <v>13</v>
      </c>
      <c r="G329" s="4" t="n">
        <v>13</v>
      </c>
      <c r="H329" s="4" t="n">
        <v>10</v>
      </c>
      <c r="I329" s="4" t="n">
        <v>3</v>
      </c>
      <c r="J329" s="4" t="n">
        <v>0</v>
      </c>
      <c r="K329" s="4" t="n">
        <v>0</v>
      </c>
      <c r="L329" s="11" t="b">
        <f aca="false">FALSE()</f>
        <v>0</v>
      </c>
    </row>
    <row r="330" customFormat="false" ht="15" hidden="false" customHeight="false" outlineLevel="0" collapsed="false">
      <c r="A330" s="4" t="s">
        <v>535</v>
      </c>
      <c r="B330" s="4" t="s">
        <v>101</v>
      </c>
      <c r="C330" s="4" t="s">
        <v>205</v>
      </c>
      <c r="D330" s="4" t="s">
        <v>206</v>
      </c>
      <c r="E330" s="4" t="n">
        <v>46258.086712963</v>
      </c>
      <c r="F330" s="4" t="n">
        <v>14</v>
      </c>
      <c r="G330" s="4" t="n">
        <v>14</v>
      </c>
      <c r="H330" s="4" t="n">
        <v>13</v>
      </c>
      <c r="I330" s="4" t="n">
        <v>1</v>
      </c>
      <c r="J330" s="4" t="n">
        <v>0</v>
      </c>
      <c r="K330" s="4" t="n">
        <v>0</v>
      </c>
      <c r="L330" s="11" t="b">
        <f aca="false">FALSE()</f>
        <v>0</v>
      </c>
    </row>
    <row r="331" customFormat="false" ht="15" hidden="false" customHeight="false" outlineLevel="0" collapsed="false">
      <c r="A331" s="4" t="s">
        <v>536</v>
      </c>
      <c r="B331" s="4" t="s">
        <v>103</v>
      </c>
      <c r="C331" s="4" t="s">
        <v>205</v>
      </c>
      <c r="D331" s="4" t="s">
        <v>206</v>
      </c>
      <c r="E331" s="4" t="n">
        <v>46258.129224537</v>
      </c>
      <c r="F331" s="4" t="n">
        <v>8</v>
      </c>
      <c r="G331" s="4" t="n">
        <v>8</v>
      </c>
      <c r="H331" s="4" t="n">
        <v>6</v>
      </c>
      <c r="I331" s="4" t="n">
        <v>2</v>
      </c>
      <c r="J331" s="4" t="n">
        <v>0</v>
      </c>
      <c r="K331" s="4" t="n">
        <v>0</v>
      </c>
      <c r="L331" s="11" t="b">
        <f aca="false">FALSE()</f>
        <v>0</v>
      </c>
    </row>
    <row r="332" customFormat="false" ht="15" hidden="false" customHeight="false" outlineLevel="0" collapsed="false">
      <c r="A332" s="4" t="s">
        <v>537</v>
      </c>
      <c r="B332" s="4" t="s">
        <v>100</v>
      </c>
      <c r="C332" s="4" t="s">
        <v>205</v>
      </c>
      <c r="D332" s="4" t="s">
        <v>206</v>
      </c>
      <c r="E332" s="4" t="n">
        <v>46258.1688310185</v>
      </c>
      <c r="F332" s="4" t="n">
        <v>16</v>
      </c>
      <c r="G332" s="4" t="n">
        <v>16</v>
      </c>
      <c r="H332" s="4" t="n">
        <v>13</v>
      </c>
      <c r="I332" s="4" t="n">
        <v>3</v>
      </c>
      <c r="J332" s="4" t="n">
        <v>0</v>
      </c>
      <c r="K332" s="4" t="n">
        <v>0</v>
      </c>
      <c r="L332" s="11" t="b">
        <f aca="false">FALSE()</f>
        <v>0</v>
      </c>
    </row>
    <row r="333" customFormat="false" ht="15" hidden="false" customHeight="false" outlineLevel="0" collapsed="false">
      <c r="A333" s="4" t="s">
        <v>538</v>
      </c>
      <c r="B333" s="4" t="s">
        <v>99</v>
      </c>
      <c r="C333" s="4" t="s">
        <v>205</v>
      </c>
      <c r="D333" s="4" t="s">
        <v>206</v>
      </c>
      <c r="E333" s="4" t="n">
        <v>46258.2142708333</v>
      </c>
      <c r="F333" s="4" t="n">
        <v>24</v>
      </c>
      <c r="G333" s="4" t="n">
        <v>24</v>
      </c>
      <c r="H333" s="4" t="n">
        <v>24</v>
      </c>
      <c r="I333" s="4" t="n">
        <v>0</v>
      </c>
      <c r="J333" s="4" t="n">
        <v>0</v>
      </c>
      <c r="K333" s="4" t="n">
        <v>0</v>
      </c>
      <c r="L333" s="11" t="b">
        <f aca="false">FALSE()</f>
        <v>0</v>
      </c>
    </row>
    <row r="334" customFormat="false" ht="15" hidden="false" customHeight="false" outlineLevel="0" collapsed="false">
      <c r="A334" s="4" t="s">
        <v>539</v>
      </c>
      <c r="B334" s="4" t="s">
        <v>101</v>
      </c>
      <c r="C334" s="4" t="s">
        <v>205</v>
      </c>
      <c r="D334" s="4" t="s">
        <v>206</v>
      </c>
      <c r="E334" s="4" t="n">
        <v>46258.2536805556</v>
      </c>
      <c r="F334" s="4" t="n">
        <v>13</v>
      </c>
      <c r="G334" s="4" t="n">
        <v>13</v>
      </c>
      <c r="H334" s="4" t="n">
        <v>11</v>
      </c>
      <c r="I334" s="4" t="n">
        <v>2</v>
      </c>
      <c r="J334" s="4" t="n">
        <v>0</v>
      </c>
      <c r="K334" s="4" t="n">
        <v>0</v>
      </c>
      <c r="L334" s="11" t="b">
        <f aca="false">FALSE()</f>
        <v>0</v>
      </c>
    </row>
    <row r="335" customFormat="false" ht="15" hidden="false" customHeight="false" outlineLevel="0" collapsed="false">
      <c r="A335" s="4" t="s">
        <v>540</v>
      </c>
      <c r="B335" s="4" t="s">
        <v>104</v>
      </c>
      <c r="C335" s="4" t="s">
        <v>205</v>
      </c>
      <c r="D335" s="4" t="s">
        <v>206</v>
      </c>
      <c r="E335" s="4" t="n">
        <v>46258.2564930556</v>
      </c>
      <c r="F335" s="4" t="n">
        <v>12</v>
      </c>
      <c r="G335" s="4" t="n">
        <v>12</v>
      </c>
      <c r="H335" s="4" t="n">
        <v>9</v>
      </c>
      <c r="I335" s="4" t="n">
        <v>3</v>
      </c>
      <c r="J335" s="4" t="n">
        <v>0</v>
      </c>
      <c r="K335" s="4" t="n">
        <v>0</v>
      </c>
      <c r="L335" s="11" t="b">
        <f aca="false">FALSE()</f>
        <v>0</v>
      </c>
    </row>
    <row r="336" customFormat="false" ht="15" hidden="false" customHeight="false" outlineLevel="0" collapsed="false">
      <c r="A336" s="4" t="s">
        <v>541</v>
      </c>
      <c r="B336" s="4" t="s">
        <v>102</v>
      </c>
      <c r="C336" s="4" t="s">
        <v>205</v>
      </c>
      <c r="D336" s="4" t="s">
        <v>206</v>
      </c>
      <c r="E336" s="4" t="n">
        <v>46258.2957175926</v>
      </c>
      <c r="F336" s="4" t="n">
        <v>3</v>
      </c>
      <c r="G336" s="4" t="n">
        <v>3</v>
      </c>
      <c r="H336" s="4" t="n">
        <v>1</v>
      </c>
      <c r="I336" s="4" t="n">
        <v>2</v>
      </c>
      <c r="J336" s="4" t="n">
        <v>0</v>
      </c>
      <c r="K336" s="4" t="n">
        <v>0</v>
      </c>
      <c r="L336" s="11" t="b">
        <f aca="false">FALSE()</f>
        <v>0</v>
      </c>
    </row>
    <row r="337" customFormat="false" ht="15" hidden="false" customHeight="false" outlineLevel="0" collapsed="false">
      <c r="A337" s="4" t="s">
        <v>542</v>
      </c>
      <c r="B337" s="4" t="s">
        <v>100</v>
      </c>
      <c r="C337" s="4" t="s">
        <v>205</v>
      </c>
      <c r="D337" s="4" t="s">
        <v>206</v>
      </c>
      <c r="E337" s="4" t="n">
        <v>46258.3369907407</v>
      </c>
      <c r="F337" s="4" t="n">
        <v>34</v>
      </c>
      <c r="G337" s="4" t="n">
        <v>34</v>
      </c>
      <c r="H337" s="4" t="n">
        <v>34</v>
      </c>
      <c r="I337" s="4" t="n">
        <v>0</v>
      </c>
      <c r="J337" s="4" t="n">
        <v>0</v>
      </c>
      <c r="K337" s="4" t="n">
        <v>0</v>
      </c>
      <c r="L337" s="11" t="b">
        <f aca="false">FALSE()</f>
        <v>0</v>
      </c>
    </row>
    <row r="338" customFormat="false" ht="15" hidden="false" customHeight="false" outlineLevel="0" collapsed="false">
      <c r="A338" s="4" t="s">
        <v>543</v>
      </c>
      <c r="B338" s="4" t="s">
        <v>103</v>
      </c>
      <c r="C338" s="4" t="s">
        <v>205</v>
      </c>
      <c r="D338" s="4" t="s">
        <v>206</v>
      </c>
      <c r="E338" s="4" t="n">
        <v>46258.380462963</v>
      </c>
      <c r="F338" s="4" t="n">
        <v>13</v>
      </c>
      <c r="G338" s="4" t="n">
        <v>13</v>
      </c>
      <c r="H338" s="4" t="n">
        <v>13</v>
      </c>
      <c r="I338" s="4" t="n">
        <v>0</v>
      </c>
      <c r="J338" s="4" t="n">
        <v>0</v>
      </c>
      <c r="K338" s="4" t="n">
        <v>0</v>
      </c>
      <c r="L338" s="11" t="b">
        <f aca="false">FALSE()</f>
        <v>0</v>
      </c>
    </row>
    <row r="339" customFormat="false" ht="15" hidden="false" customHeight="false" outlineLevel="0" collapsed="false">
      <c r="A339" s="4" t="s">
        <v>544</v>
      </c>
      <c r="B339" s="4" t="s">
        <v>101</v>
      </c>
      <c r="C339" s="4" t="s">
        <v>205</v>
      </c>
      <c r="D339" s="4" t="s">
        <v>206</v>
      </c>
      <c r="E339" s="4" t="n">
        <v>46258.4197222222</v>
      </c>
      <c r="F339" s="4" t="n">
        <v>32</v>
      </c>
      <c r="G339" s="4" t="n">
        <v>32</v>
      </c>
      <c r="H339" s="4" t="n">
        <v>31</v>
      </c>
      <c r="I339" s="4" t="n">
        <v>0</v>
      </c>
      <c r="J339" s="4" t="n">
        <v>1</v>
      </c>
      <c r="K339" s="4" t="n">
        <v>0</v>
      </c>
      <c r="L339" s="11" t="b">
        <f aca="false">FALSE()</f>
        <v>0</v>
      </c>
    </row>
    <row r="340" customFormat="false" ht="15" hidden="false" customHeight="false" outlineLevel="0" collapsed="false">
      <c r="A340" s="4" t="s">
        <v>545</v>
      </c>
      <c r="B340" s="4" t="s">
        <v>100</v>
      </c>
      <c r="C340" s="4" t="s">
        <v>205</v>
      </c>
      <c r="D340" s="4" t="s">
        <v>206</v>
      </c>
      <c r="E340" s="4" t="n">
        <v>46258.5037731482</v>
      </c>
      <c r="F340" s="4" t="n">
        <v>77</v>
      </c>
      <c r="G340" s="4" t="n">
        <v>77</v>
      </c>
      <c r="H340" s="4" t="n">
        <v>74</v>
      </c>
      <c r="I340" s="4" t="n">
        <v>3</v>
      </c>
      <c r="J340" s="4" t="n">
        <v>0</v>
      </c>
      <c r="K340" s="4" t="n">
        <v>0</v>
      </c>
      <c r="L340" s="11" t="b">
        <f aca="false">FALSE()</f>
        <v>0</v>
      </c>
    </row>
    <row r="341" customFormat="false" ht="15" hidden="false" customHeight="false" outlineLevel="0" collapsed="false">
      <c r="A341" s="4" t="s">
        <v>546</v>
      </c>
      <c r="B341" s="4" t="s">
        <v>102</v>
      </c>
      <c r="C341" s="4" t="s">
        <v>205</v>
      </c>
      <c r="D341" s="4" t="s">
        <v>206</v>
      </c>
      <c r="E341" s="4" t="n">
        <v>46258.5454050926</v>
      </c>
      <c r="F341" s="4" t="n">
        <v>0</v>
      </c>
      <c r="G341" s="4" t="n">
        <v>0</v>
      </c>
      <c r="H341" s="4" t="n">
        <v>0</v>
      </c>
      <c r="I341" s="4" t="n">
        <v>0</v>
      </c>
      <c r="J341" s="4" t="n">
        <v>0</v>
      </c>
      <c r="K341" s="4" t="n">
        <v>0</v>
      </c>
      <c r="L341" s="11" t="b">
        <f aca="false">TRUE()</f>
        <v>1</v>
      </c>
    </row>
    <row r="342" customFormat="false" ht="15" hidden="false" customHeight="false" outlineLevel="0" collapsed="false">
      <c r="A342" s="4" t="s">
        <v>547</v>
      </c>
      <c r="B342" s="4" t="s">
        <v>101</v>
      </c>
      <c r="C342" s="4" t="s">
        <v>205</v>
      </c>
      <c r="D342" s="4" t="s">
        <v>206</v>
      </c>
      <c r="E342" s="4" t="n">
        <v>46258.5862268519</v>
      </c>
      <c r="F342" s="4" t="n">
        <v>52</v>
      </c>
      <c r="G342" s="4" t="n">
        <v>52</v>
      </c>
      <c r="H342" s="4" t="n">
        <v>50</v>
      </c>
      <c r="I342" s="4" t="n">
        <v>1</v>
      </c>
      <c r="J342" s="4" t="n">
        <v>1</v>
      </c>
      <c r="K342" s="4" t="n">
        <v>0</v>
      </c>
      <c r="L342" s="11" t="b">
        <f aca="false">FALSE()</f>
        <v>0</v>
      </c>
    </row>
    <row r="343" customFormat="false" ht="15" hidden="false" customHeight="false" outlineLevel="0" collapsed="false">
      <c r="A343" s="4" t="s">
        <v>548</v>
      </c>
      <c r="B343" s="4" t="s">
        <v>103</v>
      </c>
      <c r="C343" s="4" t="s">
        <v>205</v>
      </c>
      <c r="D343" s="4" t="s">
        <v>206</v>
      </c>
      <c r="E343" s="4" t="n">
        <v>46258.6301041667</v>
      </c>
      <c r="F343" s="4" t="n">
        <v>32</v>
      </c>
      <c r="G343" s="4" t="n">
        <v>32</v>
      </c>
      <c r="H343" s="4" t="n">
        <v>29</v>
      </c>
      <c r="I343" s="4" t="n">
        <v>3</v>
      </c>
      <c r="J343" s="4" t="n">
        <v>0</v>
      </c>
      <c r="K343" s="4" t="n">
        <v>0</v>
      </c>
      <c r="L343" s="11" t="b">
        <f aca="false">FALSE()</f>
        <v>0</v>
      </c>
    </row>
    <row r="344" customFormat="false" ht="15" hidden="false" customHeight="false" outlineLevel="0" collapsed="false">
      <c r="A344" s="4" t="s">
        <v>549</v>
      </c>
      <c r="B344" s="4" t="s">
        <v>100</v>
      </c>
      <c r="C344" s="4" t="s">
        <v>205</v>
      </c>
      <c r="D344" s="4" t="s">
        <v>206</v>
      </c>
      <c r="E344" s="4" t="n">
        <v>46258.6698958333</v>
      </c>
      <c r="F344" s="4" t="n">
        <v>77</v>
      </c>
      <c r="G344" s="4" t="n">
        <v>77</v>
      </c>
      <c r="H344" s="4" t="n">
        <v>75</v>
      </c>
      <c r="I344" s="4" t="n">
        <v>1</v>
      </c>
      <c r="J344" s="4" t="n">
        <v>1</v>
      </c>
      <c r="K344" s="4" t="n">
        <v>0</v>
      </c>
      <c r="L344" s="11" t="b">
        <f aca="false">FALSE()</f>
        <v>0</v>
      </c>
    </row>
    <row r="345" customFormat="false" ht="15" hidden="false" customHeight="false" outlineLevel="0" collapsed="false">
      <c r="A345" s="4" t="s">
        <v>550</v>
      </c>
      <c r="B345" s="4" t="s">
        <v>101</v>
      </c>
      <c r="C345" s="4" t="s">
        <v>205</v>
      </c>
      <c r="D345" s="4" t="s">
        <v>206</v>
      </c>
      <c r="E345" s="4" t="n">
        <v>46258.7529513889</v>
      </c>
      <c r="F345" s="4" t="n">
        <v>48</v>
      </c>
      <c r="G345" s="4" t="n">
        <v>48</v>
      </c>
      <c r="H345" s="4" t="n">
        <v>46</v>
      </c>
      <c r="I345" s="4" t="n">
        <v>0</v>
      </c>
      <c r="J345" s="4" t="n">
        <v>2</v>
      </c>
      <c r="K345" s="4" t="n">
        <v>0</v>
      </c>
      <c r="L345" s="11" t="b">
        <f aca="false">FALSE()</f>
        <v>0</v>
      </c>
    </row>
    <row r="346" customFormat="false" ht="15" hidden="false" customHeight="false" outlineLevel="0" collapsed="false">
      <c r="A346" s="4" t="s">
        <v>551</v>
      </c>
      <c r="B346" s="4" t="s">
        <v>104</v>
      </c>
      <c r="C346" s="4" t="s">
        <v>205</v>
      </c>
      <c r="D346" s="4" t="s">
        <v>206</v>
      </c>
      <c r="E346" s="4" t="n">
        <v>46258.7569212963</v>
      </c>
      <c r="F346" s="4" t="n">
        <v>20</v>
      </c>
      <c r="G346" s="4" t="n">
        <v>20</v>
      </c>
      <c r="H346" s="4" t="n">
        <v>18</v>
      </c>
      <c r="I346" s="4" t="n">
        <v>2</v>
      </c>
      <c r="J346" s="4" t="n">
        <v>0</v>
      </c>
      <c r="K346" s="4" t="n">
        <v>0</v>
      </c>
      <c r="L346" s="11" t="b">
        <f aca="false">FALSE()</f>
        <v>0</v>
      </c>
    </row>
    <row r="347" customFormat="false" ht="15" hidden="false" customHeight="false" outlineLevel="0" collapsed="false">
      <c r="A347" s="4" t="s">
        <v>552</v>
      </c>
      <c r="B347" s="4" t="s">
        <v>102</v>
      </c>
      <c r="C347" s="4" t="s">
        <v>205</v>
      </c>
      <c r="D347" s="4" t="s">
        <v>206</v>
      </c>
      <c r="E347" s="4" t="n">
        <v>46258.7958217593</v>
      </c>
      <c r="F347" s="4" t="n">
        <v>0</v>
      </c>
      <c r="G347" s="4" t="n">
        <v>0</v>
      </c>
      <c r="H347" s="4" t="n">
        <v>0</v>
      </c>
      <c r="I347" s="4" t="n">
        <v>0</v>
      </c>
      <c r="J347" s="4" t="n">
        <v>0</v>
      </c>
      <c r="K347" s="4" t="n">
        <v>0</v>
      </c>
      <c r="L347" s="11" t="b">
        <f aca="false">TRUE()</f>
        <v>1</v>
      </c>
    </row>
    <row r="348" customFormat="false" ht="15" hidden="false" customHeight="false" outlineLevel="0" collapsed="false">
      <c r="A348" s="4" t="s">
        <v>553</v>
      </c>
      <c r="B348" s="4" t="s">
        <v>100</v>
      </c>
      <c r="C348" s="4" t="s">
        <v>205</v>
      </c>
      <c r="D348" s="4" t="s">
        <v>206</v>
      </c>
      <c r="E348" s="4" t="n">
        <v>46258.8368055556</v>
      </c>
      <c r="F348" s="4" t="n">
        <v>67</v>
      </c>
      <c r="G348" s="4" t="n">
        <v>67</v>
      </c>
      <c r="H348" s="4" t="n">
        <v>66</v>
      </c>
      <c r="I348" s="4" t="n">
        <v>1</v>
      </c>
      <c r="J348" s="4" t="n">
        <v>0</v>
      </c>
      <c r="K348" s="4" t="n">
        <v>0</v>
      </c>
      <c r="L348" s="11" t="b">
        <f aca="false">FALSE()</f>
        <v>0</v>
      </c>
    </row>
    <row r="349" customFormat="false" ht="15" hidden="false" customHeight="false" outlineLevel="0" collapsed="false">
      <c r="A349" s="4" t="s">
        <v>554</v>
      </c>
      <c r="B349" s="4" t="s">
        <v>103</v>
      </c>
      <c r="C349" s="4" t="s">
        <v>205</v>
      </c>
      <c r="D349" s="4" t="s">
        <v>206</v>
      </c>
      <c r="E349" s="4" t="n">
        <v>46258.8799074074</v>
      </c>
      <c r="F349" s="4" t="n">
        <v>25</v>
      </c>
      <c r="G349" s="4" t="n">
        <v>25</v>
      </c>
      <c r="H349" s="4" t="n">
        <v>23</v>
      </c>
      <c r="I349" s="4" t="n">
        <v>2</v>
      </c>
      <c r="J349" s="4" t="n">
        <v>0</v>
      </c>
      <c r="K349" s="4" t="n">
        <v>0</v>
      </c>
      <c r="L349" s="11" t="b">
        <f aca="false">FALSE()</f>
        <v>0</v>
      </c>
    </row>
    <row r="350" customFormat="false" ht="15" hidden="false" customHeight="false" outlineLevel="0" collapsed="false">
      <c r="A350" s="4" t="s">
        <v>555</v>
      </c>
      <c r="B350" s="4" t="s">
        <v>101</v>
      </c>
      <c r="C350" s="4" t="s">
        <v>205</v>
      </c>
      <c r="D350" s="4" t="s">
        <v>206</v>
      </c>
      <c r="E350" s="4" t="n">
        <v>46258.921099537</v>
      </c>
      <c r="F350" s="4" t="n">
        <v>40</v>
      </c>
      <c r="G350" s="4" t="n">
        <v>40</v>
      </c>
      <c r="H350" s="4" t="n">
        <v>38</v>
      </c>
      <c r="I350" s="4" t="n">
        <v>0</v>
      </c>
      <c r="J350" s="4" t="n">
        <v>2</v>
      </c>
      <c r="K350" s="4" t="n">
        <v>0</v>
      </c>
      <c r="L350" s="11" t="b">
        <f aca="false">TRUE()</f>
        <v>1</v>
      </c>
    </row>
    <row r="351" customFormat="false" ht="15" hidden="false" customHeight="false" outlineLevel="0" collapsed="false">
      <c r="A351" s="4" t="s">
        <v>556</v>
      </c>
      <c r="B351" s="4" t="s">
        <v>100</v>
      </c>
      <c r="C351" s="4" t="s">
        <v>205</v>
      </c>
      <c r="D351" s="4" t="s">
        <v>206</v>
      </c>
      <c r="E351" s="4" t="n">
        <v>46259.0022685185</v>
      </c>
      <c r="F351" s="4" t="n">
        <v>39</v>
      </c>
      <c r="G351" s="4" t="n">
        <v>39</v>
      </c>
      <c r="H351" s="4" t="n">
        <v>37</v>
      </c>
      <c r="I351" s="4" t="n">
        <v>0</v>
      </c>
      <c r="J351" s="4" t="n">
        <v>2</v>
      </c>
      <c r="K351" s="4" t="n">
        <v>0</v>
      </c>
      <c r="L351" s="11" t="b">
        <f aca="false">FALSE()</f>
        <v>0</v>
      </c>
    </row>
    <row r="352" customFormat="false" ht="15" hidden="false" customHeight="false" outlineLevel="0" collapsed="false">
      <c r="A352" s="4" t="s">
        <v>557</v>
      </c>
      <c r="B352" s="4" t="s">
        <v>99</v>
      </c>
      <c r="C352" s="4" t="s">
        <v>205</v>
      </c>
      <c r="D352" s="4" t="s">
        <v>428</v>
      </c>
      <c r="E352" s="4" t="n">
        <v>46259.0293402778</v>
      </c>
      <c r="F352" s="4" t="n">
        <v>34</v>
      </c>
      <c r="G352" s="4" t="n">
        <v>34</v>
      </c>
      <c r="H352" s="4" t="n">
        <v>34</v>
      </c>
      <c r="I352" s="4" t="n">
        <v>0</v>
      </c>
      <c r="J352" s="4" t="n">
        <v>0</v>
      </c>
      <c r="K352" s="4" t="n">
        <v>0</v>
      </c>
      <c r="L352" s="11" t="b">
        <f aca="false">FALSE()</f>
        <v>0</v>
      </c>
    </row>
    <row r="353" customFormat="false" ht="15" hidden="false" customHeight="false" outlineLevel="0" collapsed="false">
      <c r="A353" s="4" t="s">
        <v>558</v>
      </c>
      <c r="B353" s="4" t="s">
        <v>102</v>
      </c>
      <c r="C353" s="4" t="s">
        <v>205</v>
      </c>
      <c r="D353" s="4" t="s">
        <v>206</v>
      </c>
      <c r="E353" s="4" t="n">
        <v>46259.0456365741</v>
      </c>
      <c r="F353" s="4" t="n">
        <v>0</v>
      </c>
      <c r="G353" s="4" t="n">
        <v>0</v>
      </c>
      <c r="H353" s="4" t="n">
        <v>0</v>
      </c>
      <c r="I353" s="4" t="n">
        <v>0</v>
      </c>
      <c r="J353" s="4" t="n">
        <v>0</v>
      </c>
      <c r="K353" s="4" t="n">
        <v>0</v>
      </c>
      <c r="L353" s="11" t="b">
        <f aca="false">TRUE()</f>
        <v>1</v>
      </c>
    </row>
    <row r="354" customFormat="false" ht="15" hidden="false" customHeight="false" outlineLevel="0" collapsed="false">
      <c r="A354" s="4" t="s">
        <v>559</v>
      </c>
      <c r="B354" s="4" t="s">
        <v>101</v>
      </c>
      <c r="C354" s="4" t="s">
        <v>205</v>
      </c>
      <c r="D354" s="4" t="s">
        <v>206</v>
      </c>
      <c r="E354" s="4" t="n">
        <v>46259.0875347222</v>
      </c>
      <c r="F354" s="4" t="n">
        <v>13</v>
      </c>
      <c r="G354" s="4" t="n">
        <v>13</v>
      </c>
      <c r="H354" s="4" t="n">
        <v>12</v>
      </c>
      <c r="I354" s="4" t="n">
        <v>1</v>
      </c>
      <c r="J354" s="4" t="n">
        <v>0</v>
      </c>
      <c r="K354" s="4" t="n">
        <v>0</v>
      </c>
      <c r="L354" s="11" t="b">
        <f aca="false">FALSE()</f>
        <v>0</v>
      </c>
    </row>
    <row r="355" customFormat="false" ht="15" hidden="false" customHeight="false" outlineLevel="0" collapsed="false">
      <c r="A355" s="4" t="s">
        <v>560</v>
      </c>
      <c r="B355" s="4" t="s">
        <v>103</v>
      </c>
      <c r="C355" s="4" t="s">
        <v>205</v>
      </c>
      <c r="D355" s="4" t="s">
        <v>206</v>
      </c>
      <c r="E355" s="4" t="n">
        <v>46259.1307638889</v>
      </c>
      <c r="F355" s="4" t="n">
        <v>13</v>
      </c>
      <c r="G355" s="4" t="n">
        <v>13</v>
      </c>
      <c r="H355" s="4" t="n">
        <v>10</v>
      </c>
      <c r="I355" s="4" t="n">
        <v>3</v>
      </c>
      <c r="J355" s="4" t="n">
        <v>0</v>
      </c>
      <c r="K355" s="4" t="n">
        <v>0</v>
      </c>
      <c r="L355" s="11" t="b">
        <f aca="false">FALSE()</f>
        <v>0</v>
      </c>
    </row>
    <row r="356" customFormat="false" ht="15" hidden="false" customHeight="false" outlineLevel="0" collapsed="false">
      <c r="A356" s="4" t="s">
        <v>561</v>
      </c>
      <c r="B356" s="4" t="s">
        <v>100</v>
      </c>
      <c r="C356" s="4" t="s">
        <v>205</v>
      </c>
      <c r="D356" s="4" t="s">
        <v>206</v>
      </c>
      <c r="E356" s="4" t="n">
        <v>46259.1694328704</v>
      </c>
      <c r="F356" s="4" t="n">
        <v>20</v>
      </c>
      <c r="G356" s="4" t="n">
        <v>20</v>
      </c>
      <c r="H356" s="4" t="n">
        <v>18</v>
      </c>
      <c r="I356" s="4" t="n">
        <v>2</v>
      </c>
      <c r="J356" s="4" t="n">
        <v>0</v>
      </c>
      <c r="K356" s="4" t="n">
        <v>0</v>
      </c>
      <c r="L356" s="11" t="b">
        <f aca="false">FALSE()</f>
        <v>0</v>
      </c>
    </row>
    <row r="357" customFormat="false" ht="15" hidden="false" customHeight="false" outlineLevel="0" collapsed="false">
      <c r="A357" s="4" t="s">
        <v>562</v>
      </c>
      <c r="B357" s="4" t="s">
        <v>99</v>
      </c>
      <c r="C357" s="4" t="s">
        <v>205</v>
      </c>
      <c r="D357" s="4" t="s">
        <v>206</v>
      </c>
      <c r="E357" s="4" t="n">
        <v>46259.2133680556</v>
      </c>
      <c r="F357" s="4" t="n">
        <v>35</v>
      </c>
      <c r="G357" s="4" t="n">
        <v>35</v>
      </c>
      <c r="H357" s="4" t="n">
        <v>35</v>
      </c>
      <c r="I357" s="4" t="n">
        <v>0</v>
      </c>
      <c r="J357" s="4" t="n">
        <v>0</v>
      </c>
      <c r="K357" s="4" t="n">
        <v>0</v>
      </c>
      <c r="L357" s="11" t="b">
        <f aca="false">FALSE()</f>
        <v>0</v>
      </c>
    </row>
    <row r="358" customFormat="false" ht="15" hidden="false" customHeight="false" outlineLevel="0" collapsed="false">
      <c r="A358" s="4" t="s">
        <v>563</v>
      </c>
      <c r="B358" s="4" t="s">
        <v>101</v>
      </c>
      <c r="C358" s="4" t="s">
        <v>205</v>
      </c>
      <c r="D358" s="4" t="s">
        <v>206</v>
      </c>
      <c r="E358" s="4" t="n">
        <v>46259.2533333333</v>
      </c>
      <c r="F358" s="4" t="n">
        <v>9</v>
      </c>
      <c r="G358" s="4" t="n">
        <v>9</v>
      </c>
      <c r="H358" s="4" t="n">
        <v>7</v>
      </c>
      <c r="I358" s="4" t="n">
        <v>1</v>
      </c>
      <c r="J358" s="4" t="n">
        <v>1</v>
      </c>
      <c r="K358" s="4" t="n">
        <v>0</v>
      </c>
      <c r="L358" s="11" t="b">
        <f aca="false">FALSE()</f>
        <v>0</v>
      </c>
    </row>
    <row r="359" customFormat="false" ht="15" hidden="false" customHeight="false" outlineLevel="0" collapsed="false">
      <c r="A359" s="4" t="s">
        <v>564</v>
      </c>
      <c r="B359" s="4" t="s">
        <v>104</v>
      </c>
      <c r="C359" s="4" t="s">
        <v>205</v>
      </c>
      <c r="D359" s="4" t="s">
        <v>206</v>
      </c>
      <c r="E359" s="4" t="n">
        <v>46259.2563194444</v>
      </c>
      <c r="F359" s="4" t="n">
        <v>9</v>
      </c>
      <c r="G359" s="4" t="n">
        <v>9</v>
      </c>
      <c r="H359" s="4" t="n">
        <v>9</v>
      </c>
      <c r="I359" s="4" t="n">
        <v>0</v>
      </c>
      <c r="J359" s="4" t="n">
        <v>0</v>
      </c>
      <c r="K359" s="4" t="n">
        <v>0</v>
      </c>
      <c r="L359" s="11" t="b">
        <f aca="false">FALSE()</f>
        <v>0</v>
      </c>
    </row>
    <row r="360" customFormat="false" ht="15" hidden="false" customHeight="false" outlineLevel="0" collapsed="false">
      <c r="A360" s="4" t="s">
        <v>565</v>
      </c>
      <c r="B360" s="4" t="s">
        <v>102</v>
      </c>
      <c r="C360" s="4" t="s">
        <v>205</v>
      </c>
      <c r="D360" s="4" t="s">
        <v>206</v>
      </c>
      <c r="E360" s="4" t="n">
        <v>46259.296724537</v>
      </c>
      <c r="F360" s="4" t="n">
        <v>0</v>
      </c>
      <c r="G360" s="4" t="n">
        <v>0</v>
      </c>
      <c r="H360" s="4" t="n">
        <v>0</v>
      </c>
      <c r="I360" s="4" t="n">
        <v>0</v>
      </c>
      <c r="J360" s="4" t="n">
        <v>0</v>
      </c>
      <c r="K360" s="4" t="n">
        <v>0</v>
      </c>
      <c r="L360" s="11" t="b">
        <f aca="false">TRUE()</f>
        <v>1</v>
      </c>
    </row>
    <row r="361" customFormat="false" ht="15" hidden="false" customHeight="false" outlineLevel="0" collapsed="false">
      <c r="A361" s="4" t="s">
        <v>566</v>
      </c>
      <c r="B361" s="4" t="s">
        <v>100</v>
      </c>
      <c r="C361" s="4" t="s">
        <v>205</v>
      </c>
      <c r="D361" s="4" t="s">
        <v>206</v>
      </c>
      <c r="E361" s="4" t="n">
        <v>46259.3362615741</v>
      </c>
      <c r="F361" s="4" t="n">
        <v>31</v>
      </c>
      <c r="G361" s="4" t="n">
        <v>31</v>
      </c>
      <c r="H361" s="4" t="n">
        <v>31</v>
      </c>
      <c r="I361" s="4" t="n">
        <v>0</v>
      </c>
      <c r="J361" s="4" t="n">
        <v>0</v>
      </c>
      <c r="K361" s="4" t="n">
        <v>0</v>
      </c>
      <c r="L361" s="11" t="b">
        <f aca="false">FALSE()</f>
        <v>0</v>
      </c>
    </row>
    <row r="362" customFormat="false" ht="15" hidden="false" customHeight="false" outlineLevel="0" collapsed="false">
      <c r="A362" s="4" t="s">
        <v>567</v>
      </c>
      <c r="B362" s="4" t="s">
        <v>103</v>
      </c>
      <c r="C362" s="4" t="s">
        <v>205</v>
      </c>
      <c r="D362" s="4" t="s">
        <v>206</v>
      </c>
      <c r="E362" s="4" t="n">
        <v>46259.3803587963</v>
      </c>
      <c r="F362" s="4" t="n">
        <v>14</v>
      </c>
      <c r="G362" s="4" t="n">
        <v>14</v>
      </c>
      <c r="H362" s="4" t="n">
        <v>13</v>
      </c>
      <c r="I362" s="4" t="n">
        <v>1</v>
      </c>
      <c r="J362" s="4" t="n">
        <v>0</v>
      </c>
      <c r="K362" s="4" t="n">
        <v>0</v>
      </c>
      <c r="L362" s="11" t="b">
        <f aca="false">FALSE()</f>
        <v>0</v>
      </c>
    </row>
    <row r="363" customFormat="false" ht="15" hidden="false" customHeight="false" outlineLevel="0" collapsed="false">
      <c r="A363" s="4" t="s">
        <v>568</v>
      </c>
      <c r="B363" s="4" t="s">
        <v>101</v>
      </c>
      <c r="C363" s="4" t="s">
        <v>205</v>
      </c>
      <c r="D363" s="4" t="s">
        <v>206</v>
      </c>
      <c r="E363" s="4" t="n">
        <v>46259.4199189815</v>
      </c>
      <c r="F363" s="4" t="n">
        <v>35</v>
      </c>
      <c r="G363" s="4" t="n">
        <v>35</v>
      </c>
      <c r="H363" s="4" t="n">
        <v>33</v>
      </c>
      <c r="I363" s="4" t="n">
        <v>0</v>
      </c>
      <c r="J363" s="4" t="n">
        <v>0</v>
      </c>
      <c r="K363" s="4" t="n">
        <v>2</v>
      </c>
      <c r="L363" s="11" t="b">
        <f aca="false">FALSE()</f>
        <v>0</v>
      </c>
    </row>
    <row r="364" customFormat="false" ht="15" hidden="false" customHeight="false" outlineLevel="0" collapsed="false">
      <c r="A364" s="4" t="s">
        <v>569</v>
      </c>
      <c r="B364" s="4" t="s">
        <v>100</v>
      </c>
      <c r="C364" s="4" t="s">
        <v>205</v>
      </c>
      <c r="D364" s="4" t="s">
        <v>206</v>
      </c>
      <c r="E364" s="4" t="n">
        <v>46259.5024305556</v>
      </c>
      <c r="F364" s="4" t="n">
        <v>75</v>
      </c>
      <c r="G364" s="4" t="n">
        <v>75</v>
      </c>
      <c r="H364" s="4" t="n">
        <v>73</v>
      </c>
      <c r="I364" s="4" t="n">
        <v>2</v>
      </c>
      <c r="J364" s="4" t="n">
        <v>0</v>
      </c>
      <c r="K364" s="4" t="n">
        <v>0</v>
      </c>
      <c r="L364" s="11" t="b">
        <f aca="false">FALSE()</f>
        <v>0</v>
      </c>
    </row>
    <row r="365" customFormat="false" ht="15" hidden="false" customHeight="false" outlineLevel="0" collapsed="false">
      <c r="A365" s="4" t="s">
        <v>570</v>
      </c>
      <c r="B365" s="4" t="s">
        <v>102</v>
      </c>
      <c r="C365" s="4" t="s">
        <v>205</v>
      </c>
      <c r="D365" s="4" t="s">
        <v>206</v>
      </c>
      <c r="E365" s="4" t="n">
        <v>46259.5461458333</v>
      </c>
      <c r="F365" s="4" t="n">
        <v>0</v>
      </c>
      <c r="G365" s="4" t="n">
        <v>0</v>
      </c>
      <c r="H365" s="4" t="n">
        <v>0</v>
      </c>
      <c r="I365" s="4" t="n">
        <v>0</v>
      </c>
      <c r="J365" s="4" t="n">
        <v>0</v>
      </c>
      <c r="K365" s="4" t="n">
        <v>0</v>
      </c>
      <c r="L365" s="11" t="b">
        <f aca="false">TRUE()</f>
        <v>1</v>
      </c>
    </row>
    <row r="366" customFormat="false" ht="15" hidden="false" customHeight="false" outlineLevel="0" collapsed="false">
      <c r="A366" s="4" t="s">
        <v>571</v>
      </c>
      <c r="B366" s="4" t="s">
        <v>101</v>
      </c>
      <c r="C366" s="4" t="s">
        <v>205</v>
      </c>
      <c r="D366" s="4" t="s">
        <v>206</v>
      </c>
      <c r="E366" s="4" t="n">
        <v>46259.5871180556</v>
      </c>
      <c r="F366" s="4" t="n">
        <v>51</v>
      </c>
      <c r="G366" s="4" t="n">
        <v>51</v>
      </c>
      <c r="H366" s="4" t="n">
        <v>49</v>
      </c>
      <c r="I366" s="4" t="n">
        <v>2</v>
      </c>
      <c r="J366" s="4" t="n">
        <v>0</v>
      </c>
      <c r="K366" s="4" t="n">
        <v>0</v>
      </c>
      <c r="L366" s="11" t="b">
        <f aca="false">FALSE()</f>
        <v>0</v>
      </c>
    </row>
    <row r="367" customFormat="false" ht="15" hidden="false" customHeight="false" outlineLevel="0" collapsed="false">
      <c r="A367" s="4" t="s">
        <v>572</v>
      </c>
      <c r="B367" s="4" t="s">
        <v>103</v>
      </c>
      <c r="C367" s="4" t="s">
        <v>205</v>
      </c>
      <c r="D367" s="4" t="s">
        <v>206</v>
      </c>
      <c r="E367" s="4" t="n">
        <v>46259.6302546296</v>
      </c>
      <c r="F367" s="4" t="n">
        <v>28</v>
      </c>
      <c r="G367" s="4" t="n">
        <v>28</v>
      </c>
      <c r="H367" s="4" t="n">
        <v>27</v>
      </c>
      <c r="I367" s="4" t="n">
        <v>1</v>
      </c>
      <c r="J367" s="4" t="n">
        <v>0</v>
      </c>
      <c r="K367" s="4" t="n">
        <v>0</v>
      </c>
      <c r="L367" s="11" t="b">
        <f aca="false">FALSE()</f>
        <v>0</v>
      </c>
    </row>
    <row r="368" customFormat="false" ht="15" hidden="false" customHeight="false" outlineLevel="0" collapsed="false">
      <c r="A368" s="4" t="s">
        <v>573</v>
      </c>
      <c r="B368" s="4" t="s">
        <v>100</v>
      </c>
      <c r="C368" s="4" t="s">
        <v>371</v>
      </c>
      <c r="D368" s="4" t="s">
        <v>371</v>
      </c>
      <c r="E368" s="4" t="n">
        <v>46259.6701736111</v>
      </c>
      <c r="F368" s="4" t="n">
        <v>81</v>
      </c>
      <c r="G368" s="4" t="n">
        <v>0</v>
      </c>
      <c r="H368" s="4" t="n">
        <v>0</v>
      </c>
      <c r="I368" s="4" t="n">
        <v>0</v>
      </c>
      <c r="J368" s="4" t="n">
        <v>0</v>
      </c>
      <c r="K368" s="4" t="n">
        <v>0</v>
      </c>
      <c r="L368" s="11" t="b">
        <f aca="false">FALSE()</f>
        <v>0</v>
      </c>
    </row>
    <row r="369" customFormat="false" ht="15" hidden="false" customHeight="false" outlineLevel="0" collapsed="false">
      <c r="A369" s="4" t="s">
        <v>574</v>
      </c>
      <c r="B369" s="4" t="s">
        <v>100</v>
      </c>
      <c r="C369" s="4" t="s">
        <v>205</v>
      </c>
      <c r="D369" s="4" t="s">
        <v>373</v>
      </c>
      <c r="E369" s="4" t="n">
        <v>46259.6844328704</v>
      </c>
      <c r="F369" s="4" t="n">
        <v>81</v>
      </c>
      <c r="G369" s="4" t="n">
        <v>81</v>
      </c>
      <c r="H369" s="4" t="n">
        <v>75</v>
      </c>
      <c r="I369" s="4" t="n">
        <v>3</v>
      </c>
      <c r="J369" s="4" t="n">
        <v>3</v>
      </c>
      <c r="K369" s="4" t="n">
        <v>0</v>
      </c>
      <c r="L369" s="11" t="b">
        <f aca="false">FALSE()</f>
        <v>0</v>
      </c>
    </row>
    <row r="370" customFormat="false" ht="15" hidden="false" customHeight="false" outlineLevel="0" collapsed="false">
      <c r="A370" s="4" t="s">
        <v>575</v>
      </c>
      <c r="B370" s="4" t="s">
        <v>101</v>
      </c>
      <c r="C370" s="4" t="s">
        <v>205</v>
      </c>
      <c r="D370" s="4" t="s">
        <v>206</v>
      </c>
      <c r="E370" s="4" t="n">
        <v>46259.7528356482</v>
      </c>
      <c r="F370" s="4" t="n">
        <v>50</v>
      </c>
      <c r="G370" s="4" t="n">
        <v>50</v>
      </c>
      <c r="H370" s="4" t="n">
        <v>45</v>
      </c>
      <c r="I370" s="4" t="n">
        <v>3</v>
      </c>
      <c r="J370" s="4" t="n">
        <v>1</v>
      </c>
      <c r="K370" s="4" t="n">
        <v>1</v>
      </c>
      <c r="L370" s="11" t="b">
        <f aca="false">FALSE()</f>
        <v>0</v>
      </c>
    </row>
    <row r="371" customFormat="false" ht="15" hidden="false" customHeight="false" outlineLevel="0" collapsed="false">
      <c r="A371" s="4" t="s">
        <v>576</v>
      </c>
      <c r="B371" s="4" t="s">
        <v>104</v>
      </c>
      <c r="C371" s="4" t="s">
        <v>205</v>
      </c>
      <c r="D371" s="4" t="s">
        <v>206</v>
      </c>
      <c r="E371" s="4" t="n">
        <v>46259.7556018519</v>
      </c>
      <c r="F371" s="4" t="n">
        <v>25</v>
      </c>
      <c r="G371" s="4" t="n">
        <v>25</v>
      </c>
      <c r="H371" s="4" t="n">
        <v>22</v>
      </c>
      <c r="I371" s="4" t="n">
        <v>3</v>
      </c>
      <c r="J371" s="4" t="n">
        <v>0</v>
      </c>
      <c r="K371" s="4" t="n">
        <v>0</v>
      </c>
      <c r="L371" s="11" t="b">
        <f aca="false">FALSE()</f>
        <v>0</v>
      </c>
    </row>
    <row r="372" customFormat="false" ht="15" hidden="false" customHeight="false" outlineLevel="0" collapsed="false">
      <c r="A372" s="4" t="s">
        <v>577</v>
      </c>
      <c r="B372" s="4" t="s">
        <v>102</v>
      </c>
      <c r="C372" s="4" t="s">
        <v>205</v>
      </c>
      <c r="D372" s="4" t="s">
        <v>206</v>
      </c>
      <c r="E372" s="4" t="n">
        <v>46259.7967476852</v>
      </c>
      <c r="F372" s="4" t="n">
        <v>0</v>
      </c>
      <c r="G372" s="4" t="n">
        <v>0</v>
      </c>
      <c r="H372" s="4" t="n">
        <v>0</v>
      </c>
      <c r="I372" s="4" t="n">
        <v>0</v>
      </c>
      <c r="J372" s="4" t="n">
        <v>0</v>
      </c>
      <c r="K372" s="4" t="n">
        <v>0</v>
      </c>
      <c r="L372" s="11" t="b">
        <f aca="false">TRUE()</f>
        <v>1</v>
      </c>
    </row>
    <row r="373" customFormat="false" ht="15" hidden="false" customHeight="false" outlineLevel="0" collapsed="false">
      <c r="A373" s="4" t="s">
        <v>578</v>
      </c>
      <c r="B373" s="4" t="s">
        <v>100</v>
      </c>
      <c r="C373" s="4" t="s">
        <v>205</v>
      </c>
      <c r="D373" s="4" t="s">
        <v>206</v>
      </c>
      <c r="E373" s="4" t="n">
        <v>46259.8355208333</v>
      </c>
      <c r="F373" s="4" t="n">
        <v>71</v>
      </c>
      <c r="G373" s="4" t="n">
        <v>71</v>
      </c>
      <c r="H373" s="4" t="n">
        <v>69</v>
      </c>
      <c r="I373" s="4" t="n">
        <v>2</v>
      </c>
      <c r="J373" s="4" t="n">
        <v>0</v>
      </c>
      <c r="K373" s="4" t="n">
        <v>0</v>
      </c>
      <c r="L373" s="11" t="b">
        <f aca="false">FALSE()</f>
        <v>0</v>
      </c>
    </row>
    <row r="374" customFormat="false" ht="15" hidden="false" customHeight="false" outlineLevel="0" collapsed="false">
      <c r="A374" s="4" t="s">
        <v>579</v>
      </c>
      <c r="B374" s="4" t="s">
        <v>103</v>
      </c>
      <c r="C374" s="4" t="s">
        <v>205</v>
      </c>
      <c r="D374" s="4" t="s">
        <v>206</v>
      </c>
      <c r="E374" s="4" t="n">
        <v>46259.8807523148</v>
      </c>
      <c r="F374" s="4" t="n">
        <v>29</v>
      </c>
      <c r="G374" s="4" t="n">
        <v>29</v>
      </c>
      <c r="H374" s="4" t="n">
        <v>26</v>
      </c>
      <c r="I374" s="4" t="n">
        <v>3</v>
      </c>
      <c r="J374" s="4" t="n">
        <v>0</v>
      </c>
      <c r="K374" s="4" t="n">
        <v>0</v>
      </c>
      <c r="L374" s="11" t="b">
        <f aca="false">FALSE()</f>
        <v>0</v>
      </c>
    </row>
    <row r="375" customFormat="false" ht="15" hidden="false" customHeight="false" outlineLevel="0" collapsed="false">
      <c r="A375" s="4" t="s">
        <v>580</v>
      </c>
      <c r="B375" s="4" t="s">
        <v>101</v>
      </c>
      <c r="C375" s="4" t="s">
        <v>205</v>
      </c>
      <c r="D375" s="4" t="s">
        <v>206</v>
      </c>
      <c r="E375" s="4" t="n">
        <v>46259.9203125</v>
      </c>
      <c r="F375" s="4" t="n">
        <v>40</v>
      </c>
      <c r="G375" s="4" t="n">
        <v>40</v>
      </c>
      <c r="H375" s="4" t="n">
        <v>39</v>
      </c>
      <c r="I375" s="4" t="n">
        <v>1</v>
      </c>
      <c r="J375" s="4" t="n">
        <v>0</v>
      </c>
      <c r="K375" s="4" t="n">
        <v>0</v>
      </c>
      <c r="L375" s="11" t="b">
        <f aca="false">FALSE()</f>
        <v>0</v>
      </c>
    </row>
    <row r="376" customFormat="false" ht="15" hidden="false" customHeight="false" outlineLevel="0" collapsed="false">
      <c r="A376" s="4" t="s">
        <v>581</v>
      </c>
      <c r="B376" s="4" t="s">
        <v>100</v>
      </c>
      <c r="C376" s="4" t="s">
        <v>205</v>
      </c>
      <c r="D376" s="4" t="s">
        <v>206</v>
      </c>
      <c r="E376" s="4" t="n">
        <v>46260.0033912037</v>
      </c>
      <c r="F376" s="4" t="n">
        <v>40</v>
      </c>
      <c r="G376" s="4" t="n">
        <v>40</v>
      </c>
      <c r="H376" s="4" t="n">
        <v>37</v>
      </c>
      <c r="I376" s="4" t="n">
        <v>2</v>
      </c>
      <c r="J376" s="4" t="n">
        <v>1</v>
      </c>
      <c r="K376" s="4" t="n">
        <v>0</v>
      </c>
      <c r="L376" s="11" t="b">
        <f aca="false">FALSE()</f>
        <v>0</v>
      </c>
    </row>
    <row r="377" customFormat="false" ht="15" hidden="false" customHeight="false" outlineLevel="0" collapsed="false">
      <c r="A377" s="4" t="s">
        <v>582</v>
      </c>
      <c r="B377" s="4" t="s">
        <v>102</v>
      </c>
      <c r="C377" s="4" t="s">
        <v>205</v>
      </c>
      <c r="D377" s="4" t="s">
        <v>206</v>
      </c>
      <c r="E377" s="4" t="n">
        <v>46260.0463425926</v>
      </c>
      <c r="F377" s="4" t="n">
        <v>1</v>
      </c>
      <c r="G377" s="4" t="n">
        <v>1</v>
      </c>
      <c r="H377" s="4" t="n">
        <v>1</v>
      </c>
      <c r="I377" s="4" t="n">
        <v>0</v>
      </c>
      <c r="J377" s="4" t="n">
        <v>0</v>
      </c>
      <c r="K377" s="4" t="n">
        <v>0</v>
      </c>
      <c r="L377" s="11" t="b">
        <f aca="false">FALSE()</f>
        <v>0</v>
      </c>
    </row>
    <row r="378" customFormat="false" ht="15" hidden="false" customHeight="false" outlineLevel="0" collapsed="false">
      <c r="A378" s="4" t="s">
        <v>583</v>
      </c>
      <c r="B378" s="4" t="s">
        <v>101</v>
      </c>
      <c r="C378" s="4" t="s">
        <v>205</v>
      </c>
      <c r="D378" s="4" t="s">
        <v>206</v>
      </c>
      <c r="E378" s="4" t="n">
        <v>46260.0866550926</v>
      </c>
      <c r="F378" s="4" t="n">
        <v>14</v>
      </c>
      <c r="G378" s="4" t="n">
        <v>14</v>
      </c>
      <c r="H378" s="4" t="n">
        <v>13</v>
      </c>
      <c r="I378" s="4" t="n">
        <v>1</v>
      </c>
      <c r="J378" s="4" t="n">
        <v>0</v>
      </c>
      <c r="K378" s="4" t="n">
        <v>0</v>
      </c>
      <c r="L378" s="11" t="b">
        <f aca="false">FALSE()</f>
        <v>0</v>
      </c>
    </row>
    <row r="379" customFormat="false" ht="15" hidden="false" customHeight="false" outlineLevel="0" collapsed="false">
      <c r="A379" s="4" t="s">
        <v>584</v>
      </c>
      <c r="B379" s="4" t="s">
        <v>103</v>
      </c>
      <c r="C379" s="4" t="s">
        <v>205</v>
      </c>
      <c r="D379" s="4" t="s">
        <v>206</v>
      </c>
      <c r="E379" s="4" t="n">
        <v>46260.1305092593</v>
      </c>
      <c r="F379" s="4" t="n">
        <v>11</v>
      </c>
      <c r="G379" s="4" t="n">
        <v>11</v>
      </c>
      <c r="H379" s="4" t="n">
        <v>8</v>
      </c>
      <c r="I379" s="4" t="n">
        <v>2</v>
      </c>
      <c r="J379" s="4" t="n">
        <v>0</v>
      </c>
      <c r="K379" s="4" t="n">
        <v>1</v>
      </c>
      <c r="L379" s="11" t="b">
        <f aca="false">FALSE()</f>
        <v>0</v>
      </c>
    </row>
    <row r="380" customFormat="false" ht="15" hidden="false" customHeight="false" outlineLevel="0" collapsed="false">
      <c r="A380" s="4" t="s">
        <v>585</v>
      </c>
      <c r="B380" s="4" t="s">
        <v>100</v>
      </c>
      <c r="C380" s="4" t="s">
        <v>205</v>
      </c>
      <c r="D380" s="4" t="s">
        <v>206</v>
      </c>
      <c r="E380" s="4" t="n">
        <v>46260.1699074074</v>
      </c>
      <c r="F380" s="4" t="n">
        <v>15</v>
      </c>
      <c r="G380" s="4" t="n">
        <v>15</v>
      </c>
      <c r="H380" s="4" t="n">
        <v>15</v>
      </c>
      <c r="I380" s="4" t="n">
        <v>0</v>
      </c>
      <c r="J380" s="4" t="n">
        <v>0</v>
      </c>
      <c r="K380" s="4" t="n">
        <v>0</v>
      </c>
      <c r="L380" s="11" t="b">
        <f aca="false">FALSE()</f>
        <v>0</v>
      </c>
    </row>
    <row r="381" customFormat="false" ht="15" hidden="false" customHeight="false" outlineLevel="0" collapsed="false">
      <c r="A381" s="4" t="s">
        <v>586</v>
      </c>
      <c r="B381" s="4" t="s">
        <v>99</v>
      </c>
      <c r="C381" s="4" t="s">
        <v>205</v>
      </c>
      <c r="D381" s="4" t="s">
        <v>206</v>
      </c>
      <c r="E381" s="4" t="n">
        <v>46260.2145833333</v>
      </c>
      <c r="F381" s="4" t="n">
        <v>31</v>
      </c>
      <c r="G381" s="4" t="n">
        <v>31</v>
      </c>
      <c r="H381" s="4" t="n">
        <v>29</v>
      </c>
      <c r="I381" s="4" t="n">
        <v>1</v>
      </c>
      <c r="J381" s="4" t="n">
        <v>1</v>
      </c>
      <c r="K381" s="4" t="n">
        <v>0</v>
      </c>
      <c r="L381" s="11" t="b">
        <f aca="false">FALSE()</f>
        <v>0</v>
      </c>
    </row>
    <row r="382" customFormat="false" ht="15" hidden="false" customHeight="false" outlineLevel="0" collapsed="false">
      <c r="A382" s="4" t="s">
        <v>587</v>
      </c>
      <c r="B382" s="4" t="s">
        <v>101</v>
      </c>
      <c r="C382" s="4" t="s">
        <v>205</v>
      </c>
      <c r="D382" s="4" t="s">
        <v>206</v>
      </c>
      <c r="E382" s="4" t="n">
        <v>46260.2536111111</v>
      </c>
      <c r="F382" s="4" t="n">
        <v>10</v>
      </c>
      <c r="G382" s="4" t="n">
        <v>10</v>
      </c>
      <c r="H382" s="4" t="n">
        <v>10</v>
      </c>
      <c r="I382" s="4" t="n">
        <v>0</v>
      </c>
      <c r="J382" s="4" t="n">
        <v>0</v>
      </c>
      <c r="K382" s="4" t="n">
        <v>0</v>
      </c>
      <c r="L382" s="11" t="b">
        <f aca="false">FALSE()</f>
        <v>0</v>
      </c>
    </row>
    <row r="383" customFormat="false" ht="15" hidden="false" customHeight="false" outlineLevel="0" collapsed="false">
      <c r="A383" s="4" t="s">
        <v>588</v>
      </c>
      <c r="B383" s="4" t="s">
        <v>104</v>
      </c>
      <c r="C383" s="4" t="s">
        <v>205</v>
      </c>
      <c r="D383" s="4" t="s">
        <v>206</v>
      </c>
      <c r="E383" s="4" t="n">
        <v>46260.2565972222</v>
      </c>
      <c r="F383" s="4" t="n">
        <v>13</v>
      </c>
      <c r="G383" s="4" t="n">
        <v>13</v>
      </c>
      <c r="H383" s="4" t="n">
        <v>10</v>
      </c>
      <c r="I383" s="4" t="n">
        <v>3</v>
      </c>
      <c r="J383" s="4" t="n">
        <v>0</v>
      </c>
      <c r="K383" s="4" t="n">
        <v>0</v>
      </c>
      <c r="L383" s="11" t="b">
        <f aca="false">FALSE()</f>
        <v>0</v>
      </c>
    </row>
    <row r="384" customFormat="false" ht="15" hidden="false" customHeight="false" outlineLevel="0" collapsed="false">
      <c r="A384" s="4" t="s">
        <v>589</v>
      </c>
      <c r="B384" s="4" t="s">
        <v>102</v>
      </c>
      <c r="C384" s="4" t="s">
        <v>205</v>
      </c>
      <c r="D384" s="4" t="s">
        <v>206</v>
      </c>
      <c r="E384" s="4" t="n">
        <v>46260.2968171296</v>
      </c>
      <c r="F384" s="4" t="n">
        <v>7</v>
      </c>
      <c r="G384" s="4" t="n">
        <v>7</v>
      </c>
      <c r="H384" s="4" t="n">
        <v>7</v>
      </c>
      <c r="I384" s="4" t="n">
        <v>0</v>
      </c>
      <c r="J384" s="4" t="n">
        <v>0</v>
      </c>
      <c r="K384" s="4" t="n">
        <v>0</v>
      </c>
      <c r="L384" s="11" t="b">
        <f aca="false">FALSE()</f>
        <v>0</v>
      </c>
    </row>
    <row r="385" customFormat="false" ht="15" hidden="false" customHeight="false" outlineLevel="0" collapsed="false">
      <c r="A385" s="4" t="s">
        <v>590</v>
      </c>
      <c r="B385" s="4" t="s">
        <v>100</v>
      </c>
      <c r="C385" s="4" t="s">
        <v>205</v>
      </c>
      <c r="D385" s="4" t="s">
        <v>206</v>
      </c>
      <c r="E385" s="4" t="n">
        <v>46260.3369212963</v>
      </c>
      <c r="F385" s="4" t="n">
        <v>31</v>
      </c>
      <c r="G385" s="4" t="n">
        <v>31</v>
      </c>
      <c r="H385" s="4" t="n">
        <v>30</v>
      </c>
      <c r="I385" s="4" t="n">
        <v>1</v>
      </c>
      <c r="J385" s="4" t="n">
        <v>0</v>
      </c>
      <c r="K385" s="4" t="n">
        <v>0</v>
      </c>
      <c r="L385" s="11" t="b">
        <f aca="false">FALSE()</f>
        <v>0</v>
      </c>
    </row>
    <row r="386" customFormat="false" ht="15" hidden="false" customHeight="false" outlineLevel="0" collapsed="false">
      <c r="A386" s="4" t="s">
        <v>591</v>
      </c>
      <c r="B386" s="4" t="s">
        <v>103</v>
      </c>
      <c r="C386" s="4" t="s">
        <v>205</v>
      </c>
      <c r="D386" s="4" t="s">
        <v>206</v>
      </c>
      <c r="E386" s="4" t="n">
        <v>46260.3792708333</v>
      </c>
      <c r="F386" s="4" t="n">
        <v>13</v>
      </c>
      <c r="G386" s="4" t="n">
        <v>13</v>
      </c>
      <c r="H386" s="4" t="n">
        <v>12</v>
      </c>
      <c r="I386" s="4" t="n">
        <v>0</v>
      </c>
      <c r="J386" s="4" t="n">
        <v>0</v>
      </c>
      <c r="K386" s="4" t="n">
        <v>1</v>
      </c>
      <c r="L386" s="11" t="b">
        <f aca="false">FALSE()</f>
        <v>0</v>
      </c>
    </row>
    <row r="387" customFormat="false" ht="15" hidden="false" customHeight="false" outlineLevel="0" collapsed="false">
      <c r="A387" s="4" t="s">
        <v>592</v>
      </c>
      <c r="B387" s="4" t="s">
        <v>101</v>
      </c>
      <c r="C387" s="4" t="s">
        <v>205</v>
      </c>
      <c r="D387" s="4" t="s">
        <v>206</v>
      </c>
      <c r="E387" s="4" t="n">
        <v>46260.420787037</v>
      </c>
      <c r="F387" s="4" t="n">
        <v>32</v>
      </c>
      <c r="G387" s="4" t="n">
        <v>32</v>
      </c>
      <c r="H387" s="4" t="n">
        <v>29</v>
      </c>
      <c r="I387" s="4" t="n">
        <v>1</v>
      </c>
      <c r="J387" s="4" t="n">
        <v>2</v>
      </c>
      <c r="K387" s="4" t="n">
        <v>0</v>
      </c>
      <c r="L387" s="11" t="b">
        <f aca="false">FALSE()</f>
        <v>0</v>
      </c>
    </row>
    <row r="388" customFormat="false" ht="15" hidden="false" customHeight="false" outlineLevel="0" collapsed="false">
      <c r="A388" s="4" t="s">
        <v>593</v>
      </c>
      <c r="B388" s="4" t="s">
        <v>100</v>
      </c>
      <c r="C388" s="4" t="s">
        <v>205</v>
      </c>
      <c r="D388" s="4" t="s">
        <v>206</v>
      </c>
      <c r="E388" s="4" t="n">
        <v>46260.5029050926</v>
      </c>
      <c r="F388" s="4" t="n">
        <v>72</v>
      </c>
      <c r="G388" s="4" t="n">
        <v>72</v>
      </c>
      <c r="H388" s="4" t="n">
        <v>69</v>
      </c>
      <c r="I388" s="4" t="n">
        <v>3</v>
      </c>
      <c r="J388" s="4" t="n">
        <v>0</v>
      </c>
      <c r="K388" s="4" t="n">
        <v>0</v>
      </c>
      <c r="L388" s="11" t="b">
        <f aca="false">FALSE()</f>
        <v>0</v>
      </c>
    </row>
    <row r="389" customFormat="false" ht="15" hidden="false" customHeight="false" outlineLevel="0" collapsed="false">
      <c r="A389" s="4" t="s">
        <v>594</v>
      </c>
      <c r="B389" s="4" t="s">
        <v>102</v>
      </c>
      <c r="C389" s="4" t="s">
        <v>205</v>
      </c>
      <c r="D389" s="4" t="s">
        <v>206</v>
      </c>
      <c r="E389" s="4" t="n">
        <v>46260.545787037</v>
      </c>
      <c r="F389" s="4" t="n">
        <v>30</v>
      </c>
      <c r="G389" s="4" t="n">
        <v>30</v>
      </c>
      <c r="H389" s="4" t="n">
        <v>26</v>
      </c>
      <c r="I389" s="4" t="n">
        <v>3</v>
      </c>
      <c r="J389" s="4" t="n">
        <v>1</v>
      </c>
      <c r="K389" s="4" t="n">
        <v>0</v>
      </c>
      <c r="L389" s="11" t="b">
        <f aca="false">FALSE()</f>
        <v>0</v>
      </c>
    </row>
    <row r="390" customFormat="false" ht="15" hidden="false" customHeight="false" outlineLevel="0" collapsed="false">
      <c r="A390" s="4" t="s">
        <v>595</v>
      </c>
      <c r="B390" s="4" t="s">
        <v>101</v>
      </c>
      <c r="C390" s="4" t="s">
        <v>205</v>
      </c>
      <c r="D390" s="4" t="s">
        <v>206</v>
      </c>
      <c r="E390" s="4" t="n">
        <v>46260.5862731482</v>
      </c>
      <c r="F390" s="4" t="n">
        <v>50</v>
      </c>
      <c r="G390" s="4" t="n">
        <v>50</v>
      </c>
      <c r="H390" s="4" t="n">
        <v>48</v>
      </c>
      <c r="I390" s="4" t="n">
        <v>2</v>
      </c>
      <c r="J390" s="4" t="n">
        <v>0</v>
      </c>
      <c r="K390" s="4" t="n">
        <v>0</v>
      </c>
      <c r="L390" s="11" t="b">
        <f aca="false">FALSE()</f>
        <v>0</v>
      </c>
    </row>
    <row r="391" customFormat="false" ht="15" hidden="false" customHeight="false" outlineLevel="0" collapsed="false">
      <c r="A391" s="4" t="s">
        <v>596</v>
      </c>
      <c r="B391" s="4" t="s">
        <v>103</v>
      </c>
      <c r="C391" s="4" t="s">
        <v>205</v>
      </c>
      <c r="D391" s="4" t="s">
        <v>206</v>
      </c>
      <c r="E391" s="4" t="n">
        <v>46260.6294675926</v>
      </c>
      <c r="F391" s="4" t="n">
        <v>26</v>
      </c>
      <c r="G391" s="4" t="n">
        <v>26</v>
      </c>
      <c r="H391" s="4" t="n">
        <v>26</v>
      </c>
      <c r="I391" s="4" t="n">
        <v>0</v>
      </c>
      <c r="J391" s="4" t="n">
        <v>0</v>
      </c>
      <c r="K391" s="4" t="n">
        <v>0</v>
      </c>
      <c r="L391" s="11" t="b">
        <f aca="false">FALSE()</f>
        <v>0</v>
      </c>
    </row>
    <row r="392" customFormat="false" ht="15" hidden="false" customHeight="false" outlineLevel="0" collapsed="false">
      <c r="A392" s="4" t="s">
        <v>597</v>
      </c>
      <c r="B392" s="4" t="s">
        <v>100</v>
      </c>
      <c r="C392" s="4" t="s">
        <v>205</v>
      </c>
      <c r="D392" s="4" t="s">
        <v>206</v>
      </c>
      <c r="E392" s="4" t="n">
        <v>46260.6691898148</v>
      </c>
      <c r="F392" s="4" t="n">
        <v>81</v>
      </c>
      <c r="G392" s="4" t="n">
        <v>81</v>
      </c>
      <c r="H392" s="4" t="n">
        <v>79</v>
      </c>
      <c r="I392" s="4" t="n">
        <v>2</v>
      </c>
      <c r="J392" s="4" t="n">
        <v>0</v>
      </c>
      <c r="K392" s="4" t="n">
        <v>0</v>
      </c>
      <c r="L392" s="11" t="b">
        <f aca="false">FALSE()</f>
        <v>0</v>
      </c>
    </row>
    <row r="393" customFormat="false" ht="15" hidden="false" customHeight="false" outlineLevel="0" collapsed="false">
      <c r="A393" s="4" t="s">
        <v>598</v>
      </c>
      <c r="B393" s="4" t="s">
        <v>101</v>
      </c>
      <c r="C393" s="4" t="s">
        <v>205</v>
      </c>
      <c r="D393" s="4" t="s">
        <v>206</v>
      </c>
      <c r="E393" s="4" t="n">
        <v>46260.7533912037</v>
      </c>
      <c r="F393" s="4" t="n">
        <v>51</v>
      </c>
      <c r="G393" s="4" t="n">
        <v>51</v>
      </c>
      <c r="H393" s="4" t="n">
        <v>48</v>
      </c>
      <c r="I393" s="4" t="n">
        <v>3</v>
      </c>
      <c r="J393" s="4" t="n">
        <v>0</v>
      </c>
      <c r="K393" s="4" t="n">
        <v>0</v>
      </c>
      <c r="L393" s="11" t="b">
        <f aca="false">FALSE()</f>
        <v>0</v>
      </c>
    </row>
    <row r="394" customFormat="false" ht="15" hidden="false" customHeight="false" outlineLevel="0" collapsed="false">
      <c r="A394" s="4" t="s">
        <v>599</v>
      </c>
      <c r="B394" s="4" t="s">
        <v>104</v>
      </c>
      <c r="C394" s="4" t="s">
        <v>205</v>
      </c>
      <c r="D394" s="4" t="s">
        <v>206</v>
      </c>
      <c r="E394" s="4" t="n">
        <v>46260.7557291667</v>
      </c>
      <c r="F394" s="4" t="n">
        <v>0</v>
      </c>
      <c r="G394" s="4" t="n">
        <v>0</v>
      </c>
      <c r="H394" s="4" t="n">
        <v>0</v>
      </c>
      <c r="I394" s="4" t="n">
        <v>0</v>
      </c>
      <c r="J394" s="4" t="n">
        <v>0</v>
      </c>
      <c r="K394" s="4" t="n">
        <v>0</v>
      </c>
      <c r="L394" s="11" t="b">
        <f aca="false">TRUE()</f>
        <v>1</v>
      </c>
    </row>
    <row r="395" customFormat="false" ht="15" hidden="false" customHeight="false" outlineLevel="0" collapsed="false">
      <c r="A395" s="4" t="s">
        <v>600</v>
      </c>
      <c r="B395" s="4" t="s">
        <v>102</v>
      </c>
      <c r="C395" s="4" t="s">
        <v>205</v>
      </c>
      <c r="D395" s="4" t="s">
        <v>206</v>
      </c>
      <c r="E395" s="4" t="n">
        <v>46260.7960069445</v>
      </c>
      <c r="F395" s="4" t="n">
        <v>30</v>
      </c>
      <c r="G395" s="4" t="n">
        <v>30</v>
      </c>
      <c r="H395" s="4" t="n">
        <v>28</v>
      </c>
      <c r="I395" s="4" t="n">
        <v>2</v>
      </c>
      <c r="J395" s="4" t="n">
        <v>0</v>
      </c>
      <c r="K395" s="4" t="n">
        <v>0</v>
      </c>
      <c r="L395" s="11" t="b">
        <f aca="false">FALSE()</f>
        <v>0</v>
      </c>
    </row>
    <row r="396" customFormat="false" ht="15" hidden="false" customHeight="false" outlineLevel="0" collapsed="false">
      <c r="A396" s="4" t="s">
        <v>601</v>
      </c>
      <c r="B396" s="4" t="s">
        <v>100</v>
      </c>
      <c r="C396" s="4" t="s">
        <v>205</v>
      </c>
      <c r="D396" s="4" t="s">
        <v>206</v>
      </c>
      <c r="E396" s="4" t="n">
        <v>46260.8360300926</v>
      </c>
      <c r="F396" s="4" t="n">
        <v>69</v>
      </c>
      <c r="G396" s="4" t="n">
        <v>69</v>
      </c>
      <c r="H396" s="4" t="n">
        <v>64</v>
      </c>
      <c r="I396" s="4" t="n">
        <v>3</v>
      </c>
      <c r="J396" s="4" t="n">
        <v>2</v>
      </c>
      <c r="K396" s="4" t="n">
        <v>0</v>
      </c>
      <c r="L396" s="11" t="b">
        <f aca="false">FALSE()</f>
        <v>0</v>
      </c>
    </row>
    <row r="397" customFormat="false" ht="15" hidden="false" customHeight="false" outlineLevel="0" collapsed="false">
      <c r="A397" s="4" t="s">
        <v>602</v>
      </c>
      <c r="B397" s="4" t="s">
        <v>103</v>
      </c>
      <c r="C397" s="4" t="s">
        <v>205</v>
      </c>
      <c r="D397" s="4" t="s">
        <v>206</v>
      </c>
      <c r="E397" s="4" t="n">
        <v>46260.8793055556</v>
      </c>
      <c r="F397" s="4" t="n">
        <v>29</v>
      </c>
      <c r="G397" s="4" t="n">
        <v>29</v>
      </c>
      <c r="H397" s="4" t="n">
        <v>25</v>
      </c>
      <c r="I397" s="4" t="n">
        <v>3</v>
      </c>
      <c r="J397" s="4" t="n">
        <v>1</v>
      </c>
      <c r="K397" s="4" t="n">
        <v>0</v>
      </c>
      <c r="L397" s="11" t="b">
        <f aca="false">FALSE()</f>
        <v>0</v>
      </c>
    </row>
    <row r="398" customFormat="false" ht="15" hidden="false" customHeight="false" outlineLevel="0" collapsed="false">
      <c r="A398" s="4" t="s">
        <v>603</v>
      </c>
      <c r="B398" s="4" t="s">
        <v>101</v>
      </c>
      <c r="C398" s="4" t="s">
        <v>205</v>
      </c>
      <c r="D398" s="4" t="s">
        <v>206</v>
      </c>
      <c r="E398" s="4" t="n">
        <v>46260.9196527778</v>
      </c>
      <c r="F398" s="4" t="n">
        <v>42</v>
      </c>
      <c r="G398" s="4" t="n">
        <v>42</v>
      </c>
      <c r="H398" s="4" t="n">
        <v>38</v>
      </c>
      <c r="I398" s="4" t="n">
        <v>2</v>
      </c>
      <c r="J398" s="4" t="n">
        <v>1</v>
      </c>
      <c r="K398" s="4" t="n">
        <v>1</v>
      </c>
      <c r="L398" s="11" t="b">
        <f aca="false">FALSE()</f>
        <v>0</v>
      </c>
    </row>
    <row r="399" customFormat="false" ht="15" hidden="false" customHeight="false" outlineLevel="0" collapsed="false">
      <c r="A399" s="4" t="s">
        <v>604</v>
      </c>
      <c r="B399" s="4" t="s">
        <v>100</v>
      </c>
      <c r="C399" s="4" t="s">
        <v>205</v>
      </c>
      <c r="D399" s="4" t="s">
        <v>206</v>
      </c>
      <c r="E399" s="4" t="n">
        <v>46261.0033796296</v>
      </c>
      <c r="F399" s="4" t="n">
        <v>42</v>
      </c>
      <c r="G399" s="4" t="n">
        <v>42</v>
      </c>
      <c r="H399" s="4" t="n">
        <v>39</v>
      </c>
      <c r="I399" s="4" t="n">
        <v>1</v>
      </c>
      <c r="J399" s="4" t="n">
        <v>2</v>
      </c>
      <c r="K399" s="4" t="n">
        <v>0</v>
      </c>
      <c r="L399" s="11" t="b">
        <f aca="false">FALSE()</f>
        <v>0</v>
      </c>
    </row>
    <row r="400" customFormat="false" ht="15" hidden="false" customHeight="false" outlineLevel="0" collapsed="false">
      <c r="A400" s="4" t="s">
        <v>605</v>
      </c>
      <c r="B400" s="4" t="s">
        <v>102</v>
      </c>
      <c r="C400" s="4" t="s">
        <v>205</v>
      </c>
      <c r="D400" s="4" t="s">
        <v>206</v>
      </c>
      <c r="E400" s="4" t="n">
        <v>46261.0456828704</v>
      </c>
      <c r="F400" s="4" t="n">
        <v>19</v>
      </c>
      <c r="G400" s="4" t="n">
        <v>19</v>
      </c>
      <c r="H400" s="4" t="n">
        <v>16</v>
      </c>
      <c r="I400" s="4" t="n">
        <v>3</v>
      </c>
      <c r="J400" s="4" t="n">
        <v>0</v>
      </c>
      <c r="K400" s="4" t="n">
        <v>0</v>
      </c>
      <c r="L400" s="11" t="b">
        <f aca="false">FALSE()</f>
        <v>0</v>
      </c>
    </row>
    <row r="401" customFormat="false" ht="15" hidden="false" customHeight="false" outlineLevel="0" collapsed="false">
      <c r="A401" s="4" t="s">
        <v>606</v>
      </c>
      <c r="B401" s="4" t="s">
        <v>101</v>
      </c>
      <c r="C401" s="4" t="s">
        <v>205</v>
      </c>
      <c r="D401" s="4" t="s">
        <v>206</v>
      </c>
      <c r="E401" s="4" t="n">
        <v>46261.0870486111</v>
      </c>
      <c r="F401" s="4" t="n">
        <v>17</v>
      </c>
      <c r="G401" s="4" t="n">
        <v>17</v>
      </c>
      <c r="H401" s="4" t="n">
        <v>15</v>
      </c>
      <c r="I401" s="4" t="n">
        <v>0</v>
      </c>
      <c r="J401" s="4" t="n">
        <v>2</v>
      </c>
      <c r="K401" s="4" t="n">
        <v>0</v>
      </c>
      <c r="L401" s="11" t="b">
        <f aca="false">FALSE()</f>
        <v>0</v>
      </c>
    </row>
    <row r="402" customFormat="false" ht="15" hidden="false" customHeight="false" outlineLevel="0" collapsed="false">
      <c r="A402" s="4" t="s">
        <v>607</v>
      </c>
      <c r="B402" s="4" t="s">
        <v>103</v>
      </c>
      <c r="C402" s="4" t="s">
        <v>205</v>
      </c>
      <c r="D402" s="4" t="s">
        <v>206</v>
      </c>
      <c r="E402" s="4" t="n">
        <v>46261.130787037</v>
      </c>
      <c r="F402" s="4" t="n">
        <v>12</v>
      </c>
      <c r="G402" s="4" t="n">
        <v>12</v>
      </c>
      <c r="H402" s="4" t="n">
        <v>8</v>
      </c>
      <c r="I402" s="4" t="n">
        <v>3</v>
      </c>
      <c r="J402" s="4" t="n">
        <v>0</v>
      </c>
      <c r="K402" s="4" t="n">
        <v>1</v>
      </c>
      <c r="L402" s="11" t="b">
        <f aca="false">FALSE()</f>
        <v>0</v>
      </c>
    </row>
    <row r="403" customFormat="false" ht="15" hidden="false" customHeight="false" outlineLevel="0" collapsed="false">
      <c r="A403" s="4" t="s">
        <v>608</v>
      </c>
      <c r="B403" s="4" t="s">
        <v>100</v>
      </c>
      <c r="C403" s="4" t="s">
        <v>205</v>
      </c>
      <c r="D403" s="4" t="s">
        <v>206</v>
      </c>
      <c r="E403" s="4" t="n">
        <v>46261.1698726852</v>
      </c>
      <c r="F403" s="4" t="n">
        <v>16</v>
      </c>
      <c r="G403" s="4" t="n">
        <v>16</v>
      </c>
      <c r="H403" s="4" t="n">
        <v>14</v>
      </c>
      <c r="I403" s="4" t="n">
        <v>1</v>
      </c>
      <c r="J403" s="4" t="n">
        <v>0</v>
      </c>
      <c r="K403" s="4" t="n">
        <v>1</v>
      </c>
      <c r="L403" s="11" t="b">
        <f aca="false">FALSE()</f>
        <v>0</v>
      </c>
    </row>
    <row r="404" customFormat="false" ht="15" hidden="false" customHeight="false" outlineLevel="0" collapsed="false">
      <c r="A404" s="4" t="s">
        <v>609</v>
      </c>
      <c r="B404" s="4" t="s">
        <v>99</v>
      </c>
      <c r="C404" s="4" t="s">
        <v>205</v>
      </c>
      <c r="D404" s="4" t="s">
        <v>206</v>
      </c>
      <c r="E404" s="4" t="n">
        <v>46261.213587963</v>
      </c>
      <c r="F404" s="4" t="n">
        <v>27</v>
      </c>
      <c r="G404" s="4" t="n">
        <v>27</v>
      </c>
      <c r="H404" s="4" t="n">
        <v>26</v>
      </c>
      <c r="I404" s="4" t="n">
        <v>0</v>
      </c>
      <c r="J404" s="4" t="n">
        <v>1</v>
      </c>
      <c r="K404" s="4" t="n">
        <v>0</v>
      </c>
      <c r="L404" s="11" t="b">
        <f aca="false">FALSE()</f>
        <v>0</v>
      </c>
    </row>
    <row r="405" customFormat="false" ht="15" hidden="false" customHeight="false" outlineLevel="0" collapsed="false">
      <c r="A405" s="4" t="s">
        <v>610</v>
      </c>
      <c r="B405" s="4" t="s">
        <v>101</v>
      </c>
      <c r="C405" s="4" t="s">
        <v>205</v>
      </c>
      <c r="D405" s="4" t="s">
        <v>206</v>
      </c>
      <c r="E405" s="4" t="n">
        <v>46261.2541203704</v>
      </c>
      <c r="F405" s="4" t="n">
        <v>11</v>
      </c>
      <c r="G405" s="4" t="n">
        <v>11</v>
      </c>
      <c r="H405" s="4" t="n">
        <v>9</v>
      </c>
      <c r="I405" s="4" t="n">
        <v>2</v>
      </c>
      <c r="J405" s="4" t="n">
        <v>0</v>
      </c>
      <c r="K405" s="4" t="n">
        <v>0</v>
      </c>
      <c r="L405" s="11" t="b">
        <f aca="false">FALSE()</f>
        <v>0</v>
      </c>
    </row>
    <row r="406" customFormat="false" ht="15" hidden="false" customHeight="false" outlineLevel="0" collapsed="false">
      <c r="A406" s="4" t="s">
        <v>611</v>
      </c>
      <c r="B406" s="4" t="s">
        <v>104</v>
      </c>
      <c r="C406" s="4" t="s">
        <v>205</v>
      </c>
      <c r="D406" s="4" t="s">
        <v>206</v>
      </c>
      <c r="E406" s="4" t="n">
        <v>46261.2572453704</v>
      </c>
      <c r="F406" s="4" t="n">
        <v>5</v>
      </c>
      <c r="G406" s="4" t="n">
        <v>5</v>
      </c>
      <c r="H406" s="4" t="n">
        <v>3</v>
      </c>
      <c r="I406" s="4" t="n">
        <v>2</v>
      </c>
      <c r="J406" s="4" t="n">
        <v>0</v>
      </c>
      <c r="K406" s="4" t="n">
        <v>0</v>
      </c>
      <c r="L406" s="11" t="b">
        <f aca="false">FALSE()</f>
        <v>0</v>
      </c>
    </row>
    <row r="407" customFormat="false" ht="15" hidden="false" customHeight="false" outlineLevel="0" collapsed="false">
      <c r="A407" s="4" t="s">
        <v>612</v>
      </c>
      <c r="B407" s="4" t="s">
        <v>102</v>
      </c>
      <c r="C407" s="4" t="s">
        <v>205</v>
      </c>
      <c r="D407" s="4" t="s">
        <v>206</v>
      </c>
      <c r="E407" s="4" t="n">
        <v>46261.2952546296</v>
      </c>
      <c r="F407" s="4" t="n">
        <v>7</v>
      </c>
      <c r="G407" s="4" t="n">
        <v>7</v>
      </c>
      <c r="H407" s="4" t="n">
        <v>7</v>
      </c>
      <c r="I407" s="4" t="n">
        <v>0</v>
      </c>
      <c r="J407" s="4" t="n">
        <v>0</v>
      </c>
      <c r="K407" s="4" t="n">
        <v>0</v>
      </c>
      <c r="L407" s="11" t="b">
        <f aca="false">FALSE()</f>
        <v>0</v>
      </c>
    </row>
    <row r="408" customFormat="false" ht="15" hidden="false" customHeight="false" outlineLevel="0" collapsed="false">
      <c r="A408" s="4" t="s">
        <v>613</v>
      </c>
      <c r="B408" s="4" t="s">
        <v>100</v>
      </c>
      <c r="C408" s="4" t="s">
        <v>205</v>
      </c>
      <c r="D408" s="4" t="s">
        <v>206</v>
      </c>
      <c r="E408" s="4" t="n">
        <v>46261.3368981482</v>
      </c>
      <c r="F408" s="4" t="n">
        <v>33</v>
      </c>
      <c r="G408" s="4" t="n">
        <v>33</v>
      </c>
      <c r="H408" s="4" t="n">
        <v>29</v>
      </c>
      <c r="I408" s="4" t="n">
        <v>2</v>
      </c>
      <c r="J408" s="4" t="n">
        <v>2</v>
      </c>
      <c r="K408" s="4" t="n">
        <v>0</v>
      </c>
      <c r="L408" s="11" t="b">
        <f aca="false">TRUE()</f>
        <v>1</v>
      </c>
    </row>
    <row r="409" customFormat="false" ht="15" hidden="false" customHeight="false" outlineLevel="0" collapsed="false">
      <c r="A409" s="4" t="s">
        <v>614</v>
      </c>
      <c r="B409" s="4" t="s">
        <v>103</v>
      </c>
      <c r="C409" s="4" t="s">
        <v>205</v>
      </c>
      <c r="D409" s="4" t="s">
        <v>206</v>
      </c>
      <c r="E409" s="4" t="n">
        <v>46261.38</v>
      </c>
      <c r="F409" s="4" t="n">
        <v>16</v>
      </c>
      <c r="G409" s="4" t="n">
        <v>16</v>
      </c>
      <c r="H409" s="4" t="n">
        <v>14</v>
      </c>
      <c r="I409" s="4" t="n">
        <v>2</v>
      </c>
      <c r="J409" s="4" t="n">
        <v>0</v>
      </c>
      <c r="K409" s="4" t="n">
        <v>0</v>
      </c>
      <c r="L409" s="11" t="b">
        <f aca="false">FALSE()</f>
        <v>0</v>
      </c>
    </row>
    <row r="410" customFormat="false" ht="15" hidden="false" customHeight="false" outlineLevel="0" collapsed="false">
      <c r="A410" s="4" t="s">
        <v>615</v>
      </c>
      <c r="B410" s="4" t="s">
        <v>101</v>
      </c>
      <c r="C410" s="4" t="s">
        <v>205</v>
      </c>
      <c r="D410" s="4" t="s">
        <v>206</v>
      </c>
      <c r="E410" s="4" t="n">
        <v>46261.4205902778</v>
      </c>
      <c r="F410" s="4" t="n">
        <v>38</v>
      </c>
      <c r="G410" s="4" t="n">
        <v>38</v>
      </c>
      <c r="H410" s="4" t="n">
        <v>37</v>
      </c>
      <c r="I410" s="4" t="n">
        <v>0</v>
      </c>
      <c r="J410" s="4" t="n">
        <v>1</v>
      </c>
      <c r="K410" s="4" t="n">
        <v>0</v>
      </c>
      <c r="L410" s="11" t="b">
        <f aca="false">FALSE()</f>
        <v>0</v>
      </c>
    </row>
    <row r="411" customFormat="false" ht="15" hidden="false" customHeight="false" outlineLevel="0" collapsed="false">
      <c r="A411" s="4" t="s">
        <v>616</v>
      </c>
      <c r="B411" s="4" t="s">
        <v>100</v>
      </c>
      <c r="C411" s="4" t="s">
        <v>205</v>
      </c>
      <c r="D411" s="4" t="s">
        <v>206</v>
      </c>
      <c r="E411" s="4" t="n">
        <v>46261.5023611111</v>
      </c>
      <c r="F411" s="4" t="n">
        <v>70</v>
      </c>
      <c r="G411" s="4" t="n">
        <v>70</v>
      </c>
      <c r="H411" s="4" t="n">
        <v>70</v>
      </c>
      <c r="I411" s="4" t="n">
        <v>0</v>
      </c>
      <c r="J411" s="4" t="n">
        <v>0</v>
      </c>
      <c r="K411" s="4" t="n">
        <v>0</v>
      </c>
      <c r="L411" s="11" t="b">
        <f aca="false">FALSE()</f>
        <v>0</v>
      </c>
    </row>
    <row r="412" customFormat="false" ht="15" hidden="false" customHeight="false" outlineLevel="0" collapsed="false">
      <c r="A412" s="4" t="s">
        <v>617</v>
      </c>
      <c r="B412" s="4" t="s">
        <v>102</v>
      </c>
      <c r="C412" s="4" t="s">
        <v>205</v>
      </c>
      <c r="D412" s="4" t="s">
        <v>206</v>
      </c>
      <c r="E412" s="4" t="n">
        <v>46261.5452083333</v>
      </c>
      <c r="F412" s="4" t="n">
        <v>30</v>
      </c>
      <c r="G412" s="4" t="n">
        <v>30</v>
      </c>
      <c r="H412" s="4" t="n">
        <v>27</v>
      </c>
      <c r="I412" s="4" t="n">
        <v>3</v>
      </c>
      <c r="J412" s="4" t="n">
        <v>0</v>
      </c>
      <c r="K412" s="4" t="n">
        <v>0</v>
      </c>
      <c r="L412" s="11" t="b">
        <f aca="false">FALSE()</f>
        <v>0</v>
      </c>
    </row>
    <row r="413" customFormat="false" ht="15" hidden="false" customHeight="false" outlineLevel="0" collapsed="false">
      <c r="A413" s="4" t="s">
        <v>618</v>
      </c>
      <c r="B413" s="4" t="s">
        <v>101</v>
      </c>
      <c r="C413" s="4" t="s">
        <v>205</v>
      </c>
      <c r="D413" s="4" t="s">
        <v>206</v>
      </c>
      <c r="E413" s="4" t="n">
        <v>46261.5861226852</v>
      </c>
      <c r="F413" s="4" t="n">
        <v>45</v>
      </c>
      <c r="G413" s="4" t="n">
        <v>45</v>
      </c>
      <c r="H413" s="4" t="n">
        <v>40</v>
      </c>
      <c r="I413" s="4" t="n">
        <v>2</v>
      </c>
      <c r="J413" s="4" t="n">
        <v>3</v>
      </c>
      <c r="K413" s="4" t="n">
        <v>0</v>
      </c>
      <c r="L413" s="11" t="b">
        <f aca="false">FALSE()</f>
        <v>0</v>
      </c>
    </row>
    <row r="414" customFormat="false" ht="15" hidden="false" customHeight="false" outlineLevel="0" collapsed="false">
      <c r="A414" s="4" t="s">
        <v>619</v>
      </c>
      <c r="B414" s="4" t="s">
        <v>103</v>
      </c>
      <c r="C414" s="4" t="s">
        <v>205</v>
      </c>
      <c r="D414" s="4" t="s">
        <v>206</v>
      </c>
      <c r="E414" s="4" t="n">
        <v>46261.6297916667</v>
      </c>
      <c r="F414" s="4" t="n">
        <v>30</v>
      </c>
      <c r="G414" s="4" t="n">
        <v>30</v>
      </c>
      <c r="H414" s="4" t="n">
        <v>27</v>
      </c>
      <c r="I414" s="4" t="n">
        <v>3</v>
      </c>
      <c r="J414" s="4" t="n">
        <v>0</v>
      </c>
      <c r="K414" s="4" t="n">
        <v>0</v>
      </c>
      <c r="L414" s="11" t="b">
        <f aca="false">FALSE()</f>
        <v>0</v>
      </c>
    </row>
    <row r="415" customFormat="false" ht="15" hidden="false" customHeight="false" outlineLevel="0" collapsed="false">
      <c r="A415" s="4" t="s">
        <v>620</v>
      </c>
      <c r="B415" s="4" t="s">
        <v>100</v>
      </c>
      <c r="C415" s="4" t="s">
        <v>205</v>
      </c>
      <c r="D415" s="4" t="s">
        <v>206</v>
      </c>
      <c r="E415" s="4" t="n">
        <v>46261.6703240741</v>
      </c>
      <c r="F415" s="4" t="n">
        <v>79</v>
      </c>
      <c r="G415" s="4" t="n">
        <v>79</v>
      </c>
      <c r="H415" s="4" t="n">
        <v>77</v>
      </c>
      <c r="I415" s="4" t="n">
        <v>2</v>
      </c>
      <c r="J415" s="4" t="n">
        <v>0</v>
      </c>
      <c r="K415" s="4" t="n">
        <v>0</v>
      </c>
      <c r="L415" s="11" t="b">
        <f aca="false">FALSE()</f>
        <v>0</v>
      </c>
    </row>
    <row r="416" customFormat="false" ht="15" hidden="false" customHeight="false" outlineLevel="0" collapsed="false">
      <c r="A416" s="4" t="s">
        <v>621</v>
      </c>
      <c r="B416" s="4" t="s">
        <v>101</v>
      </c>
      <c r="C416" s="4" t="s">
        <v>205</v>
      </c>
      <c r="D416" s="4" t="s">
        <v>206</v>
      </c>
      <c r="E416" s="4" t="n">
        <v>46261.7536226852</v>
      </c>
      <c r="F416" s="4" t="n">
        <v>49</v>
      </c>
      <c r="G416" s="4" t="n">
        <v>49</v>
      </c>
      <c r="H416" s="4" t="n">
        <v>48</v>
      </c>
      <c r="I416" s="4" t="n">
        <v>0</v>
      </c>
      <c r="J416" s="4" t="n">
        <v>1</v>
      </c>
      <c r="K416" s="4" t="n">
        <v>0</v>
      </c>
      <c r="L416" s="11" t="b">
        <f aca="false">FALSE()</f>
        <v>0</v>
      </c>
    </row>
    <row r="417" customFormat="false" ht="15" hidden="false" customHeight="false" outlineLevel="0" collapsed="false">
      <c r="A417" s="4" t="s">
        <v>622</v>
      </c>
      <c r="B417" s="4" t="s">
        <v>104</v>
      </c>
      <c r="C417" s="4" t="s">
        <v>205</v>
      </c>
      <c r="D417" s="4" t="s">
        <v>206</v>
      </c>
      <c r="E417" s="4" t="n">
        <v>46261.7559490741</v>
      </c>
      <c r="F417" s="4" t="n">
        <v>24</v>
      </c>
      <c r="G417" s="4" t="n">
        <v>24</v>
      </c>
      <c r="H417" s="4" t="n">
        <v>22</v>
      </c>
      <c r="I417" s="4" t="n">
        <v>2</v>
      </c>
      <c r="J417" s="4" t="n">
        <v>0</v>
      </c>
      <c r="K417" s="4" t="n">
        <v>0</v>
      </c>
      <c r="L417" s="11" t="b">
        <f aca="false">FALSE()</f>
        <v>0</v>
      </c>
    </row>
    <row r="418" customFormat="false" ht="15" hidden="false" customHeight="false" outlineLevel="0" collapsed="false">
      <c r="A418" s="4" t="s">
        <v>623</v>
      </c>
      <c r="B418" s="4" t="s">
        <v>102</v>
      </c>
      <c r="C418" s="4" t="s">
        <v>205</v>
      </c>
      <c r="D418" s="4" t="s">
        <v>206</v>
      </c>
      <c r="E418" s="4" t="n">
        <v>46261.7956018519</v>
      </c>
      <c r="F418" s="4" t="n">
        <v>29</v>
      </c>
      <c r="G418" s="4" t="n">
        <v>29</v>
      </c>
      <c r="H418" s="4" t="n">
        <v>25</v>
      </c>
      <c r="I418" s="4" t="n">
        <v>3</v>
      </c>
      <c r="J418" s="4" t="n">
        <v>1</v>
      </c>
      <c r="K418" s="4" t="n">
        <v>0</v>
      </c>
      <c r="L418" s="11" t="b">
        <f aca="false">FALSE()</f>
        <v>0</v>
      </c>
    </row>
    <row r="419" customFormat="false" ht="15" hidden="false" customHeight="false" outlineLevel="0" collapsed="false">
      <c r="A419" s="4" t="s">
        <v>624</v>
      </c>
      <c r="B419" s="4" t="s">
        <v>99</v>
      </c>
      <c r="C419" s="4" t="s">
        <v>205</v>
      </c>
      <c r="D419" s="4" t="s">
        <v>428</v>
      </c>
      <c r="E419" s="4" t="n">
        <v>46261.8051388889</v>
      </c>
      <c r="F419" s="4" t="n">
        <v>25</v>
      </c>
      <c r="G419" s="4" t="n">
        <v>25</v>
      </c>
      <c r="H419" s="4" t="n">
        <v>23</v>
      </c>
      <c r="I419" s="4" t="n">
        <v>0</v>
      </c>
      <c r="J419" s="4" t="n">
        <v>2</v>
      </c>
      <c r="K419" s="4" t="n">
        <v>0</v>
      </c>
      <c r="L419" s="11" t="b">
        <f aca="false">TRUE()</f>
        <v>1</v>
      </c>
    </row>
    <row r="420" customFormat="false" ht="15" hidden="false" customHeight="false" outlineLevel="0" collapsed="false">
      <c r="A420" s="4" t="s">
        <v>625</v>
      </c>
      <c r="B420" s="4" t="s">
        <v>100</v>
      </c>
      <c r="C420" s="4" t="s">
        <v>205</v>
      </c>
      <c r="D420" s="4" t="s">
        <v>206</v>
      </c>
      <c r="E420" s="4" t="n">
        <v>46261.8359606482</v>
      </c>
      <c r="F420" s="4" t="n">
        <v>72</v>
      </c>
      <c r="G420" s="4" t="n">
        <v>72</v>
      </c>
      <c r="H420" s="4" t="n">
        <v>71</v>
      </c>
      <c r="I420" s="4" t="n">
        <v>1</v>
      </c>
      <c r="J420" s="4" t="n">
        <v>0</v>
      </c>
      <c r="K420" s="4" t="n">
        <v>0</v>
      </c>
      <c r="L420" s="11" t="b">
        <f aca="false">FALSE()</f>
        <v>0</v>
      </c>
    </row>
    <row r="421" customFormat="false" ht="15" hidden="false" customHeight="false" outlineLevel="0" collapsed="false">
      <c r="A421" s="4" t="s">
        <v>626</v>
      </c>
      <c r="B421" s="4" t="s">
        <v>103</v>
      </c>
      <c r="C421" s="4" t="s">
        <v>205</v>
      </c>
      <c r="D421" s="4" t="s">
        <v>206</v>
      </c>
      <c r="E421" s="4" t="n">
        <v>46261.8804166667</v>
      </c>
      <c r="F421" s="4" t="n">
        <v>28</v>
      </c>
      <c r="G421" s="4" t="n">
        <v>28</v>
      </c>
      <c r="H421" s="4" t="n">
        <v>26</v>
      </c>
      <c r="I421" s="4" t="n">
        <v>2</v>
      </c>
      <c r="J421" s="4" t="n">
        <v>0</v>
      </c>
      <c r="K421" s="4" t="n">
        <v>0</v>
      </c>
      <c r="L421" s="11" t="b">
        <f aca="false">FALSE()</f>
        <v>0</v>
      </c>
    </row>
    <row r="422" customFormat="false" ht="15" hidden="false" customHeight="false" outlineLevel="0" collapsed="false">
      <c r="A422" s="4" t="s">
        <v>627</v>
      </c>
      <c r="B422" s="4" t="s">
        <v>101</v>
      </c>
      <c r="C422" s="4" t="s">
        <v>205</v>
      </c>
      <c r="D422" s="4" t="s">
        <v>206</v>
      </c>
      <c r="E422" s="4" t="n">
        <v>46261.9196990741</v>
      </c>
      <c r="F422" s="4" t="n">
        <v>37</v>
      </c>
      <c r="G422" s="4" t="n">
        <v>37</v>
      </c>
      <c r="H422" s="4" t="n">
        <v>36</v>
      </c>
      <c r="I422" s="4" t="n">
        <v>1</v>
      </c>
      <c r="J422" s="4" t="n">
        <v>0</v>
      </c>
      <c r="K422" s="4" t="n">
        <v>0</v>
      </c>
      <c r="L422" s="11" t="b">
        <f aca="false">FALSE()</f>
        <v>0</v>
      </c>
    </row>
    <row r="423" customFormat="false" ht="15" hidden="false" customHeight="false" outlineLevel="0" collapsed="false">
      <c r="A423" s="4" t="s">
        <v>628</v>
      </c>
      <c r="B423" s="4" t="s">
        <v>100</v>
      </c>
      <c r="C423" s="4" t="s">
        <v>205</v>
      </c>
      <c r="D423" s="4" t="s">
        <v>206</v>
      </c>
      <c r="E423" s="4" t="n">
        <v>46262.0033564815</v>
      </c>
      <c r="F423" s="4" t="n">
        <v>43</v>
      </c>
      <c r="G423" s="4" t="n">
        <v>43</v>
      </c>
      <c r="H423" s="4" t="n">
        <v>43</v>
      </c>
      <c r="I423" s="4" t="n">
        <v>0</v>
      </c>
      <c r="J423" s="4" t="n">
        <v>0</v>
      </c>
      <c r="K423" s="4" t="n">
        <v>0</v>
      </c>
      <c r="L423" s="11" t="b">
        <f aca="false">FALSE()</f>
        <v>0</v>
      </c>
    </row>
    <row r="424" customFormat="false" ht="15" hidden="false" customHeight="false" outlineLevel="0" collapsed="false">
      <c r="A424" s="4" t="s">
        <v>629</v>
      </c>
      <c r="B424" s="4" t="s">
        <v>102</v>
      </c>
      <c r="C424" s="4" t="s">
        <v>205</v>
      </c>
      <c r="D424" s="4" t="s">
        <v>206</v>
      </c>
      <c r="E424" s="4" t="n">
        <v>46262.0466319445</v>
      </c>
      <c r="F424" s="4" t="n">
        <v>18</v>
      </c>
      <c r="G424" s="4" t="n">
        <v>18</v>
      </c>
      <c r="H424" s="4" t="n">
        <v>18</v>
      </c>
      <c r="I424" s="4" t="n">
        <v>0</v>
      </c>
      <c r="J424" s="4" t="n">
        <v>0</v>
      </c>
      <c r="K424" s="4" t="n">
        <v>0</v>
      </c>
      <c r="L424" s="11" t="b">
        <f aca="false">FALSE()</f>
        <v>0</v>
      </c>
    </row>
    <row r="425" customFormat="false" ht="15" hidden="false" customHeight="false" outlineLevel="0" collapsed="false">
      <c r="A425" s="4" t="s">
        <v>630</v>
      </c>
      <c r="B425" s="4" t="s">
        <v>101</v>
      </c>
      <c r="C425" s="4" t="s">
        <v>205</v>
      </c>
      <c r="D425" s="4" t="s">
        <v>206</v>
      </c>
      <c r="E425" s="4" t="n">
        <v>46262.0866782407</v>
      </c>
      <c r="F425" s="4" t="n">
        <v>16</v>
      </c>
      <c r="G425" s="4" t="n">
        <v>16</v>
      </c>
      <c r="H425" s="4" t="n">
        <v>15</v>
      </c>
      <c r="I425" s="4" t="n">
        <v>1</v>
      </c>
      <c r="J425" s="4" t="n">
        <v>0</v>
      </c>
      <c r="K425" s="4" t="n">
        <v>0</v>
      </c>
      <c r="L425" s="11" t="b">
        <f aca="false">FALSE()</f>
        <v>0</v>
      </c>
    </row>
    <row r="426" customFormat="false" ht="15" hidden="false" customHeight="false" outlineLevel="0" collapsed="false">
      <c r="A426" s="4" t="s">
        <v>631</v>
      </c>
      <c r="B426" s="4" t="s">
        <v>103</v>
      </c>
      <c r="C426" s="4" t="s">
        <v>205</v>
      </c>
      <c r="D426" s="4" t="s">
        <v>206</v>
      </c>
      <c r="E426" s="4" t="n">
        <v>46262.1298611111</v>
      </c>
      <c r="F426" s="4" t="n">
        <v>14</v>
      </c>
      <c r="G426" s="4" t="n">
        <v>14</v>
      </c>
      <c r="H426" s="4" t="n">
        <v>10</v>
      </c>
      <c r="I426" s="4" t="n">
        <v>3</v>
      </c>
      <c r="J426" s="4" t="n">
        <v>1</v>
      </c>
      <c r="K426" s="4" t="n">
        <v>0</v>
      </c>
      <c r="L426" s="11" t="b">
        <f aca="false">FALSE()</f>
        <v>0</v>
      </c>
    </row>
    <row r="427" customFormat="false" ht="15" hidden="false" customHeight="false" outlineLevel="0" collapsed="false">
      <c r="A427" s="4" t="s">
        <v>632</v>
      </c>
      <c r="B427" s="4" t="s">
        <v>100</v>
      </c>
      <c r="C427" s="4" t="s">
        <v>205</v>
      </c>
      <c r="D427" s="4" t="s">
        <v>206</v>
      </c>
      <c r="E427" s="4" t="n">
        <v>46262.1700115741</v>
      </c>
      <c r="F427" s="4" t="n">
        <v>15</v>
      </c>
      <c r="G427" s="4" t="n">
        <v>15</v>
      </c>
      <c r="H427" s="4" t="n">
        <v>14</v>
      </c>
      <c r="I427" s="4" t="n">
        <v>1</v>
      </c>
      <c r="J427" s="4" t="n">
        <v>0</v>
      </c>
      <c r="K427" s="4" t="n">
        <v>0</v>
      </c>
      <c r="L427" s="11" t="b">
        <f aca="false">FALSE()</f>
        <v>0</v>
      </c>
    </row>
    <row r="428" customFormat="false" ht="15" hidden="false" customHeight="false" outlineLevel="0" collapsed="false">
      <c r="A428" s="4" t="s">
        <v>633</v>
      </c>
      <c r="B428" s="4" t="s">
        <v>99</v>
      </c>
      <c r="C428" s="4" t="s">
        <v>205</v>
      </c>
      <c r="D428" s="4" t="s">
        <v>206</v>
      </c>
      <c r="E428" s="4" t="n">
        <v>46262.2135416667</v>
      </c>
      <c r="F428" s="4" t="n">
        <v>31</v>
      </c>
      <c r="G428" s="4" t="n">
        <v>31</v>
      </c>
      <c r="H428" s="4" t="n">
        <v>30</v>
      </c>
      <c r="I428" s="4" t="n">
        <v>0</v>
      </c>
      <c r="J428" s="4" t="n">
        <v>1</v>
      </c>
      <c r="K428" s="4" t="n">
        <v>0</v>
      </c>
      <c r="L428" s="11" t="b">
        <f aca="false">FALSE()</f>
        <v>0</v>
      </c>
    </row>
    <row r="429" customFormat="false" ht="15" hidden="false" customHeight="false" outlineLevel="0" collapsed="false">
      <c r="A429" s="4" t="s">
        <v>634</v>
      </c>
      <c r="B429" s="4" t="s">
        <v>101</v>
      </c>
      <c r="C429" s="4" t="s">
        <v>205</v>
      </c>
      <c r="D429" s="4" t="s">
        <v>206</v>
      </c>
      <c r="E429" s="4" t="n">
        <v>46262.2538425926</v>
      </c>
      <c r="F429" s="4" t="n">
        <v>13</v>
      </c>
      <c r="G429" s="4" t="n">
        <v>13</v>
      </c>
      <c r="H429" s="4" t="n">
        <v>12</v>
      </c>
      <c r="I429" s="4" t="n">
        <v>1</v>
      </c>
      <c r="J429" s="4" t="n">
        <v>0</v>
      </c>
      <c r="K429" s="4" t="n">
        <v>0</v>
      </c>
      <c r="L429" s="11" t="b">
        <f aca="false">FALSE()</f>
        <v>0</v>
      </c>
    </row>
    <row r="430" customFormat="false" ht="15" hidden="false" customHeight="false" outlineLevel="0" collapsed="false">
      <c r="A430" s="4" t="s">
        <v>635</v>
      </c>
      <c r="B430" s="4" t="s">
        <v>104</v>
      </c>
      <c r="C430" s="4" t="s">
        <v>205</v>
      </c>
      <c r="D430" s="4" t="s">
        <v>206</v>
      </c>
      <c r="E430" s="4" t="n">
        <v>46262.2563310185</v>
      </c>
      <c r="F430" s="4" t="n">
        <v>9</v>
      </c>
      <c r="G430" s="4" t="n">
        <v>9</v>
      </c>
      <c r="H430" s="4" t="n">
        <v>6</v>
      </c>
      <c r="I430" s="4" t="n">
        <v>2</v>
      </c>
      <c r="J430" s="4" t="n">
        <v>1</v>
      </c>
      <c r="K430" s="4" t="n">
        <v>0</v>
      </c>
      <c r="L430" s="11" t="b">
        <f aca="false">FALSE()</f>
        <v>0</v>
      </c>
    </row>
    <row r="431" customFormat="false" ht="15" hidden="false" customHeight="false" outlineLevel="0" collapsed="false">
      <c r="A431" s="4" t="s">
        <v>636</v>
      </c>
      <c r="B431" s="4" t="s">
        <v>102</v>
      </c>
      <c r="C431" s="4" t="s">
        <v>205</v>
      </c>
      <c r="D431" s="4" t="s">
        <v>206</v>
      </c>
      <c r="E431" s="4" t="n">
        <v>46262.2959259259</v>
      </c>
      <c r="F431" s="4" t="n">
        <v>10</v>
      </c>
      <c r="G431" s="4" t="n">
        <v>10</v>
      </c>
      <c r="H431" s="4" t="n">
        <v>8</v>
      </c>
      <c r="I431" s="4" t="n">
        <v>2</v>
      </c>
      <c r="J431" s="4" t="n">
        <v>0</v>
      </c>
      <c r="K431" s="4" t="n">
        <v>0</v>
      </c>
      <c r="L431" s="11" t="b">
        <f aca="false">FALSE()</f>
        <v>0</v>
      </c>
    </row>
    <row r="432" customFormat="false" ht="15" hidden="false" customHeight="false" outlineLevel="0" collapsed="false">
      <c r="A432" s="4" t="s">
        <v>637</v>
      </c>
      <c r="B432" s="4" t="s">
        <v>100</v>
      </c>
      <c r="C432" s="4" t="s">
        <v>205</v>
      </c>
      <c r="D432" s="4" t="s">
        <v>206</v>
      </c>
      <c r="E432" s="4" t="n">
        <v>46262.335775463</v>
      </c>
      <c r="F432" s="4" t="n">
        <v>33</v>
      </c>
      <c r="G432" s="4" t="n">
        <v>33</v>
      </c>
      <c r="H432" s="4" t="n">
        <v>30</v>
      </c>
      <c r="I432" s="4" t="n">
        <v>1</v>
      </c>
      <c r="J432" s="4" t="n">
        <v>1</v>
      </c>
      <c r="K432" s="4" t="n">
        <v>1</v>
      </c>
      <c r="L432" s="11" t="b">
        <f aca="false">FALSE()</f>
        <v>0</v>
      </c>
    </row>
    <row r="433" customFormat="false" ht="15" hidden="false" customHeight="false" outlineLevel="0" collapsed="false">
      <c r="A433" s="4" t="s">
        <v>638</v>
      </c>
      <c r="B433" s="4" t="s">
        <v>103</v>
      </c>
      <c r="C433" s="4" t="s">
        <v>205</v>
      </c>
      <c r="D433" s="4" t="s">
        <v>206</v>
      </c>
      <c r="E433" s="4" t="n">
        <v>46262.380787037</v>
      </c>
      <c r="F433" s="4" t="n">
        <v>15</v>
      </c>
      <c r="G433" s="4" t="n">
        <v>15</v>
      </c>
      <c r="H433" s="4" t="n">
        <v>12</v>
      </c>
      <c r="I433" s="4" t="n">
        <v>3</v>
      </c>
      <c r="J433" s="4" t="n">
        <v>0</v>
      </c>
      <c r="K433" s="4" t="n">
        <v>0</v>
      </c>
      <c r="L433" s="11" t="b">
        <f aca="false">FALSE()</f>
        <v>0</v>
      </c>
    </row>
    <row r="434" customFormat="false" ht="15" hidden="false" customHeight="false" outlineLevel="0" collapsed="false">
      <c r="A434" s="4" t="s">
        <v>639</v>
      </c>
      <c r="B434" s="4" t="s">
        <v>101</v>
      </c>
      <c r="C434" s="4" t="s">
        <v>205</v>
      </c>
      <c r="D434" s="4" t="s">
        <v>206</v>
      </c>
      <c r="E434" s="4" t="n">
        <v>46262.4195601852</v>
      </c>
      <c r="F434" s="4" t="n">
        <v>39</v>
      </c>
      <c r="G434" s="4" t="n">
        <v>39</v>
      </c>
      <c r="H434" s="4" t="n">
        <v>36</v>
      </c>
      <c r="I434" s="4" t="n">
        <v>3</v>
      </c>
      <c r="J434" s="4" t="n">
        <v>0</v>
      </c>
      <c r="K434" s="4" t="n">
        <v>0</v>
      </c>
      <c r="L434" s="11" t="b">
        <f aca="false">FALSE()</f>
        <v>0</v>
      </c>
    </row>
    <row r="435" customFormat="false" ht="15" hidden="false" customHeight="false" outlineLevel="0" collapsed="false">
      <c r="A435" s="4" t="s">
        <v>640</v>
      </c>
      <c r="B435" s="4" t="s">
        <v>100</v>
      </c>
      <c r="C435" s="4" t="s">
        <v>205</v>
      </c>
      <c r="D435" s="4" t="s">
        <v>206</v>
      </c>
      <c r="E435" s="4" t="n">
        <v>46262.5033449074</v>
      </c>
      <c r="F435" s="4" t="n">
        <v>74</v>
      </c>
      <c r="G435" s="4" t="n">
        <v>74</v>
      </c>
      <c r="H435" s="4" t="n">
        <v>71</v>
      </c>
      <c r="I435" s="4" t="n">
        <v>1</v>
      </c>
      <c r="J435" s="4" t="n">
        <v>1</v>
      </c>
      <c r="K435" s="4" t="n">
        <v>1</v>
      </c>
      <c r="L435" s="11" t="b">
        <f aca="false">FALSE()</f>
        <v>0</v>
      </c>
    </row>
    <row r="436" customFormat="false" ht="15" hidden="false" customHeight="false" outlineLevel="0" collapsed="false">
      <c r="A436" s="4" t="s">
        <v>641</v>
      </c>
      <c r="B436" s="4" t="s">
        <v>102</v>
      </c>
      <c r="C436" s="4" t="s">
        <v>205</v>
      </c>
      <c r="D436" s="4" t="s">
        <v>206</v>
      </c>
      <c r="E436" s="4" t="n">
        <v>46262.5462268519</v>
      </c>
      <c r="F436" s="4" t="n">
        <v>26</v>
      </c>
      <c r="G436" s="4" t="n">
        <v>26</v>
      </c>
      <c r="H436" s="4" t="n">
        <v>24</v>
      </c>
      <c r="I436" s="4" t="n">
        <v>2</v>
      </c>
      <c r="J436" s="4" t="n">
        <v>0</v>
      </c>
      <c r="K436" s="4" t="n">
        <v>0</v>
      </c>
      <c r="L436" s="11" t="b">
        <f aca="false">FALSE()</f>
        <v>0</v>
      </c>
    </row>
    <row r="437" customFormat="false" ht="15" hidden="false" customHeight="false" outlineLevel="0" collapsed="false">
      <c r="A437" s="4" t="s">
        <v>642</v>
      </c>
      <c r="B437" s="4" t="s">
        <v>101</v>
      </c>
      <c r="C437" s="4" t="s">
        <v>205</v>
      </c>
      <c r="D437" s="4" t="s">
        <v>206</v>
      </c>
      <c r="E437" s="4" t="n">
        <v>46262.5868981482</v>
      </c>
      <c r="F437" s="4" t="n">
        <v>52</v>
      </c>
      <c r="G437" s="4" t="n">
        <v>52</v>
      </c>
      <c r="H437" s="4" t="n">
        <v>49</v>
      </c>
      <c r="I437" s="4" t="n">
        <v>3</v>
      </c>
      <c r="J437" s="4" t="n">
        <v>0</v>
      </c>
      <c r="K437" s="4" t="n">
        <v>0</v>
      </c>
      <c r="L437" s="11" t="b">
        <f aca="false">FALSE()</f>
        <v>0</v>
      </c>
    </row>
    <row r="438" customFormat="false" ht="15" hidden="false" customHeight="false" outlineLevel="0" collapsed="false">
      <c r="A438" s="4" t="s">
        <v>643</v>
      </c>
      <c r="B438" s="4" t="s">
        <v>103</v>
      </c>
      <c r="C438" s="4" t="s">
        <v>205</v>
      </c>
      <c r="D438" s="4" t="s">
        <v>206</v>
      </c>
      <c r="E438" s="4" t="n">
        <v>46262.6304976852</v>
      </c>
      <c r="F438" s="4" t="n">
        <v>28</v>
      </c>
      <c r="G438" s="4" t="n">
        <v>28</v>
      </c>
      <c r="H438" s="4" t="n">
        <v>27</v>
      </c>
      <c r="I438" s="4" t="n">
        <v>0</v>
      </c>
      <c r="J438" s="4" t="n">
        <v>1</v>
      </c>
      <c r="K438" s="4" t="n">
        <v>0</v>
      </c>
      <c r="L438" s="11" t="b">
        <f aca="false">FALSE()</f>
        <v>0</v>
      </c>
    </row>
    <row r="439" customFormat="false" ht="15" hidden="false" customHeight="false" outlineLevel="0" collapsed="false">
      <c r="A439" s="4" t="s">
        <v>644</v>
      </c>
      <c r="B439" s="4" t="s">
        <v>100</v>
      </c>
      <c r="C439" s="4" t="s">
        <v>205</v>
      </c>
      <c r="D439" s="4" t="s">
        <v>206</v>
      </c>
      <c r="E439" s="4" t="n">
        <v>46262.6696412037</v>
      </c>
      <c r="F439" s="4" t="n">
        <v>80</v>
      </c>
      <c r="G439" s="4" t="n">
        <v>80</v>
      </c>
      <c r="H439" s="4" t="n">
        <v>80</v>
      </c>
      <c r="I439" s="4" t="n">
        <v>0</v>
      </c>
      <c r="J439" s="4" t="n">
        <v>0</v>
      </c>
      <c r="K439" s="4" t="n">
        <v>0</v>
      </c>
      <c r="L439" s="11" t="b">
        <f aca="false">FALSE()</f>
        <v>0</v>
      </c>
    </row>
    <row r="440" customFormat="false" ht="15" hidden="false" customHeight="false" outlineLevel="0" collapsed="false">
      <c r="A440" s="4" t="s">
        <v>645</v>
      </c>
      <c r="B440" s="4" t="s">
        <v>101</v>
      </c>
      <c r="C440" s="4" t="s">
        <v>205</v>
      </c>
      <c r="D440" s="4" t="s">
        <v>206</v>
      </c>
      <c r="E440" s="4" t="n">
        <v>46262.7534375</v>
      </c>
      <c r="F440" s="4" t="n">
        <v>47</v>
      </c>
      <c r="G440" s="4" t="n">
        <v>47</v>
      </c>
      <c r="H440" s="4" t="n">
        <v>45</v>
      </c>
      <c r="I440" s="4" t="n">
        <v>1</v>
      </c>
      <c r="J440" s="4" t="n">
        <v>1</v>
      </c>
      <c r="K440" s="4" t="n">
        <v>0</v>
      </c>
      <c r="L440" s="11" t="b">
        <f aca="false">FALSE()</f>
        <v>0</v>
      </c>
    </row>
    <row r="441" customFormat="false" ht="15" hidden="false" customHeight="false" outlineLevel="0" collapsed="false">
      <c r="A441" s="4" t="s">
        <v>646</v>
      </c>
      <c r="B441" s="4" t="s">
        <v>104</v>
      </c>
      <c r="C441" s="4" t="s">
        <v>205</v>
      </c>
      <c r="D441" s="4" t="s">
        <v>206</v>
      </c>
      <c r="E441" s="4" t="n">
        <v>46262.7560763889</v>
      </c>
      <c r="F441" s="4" t="n">
        <v>22</v>
      </c>
      <c r="G441" s="4" t="n">
        <v>22</v>
      </c>
      <c r="H441" s="4" t="n">
        <v>22</v>
      </c>
      <c r="I441" s="4" t="n">
        <v>0</v>
      </c>
      <c r="J441" s="4" t="n">
        <v>0</v>
      </c>
      <c r="K441" s="4" t="n">
        <v>0</v>
      </c>
      <c r="L441" s="11" t="b">
        <f aca="false">FALSE()</f>
        <v>0</v>
      </c>
    </row>
    <row r="442" customFormat="false" ht="15" hidden="false" customHeight="false" outlineLevel="0" collapsed="false">
      <c r="A442" s="4" t="s">
        <v>647</v>
      </c>
      <c r="B442" s="4" t="s">
        <v>102</v>
      </c>
      <c r="C442" s="4" t="s">
        <v>205</v>
      </c>
      <c r="D442" s="4" t="s">
        <v>206</v>
      </c>
      <c r="E442" s="4" t="n">
        <v>46262.795775463</v>
      </c>
      <c r="F442" s="4" t="n">
        <v>26</v>
      </c>
      <c r="G442" s="4" t="n">
        <v>26</v>
      </c>
      <c r="H442" s="4" t="n">
        <v>26</v>
      </c>
      <c r="I442" s="4" t="n">
        <v>0</v>
      </c>
      <c r="J442" s="4" t="n">
        <v>0</v>
      </c>
      <c r="K442" s="4" t="n">
        <v>0</v>
      </c>
      <c r="L442" s="11" t="b">
        <f aca="false">FALSE()</f>
        <v>0</v>
      </c>
    </row>
    <row r="443" customFormat="false" ht="15" hidden="false" customHeight="false" outlineLevel="0" collapsed="false">
      <c r="A443" s="4" t="s">
        <v>648</v>
      </c>
      <c r="B443" s="4" t="s">
        <v>100</v>
      </c>
      <c r="C443" s="4" t="s">
        <v>205</v>
      </c>
      <c r="D443" s="4" t="s">
        <v>206</v>
      </c>
      <c r="E443" s="4" t="n">
        <v>46262.8370486111</v>
      </c>
      <c r="F443" s="4" t="n">
        <v>67</v>
      </c>
      <c r="G443" s="4" t="n">
        <v>67</v>
      </c>
      <c r="H443" s="4" t="n">
        <v>66</v>
      </c>
      <c r="I443" s="4" t="n">
        <v>0</v>
      </c>
      <c r="J443" s="4" t="n">
        <v>1</v>
      </c>
      <c r="K443" s="4" t="n">
        <v>0</v>
      </c>
      <c r="L443" s="11" t="b">
        <f aca="false">FALSE()</f>
        <v>0</v>
      </c>
    </row>
    <row r="444" customFormat="false" ht="15" hidden="false" customHeight="false" outlineLevel="0" collapsed="false">
      <c r="A444" s="4" t="s">
        <v>649</v>
      </c>
      <c r="B444" s="4" t="s">
        <v>103</v>
      </c>
      <c r="C444" s="4" t="s">
        <v>205</v>
      </c>
      <c r="D444" s="4" t="s">
        <v>206</v>
      </c>
      <c r="E444" s="4" t="n">
        <v>46262.8802083333</v>
      </c>
      <c r="F444" s="4" t="n">
        <v>28</v>
      </c>
      <c r="G444" s="4" t="n">
        <v>28</v>
      </c>
      <c r="H444" s="4" t="n">
        <v>27</v>
      </c>
      <c r="I444" s="4" t="n">
        <v>1</v>
      </c>
      <c r="J444" s="4" t="n">
        <v>0</v>
      </c>
      <c r="K444" s="4" t="n">
        <v>0</v>
      </c>
      <c r="L444" s="11" t="b">
        <f aca="false">FALSE()</f>
        <v>0</v>
      </c>
    </row>
    <row r="445" customFormat="false" ht="15" hidden="false" customHeight="false" outlineLevel="0" collapsed="false">
      <c r="A445" s="4" t="s">
        <v>650</v>
      </c>
      <c r="B445" s="4" t="s">
        <v>101</v>
      </c>
      <c r="C445" s="4" t="s">
        <v>205</v>
      </c>
      <c r="D445" s="4" t="s">
        <v>206</v>
      </c>
      <c r="E445" s="4" t="n">
        <v>46262.9203819444</v>
      </c>
      <c r="F445" s="4" t="n">
        <v>39</v>
      </c>
      <c r="G445" s="4" t="n">
        <v>39</v>
      </c>
      <c r="H445" s="4" t="n">
        <v>38</v>
      </c>
      <c r="I445" s="4" t="n">
        <v>1</v>
      </c>
      <c r="J445" s="4" t="n">
        <v>0</v>
      </c>
      <c r="K445" s="4" t="n">
        <v>0</v>
      </c>
      <c r="L445" s="11" t="b">
        <f aca="false">FALSE()</f>
        <v>0</v>
      </c>
    </row>
    <row r="446" customFormat="false" ht="15" hidden="false" customHeight="false" outlineLevel="0" collapsed="false">
      <c r="A446" s="4" t="s">
        <v>651</v>
      </c>
      <c r="B446" s="4" t="s">
        <v>100</v>
      </c>
      <c r="C446" s="4" t="s">
        <v>205</v>
      </c>
      <c r="D446" s="4" t="s">
        <v>206</v>
      </c>
      <c r="E446" s="4" t="n">
        <v>46263.0033217593</v>
      </c>
      <c r="F446" s="4" t="n">
        <v>44</v>
      </c>
      <c r="G446" s="4" t="n">
        <v>44</v>
      </c>
      <c r="H446" s="4" t="n">
        <v>42</v>
      </c>
      <c r="I446" s="4" t="n">
        <v>2</v>
      </c>
      <c r="J446" s="4" t="n">
        <v>0</v>
      </c>
      <c r="K446" s="4" t="n">
        <v>0</v>
      </c>
      <c r="L446" s="11" t="b">
        <f aca="false">FALSE()</f>
        <v>0</v>
      </c>
    </row>
    <row r="447" customFormat="false" ht="15" hidden="false" customHeight="false" outlineLevel="0" collapsed="false">
      <c r="A447" s="4" t="s">
        <v>652</v>
      </c>
      <c r="B447" s="4" t="s">
        <v>102</v>
      </c>
      <c r="C447" s="4" t="s">
        <v>205</v>
      </c>
      <c r="D447" s="4" t="s">
        <v>206</v>
      </c>
      <c r="E447" s="4" t="n">
        <v>46263.0453935185</v>
      </c>
      <c r="F447" s="4" t="n">
        <v>17</v>
      </c>
      <c r="G447" s="4" t="n">
        <v>17</v>
      </c>
      <c r="H447" s="4" t="n">
        <v>15</v>
      </c>
      <c r="I447" s="4" t="n">
        <v>2</v>
      </c>
      <c r="J447" s="4" t="n">
        <v>0</v>
      </c>
      <c r="K447" s="4" t="n">
        <v>0</v>
      </c>
      <c r="L447" s="11" t="b">
        <f aca="false">FALSE()</f>
        <v>0</v>
      </c>
    </row>
    <row r="448" customFormat="false" ht="15" hidden="false" customHeight="false" outlineLevel="0" collapsed="false">
      <c r="A448" s="4" t="s">
        <v>653</v>
      </c>
      <c r="B448" s="4" t="s">
        <v>101</v>
      </c>
      <c r="C448" s="4" t="s">
        <v>205</v>
      </c>
      <c r="D448" s="4" t="s">
        <v>206</v>
      </c>
      <c r="E448" s="4" t="n">
        <v>46263.0874305556</v>
      </c>
      <c r="F448" s="4" t="n">
        <v>17</v>
      </c>
      <c r="G448" s="4" t="n">
        <v>17</v>
      </c>
      <c r="H448" s="4" t="n">
        <v>15</v>
      </c>
      <c r="I448" s="4" t="n">
        <v>2</v>
      </c>
      <c r="J448" s="4" t="n">
        <v>0</v>
      </c>
      <c r="K448" s="4" t="n">
        <v>0</v>
      </c>
      <c r="L448" s="11" t="b">
        <f aca="false">FALSE()</f>
        <v>0</v>
      </c>
    </row>
    <row r="449" customFormat="false" ht="15" hidden="false" customHeight="false" outlineLevel="0" collapsed="false">
      <c r="A449" s="4" t="s">
        <v>654</v>
      </c>
      <c r="B449" s="4" t="s">
        <v>103</v>
      </c>
      <c r="C449" s="4" t="s">
        <v>205</v>
      </c>
      <c r="D449" s="4" t="s">
        <v>206</v>
      </c>
      <c r="E449" s="4" t="n">
        <v>46263.1299189815</v>
      </c>
      <c r="F449" s="4" t="n">
        <v>8</v>
      </c>
      <c r="G449" s="4" t="n">
        <v>8</v>
      </c>
      <c r="H449" s="4" t="n">
        <v>7</v>
      </c>
      <c r="I449" s="4" t="n">
        <v>0</v>
      </c>
      <c r="J449" s="4" t="n">
        <v>1</v>
      </c>
      <c r="K449" s="4" t="n">
        <v>0</v>
      </c>
      <c r="L449" s="11" t="b">
        <f aca="false">FALSE()</f>
        <v>0</v>
      </c>
    </row>
    <row r="450" customFormat="false" ht="15" hidden="false" customHeight="false" outlineLevel="0" collapsed="false">
      <c r="A450" s="4" t="s">
        <v>655</v>
      </c>
      <c r="B450" s="4" t="s">
        <v>100</v>
      </c>
      <c r="C450" s="4" t="s">
        <v>205</v>
      </c>
      <c r="D450" s="4" t="s">
        <v>206</v>
      </c>
      <c r="E450" s="4" t="n">
        <v>46263.1697222222</v>
      </c>
      <c r="F450" s="4" t="n">
        <v>11</v>
      </c>
      <c r="G450" s="4" t="n">
        <v>11</v>
      </c>
      <c r="H450" s="4" t="n">
        <v>11</v>
      </c>
      <c r="I450" s="4" t="n">
        <v>0</v>
      </c>
      <c r="J450" s="4" t="n">
        <v>0</v>
      </c>
      <c r="K450" s="4" t="n">
        <v>0</v>
      </c>
      <c r="L450" s="11" t="b">
        <f aca="false">FALSE()</f>
        <v>0</v>
      </c>
    </row>
    <row r="451" customFormat="false" ht="15" hidden="false" customHeight="false" outlineLevel="0" collapsed="false">
      <c r="A451" s="4" t="s">
        <v>656</v>
      </c>
      <c r="B451" s="4" t="s">
        <v>99</v>
      </c>
      <c r="C451" s="4" t="s">
        <v>205</v>
      </c>
      <c r="D451" s="4" t="s">
        <v>206</v>
      </c>
      <c r="E451" s="4" t="n">
        <v>46263.2148032407</v>
      </c>
      <c r="F451" s="4" t="n">
        <v>2</v>
      </c>
      <c r="G451" s="4" t="n">
        <v>2</v>
      </c>
      <c r="H451" s="4" t="n">
        <v>1</v>
      </c>
      <c r="I451" s="4" t="n">
        <v>1</v>
      </c>
      <c r="J451" s="4" t="n">
        <v>0</v>
      </c>
      <c r="K451" s="4" t="n">
        <v>0</v>
      </c>
      <c r="L451" s="11" t="b">
        <f aca="false">FALSE()</f>
        <v>0</v>
      </c>
    </row>
    <row r="452" customFormat="false" ht="15" hidden="false" customHeight="false" outlineLevel="0" collapsed="false">
      <c r="A452" s="4" t="s">
        <v>657</v>
      </c>
      <c r="B452" s="4" t="s">
        <v>101</v>
      </c>
      <c r="C452" s="4" t="s">
        <v>205</v>
      </c>
      <c r="D452" s="4" t="s">
        <v>206</v>
      </c>
      <c r="E452" s="4" t="n">
        <v>46263.2535532407</v>
      </c>
      <c r="F452" s="4" t="n">
        <v>8</v>
      </c>
      <c r="G452" s="4" t="n">
        <v>8</v>
      </c>
      <c r="H452" s="4" t="n">
        <v>7</v>
      </c>
      <c r="I452" s="4" t="n">
        <v>1</v>
      </c>
      <c r="J452" s="4" t="n">
        <v>0</v>
      </c>
      <c r="K452" s="4" t="n">
        <v>0</v>
      </c>
      <c r="L452" s="11" t="b">
        <f aca="false">FALSE()</f>
        <v>0</v>
      </c>
    </row>
    <row r="453" customFormat="false" ht="15" hidden="false" customHeight="false" outlineLevel="0" collapsed="false">
      <c r="A453" s="4" t="s">
        <v>658</v>
      </c>
      <c r="B453" s="4" t="s">
        <v>104</v>
      </c>
      <c r="C453" s="4" t="s">
        <v>205</v>
      </c>
      <c r="D453" s="4" t="s">
        <v>206</v>
      </c>
      <c r="E453" s="4" t="n">
        <v>46263.2568518519</v>
      </c>
      <c r="F453" s="4" t="n">
        <v>13</v>
      </c>
      <c r="G453" s="4" t="n">
        <v>13</v>
      </c>
      <c r="H453" s="4" t="n">
        <v>12</v>
      </c>
      <c r="I453" s="4" t="n">
        <v>1</v>
      </c>
      <c r="J453" s="4" t="n">
        <v>0</v>
      </c>
      <c r="K453" s="4" t="n">
        <v>0</v>
      </c>
      <c r="L453" s="11" t="b">
        <f aca="false">FALSE()</f>
        <v>0</v>
      </c>
    </row>
    <row r="454" customFormat="false" ht="15" hidden="false" customHeight="false" outlineLevel="0" collapsed="false">
      <c r="A454" s="4" t="s">
        <v>659</v>
      </c>
      <c r="B454" s="4" t="s">
        <v>102</v>
      </c>
      <c r="C454" s="4" t="s">
        <v>205</v>
      </c>
      <c r="D454" s="4" t="s">
        <v>206</v>
      </c>
      <c r="E454" s="4" t="n">
        <v>46263.295625</v>
      </c>
      <c r="F454" s="4" t="n">
        <v>5</v>
      </c>
      <c r="G454" s="4" t="n">
        <v>5</v>
      </c>
      <c r="H454" s="4" t="n">
        <v>4</v>
      </c>
      <c r="I454" s="4" t="n">
        <v>1</v>
      </c>
      <c r="J454" s="4" t="n">
        <v>0</v>
      </c>
      <c r="K454" s="4" t="n">
        <v>0</v>
      </c>
      <c r="L454" s="11" t="b">
        <f aca="false">FALSE()</f>
        <v>0</v>
      </c>
    </row>
    <row r="455" customFormat="false" ht="15" hidden="false" customHeight="false" outlineLevel="0" collapsed="false">
      <c r="A455" s="4" t="s">
        <v>660</v>
      </c>
      <c r="B455" s="4" t="s">
        <v>100</v>
      </c>
      <c r="C455" s="4" t="s">
        <v>205</v>
      </c>
      <c r="D455" s="4" t="s">
        <v>206</v>
      </c>
      <c r="E455" s="4" t="n">
        <v>46263.3356712963</v>
      </c>
      <c r="F455" s="4" t="n">
        <v>29</v>
      </c>
      <c r="G455" s="4" t="n">
        <v>29</v>
      </c>
      <c r="H455" s="4" t="n">
        <v>26</v>
      </c>
      <c r="I455" s="4" t="n">
        <v>2</v>
      </c>
      <c r="J455" s="4" t="n">
        <v>1</v>
      </c>
      <c r="K455" s="4" t="n">
        <v>0</v>
      </c>
      <c r="L455" s="11" t="b">
        <f aca="false">FALSE()</f>
        <v>0</v>
      </c>
    </row>
    <row r="456" customFormat="false" ht="15" hidden="false" customHeight="false" outlineLevel="0" collapsed="false">
      <c r="A456" s="4" t="s">
        <v>661</v>
      </c>
      <c r="B456" s="4" t="s">
        <v>103</v>
      </c>
      <c r="C456" s="4" t="s">
        <v>371</v>
      </c>
      <c r="D456" s="4" t="s">
        <v>371</v>
      </c>
      <c r="E456" s="4" t="n">
        <v>46263.3793055556</v>
      </c>
      <c r="F456" s="4" t="n">
        <v>10</v>
      </c>
      <c r="G456" s="4" t="n">
        <v>0</v>
      </c>
      <c r="H456" s="4" t="n">
        <v>0</v>
      </c>
      <c r="I456" s="4" t="n">
        <v>0</v>
      </c>
      <c r="J456" s="4" t="n">
        <v>0</v>
      </c>
      <c r="K456" s="4" t="n">
        <v>0</v>
      </c>
      <c r="L456" s="11" t="b">
        <f aca="false">FALSE()</f>
        <v>0</v>
      </c>
    </row>
    <row r="457" customFormat="false" ht="15" hidden="false" customHeight="false" outlineLevel="0" collapsed="false">
      <c r="A457" s="4" t="s">
        <v>662</v>
      </c>
      <c r="B457" s="4" t="s">
        <v>103</v>
      </c>
      <c r="C457" s="4" t="s">
        <v>205</v>
      </c>
      <c r="D457" s="4" t="s">
        <v>373</v>
      </c>
      <c r="E457" s="4" t="n">
        <v>46263.3931944444</v>
      </c>
      <c r="F457" s="4" t="n">
        <v>10</v>
      </c>
      <c r="G457" s="4" t="n">
        <v>10</v>
      </c>
      <c r="H457" s="4" t="n">
        <v>10</v>
      </c>
      <c r="I457" s="4" t="n">
        <v>0</v>
      </c>
      <c r="J457" s="4" t="n">
        <v>0</v>
      </c>
      <c r="K457" s="4" t="n">
        <v>0</v>
      </c>
      <c r="L457" s="11" t="b">
        <f aca="false">FALSE()</f>
        <v>0</v>
      </c>
    </row>
    <row r="458" customFormat="false" ht="15" hidden="false" customHeight="false" outlineLevel="0" collapsed="false">
      <c r="A458" s="4" t="s">
        <v>663</v>
      </c>
      <c r="B458" s="4" t="s">
        <v>101</v>
      </c>
      <c r="C458" s="4" t="s">
        <v>205</v>
      </c>
      <c r="D458" s="4" t="s">
        <v>206</v>
      </c>
      <c r="E458" s="4" t="n">
        <v>46263.4197337963</v>
      </c>
      <c r="F458" s="4" t="n">
        <v>32</v>
      </c>
      <c r="G458" s="4" t="n">
        <v>32</v>
      </c>
      <c r="H458" s="4" t="n">
        <v>30</v>
      </c>
      <c r="I458" s="4" t="n">
        <v>0</v>
      </c>
      <c r="J458" s="4" t="n">
        <v>2</v>
      </c>
      <c r="K458" s="4" t="n">
        <v>0</v>
      </c>
      <c r="L458" s="11" t="b">
        <f aca="false">FALSE()</f>
        <v>0</v>
      </c>
    </row>
    <row r="459" customFormat="false" ht="15" hidden="false" customHeight="false" outlineLevel="0" collapsed="false">
      <c r="A459" s="4" t="s">
        <v>664</v>
      </c>
      <c r="B459" s="4" t="s">
        <v>100</v>
      </c>
      <c r="C459" s="4" t="s">
        <v>205</v>
      </c>
      <c r="D459" s="4" t="s">
        <v>206</v>
      </c>
      <c r="E459" s="4" t="n">
        <v>46263.5029976852</v>
      </c>
      <c r="F459" s="4" t="n">
        <v>59</v>
      </c>
      <c r="G459" s="4" t="n">
        <v>59</v>
      </c>
      <c r="H459" s="4" t="n">
        <v>58</v>
      </c>
      <c r="I459" s="4" t="n">
        <v>0</v>
      </c>
      <c r="J459" s="4" t="n">
        <v>1</v>
      </c>
      <c r="K459" s="4" t="n">
        <v>0</v>
      </c>
      <c r="L459" s="11" t="b">
        <f aca="false">FALSE()</f>
        <v>0</v>
      </c>
    </row>
    <row r="460" customFormat="false" ht="15" hidden="false" customHeight="false" outlineLevel="0" collapsed="false">
      <c r="A460" s="4" t="s">
        <v>665</v>
      </c>
      <c r="B460" s="4" t="s">
        <v>102</v>
      </c>
      <c r="C460" s="4" t="s">
        <v>205</v>
      </c>
      <c r="D460" s="4" t="s">
        <v>206</v>
      </c>
      <c r="E460" s="4" t="n">
        <v>46263.5459375</v>
      </c>
      <c r="F460" s="4" t="n">
        <v>24</v>
      </c>
      <c r="G460" s="4" t="n">
        <v>24</v>
      </c>
      <c r="H460" s="4" t="n">
        <v>24</v>
      </c>
      <c r="I460" s="4" t="n">
        <v>0</v>
      </c>
      <c r="J460" s="4" t="n">
        <v>0</v>
      </c>
      <c r="K460" s="4" t="n">
        <v>0</v>
      </c>
      <c r="L460" s="11" t="b">
        <f aca="false">FALSE()</f>
        <v>0</v>
      </c>
    </row>
    <row r="461" customFormat="false" ht="15" hidden="false" customHeight="false" outlineLevel="0" collapsed="false">
      <c r="A461" s="4" t="s">
        <v>666</v>
      </c>
      <c r="B461" s="4" t="s">
        <v>101</v>
      </c>
      <c r="C461" s="4" t="s">
        <v>205</v>
      </c>
      <c r="D461" s="4" t="s">
        <v>206</v>
      </c>
      <c r="E461" s="4" t="n">
        <v>46263.5871875</v>
      </c>
      <c r="F461" s="4" t="n">
        <v>46</v>
      </c>
      <c r="G461" s="4" t="n">
        <v>46</v>
      </c>
      <c r="H461" s="4" t="n">
        <v>43</v>
      </c>
      <c r="I461" s="4" t="n">
        <v>2</v>
      </c>
      <c r="J461" s="4" t="n">
        <v>1</v>
      </c>
      <c r="K461" s="4" t="n">
        <v>0</v>
      </c>
      <c r="L461" s="11" t="b">
        <f aca="false">FALSE()</f>
        <v>0</v>
      </c>
    </row>
    <row r="462" customFormat="false" ht="15" hidden="false" customHeight="false" outlineLevel="0" collapsed="false">
      <c r="A462" s="4" t="s">
        <v>667</v>
      </c>
      <c r="B462" s="4" t="s">
        <v>103</v>
      </c>
      <c r="C462" s="4" t="s">
        <v>205</v>
      </c>
      <c r="D462" s="4" t="s">
        <v>206</v>
      </c>
      <c r="E462" s="4" t="n">
        <v>46263.6306597222</v>
      </c>
      <c r="F462" s="4" t="n">
        <v>26</v>
      </c>
      <c r="G462" s="4" t="n">
        <v>26</v>
      </c>
      <c r="H462" s="4" t="n">
        <v>23</v>
      </c>
      <c r="I462" s="4" t="n">
        <v>3</v>
      </c>
      <c r="J462" s="4" t="n">
        <v>0</v>
      </c>
      <c r="K462" s="4" t="n">
        <v>0</v>
      </c>
      <c r="L462" s="11" t="b">
        <f aca="false">FALSE()</f>
        <v>0</v>
      </c>
    </row>
    <row r="463" customFormat="false" ht="15" hidden="false" customHeight="false" outlineLevel="0" collapsed="false">
      <c r="A463" s="4" t="s">
        <v>668</v>
      </c>
      <c r="B463" s="4" t="s">
        <v>100</v>
      </c>
      <c r="C463" s="4" t="s">
        <v>205</v>
      </c>
      <c r="D463" s="4" t="s">
        <v>206</v>
      </c>
      <c r="E463" s="4" t="n">
        <v>46263.6691203704</v>
      </c>
      <c r="F463" s="4" t="n">
        <v>67</v>
      </c>
      <c r="G463" s="4" t="n">
        <v>67</v>
      </c>
      <c r="H463" s="4" t="n">
        <v>67</v>
      </c>
      <c r="I463" s="4" t="n">
        <v>0</v>
      </c>
      <c r="J463" s="4" t="n">
        <v>0</v>
      </c>
      <c r="K463" s="4" t="n">
        <v>0</v>
      </c>
      <c r="L463" s="11" t="b">
        <f aca="false">FALSE()</f>
        <v>0</v>
      </c>
    </row>
    <row r="464" customFormat="false" ht="15" hidden="false" customHeight="false" outlineLevel="0" collapsed="false">
      <c r="A464" s="4" t="s">
        <v>669</v>
      </c>
      <c r="B464" s="4" t="s">
        <v>101</v>
      </c>
      <c r="C464" s="4" t="s">
        <v>205</v>
      </c>
      <c r="D464" s="4" t="s">
        <v>206</v>
      </c>
      <c r="E464" s="4" t="n">
        <v>46263.7530208333</v>
      </c>
      <c r="F464" s="4" t="n">
        <v>40</v>
      </c>
      <c r="G464" s="4" t="n">
        <v>40</v>
      </c>
      <c r="H464" s="4" t="n">
        <v>40</v>
      </c>
      <c r="I464" s="4" t="n">
        <v>0</v>
      </c>
      <c r="J464" s="4" t="n">
        <v>0</v>
      </c>
      <c r="K464" s="4" t="n">
        <v>0</v>
      </c>
      <c r="L464" s="11" t="b">
        <f aca="false">FALSE()</f>
        <v>0</v>
      </c>
    </row>
    <row r="465" customFormat="false" ht="15" hidden="false" customHeight="false" outlineLevel="0" collapsed="false">
      <c r="A465" s="4" t="s">
        <v>670</v>
      </c>
      <c r="B465" s="4" t="s">
        <v>104</v>
      </c>
      <c r="C465" s="4" t="s">
        <v>205</v>
      </c>
      <c r="D465" s="4" t="s">
        <v>206</v>
      </c>
      <c r="E465" s="4" t="n">
        <v>46263.7561458333</v>
      </c>
      <c r="F465" s="4" t="n">
        <v>18</v>
      </c>
      <c r="G465" s="4" t="n">
        <v>18</v>
      </c>
      <c r="H465" s="4" t="n">
        <v>17</v>
      </c>
      <c r="I465" s="4" t="n">
        <v>0</v>
      </c>
      <c r="J465" s="4" t="n">
        <v>1</v>
      </c>
      <c r="K465" s="4" t="n">
        <v>0</v>
      </c>
      <c r="L465" s="11" t="b">
        <f aca="false">FALSE()</f>
        <v>0</v>
      </c>
    </row>
    <row r="466" customFormat="false" ht="15" hidden="false" customHeight="false" outlineLevel="0" collapsed="false">
      <c r="A466" s="4" t="s">
        <v>671</v>
      </c>
      <c r="B466" s="4" t="s">
        <v>102</v>
      </c>
      <c r="C466" s="4" t="s">
        <v>205</v>
      </c>
      <c r="D466" s="4" t="s">
        <v>206</v>
      </c>
      <c r="E466" s="4" t="n">
        <v>46263.7953935185</v>
      </c>
      <c r="F466" s="4" t="n">
        <v>28</v>
      </c>
      <c r="G466" s="4" t="n">
        <v>28</v>
      </c>
      <c r="H466" s="4" t="n">
        <v>24</v>
      </c>
      <c r="I466" s="4" t="n">
        <v>2</v>
      </c>
      <c r="J466" s="4" t="n">
        <v>2</v>
      </c>
      <c r="K466" s="4" t="n">
        <v>0</v>
      </c>
      <c r="L466" s="11" t="b">
        <f aca="false">FALSE()</f>
        <v>0</v>
      </c>
    </row>
    <row r="467" customFormat="false" ht="15" hidden="false" customHeight="false" outlineLevel="0" collapsed="false">
      <c r="A467" s="4" t="s">
        <v>672</v>
      </c>
      <c r="B467" s="4" t="s">
        <v>100</v>
      </c>
      <c r="C467" s="4" t="s">
        <v>205</v>
      </c>
      <c r="D467" s="4" t="s">
        <v>206</v>
      </c>
      <c r="E467" s="4" t="n">
        <v>46263.8354861111</v>
      </c>
      <c r="F467" s="4" t="n">
        <v>58</v>
      </c>
      <c r="G467" s="4" t="n">
        <v>58</v>
      </c>
      <c r="H467" s="4" t="n">
        <v>57</v>
      </c>
      <c r="I467" s="4" t="n">
        <v>1</v>
      </c>
      <c r="J467" s="4" t="n">
        <v>0</v>
      </c>
      <c r="K467" s="4" t="n">
        <v>0</v>
      </c>
      <c r="L467" s="11" t="b">
        <f aca="false">FALSE()</f>
        <v>0</v>
      </c>
    </row>
    <row r="468" customFormat="false" ht="15" hidden="false" customHeight="false" outlineLevel="0" collapsed="false">
      <c r="A468" s="4" t="s">
        <v>673</v>
      </c>
      <c r="B468" s="4" t="s">
        <v>103</v>
      </c>
      <c r="C468" s="4" t="s">
        <v>205</v>
      </c>
      <c r="D468" s="4" t="s">
        <v>206</v>
      </c>
      <c r="E468" s="4" t="n">
        <v>46263.879525463</v>
      </c>
      <c r="F468" s="4" t="n">
        <v>24</v>
      </c>
      <c r="G468" s="4" t="n">
        <v>24</v>
      </c>
      <c r="H468" s="4" t="n">
        <v>22</v>
      </c>
      <c r="I468" s="4" t="n">
        <v>2</v>
      </c>
      <c r="J468" s="4" t="n">
        <v>0</v>
      </c>
      <c r="K468" s="4" t="n">
        <v>0</v>
      </c>
      <c r="L468" s="11" t="b">
        <f aca="false">FALSE()</f>
        <v>0</v>
      </c>
    </row>
    <row r="469" customFormat="false" ht="15" hidden="false" customHeight="false" outlineLevel="0" collapsed="false">
      <c r="A469" s="4" t="s">
        <v>674</v>
      </c>
      <c r="B469" s="4" t="s">
        <v>101</v>
      </c>
      <c r="C469" s="4" t="s">
        <v>205</v>
      </c>
      <c r="D469" s="4" t="s">
        <v>206</v>
      </c>
      <c r="E469" s="4" t="n">
        <v>46263.9201851852</v>
      </c>
      <c r="F469" s="4" t="n">
        <v>36</v>
      </c>
      <c r="G469" s="4" t="n">
        <v>36</v>
      </c>
      <c r="H469" s="4" t="n">
        <v>32</v>
      </c>
      <c r="I469" s="4" t="n">
        <v>3</v>
      </c>
      <c r="J469" s="4" t="n">
        <v>1</v>
      </c>
      <c r="K469" s="4" t="n">
        <v>0</v>
      </c>
      <c r="L469" s="11" t="b">
        <f aca="false">FALSE()</f>
        <v>0</v>
      </c>
    </row>
    <row r="470" customFormat="false" ht="15" hidden="false" customHeight="false" outlineLevel="0" collapsed="false">
      <c r="A470" s="4" t="s">
        <v>675</v>
      </c>
      <c r="B470" s="4" t="s">
        <v>100</v>
      </c>
      <c r="C470" s="4" t="s">
        <v>205</v>
      </c>
      <c r="D470" s="4" t="s">
        <v>206</v>
      </c>
      <c r="E470" s="4" t="n">
        <v>46264.0021759259</v>
      </c>
      <c r="F470" s="4" t="n">
        <v>35</v>
      </c>
      <c r="G470" s="4" t="n">
        <v>35</v>
      </c>
      <c r="H470" s="4" t="n">
        <v>32</v>
      </c>
      <c r="I470" s="4" t="n">
        <v>1</v>
      </c>
      <c r="J470" s="4" t="n">
        <v>2</v>
      </c>
      <c r="K470" s="4" t="n">
        <v>0</v>
      </c>
      <c r="L470" s="11" t="b">
        <f aca="false">FALSE()</f>
        <v>0</v>
      </c>
    </row>
    <row r="471" customFormat="false" ht="15" hidden="false" customHeight="false" outlineLevel="0" collapsed="false">
      <c r="A471" s="4" t="s">
        <v>676</v>
      </c>
      <c r="B471" s="4" t="s">
        <v>102</v>
      </c>
      <c r="C471" s="4" t="s">
        <v>205</v>
      </c>
      <c r="D471" s="4" t="s">
        <v>206</v>
      </c>
      <c r="E471" s="4" t="n">
        <v>46264.0453819444</v>
      </c>
      <c r="F471" s="4" t="n">
        <v>14</v>
      </c>
      <c r="G471" s="4" t="n">
        <v>14</v>
      </c>
      <c r="H471" s="4" t="n">
        <v>11</v>
      </c>
      <c r="I471" s="4" t="n">
        <v>3</v>
      </c>
      <c r="J471" s="4" t="n">
        <v>0</v>
      </c>
      <c r="K471" s="4" t="n">
        <v>0</v>
      </c>
      <c r="L471" s="11" t="b">
        <f aca="false">FALSE()</f>
        <v>0</v>
      </c>
    </row>
    <row r="472" customFormat="false" ht="15" hidden="false" customHeight="false" outlineLevel="0" collapsed="false">
      <c r="A472" s="4" t="s">
        <v>677</v>
      </c>
      <c r="B472" s="4" t="s">
        <v>101</v>
      </c>
      <c r="C472" s="4" t="s">
        <v>205</v>
      </c>
      <c r="D472" s="4" t="s">
        <v>206</v>
      </c>
      <c r="E472" s="4" t="n">
        <v>46264.0872569445</v>
      </c>
      <c r="F472" s="4" t="n">
        <v>12</v>
      </c>
      <c r="G472" s="4" t="n">
        <v>12</v>
      </c>
      <c r="H472" s="4" t="n">
        <v>11</v>
      </c>
      <c r="I472" s="4" t="n">
        <v>1</v>
      </c>
      <c r="J472" s="4" t="n">
        <v>0</v>
      </c>
      <c r="K472" s="4" t="n">
        <v>0</v>
      </c>
      <c r="L472" s="11" t="b">
        <f aca="false">FALSE()</f>
        <v>0</v>
      </c>
    </row>
    <row r="473" customFormat="false" ht="15" hidden="false" customHeight="false" outlineLevel="0" collapsed="false">
      <c r="A473" s="4" t="s">
        <v>678</v>
      </c>
      <c r="B473" s="4" t="s">
        <v>103</v>
      </c>
      <c r="C473" s="4" t="s">
        <v>205</v>
      </c>
      <c r="D473" s="4" t="s">
        <v>206</v>
      </c>
      <c r="E473" s="4" t="n">
        <v>46264.1297222222</v>
      </c>
      <c r="F473" s="4" t="n">
        <v>9</v>
      </c>
      <c r="G473" s="4" t="n">
        <v>9</v>
      </c>
      <c r="H473" s="4" t="n">
        <v>7</v>
      </c>
      <c r="I473" s="4" t="n">
        <v>2</v>
      </c>
      <c r="J473" s="4" t="n">
        <v>0</v>
      </c>
      <c r="K473" s="4" t="n">
        <v>0</v>
      </c>
      <c r="L473" s="11" t="b">
        <f aca="false">FALSE()</f>
        <v>0</v>
      </c>
    </row>
    <row r="474" customFormat="false" ht="15" hidden="false" customHeight="false" outlineLevel="0" collapsed="false">
      <c r="A474" s="4" t="s">
        <v>679</v>
      </c>
      <c r="B474" s="4" t="s">
        <v>100</v>
      </c>
      <c r="C474" s="4" t="s">
        <v>205</v>
      </c>
      <c r="D474" s="4" t="s">
        <v>206</v>
      </c>
      <c r="E474" s="4" t="n">
        <v>46264.1692824074</v>
      </c>
      <c r="F474" s="4" t="n">
        <v>12</v>
      </c>
      <c r="G474" s="4" t="n">
        <v>12</v>
      </c>
      <c r="H474" s="4" t="n">
        <v>12</v>
      </c>
      <c r="I474" s="4" t="n">
        <v>0</v>
      </c>
      <c r="J474" s="4" t="n">
        <v>0</v>
      </c>
      <c r="K474" s="4" t="n">
        <v>0</v>
      </c>
      <c r="L474" s="11" t="b">
        <f aca="false">FALSE()</f>
        <v>0</v>
      </c>
    </row>
    <row r="475" customFormat="false" ht="15" hidden="false" customHeight="false" outlineLevel="0" collapsed="false">
      <c r="A475" s="4" t="s">
        <v>680</v>
      </c>
      <c r="B475" s="4" t="s">
        <v>99</v>
      </c>
      <c r="C475" s="4" t="s">
        <v>205</v>
      </c>
      <c r="D475" s="4" t="s">
        <v>206</v>
      </c>
      <c r="E475" s="4" t="n">
        <v>46264.2132523148</v>
      </c>
      <c r="F475" s="4" t="n">
        <v>28</v>
      </c>
      <c r="G475" s="4" t="n">
        <v>28</v>
      </c>
      <c r="H475" s="4" t="n">
        <v>28</v>
      </c>
      <c r="I475" s="4" t="n">
        <v>0</v>
      </c>
      <c r="J475" s="4" t="n">
        <v>0</v>
      </c>
      <c r="K475" s="4" t="n">
        <v>0</v>
      </c>
      <c r="L475" s="11" t="b">
        <f aca="false">FALSE()</f>
        <v>0</v>
      </c>
    </row>
    <row r="476" customFormat="false" ht="15" hidden="false" customHeight="false" outlineLevel="0" collapsed="false">
      <c r="A476" s="4" t="s">
        <v>681</v>
      </c>
      <c r="B476" s="4" t="s">
        <v>101</v>
      </c>
      <c r="C476" s="4" t="s">
        <v>205</v>
      </c>
      <c r="D476" s="4" t="s">
        <v>206</v>
      </c>
      <c r="E476" s="4" t="n">
        <v>46264.2530787037</v>
      </c>
      <c r="F476" s="4" t="n">
        <v>14</v>
      </c>
      <c r="G476" s="4" t="n">
        <v>14</v>
      </c>
      <c r="H476" s="4" t="n">
        <v>9</v>
      </c>
      <c r="I476" s="4" t="n">
        <v>3</v>
      </c>
      <c r="J476" s="4" t="n">
        <v>1</v>
      </c>
      <c r="K476" s="4" t="n">
        <v>1</v>
      </c>
      <c r="L476" s="11" t="b">
        <f aca="false">FALSE()</f>
        <v>0</v>
      </c>
    </row>
    <row r="477" customFormat="false" ht="15" hidden="false" customHeight="false" outlineLevel="0" collapsed="false">
      <c r="A477" s="4" t="s">
        <v>682</v>
      </c>
      <c r="B477" s="4" t="s">
        <v>104</v>
      </c>
      <c r="C477" s="4" t="s">
        <v>205</v>
      </c>
      <c r="D477" s="4" t="s">
        <v>206</v>
      </c>
      <c r="E477" s="4" t="n">
        <v>46264.2569560185</v>
      </c>
      <c r="F477" s="4" t="n">
        <v>9</v>
      </c>
      <c r="G477" s="4" t="n">
        <v>9</v>
      </c>
      <c r="H477" s="4" t="n">
        <v>7</v>
      </c>
      <c r="I477" s="4" t="n">
        <v>2</v>
      </c>
      <c r="J477" s="4" t="n">
        <v>0</v>
      </c>
      <c r="K477" s="4" t="n">
        <v>0</v>
      </c>
      <c r="L477" s="11" t="b">
        <f aca="false">FALSE()</f>
        <v>0</v>
      </c>
    </row>
    <row r="478" customFormat="false" ht="15" hidden="false" customHeight="false" outlineLevel="0" collapsed="false">
      <c r="A478" s="4" t="s">
        <v>683</v>
      </c>
      <c r="B478" s="4" t="s">
        <v>102</v>
      </c>
      <c r="C478" s="4" t="s">
        <v>205</v>
      </c>
      <c r="D478" s="4" t="s">
        <v>206</v>
      </c>
      <c r="E478" s="4" t="n">
        <v>46264.2965509259</v>
      </c>
      <c r="F478" s="4" t="n">
        <v>9</v>
      </c>
      <c r="G478" s="4" t="n">
        <v>9</v>
      </c>
      <c r="H478" s="4" t="n">
        <v>8</v>
      </c>
      <c r="I478" s="4" t="n">
        <v>1</v>
      </c>
      <c r="J478" s="4" t="n">
        <v>0</v>
      </c>
      <c r="K478" s="4" t="n">
        <v>0</v>
      </c>
      <c r="L478" s="11" t="b">
        <f aca="false">FALSE()</f>
        <v>0</v>
      </c>
    </row>
    <row r="479" customFormat="false" ht="15" hidden="false" customHeight="false" outlineLevel="0" collapsed="false">
      <c r="A479" s="4" t="s">
        <v>684</v>
      </c>
      <c r="B479" s="4" t="s">
        <v>100</v>
      </c>
      <c r="C479" s="4" t="s">
        <v>205</v>
      </c>
      <c r="D479" s="4" t="s">
        <v>206</v>
      </c>
      <c r="E479" s="4" t="n">
        <v>46264.3366782407</v>
      </c>
      <c r="F479" s="4" t="n">
        <v>26</v>
      </c>
      <c r="G479" s="4" t="n">
        <v>26</v>
      </c>
      <c r="H479" s="4" t="n">
        <v>24</v>
      </c>
      <c r="I479" s="4" t="n">
        <v>2</v>
      </c>
      <c r="J479" s="4" t="n">
        <v>0</v>
      </c>
      <c r="K479" s="4" t="n">
        <v>0</v>
      </c>
      <c r="L479" s="11" t="b">
        <f aca="false">FALSE()</f>
        <v>0</v>
      </c>
    </row>
    <row r="480" customFormat="false" ht="15" hidden="false" customHeight="false" outlineLevel="0" collapsed="false">
      <c r="A480" s="4" t="s">
        <v>685</v>
      </c>
      <c r="B480" s="4" t="s">
        <v>103</v>
      </c>
      <c r="C480" s="4" t="s">
        <v>205</v>
      </c>
      <c r="D480" s="4" t="s">
        <v>206</v>
      </c>
      <c r="E480" s="4" t="n">
        <v>46264.3807986111</v>
      </c>
      <c r="F480" s="4" t="n">
        <v>13</v>
      </c>
      <c r="G480" s="4" t="n">
        <v>13</v>
      </c>
      <c r="H480" s="4" t="n">
        <v>10</v>
      </c>
      <c r="I480" s="4" t="n">
        <v>3</v>
      </c>
      <c r="J480" s="4" t="n">
        <v>0</v>
      </c>
      <c r="K480" s="4" t="n">
        <v>0</v>
      </c>
      <c r="L480" s="11" t="b">
        <f aca="false">FALSE()</f>
        <v>0</v>
      </c>
    </row>
    <row r="481" customFormat="false" ht="15" hidden="false" customHeight="false" outlineLevel="0" collapsed="false">
      <c r="A481" s="4" t="s">
        <v>686</v>
      </c>
      <c r="B481" s="4" t="s">
        <v>101</v>
      </c>
      <c r="C481" s="4" t="s">
        <v>205</v>
      </c>
      <c r="D481" s="4" t="s">
        <v>206</v>
      </c>
      <c r="E481" s="4" t="n">
        <v>46264.4200462963</v>
      </c>
      <c r="F481" s="4" t="n">
        <v>30</v>
      </c>
      <c r="G481" s="4" t="n">
        <v>30</v>
      </c>
      <c r="H481" s="4" t="n">
        <v>30</v>
      </c>
      <c r="I481" s="4" t="n">
        <v>0</v>
      </c>
      <c r="J481" s="4" t="n">
        <v>0</v>
      </c>
      <c r="K481" s="4" t="n">
        <v>0</v>
      </c>
      <c r="L481" s="11" t="b">
        <f aca="false">FALSE()</f>
        <v>0</v>
      </c>
    </row>
    <row r="482" customFormat="false" ht="15" hidden="false" customHeight="false" outlineLevel="0" collapsed="false">
      <c r="A482" s="4" t="s">
        <v>687</v>
      </c>
      <c r="B482" s="4" t="s">
        <v>102</v>
      </c>
      <c r="C482" s="4" t="s">
        <v>205</v>
      </c>
      <c r="D482" s="4" t="s">
        <v>428</v>
      </c>
      <c r="E482" s="4" t="n">
        <v>46264.4396180556</v>
      </c>
      <c r="F482" s="4" t="n">
        <v>74</v>
      </c>
      <c r="G482" s="4" t="n">
        <v>74</v>
      </c>
      <c r="H482" s="4" t="n">
        <v>74</v>
      </c>
      <c r="I482" s="4" t="n">
        <v>0</v>
      </c>
      <c r="J482" s="4" t="n">
        <v>0</v>
      </c>
      <c r="K482" s="4" t="n">
        <v>0</v>
      </c>
      <c r="L482" s="11" t="b">
        <f aca="false">FALSE()</f>
        <v>0</v>
      </c>
    </row>
    <row r="483" customFormat="false" ht="15" hidden="false" customHeight="false" outlineLevel="0" collapsed="false">
      <c r="A483" s="4" t="s">
        <v>688</v>
      </c>
      <c r="B483" s="4" t="s">
        <v>102</v>
      </c>
      <c r="C483" s="4" t="s">
        <v>205</v>
      </c>
      <c r="D483" s="4" t="s">
        <v>428</v>
      </c>
      <c r="E483" s="4" t="n">
        <v>46264.4605902778</v>
      </c>
      <c r="F483" s="4" t="n">
        <v>73</v>
      </c>
      <c r="G483" s="4" t="n">
        <v>73</v>
      </c>
      <c r="H483" s="4" t="n">
        <v>73</v>
      </c>
      <c r="I483" s="4" t="n">
        <v>0</v>
      </c>
      <c r="J483" s="4" t="n">
        <v>0</v>
      </c>
      <c r="K483" s="4" t="n">
        <v>0</v>
      </c>
      <c r="L483" s="11" t="b">
        <f aca="false">FALSE()</f>
        <v>0</v>
      </c>
    </row>
    <row r="484" customFormat="false" ht="15" hidden="false" customHeight="false" outlineLevel="0" collapsed="false">
      <c r="A484" s="4" t="s">
        <v>689</v>
      </c>
      <c r="B484" s="4" t="s">
        <v>100</v>
      </c>
      <c r="C484" s="4" t="s">
        <v>205</v>
      </c>
      <c r="D484" s="4" t="s">
        <v>206</v>
      </c>
      <c r="E484" s="4" t="n">
        <v>46264.5026967593</v>
      </c>
      <c r="F484" s="4" t="n">
        <v>60</v>
      </c>
      <c r="G484" s="4" t="n">
        <v>60</v>
      </c>
      <c r="H484" s="4" t="n">
        <v>59</v>
      </c>
      <c r="I484" s="4" t="n">
        <v>1</v>
      </c>
      <c r="J484" s="4" t="n">
        <v>0</v>
      </c>
      <c r="K484" s="4" t="n">
        <v>0</v>
      </c>
      <c r="L484" s="11" t="b">
        <f aca="false">FALSE()</f>
        <v>0</v>
      </c>
    </row>
    <row r="485" customFormat="false" ht="15" hidden="false" customHeight="false" outlineLevel="0" collapsed="false">
      <c r="A485" s="4" t="s">
        <v>690</v>
      </c>
      <c r="B485" s="4" t="s">
        <v>102</v>
      </c>
      <c r="C485" s="4" t="s">
        <v>205</v>
      </c>
      <c r="D485" s="4" t="s">
        <v>206</v>
      </c>
      <c r="E485" s="4" t="n">
        <v>46264.5453125</v>
      </c>
      <c r="F485" s="4" t="n">
        <v>23</v>
      </c>
      <c r="G485" s="4" t="n">
        <v>23</v>
      </c>
      <c r="H485" s="4" t="n">
        <v>20</v>
      </c>
      <c r="I485" s="4" t="n">
        <v>3</v>
      </c>
      <c r="J485" s="4" t="n">
        <v>0</v>
      </c>
      <c r="K485" s="4" t="n">
        <v>0</v>
      </c>
      <c r="L485" s="11" t="b">
        <f aca="false">FALSE()</f>
        <v>0</v>
      </c>
    </row>
    <row r="486" customFormat="false" ht="15" hidden="false" customHeight="false" outlineLevel="0" collapsed="false">
      <c r="A486" s="4" t="s">
        <v>691</v>
      </c>
      <c r="B486" s="4" t="s">
        <v>101</v>
      </c>
      <c r="C486" s="4" t="s">
        <v>205</v>
      </c>
      <c r="D486" s="4" t="s">
        <v>206</v>
      </c>
      <c r="E486" s="4" t="n">
        <v>46264.5864467593</v>
      </c>
      <c r="F486" s="4" t="n">
        <v>45</v>
      </c>
      <c r="G486" s="4" t="n">
        <v>45</v>
      </c>
      <c r="H486" s="4" t="n">
        <v>43</v>
      </c>
      <c r="I486" s="4" t="n">
        <v>2</v>
      </c>
      <c r="J486" s="4" t="n">
        <v>0</v>
      </c>
      <c r="K486" s="4" t="n">
        <v>0</v>
      </c>
      <c r="L486" s="11" t="b">
        <f aca="false">FALSE()</f>
        <v>0</v>
      </c>
    </row>
    <row r="487" customFormat="false" ht="15" hidden="false" customHeight="false" outlineLevel="0" collapsed="false">
      <c r="A487" s="4" t="s">
        <v>692</v>
      </c>
      <c r="B487" s="4" t="s">
        <v>103</v>
      </c>
      <c r="C487" s="4" t="s">
        <v>205</v>
      </c>
      <c r="D487" s="4" t="s">
        <v>206</v>
      </c>
      <c r="E487" s="4" t="n">
        <v>46264.629849537</v>
      </c>
      <c r="F487" s="4" t="n">
        <v>28</v>
      </c>
      <c r="G487" s="4" t="n">
        <v>28</v>
      </c>
      <c r="H487" s="4" t="n">
        <v>25</v>
      </c>
      <c r="I487" s="4" t="n">
        <v>3</v>
      </c>
      <c r="J487" s="4" t="n">
        <v>0</v>
      </c>
      <c r="K487" s="4" t="n">
        <v>0</v>
      </c>
      <c r="L487" s="11" t="b">
        <f aca="false">FALSE()</f>
        <v>0</v>
      </c>
    </row>
    <row r="488" customFormat="false" ht="15" hidden="false" customHeight="false" outlineLevel="0" collapsed="false">
      <c r="A488" s="4" t="s">
        <v>693</v>
      </c>
      <c r="B488" s="4" t="s">
        <v>100</v>
      </c>
      <c r="C488" s="4" t="s">
        <v>205</v>
      </c>
      <c r="D488" s="4" t="s">
        <v>206</v>
      </c>
      <c r="E488" s="4" t="n">
        <v>46264.668900463</v>
      </c>
      <c r="F488" s="4" t="n">
        <v>67</v>
      </c>
      <c r="G488" s="4" t="n">
        <v>67</v>
      </c>
      <c r="H488" s="4" t="n">
        <v>65</v>
      </c>
      <c r="I488" s="4" t="n">
        <v>1</v>
      </c>
      <c r="J488" s="4" t="n">
        <v>1</v>
      </c>
      <c r="K488" s="4" t="n">
        <v>0</v>
      </c>
      <c r="L488" s="11" t="b">
        <f aca="false">FALSE()</f>
        <v>0</v>
      </c>
    </row>
    <row r="489" customFormat="false" ht="15" hidden="false" customHeight="false" outlineLevel="0" collapsed="false">
      <c r="A489" s="4" t="s">
        <v>694</v>
      </c>
      <c r="B489" s="4" t="s">
        <v>101</v>
      </c>
      <c r="C489" s="4" t="s">
        <v>205</v>
      </c>
      <c r="D489" s="4" t="s">
        <v>206</v>
      </c>
      <c r="E489" s="4" t="n">
        <v>46264.7535648148</v>
      </c>
      <c r="F489" s="4" t="n">
        <v>41</v>
      </c>
      <c r="G489" s="4" t="n">
        <v>41</v>
      </c>
      <c r="H489" s="4" t="n">
        <v>39</v>
      </c>
      <c r="I489" s="4" t="n">
        <v>2</v>
      </c>
      <c r="J489" s="4" t="n">
        <v>0</v>
      </c>
      <c r="K489" s="4" t="n">
        <v>0</v>
      </c>
      <c r="L489" s="11" t="b">
        <f aca="false">FALSE()</f>
        <v>0</v>
      </c>
    </row>
    <row r="490" customFormat="false" ht="15" hidden="false" customHeight="false" outlineLevel="0" collapsed="false">
      <c r="A490" s="4" t="s">
        <v>695</v>
      </c>
      <c r="B490" s="4" t="s">
        <v>104</v>
      </c>
      <c r="C490" s="4" t="s">
        <v>205</v>
      </c>
      <c r="D490" s="4" t="s">
        <v>206</v>
      </c>
      <c r="E490" s="4" t="n">
        <v>46264.7566203704</v>
      </c>
      <c r="F490" s="4" t="n">
        <v>20</v>
      </c>
      <c r="G490" s="4" t="n">
        <v>20</v>
      </c>
      <c r="H490" s="4" t="n">
        <v>18</v>
      </c>
      <c r="I490" s="4" t="n">
        <v>2</v>
      </c>
      <c r="J490" s="4" t="n">
        <v>0</v>
      </c>
      <c r="K490" s="4" t="n">
        <v>0</v>
      </c>
      <c r="L490" s="11" t="b">
        <f aca="false">FALSE()</f>
        <v>0</v>
      </c>
    </row>
    <row r="491" customFormat="false" ht="15" hidden="false" customHeight="false" outlineLevel="0" collapsed="false">
      <c r="A491" s="4" t="s">
        <v>696</v>
      </c>
      <c r="B491" s="4" t="s">
        <v>102</v>
      </c>
      <c r="C491" s="4" t="s">
        <v>205</v>
      </c>
      <c r="D491" s="4" t="s">
        <v>206</v>
      </c>
      <c r="E491" s="4" t="n">
        <v>46264.7966550926</v>
      </c>
      <c r="F491" s="4" t="n">
        <v>28</v>
      </c>
      <c r="G491" s="4" t="n">
        <v>28</v>
      </c>
      <c r="H491" s="4" t="n">
        <v>26</v>
      </c>
      <c r="I491" s="4" t="n">
        <v>1</v>
      </c>
      <c r="J491" s="4" t="n">
        <v>1</v>
      </c>
      <c r="K491" s="4" t="n">
        <v>0</v>
      </c>
      <c r="L491" s="11" t="b">
        <f aca="false">FALSE()</f>
        <v>0</v>
      </c>
    </row>
    <row r="492" customFormat="false" ht="15" hidden="false" customHeight="false" outlineLevel="0" collapsed="false">
      <c r="A492" s="4" t="s">
        <v>697</v>
      </c>
      <c r="B492" s="4" t="s">
        <v>100</v>
      </c>
      <c r="C492" s="4" t="s">
        <v>205</v>
      </c>
      <c r="D492" s="4" t="s">
        <v>206</v>
      </c>
      <c r="E492" s="4" t="n">
        <v>46264.8355208333</v>
      </c>
      <c r="F492" s="4" t="n">
        <v>62</v>
      </c>
      <c r="G492" s="4" t="n">
        <v>62</v>
      </c>
      <c r="H492" s="4" t="n">
        <v>60</v>
      </c>
      <c r="I492" s="4" t="n">
        <v>2</v>
      </c>
      <c r="J492" s="4" t="n">
        <v>0</v>
      </c>
      <c r="K492" s="4" t="n">
        <v>0</v>
      </c>
      <c r="L492" s="11" t="b">
        <f aca="false">FALSE()</f>
        <v>0</v>
      </c>
    </row>
    <row r="493" customFormat="false" ht="15" hidden="false" customHeight="false" outlineLevel="0" collapsed="false">
      <c r="A493" s="4" t="s">
        <v>698</v>
      </c>
      <c r="B493" s="4" t="s">
        <v>103</v>
      </c>
      <c r="C493" s="4" t="s">
        <v>205</v>
      </c>
      <c r="D493" s="4" t="s">
        <v>206</v>
      </c>
      <c r="E493" s="4" t="n">
        <v>46264.8791666667</v>
      </c>
      <c r="F493" s="4" t="n">
        <v>24</v>
      </c>
      <c r="G493" s="4" t="n">
        <v>24</v>
      </c>
      <c r="H493" s="4" t="n">
        <v>21</v>
      </c>
      <c r="I493" s="4" t="n">
        <v>2</v>
      </c>
      <c r="J493" s="4" t="n">
        <v>1</v>
      </c>
      <c r="K493" s="4" t="n">
        <v>0</v>
      </c>
      <c r="L493" s="11" t="b">
        <f aca="false">FALSE()</f>
        <v>0</v>
      </c>
    </row>
    <row r="494" customFormat="false" ht="15" hidden="false" customHeight="false" outlineLevel="0" collapsed="false">
      <c r="A494" s="4" t="s">
        <v>699</v>
      </c>
      <c r="B494" s="4" t="s">
        <v>101</v>
      </c>
      <c r="C494" s="4" t="s">
        <v>205</v>
      </c>
      <c r="D494" s="4" t="s">
        <v>206</v>
      </c>
      <c r="E494" s="4" t="n">
        <v>46264.9204398148</v>
      </c>
      <c r="F494" s="4" t="n">
        <v>32</v>
      </c>
      <c r="G494" s="4" t="n">
        <v>32</v>
      </c>
      <c r="H494" s="4" t="n">
        <v>32</v>
      </c>
      <c r="I494" s="4" t="n">
        <v>0</v>
      </c>
      <c r="J494" s="4" t="n">
        <v>0</v>
      </c>
      <c r="K494" s="4" t="n">
        <v>0</v>
      </c>
      <c r="L494" s="11" t="b">
        <f aca="false">FALSE()</f>
        <v>0</v>
      </c>
    </row>
    <row r="495" customFormat="false" ht="15" hidden="false" customHeight="false" outlineLevel="0" collapsed="false">
      <c r="A495" s="4" t="s">
        <v>700</v>
      </c>
      <c r="B495" s="4" t="s">
        <v>100</v>
      </c>
      <c r="C495" s="4" t="s">
        <v>205</v>
      </c>
      <c r="D495" s="4" t="s">
        <v>206</v>
      </c>
      <c r="E495" s="4" t="n">
        <v>46265.0023611111</v>
      </c>
      <c r="F495" s="4" t="n">
        <v>38</v>
      </c>
      <c r="G495" s="4" t="n">
        <v>38</v>
      </c>
      <c r="H495" s="4" t="n">
        <v>36</v>
      </c>
      <c r="I495" s="4" t="n">
        <v>2</v>
      </c>
      <c r="J495" s="4" t="n">
        <v>0</v>
      </c>
      <c r="K495" s="4" t="n">
        <v>0</v>
      </c>
      <c r="L495" s="11" t="b">
        <f aca="false">FALSE()</f>
        <v>0</v>
      </c>
    </row>
    <row r="496" customFormat="false" ht="15" hidden="false" customHeight="false" outlineLevel="0" collapsed="false">
      <c r="A496" s="4" t="s">
        <v>701</v>
      </c>
      <c r="B496" s="4" t="s">
        <v>102</v>
      </c>
      <c r="C496" s="4" t="s">
        <v>205</v>
      </c>
      <c r="D496" s="4" t="s">
        <v>206</v>
      </c>
      <c r="E496" s="4" t="n">
        <v>46265.0459953704</v>
      </c>
      <c r="F496" s="4" t="n">
        <v>13</v>
      </c>
      <c r="G496" s="4" t="n">
        <v>13</v>
      </c>
      <c r="H496" s="4" t="n">
        <v>10</v>
      </c>
      <c r="I496" s="4" t="n">
        <v>2</v>
      </c>
      <c r="J496" s="4" t="n">
        <v>1</v>
      </c>
      <c r="K496" s="4" t="n">
        <v>0</v>
      </c>
      <c r="L496" s="11" t="b">
        <f aca="false">FALSE()</f>
        <v>0</v>
      </c>
    </row>
    <row r="497" customFormat="false" ht="15" hidden="false" customHeight="false" outlineLevel="0" collapsed="false">
      <c r="A497" s="4" t="s">
        <v>702</v>
      </c>
      <c r="B497" s="4" t="s">
        <v>101</v>
      </c>
      <c r="C497" s="4" t="s">
        <v>205</v>
      </c>
      <c r="D497" s="4" t="s">
        <v>206</v>
      </c>
      <c r="E497" s="4" t="n">
        <v>46265.0875231482</v>
      </c>
      <c r="F497" s="4" t="n">
        <v>16</v>
      </c>
      <c r="G497" s="4" t="n">
        <v>16</v>
      </c>
      <c r="H497" s="4" t="n">
        <v>12</v>
      </c>
      <c r="I497" s="4" t="n">
        <v>3</v>
      </c>
      <c r="J497" s="4" t="n">
        <v>1</v>
      </c>
      <c r="K497" s="4" t="n">
        <v>0</v>
      </c>
      <c r="L497" s="11" t="b">
        <f aca="false">FALSE()</f>
        <v>0</v>
      </c>
    </row>
    <row r="498" customFormat="false" ht="15" hidden="false" customHeight="false" outlineLevel="0" collapsed="false">
      <c r="A498" s="4" t="s">
        <v>703</v>
      </c>
      <c r="B498" s="4" t="s">
        <v>103</v>
      </c>
      <c r="C498" s="4" t="s">
        <v>205</v>
      </c>
      <c r="D498" s="4" t="s">
        <v>206</v>
      </c>
      <c r="E498" s="4" t="n">
        <v>46265.1291898148</v>
      </c>
      <c r="F498" s="4" t="n">
        <v>11</v>
      </c>
      <c r="G498" s="4" t="n">
        <v>11</v>
      </c>
      <c r="H498" s="4" t="n">
        <v>8</v>
      </c>
      <c r="I498" s="4" t="n">
        <v>3</v>
      </c>
      <c r="J498" s="4" t="n">
        <v>0</v>
      </c>
      <c r="K498" s="4" t="n">
        <v>0</v>
      </c>
      <c r="L498" s="11" t="b">
        <f aca="false">FALSE()</f>
        <v>0</v>
      </c>
    </row>
    <row r="499" customFormat="false" ht="15" hidden="false" customHeight="false" outlineLevel="0" collapsed="false">
      <c r="A499" s="4" t="s">
        <v>704</v>
      </c>
      <c r="B499" s="4" t="s">
        <v>100</v>
      </c>
      <c r="C499" s="4" t="s">
        <v>205</v>
      </c>
      <c r="D499" s="4" t="s">
        <v>206</v>
      </c>
      <c r="E499" s="4" t="n">
        <v>46265.1688541667</v>
      </c>
      <c r="F499" s="4" t="n">
        <v>13</v>
      </c>
      <c r="G499" s="4" t="n">
        <v>13</v>
      </c>
      <c r="H499" s="4" t="n">
        <v>13</v>
      </c>
      <c r="I499" s="4" t="n">
        <v>0</v>
      </c>
      <c r="J499" s="4" t="n">
        <v>0</v>
      </c>
      <c r="K499" s="4" t="n">
        <v>0</v>
      </c>
      <c r="L499" s="11" t="b">
        <f aca="false">FALSE()</f>
        <v>0</v>
      </c>
    </row>
    <row r="500" customFormat="false" ht="15" hidden="false" customHeight="false" outlineLevel="0" collapsed="false">
      <c r="A500" s="4" t="s">
        <v>705</v>
      </c>
      <c r="B500" s="4" t="s">
        <v>99</v>
      </c>
      <c r="C500" s="4" t="s">
        <v>205</v>
      </c>
      <c r="D500" s="4" t="s">
        <v>206</v>
      </c>
      <c r="E500" s="4" t="n">
        <v>46265.2144328704</v>
      </c>
      <c r="F500" s="4" t="n">
        <v>26</v>
      </c>
      <c r="G500" s="4" t="n">
        <v>26</v>
      </c>
      <c r="H500" s="4" t="n">
        <v>26</v>
      </c>
      <c r="I500" s="4" t="n">
        <v>0</v>
      </c>
      <c r="J500" s="4" t="n">
        <v>0</v>
      </c>
      <c r="K500" s="4" t="n">
        <v>0</v>
      </c>
      <c r="L500" s="11" t="b">
        <f aca="false">FALSE()</f>
        <v>0</v>
      </c>
    </row>
    <row r="501" customFormat="false" ht="15" hidden="false" customHeight="false" outlineLevel="0" collapsed="false">
      <c r="A501" s="4" t="s">
        <v>706</v>
      </c>
      <c r="B501" s="4" t="s">
        <v>101</v>
      </c>
      <c r="C501" s="4" t="s">
        <v>205</v>
      </c>
      <c r="D501" s="4" t="s">
        <v>206</v>
      </c>
      <c r="E501" s="4" t="n">
        <v>46265.2532407407</v>
      </c>
      <c r="F501" s="4" t="n">
        <v>10</v>
      </c>
      <c r="G501" s="4" t="n">
        <v>10</v>
      </c>
      <c r="H501" s="4" t="n">
        <v>9</v>
      </c>
      <c r="I501" s="4" t="n">
        <v>1</v>
      </c>
      <c r="J501" s="4" t="n">
        <v>0</v>
      </c>
      <c r="K501" s="4" t="n">
        <v>0</v>
      </c>
      <c r="L501" s="11" t="b">
        <f aca="false">FALSE()</f>
        <v>0</v>
      </c>
    </row>
    <row r="502" customFormat="false" ht="15" hidden="false" customHeight="false" outlineLevel="0" collapsed="false">
      <c r="A502" s="4" t="s">
        <v>707</v>
      </c>
      <c r="B502" s="4" t="s">
        <v>104</v>
      </c>
      <c r="C502" s="4" t="s">
        <v>205</v>
      </c>
      <c r="D502" s="4" t="s">
        <v>206</v>
      </c>
      <c r="E502" s="4" t="n">
        <v>46265.2565162037</v>
      </c>
      <c r="F502" s="4" t="n">
        <v>12</v>
      </c>
      <c r="G502" s="4" t="n">
        <v>12</v>
      </c>
      <c r="H502" s="4" t="n">
        <v>11</v>
      </c>
      <c r="I502" s="4" t="n">
        <v>1</v>
      </c>
      <c r="J502" s="4" t="n">
        <v>0</v>
      </c>
      <c r="K502" s="4" t="n">
        <v>0</v>
      </c>
      <c r="L502" s="11" t="b">
        <f aca="false">FALSE()</f>
        <v>0</v>
      </c>
    </row>
    <row r="503" customFormat="false" ht="15" hidden="false" customHeight="false" outlineLevel="0" collapsed="false">
      <c r="A503" s="4" t="s">
        <v>708</v>
      </c>
      <c r="B503" s="4" t="s">
        <v>102</v>
      </c>
      <c r="C503" s="4" t="s">
        <v>205</v>
      </c>
      <c r="D503" s="4" t="s">
        <v>206</v>
      </c>
      <c r="E503" s="4" t="n">
        <v>46265.2958912037</v>
      </c>
      <c r="F503" s="4" t="n">
        <v>9</v>
      </c>
      <c r="G503" s="4" t="n">
        <v>9</v>
      </c>
      <c r="H503" s="4" t="n">
        <v>6</v>
      </c>
      <c r="I503" s="4" t="n">
        <v>3</v>
      </c>
      <c r="J503" s="4" t="n">
        <v>0</v>
      </c>
      <c r="K503" s="4" t="n">
        <v>0</v>
      </c>
      <c r="L503" s="11" t="b">
        <f aca="false">FALSE()</f>
        <v>0</v>
      </c>
    </row>
    <row r="504" customFormat="false" ht="15" hidden="false" customHeight="false" outlineLevel="0" collapsed="false">
      <c r="A504" s="4" t="s">
        <v>709</v>
      </c>
      <c r="B504" s="4" t="s">
        <v>100</v>
      </c>
      <c r="C504" s="4" t="s">
        <v>205</v>
      </c>
      <c r="D504" s="4" t="s">
        <v>206</v>
      </c>
      <c r="E504" s="4" t="n">
        <v>46265.3370833333</v>
      </c>
      <c r="F504" s="4" t="n">
        <v>32</v>
      </c>
      <c r="G504" s="4" t="n">
        <v>32</v>
      </c>
      <c r="H504" s="4" t="n">
        <v>30</v>
      </c>
      <c r="I504" s="4" t="n">
        <v>2</v>
      </c>
      <c r="J504" s="4" t="n">
        <v>0</v>
      </c>
      <c r="K504" s="4" t="n">
        <v>0</v>
      </c>
      <c r="L504" s="11" t="b">
        <f aca="false">FALSE()</f>
        <v>0</v>
      </c>
    </row>
    <row r="505" customFormat="false" ht="15" hidden="false" customHeight="false" outlineLevel="0" collapsed="false">
      <c r="A505" s="4" t="s">
        <v>710</v>
      </c>
      <c r="B505" s="4" t="s">
        <v>103</v>
      </c>
      <c r="C505" s="4" t="s">
        <v>205</v>
      </c>
      <c r="D505" s="4" t="s">
        <v>206</v>
      </c>
      <c r="E505" s="4" t="n">
        <v>46265.3803125</v>
      </c>
      <c r="F505" s="4" t="n">
        <v>14</v>
      </c>
      <c r="G505" s="4" t="n">
        <v>14</v>
      </c>
      <c r="H505" s="4" t="n">
        <v>12</v>
      </c>
      <c r="I505" s="4" t="n">
        <v>2</v>
      </c>
      <c r="J505" s="4" t="n">
        <v>0</v>
      </c>
      <c r="K505" s="4" t="n">
        <v>0</v>
      </c>
      <c r="L505" s="11" t="b">
        <f aca="false">FALSE()</f>
        <v>0</v>
      </c>
    </row>
    <row r="506" customFormat="false" ht="15" hidden="false" customHeight="false" outlineLevel="0" collapsed="false">
      <c r="A506" s="4" t="s">
        <v>711</v>
      </c>
      <c r="B506" s="4" t="s">
        <v>101</v>
      </c>
      <c r="C506" s="4" t="s">
        <v>205</v>
      </c>
      <c r="D506" s="4" t="s">
        <v>206</v>
      </c>
      <c r="E506" s="4" t="n">
        <v>46265.4201273148</v>
      </c>
      <c r="F506" s="4" t="n">
        <v>36</v>
      </c>
      <c r="G506" s="4" t="n">
        <v>36</v>
      </c>
      <c r="H506" s="4" t="n">
        <v>34</v>
      </c>
      <c r="I506" s="4" t="n">
        <v>1</v>
      </c>
      <c r="J506" s="4" t="n">
        <v>1</v>
      </c>
      <c r="K506" s="4" t="n">
        <v>0</v>
      </c>
      <c r="L506" s="11" t="b">
        <f aca="false">FALSE()</f>
        <v>0</v>
      </c>
    </row>
    <row r="507" customFormat="false" ht="15" hidden="false" customHeight="false" outlineLevel="0" collapsed="false">
      <c r="A507" s="4" t="s">
        <v>712</v>
      </c>
      <c r="B507" s="4" t="s">
        <v>100</v>
      </c>
      <c r="C507" s="4" t="s">
        <v>205</v>
      </c>
      <c r="D507" s="4" t="s">
        <v>206</v>
      </c>
      <c r="E507" s="4" t="n">
        <v>46265.5024305556</v>
      </c>
      <c r="F507" s="4" t="n">
        <v>76</v>
      </c>
      <c r="G507" s="4" t="n">
        <v>76</v>
      </c>
      <c r="H507" s="4" t="n">
        <v>71</v>
      </c>
      <c r="I507" s="4" t="n">
        <v>3</v>
      </c>
      <c r="J507" s="4" t="n">
        <v>1</v>
      </c>
      <c r="K507" s="4" t="n">
        <v>1</v>
      </c>
      <c r="L507" s="11" t="b">
        <f aca="false">FALSE()</f>
        <v>0</v>
      </c>
    </row>
    <row r="508" customFormat="false" ht="15" hidden="false" customHeight="false" outlineLevel="0" collapsed="false">
      <c r="A508" s="4" t="s">
        <v>713</v>
      </c>
      <c r="B508" s="4" t="s">
        <v>102</v>
      </c>
      <c r="C508" s="4" t="s">
        <v>205</v>
      </c>
      <c r="D508" s="4" t="s">
        <v>206</v>
      </c>
      <c r="E508" s="4" t="n">
        <v>46265.5459722222</v>
      </c>
      <c r="F508" s="4" t="n">
        <v>31</v>
      </c>
      <c r="G508" s="4" t="n">
        <v>31</v>
      </c>
      <c r="H508" s="4" t="n">
        <v>29</v>
      </c>
      <c r="I508" s="4" t="n">
        <v>1</v>
      </c>
      <c r="J508" s="4" t="n">
        <v>1</v>
      </c>
      <c r="K508" s="4" t="n">
        <v>0</v>
      </c>
      <c r="L508" s="11" t="b">
        <f aca="false">FALSE()</f>
        <v>0</v>
      </c>
    </row>
    <row r="509" customFormat="false" ht="15" hidden="false" customHeight="false" outlineLevel="0" collapsed="false">
      <c r="A509" s="4" t="s">
        <v>714</v>
      </c>
      <c r="B509" s="4" t="s">
        <v>103</v>
      </c>
      <c r="C509" s="4" t="s">
        <v>205</v>
      </c>
      <c r="D509" s="4" t="s">
        <v>206</v>
      </c>
      <c r="E509" s="4" t="n">
        <v>46265.6305208333</v>
      </c>
      <c r="F509" s="4" t="n">
        <v>28</v>
      </c>
      <c r="G509" s="4" t="n">
        <v>28</v>
      </c>
      <c r="H509" s="4" t="n">
        <v>28</v>
      </c>
      <c r="I509" s="4" t="n">
        <v>0</v>
      </c>
      <c r="J509" s="4" t="n">
        <v>0</v>
      </c>
      <c r="K509" s="4" t="n">
        <v>0</v>
      </c>
      <c r="L509" s="11" t="b">
        <f aca="false">FALSE()</f>
        <v>0</v>
      </c>
    </row>
    <row r="510" customFormat="false" ht="15" hidden="false" customHeight="false" outlineLevel="0" collapsed="false">
      <c r="A510" s="4" t="s">
        <v>715</v>
      </c>
      <c r="B510" s="4" t="s">
        <v>100</v>
      </c>
      <c r="C510" s="4" t="s">
        <v>205</v>
      </c>
      <c r="D510" s="4" t="s">
        <v>206</v>
      </c>
      <c r="E510" s="4" t="n">
        <v>46265.6698842593</v>
      </c>
      <c r="F510" s="4" t="n">
        <v>79</v>
      </c>
      <c r="G510" s="4" t="n">
        <v>79</v>
      </c>
      <c r="H510" s="4" t="n">
        <v>78</v>
      </c>
      <c r="I510" s="4" t="n">
        <v>1</v>
      </c>
      <c r="J510" s="4" t="n">
        <v>0</v>
      </c>
      <c r="K510" s="4" t="n">
        <v>0</v>
      </c>
      <c r="L510" s="11" t="b">
        <f aca="false">FALSE()</f>
        <v>0</v>
      </c>
    </row>
    <row r="511" customFormat="false" ht="15" hidden="false" customHeight="false" outlineLevel="0" collapsed="false">
      <c r="A511" s="4" t="s">
        <v>716</v>
      </c>
      <c r="B511" s="4" t="s">
        <v>101</v>
      </c>
      <c r="C511" s="4" t="s">
        <v>205</v>
      </c>
      <c r="D511" s="4" t="s">
        <v>206</v>
      </c>
      <c r="E511" s="4" t="n">
        <v>46265.6861574074</v>
      </c>
      <c r="F511" s="4" t="n">
        <v>75</v>
      </c>
      <c r="G511" s="4" t="n">
        <v>75</v>
      </c>
      <c r="H511" s="4" t="n">
        <v>71</v>
      </c>
      <c r="I511" s="4" t="n">
        <v>1</v>
      </c>
      <c r="J511" s="4" t="n">
        <v>3</v>
      </c>
      <c r="K511" s="4" t="n">
        <v>0</v>
      </c>
      <c r="L511" s="11" t="b">
        <f aca="false">TRUE()</f>
        <v>1</v>
      </c>
    </row>
    <row r="512" customFormat="false" ht="15" hidden="false" customHeight="false" outlineLevel="0" collapsed="false">
      <c r="A512" s="4" t="s">
        <v>717</v>
      </c>
      <c r="B512" s="4" t="s">
        <v>101</v>
      </c>
      <c r="C512" s="4" t="s">
        <v>205</v>
      </c>
      <c r="D512" s="4" t="s">
        <v>206</v>
      </c>
      <c r="E512" s="4" t="n">
        <v>46265.7529050926</v>
      </c>
      <c r="F512" s="4" t="n">
        <v>21</v>
      </c>
      <c r="G512" s="4" t="n">
        <v>21</v>
      </c>
      <c r="H512" s="4" t="n">
        <v>19</v>
      </c>
      <c r="I512" s="4" t="n">
        <v>2</v>
      </c>
      <c r="J512" s="4" t="n">
        <v>0</v>
      </c>
      <c r="K512" s="4" t="n">
        <v>0</v>
      </c>
      <c r="L512" s="11" t="b">
        <f aca="false">FALSE()</f>
        <v>0</v>
      </c>
    </row>
    <row r="513" customFormat="false" ht="15" hidden="false" customHeight="false" outlineLevel="0" collapsed="false">
      <c r="A513" s="4" t="s">
        <v>718</v>
      </c>
      <c r="B513" s="4" t="s">
        <v>104</v>
      </c>
      <c r="C513" s="4" t="s">
        <v>205</v>
      </c>
      <c r="D513" s="4" t="s">
        <v>206</v>
      </c>
      <c r="E513" s="4" t="n">
        <v>46265.7562847222</v>
      </c>
      <c r="F513" s="4" t="n">
        <v>22</v>
      </c>
      <c r="G513" s="4" t="n">
        <v>22</v>
      </c>
      <c r="H513" s="4" t="n">
        <v>22</v>
      </c>
      <c r="I513" s="4" t="n">
        <v>0</v>
      </c>
      <c r="J513" s="4" t="n">
        <v>0</v>
      </c>
      <c r="K513" s="4" t="n">
        <v>0</v>
      </c>
      <c r="L513" s="11" t="b">
        <f aca="false">FALSE()</f>
        <v>0</v>
      </c>
    </row>
    <row r="514" customFormat="false" ht="15" hidden="false" customHeight="false" outlineLevel="0" collapsed="false">
      <c r="A514" s="4" t="s">
        <v>719</v>
      </c>
      <c r="B514" s="4" t="s">
        <v>102</v>
      </c>
      <c r="C514" s="4" t="s">
        <v>205</v>
      </c>
      <c r="D514" s="4" t="s">
        <v>206</v>
      </c>
      <c r="E514" s="4" t="n">
        <v>46265.7968055556</v>
      </c>
      <c r="F514" s="4" t="n">
        <v>25</v>
      </c>
      <c r="G514" s="4" t="n">
        <v>25</v>
      </c>
      <c r="H514" s="4" t="n">
        <v>23</v>
      </c>
      <c r="I514" s="4" t="n">
        <v>1</v>
      </c>
      <c r="J514" s="4" t="n">
        <v>1</v>
      </c>
      <c r="K514" s="4" t="n">
        <v>0</v>
      </c>
      <c r="L514" s="11" t="b">
        <f aca="false">FALSE()</f>
        <v>0</v>
      </c>
    </row>
    <row r="515" customFormat="false" ht="15" hidden="false" customHeight="false" outlineLevel="0" collapsed="false">
      <c r="A515" s="4" t="s">
        <v>720</v>
      </c>
      <c r="B515" s="4" t="s">
        <v>100</v>
      </c>
      <c r="C515" s="4" t="s">
        <v>205</v>
      </c>
      <c r="D515" s="4" t="s">
        <v>206</v>
      </c>
      <c r="E515" s="4" t="n">
        <v>46265.836724537</v>
      </c>
      <c r="F515" s="4" t="n">
        <v>72</v>
      </c>
      <c r="G515" s="4" t="n">
        <v>72</v>
      </c>
      <c r="H515" s="4" t="n">
        <v>69</v>
      </c>
      <c r="I515" s="4" t="n">
        <v>1</v>
      </c>
      <c r="J515" s="4" t="n">
        <v>1</v>
      </c>
      <c r="K515" s="4" t="n">
        <v>1</v>
      </c>
      <c r="L515" s="11" t="b">
        <f aca="false">FALSE()</f>
        <v>0</v>
      </c>
    </row>
    <row r="516" customFormat="false" ht="15" hidden="false" customHeight="false" outlineLevel="0" collapsed="false">
      <c r="A516" s="4" t="s">
        <v>721</v>
      </c>
      <c r="B516" s="4" t="s">
        <v>103</v>
      </c>
      <c r="C516" s="4" t="s">
        <v>205</v>
      </c>
      <c r="D516" s="4" t="s">
        <v>206</v>
      </c>
      <c r="E516" s="4" t="n">
        <v>46265.880462963</v>
      </c>
      <c r="F516" s="4" t="n">
        <v>23</v>
      </c>
      <c r="G516" s="4" t="n">
        <v>23</v>
      </c>
      <c r="H516" s="4" t="n">
        <v>23</v>
      </c>
      <c r="I516" s="4" t="n">
        <v>0</v>
      </c>
      <c r="J516" s="4" t="n">
        <v>0</v>
      </c>
      <c r="K516" s="4" t="n">
        <v>0</v>
      </c>
      <c r="L516" s="11" t="b">
        <f aca="false">FALSE()</f>
        <v>0</v>
      </c>
    </row>
    <row r="517" customFormat="false" ht="15" hidden="false" customHeight="false" outlineLevel="0" collapsed="false">
      <c r="A517" s="4" t="s">
        <v>722</v>
      </c>
      <c r="B517" s="4" t="s">
        <v>101</v>
      </c>
      <c r="C517" s="4" t="s">
        <v>205</v>
      </c>
      <c r="D517" s="4" t="s">
        <v>206</v>
      </c>
      <c r="E517" s="4" t="n">
        <v>46265.9211574074</v>
      </c>
      <c r="F517" s="4" t="n">
        <v>38</v>
      </c>
      <c r="G517" s="4" t="n">
        <v>38</v>
      </c>
      <c r="H517" s="4" t="n">
        <v>38</v>
      </c>
      <c r="I517" s="4" t="n">
        <v>0</v>
      </c>
      <c r="J517" s="4" t="n">
        <v>0</v>
      </c>
      <c r="K517" s="4" t="n">
        <v>0</v>
      </c>
      <c r="L517" s="11" t="b">
        <f aca="false">FALSE()</f>
        <v>0</v>
      </c>
    </row>
    <row r="518" customFormat="false" ht="15" hidden="false" customHeight="false" outlineLevel="0" collapsed="false">
      <c r="A518" s="4" t="s">
        <v>723</v>
      </c>
      <c r="B518" s="4" t="s">
        <v>100</v>
      </c>
      <c r="C518" s="4" t="s">
        <v>205</v>
      </c>
      <c r="D518" s="4" t="s">
        <v>206</v>
      </c>
      <c r="E518" s="4" t="n">
        <v>46266.0027546296</v>
      </c>
      <c r="F518" s="4" t="n">
        <v>41</v>
      </c>
      <c r="G518" s="4" t="n">
        <v>41</v>
      </c>
      <c r="H518" s="4" t="n">
        <v>38</v>
      </c>
      <c r="I518" s="4" t="n">
        <v>1</v>
      </c>
      <c r="J518" s="4" t="n">
        <v>2</v>
      </c>
      <c r="K518" s="4" t="n">
        <v>0</v>
      </c>
      <c r="L518" s="11" t="b">
        <f aca="false">FALSE()</f>
        <v>0</v>
      </c>
    </row>
    <row r="519" customFormat="false" ht="15" hidden="false" customHeight="false" outlineLevel="0" collapsed="false">
      <c r="A519" s="4" t="s">
        <v>724</v>
      </c>
      <c r="B519" s="4" t="s">
        <v>102</v>
      </c>
      <c r="C519" s="4" t="s">
        <v>205</v>
      </c>
      <c r="D519" s="4" t="s">
        <v>206</v>
      </c>
      <c r="E519" s="4" t="n">
        <v>46266.0451967593</v>
      </c>
      <c r="F519" s="4" t="n">
        <v>14</v>
      </c>
      <c r="G519" s="4" t="n">
        <v>14</v>
      </c>
      <c r="H519" s="4" t="n">
        <v>13</v>
      </c>
      <c r="I519" s="4" t="n">
        <v>1</v>
      </c>
      <c r="J519" s="4" t="n">
        <v>0</v>
      </c>
      <c r="K519" s="4" t="n">
        <v>0</v>
      </c>
      <c r="L519" s="11" t="b">
        <f aca="false">FALSE()</f>
        <v>0</v>
      </c>
    </row>
    <row r="520" customFormat="false" ht="15" hidden="false" customHeight="false" outlineLevel="0" collapsed="false">
      <c r="A520" s="4" t="s">
        <v>725</v>
      </c>
      <c r="B520" s="4" t="s">
        <v>101</v>
      </c>
      <c r="C520" s="4" t="s">
        <v>205</v>
      </c>
      <c r="D520" s="4" t="s">
        <v>206</v>
      </c>
      <c r="E520" s="4" t="n">
        <v>46266.0865856482</v>
      </c>
      <c r="F520" s="4" t="n">
        <v>14</v>
      </c>
      <c r="G520" s="4" t="n">
        <v>14</v>
      </c>
      <c r="H520" s="4" t="n">
        <v>13</v>
      </c>
      <c r="I520" s="4" t="n">
        <v>0</v>
      </c>
      <c r="J520" s="4" t="n">
        <v>1</v>
      </c>
      <c r="K520" s="4" t="n">
        <v>0</v>
      </c>
      <c r="L520" s="11" t="b">
        <f aca="false">FALSE()</f>
        <v>0</v>
      </c>
    </row>
    <row r="521" customFormat="false" ht="15" hidden="false" customHeight="false" outlineLevel="0" collapsed="false">
      <c r="A521" s="4" t="s">
        <v>726</v>
      </c>
      <c r="B521" s="4" t="s">
        <v>103</v>
      </c>
      <c r="C521" s="4" t="s">
        <v>205</v>
      </c>
      <c r="D521" s="4" t="s">
        <v>206</v>
      </c>
      <c r="E521" s="4" t="n">
        <v>46266.1307175926</v>
      </c>
      <c r="F521" s="4" t="n">
        <v>10</v>
      </c>
      <c r="G521" s="4" t="n">
        <v>10</v>
      </c>
      <c r="H521" s="4" t="n">
        <v>9</v>
      </c>
      <c r="I521" s="4" t="n">
        <v>1</v>
      </c>
      <c r="J521" s="4" t="n">
        <v>0</v>
      </c>
      <c r="K521" s="4" t="n">
        <v>0</v>
      </c>
      <c r="L521" s="11" t="b">
        <f aca="false">FALSE()</f>
        <v>0</v>
      </c>
    </row>
    <row r="522" customFormat="false" ht="15" hidden="false" customHeight="false" outlineLevel="0" collapsed="false">
      <c r="A522" s="4" t="s">
        <v>727</v>
      </c>
      <c r="B522" s="4" t="s">
        <v>100</v>
      </c>
      <c r="C522" s="4" t="s">
        <v>205</v>
      </c>
      <c r="D522" s="4" t="s">
        <v>206</v>
      </c>
      <c r="E522" s="4" t="n">
        <v>46266.1688541667</v>
      </c>
      <c r="F522" s="4" t="n">
        <v>18</v>
      </c>
      <c r="G522" s="4" t="n">
        <v>18</v>
      </c>
      <c r="H522" s="4" t="n">
        <v>16</v>
      </c>
      <c r="I522" s="4" t="n">
        <v>1</v>
      </c>
      <c r="J522" s="4" t="n">
        <v>1</v>
      </c>
      <c r="K522" s="4" t="n">
        <v>0</v>
      </c>
      <c r="L522" s="11" t="b">
        <f aca="false">FALSE()</f>
        <v>0</v>
      </c>
    </row>
    <row r="523" customFormat="false" ht="15" hidden="false" customHeight="false" outlineLevel="0" collapsed="false">
      <c r="A523" s="4" t="s">
        <v>728</v>
      </c>
      <c r="B523" s="4" t="s">
        <v>99</v>
      </c>
      <c r="C523" s="4" t="s">
        <v>205</v>
      </c>
      <c r="D523" s="4" t="s">
        <v>206</v>
      </c>
      <c r="E523" s="4" t="n">
        <v>46266.2148726852</v>
      </c>
      <c r="F523" s="4" t="n">
        <v>31</v>
      </c>
      <c r="G523" s="4" t="n">
        <v>31</v>
      </c>
      <c r="H523" s="4" t="n">
        <v>31</v>
      </c>
      <c r="I523" s="4" t="n">
        <v>0</v>
      </c>
      <c r="J523" s="4" t="n">
        <v>0</v>
      </c>
      <c r="K523" s="4" t="n">
        <v>0</v>
      </c>
      <c r="L523" s="11" t="b">
        <f aca="false">FALSE()</f>
        <v>0</v>
      </c>
    </row>
    <row r="524" customFormat="false" ht="15" hidden="false" customHeight="false" outlineLevel="0" collapsed="false">
      <c r="A524" s="4" t="s">
        <v>729</v>
      </c>
      <c r="B524" s="4" t="s">
        <v>101</v>
      </c>
      <c r="C524" s="4" t="s">
        <v>205</v>
      </c>
      <c r="D524" s="4" t="s">
        <v>206</v>
      </c>
      <c r="E524" s="4" t="n">
        <v>46266.2543402778</v>
      </c>
      <c r="F524" s="4" t="n">
        <v>11</v>
      </c>
      <c r="G524" s="4" t="n">
        <v>11</v>
      </c>
      <c r="H524" s="4" t="n">
        <v>8</v>
      </c>
      <c r="I524" s="4" t="n">
        <v>3</v>
      </c>
      <c r="J524" s="4" t="n">
        <v>0</v>
      </c>
      <c r="K524" s="4" t="n">
        <v>0</v>
      </c>
      <c r="L524" s="11" t="b">
        <f aca="false">FALSE()</f>
        <v>0</v>
      </c>
    </row>
    <row r="525" customFormat="false" ht="15" hidden="false" customHeight="false" outlineLevel="0" collapsed="false">
      <c r="A525" s="4" t="s">
        <v>730</v>
      </c>
      <c r="B525" s="4" t="s">
        <v>104</v>
      </c>
      <c r="C525" s="4" t="s">
        <v>205</v>
      </c>
      <c r="D525" s="4" t="s">
        <v>206</v>
      </c>
      <c r="E525" s="4" t="n">
        <v>46266.2562847222</v>
      </c>
      <c r="F525" s="4" t="n">
        <v>8</v>
      </c>
      <c r="G525" s="4" t="n">
        <v>8</v>
      </c>
      <c r="H525" s="4" t="n">
        <v>7</v>
      </c>
      <c r="I525" s="4" t="n">
        <v>1</v>
      </c>
      <c r="J525" s="4" t="n">
        <v>0</v>
      </c>
      <c r="K525" s="4" t="n">
        <v>0</v>
      </c>
      <c r="L525" s="11" t="b">
        <f aca="false">FALSE()</f>
        <v>0</v>
      </c>
    </row>
    <row r="526" customFormat="false" ht="15" hidden="false" customHeight="false" outlineLevel="0" collapsed="false">
      <c r="A526" s="4" t="s">
        <v>731</v>
      </c>
      <c r="B526" s="4" t="s">
        <v>102</v>
      </c>
      <c r="C526" s="4" t="s">
        <v>205</v>
      </c>
      <c r="D526" s="4" t="s">
        <v>206</v>
      </c>
      <c r="E526" s="4" t="n">
        <v>46266.2958449074</v>
      </c>
      <c r="F526" s="4" t="n">
        <v>6</v>
      </c>
      <c r="G526" s="4" t="n">
        <v>6</v>
      </c>
      <c r="H526" s="4" t="n">
        <v>5</v>
      </c>
      <c r="I526" s="4" t="n">
        <v>1</v>
      </c>
      <c r="J526" s="4" t="n">
        <v>0</v>
      </c>
      <c r="K526" s="4" t="n">
        <v>0</v>
      </c>
      <c r="L526" s="11" t="b">
        <f aca="false">FALSE()</f>
        <v>0</v>
      </c>
    </row>
    <row r="527" customFormat="false" ht="15" hidden="false" customHeight="false" outlineLevel="0" collapsed="false">
      <c r="A527" s="4" t="s">
        <v>732</v>
      </c>
      <c r="B527" s="4" t="s">
        <v>100</v>
      </c>
      <c r="C527" s="4" t="s">
        <v>205</v>
      </c>
      <c r="D527" s="4" t="s">
        <v>206</v>
      </c>
      <c r="E527" s="4" t="n">
        <v>46266.3365162037</v>
      </c>
      <c r="F527" s="4" t="n">
        <v>27</v>
      </c>
      <c r="G527" s="4" t="n">
        <v>27</v>
      </c>
      <c r="H527" s="4" t="n">
        <v>26</v>
      </c>
      <c r="I527" s="4" t="n">
        <v>0</v>
      </c>
      <c r="J527" s="4" t="n">
        <v>1</v>
      </c>
      <c r="K527" s="4" t="n">
        <v>0</v>
      </c>
      <c r="L527" s="11" t="b">
        <f aca="false">FALSE()</f>
        <v>0</v>
      </c>
    </row>
    <row r="528" customFormat="false" ht="15" hidden="false" customHeight="false" outlineLevel="0" collapsed="false">
      <c r="A528" s="4" t="s">
        <v>733</v>
      </c>
      <c r="B528" s="4" t="s">
        <v>103</v>
      </c>
      <c r="C528" s="4" t="s">
        <v>205</v>
      </c>
      <c r="D528" s="4" t="s">
        <v>206</v>
      </c>
      <c r="E528" s="4" t="n">
        <v>46266.3805787037</v>
      </c>
      <c r="F528" s="4" t="n">
        <v>18</v>
      </c>
      <c r="G528" s="4" t="n">
        <v>18</v>
      </c>
      <c r="H528" s="4" t="n">
        <v>15</v>
      </c>
      <c r="I528" s="4" t="n">
        <v>3</v>
      </c>
      <c r="J528" s="4" t="n">
        <v>0</v>
      </c>
      <c r="K528" s="4" t="n">
        <v>0</v>
      </c>
      <c r="L528" s="11" t="b">
        <f aca="false">FALSE()</f>
        <v>0</v>
      </c>
    </row>
    <row r="529" customFormat="false" ht="15" hidden="false" customHeight="false" outlineLevel="0" collapsed="false">
      <c r="A529" s="4" t="s">
        <v>734</v>
      </c>
      <c r="B529" s="4" t="s">
        <v>101</v>
      </c>
      <c r="C529" s="4" t="s">
        <v>205</v>
      </c>
      <c r="D529" s="4" t="s">
        <v>206</v>
      </c>
      <c r="E529" s="4" t="n">
        <v>46266.4196180556</v>
      </c>
      <c r="F529" s="4" t="n">
        <v>36</v>
      </c>
      <c r="G529" s="4" t="n">
        <v>36</v>
      </c>
      <c r="H529" s="4" t="n">
        <v>35</v>
      </c>
      <c r="I529" s="4" t="n">
        <v>0</v>
      </c>
      <c r="J529" s="4" t="n">
        <v>1</v>
      </c>
      <c r="K529" s="4" t="n">
        <v>0</v>
      </c>
      <c r="L529" s="11" t="b">
        <f aca="false">TRUE()</f>
        <v>1</v>
      </c>
    </row>
    <row r="530" customFormat="false" ht="15" hidden="false" customHeight="false" outlineLevel="0" collapsed="false">
      <c r="A530" s="4" t="s">
        <v>735</v>
      </c>
      <c r="B530" s="4" t="s">
        <v>100</v>
      </c>
      <c r="C530" s="4" t="s">
        <v>205</v>
      </c>
      <c r="D530" s="4" t="s">
        <v>206</v>
      </c>
      <c r="E530" s="4" t="n">
        <v>46266.5036805556</v>
      </c>
      <c r="F530" s="4" t="n">
        <v>78</v>
      </c>
      <c r="G530" s="4" t="n">
        <v>78</v>
      </c>
      <c r="H530" s="4" t="n">
        <v>76</v>
      </c>
      <c r="I530" s="4" t="n">
        <v>1</v>
      </c>
      <c r="J530" s="4" t="n">
        <v>0</v>
      </c>
      <c r="K530" s="4" t="n">
        <v>1</v>
      </c>
      <c r="L530" s="11" t="b">
        <f aca="false">FALSE()</f>
        <v>0</v>
      </c>
    </row>
    <row r="531" customFormat="false" ht="15" hidden="false" customHeight="false" outlineLevel="0" collapsed="false">
      <c r="A531" s="4" t="s">
        <v>736</v>
      </c>
      <c r="B531" s="4" t="s">
        <v>102</v>
      </c>
      <c r="C531" s="4" t="s">
        <v>205</v>
      </c>
      <c r="D531" s="4" t="s">
        <v>206</v>
      </c>
      <c r="E531" s="4" t="n">
        <v>46266.5454861111</v>
      </c>
      <c r="F531" s="4" t="n">
        <v>28</v>
      </c>
      <c r="G531" s="4" t="n">
        <v>28</v>
      </c>
      <c r="H531" s="4" t="n">
        <v>25</v>
      </c>
      <c r="I531" s="4" t="n">
        <v>3</v>
      </c>
      <c r="J531" s="4" t="n">
        <v>0</v>
      </c>
      <c r="K531" s="4" t="n">
        <v>0</v>
      </c>
      <c r="L531" s="11" t="b">
        <f aca="false">FALSE()</f>
        <v>0</v>
      </c>
    </row>
    <row r="532" customFormat="false" ht="15" hidden="false" customHeight="false" outlineLevel="0" collapsed="false">
      <c r="A532" s="4" t="s">
        <v>737</v>
      </c>
      <c r="B532" s="4" t="s">
        <v>101</v>
      </c>
      <c r="C532" s="4" t="s">
        <v>205</v>
      </c>
      <c r="D532" s="4" t="s">
        <v>206</v>
      </c>
      <c r="E532" s="4" t="n">
        <v>46266.5874421296</v>
      </c>
      <c r="F532" s="4" t="n">
        <v>51</v>
      </c>
      <c r="G532" s="4" t="n">
        <v>51</v>
      </c>
      <c r="H532" s="4" t="n">
        <v>46</v>
      </c>
      <c r="I532" s="4" t="n">
        <v>3</v>
      </c>
      <c r="J532" s="4" t="n">
        <v>2</v>
      </c>
      <c r="K532" s="4" t="n">
        <v>0</v>
      </c>
      <c r="L532" s="11" t="b">
        <f aca="false">FALSE()</f>
        <v>0</v>
      </c>
    </row>
    <row r="533" customFormat="false" ht="15" hidden="false" customHeight="false" outlineLevel="0" collapsed="false">
      <c r="A533" s="4" t="s">
        <v>738</v>
      </c>
      <c r="B533" s="4" t="s">
        <v>103</v>
      </c>
      <c r="C533" s="4" t="s">
        <v>205</v>
      </c>
      <c r="D533" s="4" t="s">
        <v>206</v>
      </c>
      <c r="E533" s="4" t="n">
        <v>46266.6305902778</v>
      </c>
      <c r="F533" s="4" t="n">
        <v>29</v>
      </c>
      <c r="G533" s="4" t="n">
        <v>29</v>
      </c>
      <c r="H533" s="4" t="n">
        <v>28</v>
      </c>
      <c r="I533" s="4" t="n">
        <v>0</v>
      </c>
      <c r="J533" s="4" t="n">
        <v>0</v>
      </c>
      <c r="K533" s="4" t="n">
        <v>1</v>
      </c>
      <c r="L533" s="11" t="b">
        <f aca="false">FALSE()</f>
        <v>0</v>
      </c>
    </row>
    <row r="534" customFormat="false" ht="15" hidden="false" customHeight="false" outlineLevel="0" collapsed="false">
      <c r="A534" s="4" t="s">
        <v>739</v>
      </c>
      <c r="B534" s="4" t="s">
        <v>100</v>
      </c>
      <c r="C534" s="4" t="s">
        <v>205</v>
      </c>
      <c r="D534" s="4" t="s">
        <v>206</v>
      </c>
      <c r="E534" s="4" t="n">
        <v>46266.6703356481</v>
      </c>
      <c r="F534" s="4" t="n">
        <v>78</v>
      </c>
      <c r="G534" s="4" t="n">
        <v>78</v>
      </c>
      <c r="H534" s="4" t="n">
        <v>74</v>
      </c>
      <c r="I534" s="4" t="n">
        <v>3</v>
      </c>
      <c r="J534" s="4" t="n">
        <v>1</v>
      </c>
      <c r="K534" s="4" t="n">
        <v>0</v>
      </c>
      <c r="L534" s="11" t="b">
        <f aca="false">FALSE()</f>
        <v>0</v>
      </c>
    </row>
    <row r="535" customFormat="false" ht="15" hidden="false" customHeight="false" outlineLevel="0" collapsed="false">
      <c r="A535" s="4" t="s">
        <v>740</v>
      </c>
      <c r="B535" s="4" t="s">
        <v>101</v>
      </c>
      <c r="C535" s="4" t="s">
        <v>205</v>
      </c>
      <c r="D535" s="4" t="s">
        <v>206</v>
      </c>
      <c r="E535" s="4" t="n">
        <v>46266.7539814815</v>
      </c>
      <c r="F535" s="4" t="n">
        <v>46</v>
      </c>
      <c r="G535" s="4" t="n">
        <v>46</v>
      </c>
      <c r="H535" s="4" t="n">
        <v>44</v>
      </c>
      <c r="I535" s="4" t="n">
        <v>2</v>
      </c>
      <c r="J535" s="4" t="n">
        <v>0</v>
      </c>
      <c r="K535" s="4" t="n">
        <v>0</v>
      </c>
      <c r="L535" s="11" t="b">
        <f aca="false">FALSE()</f>
        <v>0</v>
      </c>
    </row>
    <row r="536" customFormat="false" ht="15" hidden="false" customHeight="false" outlineLevel="0" collapsed="false">
      <c r="A536" s="4" t="s">
        <v>741</v>
      </c>
      <c r="B536" s="4" t="s">
        <v>104</v>
      </c>
      <c r="C536" s="4" t="s">
        <v>205</v>
      </c>
      <c r="D536" s="4" t="s">
        <v>206</v>
      </c>
      <c r="E536" s="4" t="n">
        <v>46266.7559143519</v>
      </c>
      <c r="F536" s="4" t="n">
        <v>24</v>
      </c>
      <c r="G536" s="4" t="n">
        <v>24</v>
      </c>
      <c r="H536" s="4" t="n">
        <v>21</v>
      </c>
      <c r="I536" s="4" t="n">
        <v>3</v>
      </c>
      <c r="J536" s="4" t="n">
        <v>0</v>
      </c>
      <c r="K536" s="4" t="n">
        <v>0</v>
      </c>
      <c r="L536" s="11" t="b">
        <f aca="false">FALSE()</f>
        <v>0</v>
      </c>
    </row>
    <row r="537" customFormat="false" ht="15" hidden="false" customHeight="false" outlineLevel="0" collapsed="false">
      <c r="A537" s="4" t="s">
        <v>742</v>
      </c>
      <c r="B537" s="4" t="s">
        <v>102</v>
      </c>
      <c r="C537" s="4" t="s">
        <v>205</v>
      </c>
      <c r="D537" s="4" t="s">
        <v>206</v>
      </c>
      <c r="E537" s="4" t="n">
        <v>46266.7962847222</v>
      </c>
      <c r="F537" s="4" t="n">
        <v>28</v>
      </c>
      <c r="G537" s="4" t="n">
        <v>28</v>
      </c>
      <c r="H537" s="4" t="n">
        <v>28</v>
      </c>
      <c r="I537" s="4" t="n">
        <v>0</v>
      </c>
      <c r="J537" s="4" t="n">
        <v>0</v>
      </c>
      <c r="K537" s="4" t="n">
        <v>0</v>
      </c>
      <c r="L537" s="11" t="b">
        <f aca="false">FALSE()</f>
        <v>0</v>
      </c>
    </row>
    <row r="538" customFormat="false" ht="15" hidden="false" customHeight="false" outlineLevel="0" collapsed="false">
      <c r="A538" s="4" t="s">
        <v>743</v>
      </c>
      <c r="B538" s="4" t="s">
        <v>100</v>
      </c>
      <c r="C538" s="4" t="s">
        <v>205</v>
      </c>
      <c r="D538" s="4" t="s">
        <v>206</v>
      </c>
      <c r="E538" s="4" t="n">
        <v>46266.8366087963</v>
      </c>
      <c r="F538" s="4" t="n">
        <v>68</v>
      </c>
      <c r="G538" s="4" t="n">
        <v>68</v>
      </c>
      <c r="H538" s="4" t="n">
        <v>64</v>
      </c>
      <c r="I538" s="4" t="n">
        <v>0</v>
      </c>
      <c r="J538" s="4" t="n">
        <v>4</v>
      </c>
      <c r="K538" s="4" t="n">
        <v>0</v>
      </c>
      <c r="L538" s="11" t="b">
        <f aca="false">FALSE()</f>
        <v>0</v>
      </c>
    </row>
    <row r="539" customFormat="false" ht="15" hidden="false" customHeight="false" outlineLevel="0" collapsed="false">
      <c r="A539" s="4" t="s">
        <v>744</v>
      </c>
      <c r="B539" s="4" t="s">
        <v>103</v>
      </c>
      <c r="C539" s="4" t="s">
        <v>205</v>
      </c>
      <c r="D539" s="4" t="s">
        <v>206</v>
      </c>
      <c r="E539" s="4" t="n">
        <v>46266.8792824074</v>
      </c>
      <c r="F539" s="4" t="n">
        <v>26</v>
      </c>
      <c r="G539" s="4" t="n">
        <v>26</v>
      </c>
      <c r="H539" s="4" t="n">
        <v>26</v>
      </c>
      <c r="I539" s="4" t="n">
        <v>0</v>
      </c>
      <c r="J539" s="4" t="n">
        <v>0</v>
      </c>
      <c r="K539" s="4" t="n">
        <v>0</v>
      </c>
      <c r="L539" s="11" t="b">
        <f aca="false">FALSE()</f>
        <v>0</v>
      </c>
    </row>
    <row r="540" customFormat="false" ht="15" hidden="false" customHeight="false" outlineLevel="0" collapsed="false">
      <c r="A540" s="4" t="s">
        <v>745</v>
      </c>
      <c r="B540" s="4" t="s">
        <v>101</v>
      </c>
      <c r="C540" s="4" t="s">
        <v>205</v>
      </c>
      <c r="D540" s="4" t="s">
        <v>206</v>
      </c>
      <c r="E540" s="4" t="n">
        <v>46266.9208449074</v>
      </c>
      <c r="F540" s="4" t="n">
        <v>40</v>
      </c>
      <c r="G540" s="4" t="n">
        <v>40</v>
      </c>
      <c r="H540" s="4" t="n">
        <v>37</v>
      </c>
      <c r="I540" s="4" t="n">
        <v>3</v>
      </c>
      <c r="J540" s="4" t="n">
        <v>0</v>
      </c>
      <c r="K540" s="4" t="n">
        <v>0</v>
      </c>
      <c r="L540" s="11" t="b">
        <f aca="false">FALSE()</f>
        <v>0</v>
      </c>
    </row>
    <row r="541" customFormat="false" ht="15" hidden="false" customHeight="false" outlineLevel="0" collapsed="false">
      <c r="A541" s="4" t="s">
        <v>746</v>
      </c>
      <c r="B541" s="4" t="s">
        <v>100</v>
      </c>
      <c r="C541" s="4" t="s">
        <v>205</v>
      </c>
      <c r="D541" s="4" t="s">
        <v>206</v>
      </c>
      <c r="E541" s="4" t="n">
        <v>46267.0030324074</v>
      </c>
      <c r="F541" s="4" t="n">
        <v>43</v>
      </c>
      <c r="G541" s="4" t="n">
        <v>43</v>
      </c>
      <c r="H541" s="4" t="n">
        <v>42</v>
      </c>
      <c r="I541" s="4" t="n">
        <v>1</v>
      </c>
      <c r="J541" s="4" t="n">
        <v>0</v>
      </c>
      <c r="K541" s="4" t="n">
        <v>0</v>
      </c>
      <c r="L541" s="11" t="b">
        <f aca="false">FALSE()</f>
        <v>0</v>
      </c>
    </row>
    <row r="542" customFormat="false" ht="15" hidden="false" customHeight="false" outlineLevel="0" collapsed="false">
      <c r="A542" s="4" t="s">
        <v>747</v>
      </c>
      <c r="B542" s="4" t="s">
        <v>102</v>
      </c>
      <c r="C542" s="4" t="s">
        <v>205</v>
      </c>
      <c r="D542" s="4" t="s">
        <v>206</v>
      </c>
      <c r="E542" s="4" t="n">
        <v>46267.045775463</v>
      </c>
      <c r="F542" s="4" t="n">
        <v>16</v>
      </c>
      <c r="G542" s="4" t="n">
        <v>16</v>
      </c>
      <c r="H542" s="4" t="n">
        <v>13</v>
      </c>
      <c r="I542" s="4" t="n">
        <v>3</v>
      </c>
      <c r="J542" s="4" t="n">
        <v>0</v>
      </c>
      <c r="K542" s="4" t="n">
        <v>0</v>
      </c>
      <c r="L542" s="11" t="b">
        <f aca="false">FALSE()</f>
        <v>0</v>
      </c>
    </row>
    <row r="543" customFormat="false" ht="15" hidden="false" customHeight="false" outlineLevel="0" collapsed="false">
      <c r="A543" s="4" t="s">
        <v>748</v>
      </c>
      <c r="B543" s="4" t="s">
        <v>101</v>
      </c>
      <c r="C543" s="4" t="s">
        <v>205</v>
      </c>
      <c r="D543" s="4" t="s">
        <v>206</v>
      </c>
      <c r="E543" s="4" t="n">
        <v>46267.0862847222</v>
      </c>
      <c r="F543" s="4" t="n">
        <v>16</v>
      </c>
      <c r="G543" s="4" t="n">
        <v>16</v>
      </c>
      <c r="H543" s="4" t="n">
        <v>13</v>
      </c>
      <c r="I543" s="4" t="n">
        <v>3</v>
      </c>
      <c r="J543" s="4" t="n">
        <v>0</v>
      </c>
      <c r="K543" s="4" t="n">
        <v>0</v>
      </c>
      <c r="L543" s="11" t="b">
        <f aca="false">FALSE()</f>
        <v>0</v>
      </c>
    </row>
    <row r="544" customFormat="false" ht="15" hidden="false" customHeight="false" outlineLevel="0" collapsed="false">
      <c r="A544" s="4" t="s">
        <v>749</v>
      </c>
      <c r="B544" s="4" t="s">
        <v>103</v>
      </c>
      <c r="C544" s="4" t="s">
        <v>205</v>
      </c>
      <c r="D544" s="4" t="s">
        <v>206</v>
      </c>
      <c r="E544" s="4" t="n">
        <v>46267.1305787037</v>
      </c>
      <c r="F544" s="4" t="n">
        <v>10</v>
      </c>
      <c r="G544" s="4" t="n">
        <v>10</v>
      </c>
      <c r="H544" s="4" t="n">
        <v>9</v>
      </c>
      <c r="I544" s="4" t="n">
        <v>1</v>
      </c>
      <c r="J544" s="4" t="n">
        <v>0</v>
      </c>
      <c r="K544" s="4" t="n">
        <v>0</v>
      </c>
      <c r="L544" s="11" t="b">
        <f aca="false">FALSE()</f>
        <v>0</v>
      </c>
    </row>
    <row r="545" customFormat="false" ht="15" hidden="false" customHeight="false" outlineLevel="0" collapsed="false">
      <c r="A545" s="4" t="s">
        <v>750</v>
      </c>
      <c r="B545" s="4" t="s">
        <v>100</v>
      </c>
      <c r="C545" s="4" t="s">
        <v>205</v>
      </c>
      <c r="D545" s="4" t="s">
        <v>206</v>
      </c>
      <c r="E545" s="4" t="n">
        <v>46267.1700810185</v>
      </c>
      <c r="F545" s="4" t="n">
        <v>17</v>
      </c>
      <c r="G545" s="4" t="n">
        <v>17</v>
      </c>
      <c r="H545" s="4" t="n">
        <v>15</v>
      </c>
      <c r="I545" s="4" t="n">
        <v>2</v>
      </c>
      <c r="J545" s="4" t="n">
        <v>0</v>
      </c>
      <c r="K545" s="4" t="n">
        <v>0</v>
      </c>
      <c r="L545" s="11" t="b">
        <f aca="false">FALSE()</f>
        <v>0</v>
      </c>
    </row>
    <row r="546" customFormat="false" ht="15" hidden="false" customHeight="false" outlineLevel="0" collapsed="false">
      <c r="A546" s="4" t="s">
        <v>751</v>
      </c>
      <c r="B546" s="4" t="s">
        <v>99</v>
      </c>
      <c r="C546" s="4" t="s">
        <v>205</v>
      </c>
      <c r="D546" s="4" t="s">
        <v>206</v>
      </c>
      <c r="E546" s="4" t="n">
        <v>46267.2138194444</v>
      </c>
      <c r="F546" s="4" t="n">
        <v>34</v>
      </c>
      <c r="G546" s="4" t="n">
        <v>34</v>
      </c>
      <c r="H546" s="4" t="n">
        <v>33</v>
      </c>
      <c r="I546" s="4" t="n">
        <v>1</v>
      </c>
      <c r="J546" s="4" t="n">
        <v>0</v>
      </c>
      <c r="K546" s="4" t="n">
        <v>0</v>
      </c>
      <c r="L546" s="11" t="b">
        <f aca="false">FALSE()</f>
        <v>0</v>
      </c>
    </row>
    <row r="547" customFormat="false" ht="15" hidden="false" customHeight="false" outlineLevel="0" collapsed="false">
      <c r="A547" s="4" t="s">
        <v>752</v>
      </c>
      <c r="B547" s="4" t="s">
        <v>101</v>
      </c>
      <c r="C547" s="4" t="s">
        <v>205</v>
      </c>
      <c r="D547" s="4" t="s">
        <v>206</v>
      </c>
      <c r="E547" s="4" t="n">
        <v>46267.2544907407</v>
      </c>
      <c r="F547" s="4" t="n">
        <v>12</v>
      </c>
      <c r="G547" s="4" t="n">
        <v>12</v>
      </c>
      <c r="H547" s="4" t="n">
        <v>11</v>
      </c>
      <c r="I547" s="4" t="n">
        <v>1</v>
      </c>
      <c r="J547" s="4" t="n">
        <v>0</v>
      </c>
      <c r="K547" s="4" t="n">
        <v>0</v>
      </c>
      <c r="L547" s="11" t="b">
        <f aca="false">FALSE()</f>
        <v>0</v>
      </c>
    </row>
    <row r="548" customFormat="false" ht="15" hidden="false" customHeight="false" outlineLevel="0" collapsed="false">
      <c r="A548" s="4" t="s">
        <v>753</v>
      </c>
      <c r="B548" s="4" t="s">
        <v>104</v>
      </c>
      <c r="C548" s="4" t="s">
        <v>205</v>
      </c>
      <c r="D548" s="4" t="s">
        <v>206</v>
      </c>
      <c r="E548" s="4" t="n">
        <v>46267.2557175926</v>
      </c>
      <c r="F548" s="4" t="n">
        <v>14</v>
      </c>
      <c r="G548" s="4" t="n">
        <v>14</v>
      </c>
      <c r="H548" s="4" t="n">
        <v>11</v>
      </c>
      <c r="I548" s="4" t="n">
        <v>3</v>
      </c>
      <c r="J548" s="4" t="n">
        <v>0</v>
      </c>
      <c r="K548" s="4" t="n">
        <v>0</v>
      </c>
      <c r="L548" s="11" t="b">
        <f aca="false">FALSE()</f>
        <v>0</v>
      </c>
    </row>
    <row r="549" customFormat="false" ht="15" hidden="false" customHeight="false" outlineLevel="0" collapsed="false">
      <c r="A549" s="4" t="s">
        <v>754</v>
      </c>
      <c r="B549" s="4" t="s">
        <v>102</v>
      </c>
      <c r="C549" s="4" t="s">
        <v>205</v>
      </c>
      <c r="D549" s="4" t="s">
        <v>206</v>
      </c>
      <c r="E549" s="4" t="n">
        <v>46267.2953935185</v>
      </c>
      <c r="F549" s="4" t="n">
        <v>9</v>
      </c>
      <c r="G549" s="4" t="n">
        <v>9</v>
      </c>
      <c r="H549" s="4" t="n">
        <v>6</v>
      </c>
      <c r="I549" s="4" t="n">
        <v>3</v>
      </c>
      <c r="J549" s="4" t="n">
        <v>0</v>
      </c>
      <c r="K549" s="4" t="n">
        <v>0</v>
      </c>
      <c r="L549" s="11" t="b">
        <f aca="false">FALSE()</f>
        <v>0</v>
      </c>
    </row>
    <row r="550" customFormat="false" ht="15" hidden="false" customHeight="false" outlineLevel="0" collapsed="false">
      <c r="A550" s="4" t="s">
        <v>755</v>
      </c>
      <c r="B550" s="4" t="s">
        <v>100</v>
      </c>
      <c r="C550" s="4" t="s">
        <v>205</v>
      </c>
      <c r="D550" s="4" t="s">
        <v>206</v>
      </c>
      <c r="E550" s="4" t="n">
        <v>46267.3370601852</v>
      </c>
      <c r="F550" s="4" t="n">
        <v>34</v>
      </c>
      <c r="G550" s="4" t="n">
        <v>34</v>
      </c>
      <c r="H550" s="4" t="n">
        <v>30</v>
      </c>
      <c r="I550" s="4" t="n">
        <v>2</v>
      </c>
      <c r="J550" s="4" t="n">
        <v>2</v>
      </c>
      <c r="K550" s="4" t="n">
        <v>0</v>
      </c>
      <c r="L550" s="11" t="b">
        <f aca="false">FALSE()</f>
        <v>0</v>
      </c>
    </row>
    <row r="551" customFormat="false" ht="15" hidden="false" customHeight="false" outlineLevel="0" collapsed="false">
      <c r="A551" s="4" t="s">
        <v>756</v>
      </c>
      <c r="B551" s="4" t="s">
        <v>103</v>
      </c>
      <c r="C551" s="4" t="s">
        <v>205</v>
      </c>
      <c r="D551" s="4" t="s">
        <v>206</v>
      </c>
      <c r="E551" s="4" t="n">
        <v>46267.3801851852</v>
      </c>
      <c r="F551" s="4" t="n">
        <v>15</v>
      </c>
      <c r="G551" s="4" t="n">
        <v>15</v>
      </c>
      <c r="H551" s="4" t="n">
        <v>14</v>
      </c>
      <c r="I551" s="4" t="n">
        <v>1</v>
      </c>
      <c r="J551" s="4" t="n">
        <v>0</v>
      </c>
      <c r="K551" s="4" t="n">
        <v>0</v>
      </c>
      <c r="L551" s="11" t="b">
        <f aca="false">FALSE()</f>
        <v>0</v>
      </c>
    </row>
    <row r="552" customFormat="false" ht="15" hidden="false" customHeight="false" outlineLevel="0" collapsed="false">
      <c r="A552" s="4" t="s">
        <v>757</v>
      </c>
      <c r="B552" s="4" t="s">
        <v>101</v>
      </c>
      <c r="C552" s="4" t="s">
        <v>205</v>
      </c>
      <c r="D552" s="4" t="s">
        <v>206</v>
      </c>
      <c r="E552" s="4" t="n">
        <v>46267.4196180556</v>
      </c>
      <c r="F552" s="4" t="n">
        <v>38</v>
      </c>
      <c r="G552" s="4" t="n">
        <v>38</v>
      </c>
      <c r="H552" s="4" t="n">
        <v>34</v>
      </c>
      <c r="I552" s="4" t="n">
        <v>2</v>
      </c>
      <c r="J552" s="4" t="n">
        <v>1</v>
      </c>
      <c r="K552" s="4" t="n">
        <v>1</v>
      </c>
      <c r="L552" s="11" t="b">
        <f aca="false">FALSE()</f>
        <v>0</v>
      </c>
    </row>
    <row r="553" customFormat="false" ht="15" hidden="false" customHeight="false" outlineLevel="0" collapsed="false">
      <c r="A553" s="4" t="s">
        <v>758</v>
      </c>
      <c r="B553" s="4" t="s">
        <v>100</v>
      </c>
      <c r="C553" s="4" t="s">
        <v>205</v>
      </c>
      <c r="D553" s="4" t="s">
        <v>206</v>
      </c>
      <c r="E553" s="4" t="n">
        <v>46267.5028935185</v>
      </c>
      <c r="F553" s="4" t="n">
        <v>70</v>
      </c>
      <c r="G553" s="4" t="n">
        <v>70</v>
      </c>
      <c r="H553" s="4" t="n">
        <v>70</v>
      </c>
      <c r="I553" s="4" t="n">
        <v>0</v>
      </c>
      <c r="J553" s="4" t="n">
        <v>0</v>
      </c>
      <c r="K553" s="4" t="n">
        <v>0</v>
      </c>
      <c r="L553" s="11" t="b">
        <f aca="false">FALSE()</f>
        <v>0</v>
      </c>
    </row>
    <row r="554" customFormat="false" ht="15" hidden="false" customHeight="false" outlineLevel="0" collapsed="false">
      <c r="A554" s="4" t="s">
        <v>759</v>
      </c>
      <c r="B554" s="4" t="s">
        <v>102</v>
      </c>
      <c r="C554" s="4" t="s">
        <v>205</v>
      </c>
      <c r="D554" s="4" t="s">
        <v>206</v>
      </c>
      <c r="E554" s="4" t="n">
        <v>46267.5454976852</v>
      </c>
      <c r="F554" s="4" t="n">
        <v>22</v>
      </c>
      <c r="G554" s="4" t="n">
        <v>22</v>
      </c>
      <c r="H554" s="4" t="n">
        <v>22</v>
      </c>
      <c r="I554" s="4" t="n">
        <v>0</v>
      </c>
      <c r="J554" s="4" t="n">
        <v>0</v>
      </c>
      <c r="K554" s="4" t="n">
        <v>0</v>
      </c>
      <c r="L554" s="11" t="b">
        <f aca="false">FALSE()</f>
        <v>0</v>
      </c>
    </row>
    <row r="555" customFormat="false" ht="15" hidden="false" customHeight="false" outlineLevel="0" collapsed="false">
      <c r="A555" s="4" t="s">
        <v>760</v>
      </c>
      <c r="B555" s="4" t="s">
        <v>101</v>
      </c>
      <c r="C555" s="4" t="s">
        <v>205</v>
      </c>
      <c r="D555" s="4" t="s">
        <v>206</v>
      </c>
      <c r="E555" s="4" t="n">
        <v>46267.5877083333</v>
      </c>
      <c r="F555" s="4" t="n">
        <v>55</v>
      </c>
      <c r="G555" s="4" t="n">
        <v>55</v>
      </c>
      <c r="H555" s="4" t="n">
        <v>52</v>
      </c>
      <c r="I555" s="4" t="n">
        <v>2</v>
      </c>
      <c r="J555" s="4" t="n">
        <v>1</v>
      </c>
      <c r="K555" s="4" t="n">
        <v>0</v>
      </c>
      <c r="L555" s="11" t="b">
        <f aca="false">FALSE()</f>
        <v>0</v>
      </c>
    </row>
    <row r="556" customFormat="false" ht="15" hidden="false" customHeight="false" outlineLevel="0" collapsed="false">
      <c r="A556" s="4" t="s">
        <v>761</v>
      </c>
      <c r="B556" s="4" t="s">
        <v>103</v>
      </c>
      <c r="C556" s="4" t="s">
        <v>205</v>
      </c>
      <c r="D556" s="4" t="s">
        <v>206</v>
      </c>
      <c r="E556" s="4" t="n">
        <v>46267.6301967593</v>
      </c>
      <c r="F556" s="4" t="n">
        <v>35</v>
      </c>
      <c r="G556" s="4" t="n">
        <v>35</v>
      </c>
      <c r="H556" s="4" t="n">
        <v>32</v>
      </c>
      <c r="I556" s="4" t="n">
        <v>3</v>
      </c>
      <c r="J556" s="4" t="n">
        <v>0</v>
      </c>
      <c r="K556" s="4" t="n">
        <v>0</v>
      </c>
      <c r="L556" s="11" t="b">
        <f aca="false">FALSE()</f>
        <v>0</v>
      </c>
    </row>
    <row r="557" customFormat="false" ht="15" hidden="false" customHeight="false" outlineLevel="0" collapsed="false">
      <c r="A557" s="4" t="s">
        <v>762</v>
      </c>
      <c r="B557" s="4" t="s">
        <v>100</v>
      </c>
      <c r="C557" s="4" t="s">
        <v>205</v>
      </c>
      <c r="D557" s="4" t="s">
        <v>206</v>
      </c>
      <c r="E557" s="4" t="n">
        <v>46267.6698842593</v>
      </c>
      <c r="F557" s="4" t="n">
        <v>76</v>
      </c>
      <c r="G557" s="4" t="n">
        <v>76</v>
      </c>
      <c r="H557" s="4" t="n">
        <v>74</v>
      </c>
      <c r="I557" s="4" t="n">
        <v>1</v>
      </c>
      <c r="J557" s="4" t="n">
        <v>1</v>
      </c>
      <c r="K557" s="4" t="n">
        <v>0</v>
      </c>
      <c r="L557" s="11" t="b">
        <f aca="false">TRUE()</f>
        <v>1</v>
      </c>
    </row>
    <row r="558" customFormat="false" ht="15" hidden="false" customHeight="false" outlineLevel="0" collapsed="false">
      <c r="A558" s="4" t="s">
        <v>763</v>
      </c>
      <c r="B558" s="4" t="s">
        <v>101</v>
      </c>
      <c r="C558" s="4" t="s">
        <v>205</v>
      </c>
      <c r="D558" s="4" t="s">
        <v>206</v>
      </c>
      <c r="E558" s="4" t="n">
        <v>46267.75375</v>
      </c>
      <c r="F558" s="4" t="n">
        <v>45</v>
      </c>
      <c r="G558" s="4" t="n">
        <v>45</v>
      </c>
      <c r="H558" s="4" t="n">
        <v>45</v>
      </c>
      <c r="I558" s="4" t="n">
        <v>0</v>
      </c>
      <c r="J558" s="4" t="n">
        <v>0</v>
      </c>
      <c r="K558" s="4" t="n">
        <v>0</v>
      </c>
      <c r="L558" s="11" t="b">
        <f aca="false">FALSE()</f>
        <v>0</v>
      </c>
    </row>
    <row r="559" customFormat="false" ht="15" hidden="false" customHeight="false" outlineLevel="0" collapsed="false">
      <c r="A559" s="4" t="s">
        <v>764</v>
      </c>
      <c r="B559" s="4" t="s">
        <v>104</v>
      </c>
      <c r="C559" s="4" t="s">
        <v>205</v>
      </c>
      <c r="D559" s="4" t="s">
        <v>206</v>
      </c>
      <c r="E559" s="4" t="n">
        <v>46267.7646296296</v>
      </c>
      <c r="F559" s="4" t="n">
        <v>21</v>
      </c>
      <c r="G559" s="4" t="n">
        <v>21</v>
      </c>
      <c r="H559" s="4" t="n">
        <v>20</v>
      </c>
      <c r="I559" s="4" t="n">
        <v>1</v>
      </c>
      <c r="J559" s="4" t="n">
        <v>0</v>
      </c>
      <c r="K559" s="4" t="n">
        <v>0</v>
      </c>
      <c r="L559" s="11" t="b">
        <f aca="false">TRUE()</f>
        <v>1</v>
      </c>
    </row>
    <row r="560" customFormat="false" ht="15" hidden="false" customHeight="false" outlineLevel="0" collapsed="false">
      <c r="A560" s="4" t="s">
        <v>765</v>
      </c>
      <c r="B560" s="4" t="s">
        <v>102</v>
      </c>
      <c r="C560" s="4" t="s">
        <v>205</v>
      </c>
      <c r="D560" s="4" t="s">
        <v>206</v>
      </c>
      <c r="E560" s="4" t="n">
        <v>46267.7965625</v>
      </c>
      <c r="F560" s="4" t="n">
        <v>30</v>
      </c>
      <c r="G560" s="4" t="n">
        <v>30</v>
      </c>
      <c r="H560" s="4" t="n">
        <v>27</v>
      </c>
      <c r="I560" s="4" t="n">
        <v>3</v>
      </c>
      <c r="J560" s="4" t="n">
        <v>0</v>
      </c>
      <c r="K560" s="4" t="n">
        <v>0</v>
      </c>
      <c r="L560" s="11" t="b">
        <f aca="false">FALSE()</f>
        <v>0</v>
      </c>
    </row>
    <row r="561" customFormat="false" ht="15" hidden="false" customHeight="false" outlineLevel="0" collapsed="false">
      <c r="A561" s="4" t="s">
        <v>766</v>
      </c>
      <c r="B561" s="4" t="s">
        <v>100</v>
      </c>
      <c r="C561" s="4" t="s">
        <v>205</v>
      </c>
      <c r="D561" s="4" t="s">
        <v>206</v>
      </c>
      <c r="E561" s="4" t="n">
        <v>46267.836087963</v>
      </c>
      <c r="F561" s="4" t="n">
        <v>71</v>
      </c>
      <c r="G561" s="4" t="n">
        <v>71</v>
      </c>
      <c r="H561" s="4" t="n">
        <v>70</v>
      </c>
      <c r="I561" s="4" t="n">
        <v>1</v>
      </c>
      <c r="J561" s="4" t="n">
        <v>0</v>
      </c>
      <c r="K561" s="4" t="n">
        <v>0</v>
      </c>
      <c r="L561" s="11" t="b">
        <f aca="false">FALSE()</f>
        <v>0</v>
      </c>
    </row>
    <row r="562" customFormat="false" ht="15" hidden="false" customHeight="false" outlineLevel="0" collapsed="false">
      <c r="A562" s="4" t="s">
        <v>767</v>
      </c>
      <c r="B562" s="4" t="s">
        <v>103</v>
      </c>
      <c r="C562" s="4" t="s">
        <v>205</v>
      </c>
      <c r="D562" s="4" t="s">
        <v>206</v>
      </c>
      <c r="E562" s="4" t="n">
        <v>46267.8803587963</v>
      </c>
      <c r="F562" s="4" t="n">
        <v>24</v>
      </c>
      <c r="G562" s="4" t="n">
        <v>24</v>
      </c>
      <c r="H562" s="4" t="n">
        <v>24</v>
      </c>
      <c r="I562" s="4" t="n">
        <v>0</v>
      </c>
      <c r="J562" s="4" t="n">
        <v>0</v>
      </c>
      <c r="K562" s="4" t="n">
        <v>0</v>
      </c>
      <c r="L562" s="11" t="b">
        <f aca="false">FALSE()</f>
        <v>0</v>
      </c>
    </row>
    <row r="563" customFormat="false" ht="15" hidden="false" customHeight="false" outlineLevel="0" collapsed="false">
      <c r="A563" s="4" t="s">
        <v>768</v>
      </c>
      <c r="B563" s="4" t="s">
        <v>101</v>
      </c>
      <c r="C563" s="4" t="s">
        <v>205</v>
      </c>
      <c r="D563" s="4" t="s">
        <v>206</v>
      </c>
      <c r="E563" s="4" t="n">
        <v>46267.9197337963</v>
      </c>
      <c r="F563" s="4" t="n">
        <v>42</v>
      </c>
      <c r="G563" s="4" t="n">
        <v>42</v>
      </c>
      <c r="H563" s="4" t="n">
        <v>39</v>
      </c>
      <c r="I563" s="4" t="n">
        <v>3</v>
      </c>
      <c r="J563" s="4" t="n">
        <v>0</v>
      </c>
      <c r="K563" s="4" t="n">
        <v>0</v>
      </c>
      <c r="L563" s="11" t="b">
        <f aca="false">FALSE()</f>
        <v>0</v>
      </c>
    </row>
    <row r="564" customFormat="false" ht="15" hidden="false" customHeight="false" outlineLevel="0" collapsed="false">
      <c r="A564" s="4" t="s">
        <v>769</v>
      </c>
      <c r="B564" s="4" t="s">
        <v>100</v>
      </c>
      <c r="C564" s="4" t="s">
        <v>205</v>
      </c>
      <c r="D564" s="4" t="s">
        <v>206</v>
      </c>
      <c r="E564" s="4" t="n">
        <v>46268.0037962963</v>
      </c>
      <c r="F564" s="4" t="n">
        <v>39</v>
      </c>
      <c r="G564" s="4" t="n">
        <v>39</v>
      </c>
      <c r="H564" s="4" t="n">
        <v>38</v>
      </c>
      <c r="I564" s="4" t="n">
        <v>1</v>
      </c>
      <c r="J564" s="4" t="n">
        <v>0</v>
      </c>
      <c r="K564" s="4" t="n">
        <v>0</v>
      </c>
      <c r="L564" s="11" t="b">
        <f aca="false">FALSE()</f>
        <v>0</v>
      </c>
    </row>
    <row r="565" customFormat="false" ht="15" hidden="false" customHeight="false" outlineLevel="0" collapsed="false">
      <c r="A565" s="4" t="s">
        <v>770</v>
      </c>
      <c r="B565" s="4" t="s">
        <v>102</v>
      </c>
      <c r="C565" s="4" t="s">
        <v>205</v>
      </c>
      <c r="D565" s="4" t="s">
        <v>206</v>
      </c>
      <c r="E565" s="4" t="n">
        <v>46268.0458449074</v>
      </c>
      <c r="F565" s="4" t="n">
        <v>17</v>
      </c>
      <c r="G565" s="4" t="n">
        <v>17</v>
      </c>
      <c r="H565" s="4" t="n">
        <v>15</v>
      </c>
      <c r="I565" s="4" t="n">
        <v>2</v>
      </c>
      <c r="J565" s="4" t="n">
        <v>0</v>
      </c>
      <c r="K565" s="4" t="n">
        <v>0</v>
      </c>
      <c r="L565" s="11" t="b">
        <f aca="false">FALSE()</f>
        <v>0</v>
      </c>
    </row>
    <row r="566" customFormat="false" ht="15" hidden="false" customHeight="false" outlineLevel="0" collapsed="false">
      <c r="A566" s="4" t="s">
        <v>771</v>
      </c>
      <c r="B566" s="4" t="s">
        <v>101</v>
      </c>
      <c r="C566" s="4" t="s">
        <v>205</v>
      </c>
      <c r="D566" s="4" t="s">
        <v>206</v>
      </c>
      <c r="E566" s="4" t="n">
        <v>46268.0863773148</v>
      </c>
      <c r="F566" s="4" t="n">
        <v>19</v>
      </c>
      <c r="G566" s="4" t="n">
        <v>19</v>
      </c>
      <c r="H566" s="4" t="n">
        <v>14</v>
      </c>
      <c r="I566" s="4" t="n">
        <v>3</v>
      </c>
      <c r="J566" s="4" t="n">
        <v>1</v>
      </c>
      <c r="K566" s="4" t="n">
        <v>1</v>
      </c>
      <c r="L566" s="11" t="b">
        <f aca="false">FALSE()</f>
        <v>0</v>
      </c>
    </row>
    <row r="567" customFormat="false" ht="15" hidden="false" customHeight="false" outlineLevel="0" collapsed="false">
      <c r="A567" s="4" t="s">
        <v>772</v>
      </c>
      <c r="B567" s="4" t="s">
        <v>103</v>
      </c>
      <c r="C567" s="4" t="s">
        <v>205</v>
      </c>
      <c r="D567" s="4" t="s">
        <v>206</v>
      </c>
      <c r="E567" s="4" t="n">
        <v>46268.130162037</v>
      </c>
      <c r="F567" s="4" t="n">
        <v>9</v>
      </c>
      <c r="G567" s="4" t="n">
        <v>9</v>
      </c>
      <c r="H567" s="4" t="n">
        <v>9</v>
      </c>
      <c r="I567" s="4" t="n">
        <v>0</v>
      </c>
      <c r="J567" s="4" t="n">
        <v>0</v>
      </c>
      <c r="K567" s="4" t="n">
        <v>0</v>
      </c>
      <c r="L567" s="11" t="b">
        <f aca="false">FALSE()</f>
        <v>0</v>
      </c>
    </row>
    <row r="568" customFormat="false" ht="15" hidden="false" customHeight="false" outlineLevel="0" collapsed="false">
      <c r="A568" s="4" t="s">
        <v>773</v>
      </c>
      <c r="B568" s="4" t="s">
        <v>100</v>
      </c>
      <c r="C568" s="4" t="s">
        <v>205</v>
      </c>
      <c r="D568" s="4" t="s">
        <v>206</v>
      </c>
      <c r="E568" s="4" t="n">
        <v>46268.1703819444</v>
      </c>
      <c r="F568" s="4" t="n">
        <v>15</v>
      </c>
      <c r="G568" s="4" t="n">
        <v>15</v>
      </c>
      <c r="H568" s="4" t="n">
        <v>15</v>
      </c>
      <c r="I568" s="4" t="n">
        <v>0</v>
      </c>
      <c r="J568" s="4" t="n">
        <v>0</v>
      </c>
      <c r="K568" s="4" t="n">
        <v>0</v>
      </c>
      <c r="L568" s="11" t="b">
        <f aca="false">FALSE()</f>
        <v>0</v>
      </c>
    </row>
    <row r="569" customFormat="false" ht="15" hidden="false" customHeight="false" outlineLevel="0" collapsed="false">
      <c r="A569" s="4" t="s">
        <v>774</v>
      </c>
      <c r="B569" s="4" t="s">
        <v>99</v>
      </c>
      <c r="C569" s="4" t="s">
        <v>205</v>
      </c>
      <c r="D569" s="4" t="s">
        <v>206</v>
      </c>
      <c r="E569" s="4" t="n">
        <v>46268.2132175926</v>
      </c>
      <c r="F569" s="4" t="n">
        <v>30</v>
      </c>
      <c r="G569" s="4" t="n">
        <v>30</v>
      </c>
      <c r="H569" s="4" t="n">
        <v>28</v>
      </c>
      <c r="I569" s="4" t="n">
        <v>2</v>
      </c>
      <c r="J569" s="4" t="n">
        <v>0</v>
      </c>
      <c r="K569" s="4" t="n">
        <v>0</v>
      </c>
      <c r="L569" s="11" t="b">
        <f aca="false">FALSE()</f>
        <v>0</v>
      </c>
    </row>
    <row r="570" customFormat="false" ht="15" hidden="false" customHeight="false" outlineLevel="0" collapsed="false">
      <c r="A570" s="4" t="s">
        <v>775</v>
      </c>
      <c r="B570" s="4" t="s">
        <v>101</v>
      </c>
      <c r="C570" s="4" t="s">
        <v>205</v>
      </c>
      <c r="D570" s="4" t="s">
        <v>206</v>
      </c>
      <c r="E570" s="4" t="n">
        <v>46268.252962963</v>
      </c>
      <c r="F570" s="4" t="n">
        <v>13</v>
      </c>
      <c r="G570" s="4" t="n">
        <v>13</v>
      </c>
      <c r="H570" s="4" t="n">
        <v>10</v>
      </c>
      <c r="I570" s="4" t="n">
        <v>3</v>
      </c>
      <c r="J570" s="4" t="n">
        <v>0</v>
      </c>
      <c r="K570" s="4" t="n">
        <v>0</v>
      </c>
      <c r="L570" s="11" t="b">
        <f aca="false">FALSE()</f>
        <v>0</v>
      </c>
    </row>
    <row r="571" customFormat="false" ht="15" hidden="false" customHeight="false" outlineLevel="0" collapsed="false">
      <c r="A571" s="4" t="s">
        <v>776</v>
      </c>
      <c r="B571" s="4" t="s">
        <v>104</v>
      </c>
      <c r="C571" s="4" t="s">
        <v>205</v>
      </c>
      <c r="D571" s="4" t="s">
        <v>206</v>
      </c>
      <c r="E571" s="4" t="n">
        <v>46268.2555671296</v>
      </c>
      <c r="F571" s="4" t="n">
        <v>10</v>
      </c>
      <c r="G571" s="4" t="n">
        <v>10</v>
      </c>
      <c r="H571" s="4" t="n">
        <v>10</v>
      </c>
      <c r="I571" s="4" t="n">
        <v>0</v>
      </c>
      <c r="J571" s="4" t="n">
        <v>0</v>
      </c>
      <c r="K571" s="4" t="n">
        <v>0</v>
      </c>
      <c r="L571" s="11" t="b">
        <f aca="false">FALSE()</f>
        <v>0</v>
      </c>
    </row>
    <row r="572" customFormat="false" ht="15" hidden="false" customHeight="false" outlineLevel="0" collapsed="false">
      <c r="A572" s="4" t="s">
        <v>777</v>
      </c>
      <c r="B572" s="4" t="s">
        <v>102</v>
      </c>
      <c r="C572" s="4" t="s">
        <v>205</v>
      </c>
      <c r="D572" s="4" t="s">
        <v>206</v>
      </c>
      <c r="E572" s="4" t="n">
        <v>46268.2956597222</v>
      </c>
      <c r="F572" s="4" t="n">
        <v>10</v>
      </c>
      <c r="G572" s="4" t="n">
        <v>10</v>
      </c>
      <c r="H572" s="4" t="n">
        <v>7</v>
      </c>
      <c r="I572" s="4" t="n">
        <v>3</v>
      </c>
      <c r="J572" s="4" t="n">
        <v>0</v>
      </c>
      <c r="K572" s="4" t="n">
        <v>0</v>
      </c>
      <c r="L572" s="11" t="b">
        <f aca="false">FALSE()</f>
        <v>0</v>
      </c>
    </row>
    <row r="573" customFormat="false" ht="15" hidden="false" customHeight="false" outlineLevel="0" collapsed="false">
      <c r="A573" s="4" t="s">
        <v>778</v>
      </c>
      <c r="B573" s="4" t="s">
        <v>100</v>
      </c>
      <c r="C573" s="4" t="s">
        <v>205</v>
      </c>
      <c r="D573" s="4" t="s">
        <v>206</v>
      </c>
      <c r="E573" s="4" t="n">
        <v>46268.3366203704</v>
      </c>
      <c r="F573" s="4" t="n">
        <v>35</v>
      </c>
      <c r="G573" s="4" t="n">
        <v>35</v>
      </c>
      <c r="H573" s="4" t="n">
        <v>31</v>
      </c>
      <c r="I573" s="4" t="n">
        <v>3</v>
      </c>
      <c r="J573" s="4" t="n">
        <v>0</v>
      </c>
      <c r="K573" s="4" t="n">
        <v>1</v>
      </c>
      <c r="L573" s="11" t="b">
        <f aca="false">FALSE()</f>
        <v>0</v>
      </c>
    </row>
    <row r="574" customFormat="false" ht="15" hidden="false" customHeight="false" outlineLevel="0" collapsed="false">
      <c r="A574" s="4" t="s">
        <v>779</v>
      </c>
      <c r="B574" s="4" t="s">
        <v>103</v>
      </c>
      <c r="C574" s="4" t="s">
        <v>205</v>
      </c>
      <c r="D574" s="4" t="s">
        <v>206</v>
      </c>
      <c r="E574" s="4" t="n">
        <v>46268.3793402778</v>
      </c>
      <c r="F574" s="4" t="n">
        <v>11</v>
      </c>
      <c r="G574" s="4" t="n">
        <v>11</v>
      </c>
      <c r="H574" s="4" t="n">
        <v>11</v>
      </c>
      <c r="I574" s="4" t="n">
        <v>0</v>
      </c>
      <c r="J574" s="4" t="n">
        <v>0</v>
      </c>
      <c r="K574" s="4" t="n">
        <v>0</v>
      </c>
      <c r="L574" s="11" t="b">
        <f aca="false">FALSE()</f>
        <v>0</v>
      </c>
    </row>
    <row r="575" customFormat="false" ht="15" hidden="false" customHeight="false" outlineLevel="0" collapsed="false">
      <c r="A575" s="4" t="s">
        <v>780</v>
      </c>
      <c r="B575" s="4" t="s">
        <v>101</v>
      </c>
      <c r="C575" s="4" t="s">
        <v>205</v>
      </c>
      <c r="D575" s="4" t="s">
        <v>206</v>
      </c>
      <c r="E575" s="4" t="n">
        <v>46268.4199189815</v>
      </c>
      <c r="F575" s="4" t="n">
        <v>35</v>
      </c>
      <c r="G575" s="4" t="n">
        <v>35</v>
      </c>
      <c r="H575" s="4" t="n">
        <v>32</v>
      </c>
      <c r="I575" s="4" t="n">
        <v>3</v>
      </c>
      <c r="J575" s="4" t="n">
        <v>0</v>
      </c>
      <c r="K575" s="4" t="n">
        <v>0</v>
      </c>
      <c r="L575" s="11" t="b">
        <f aca="false">FALSE()</f>
        <v>0</v>
      </c>
    </row>
    <row r="576" customFormat="false" ht="15" hidden="false" customHeight="false" outlineLevel="0" collapsed="false">
      <c r="A576" s="4" t="s">
        <v>781</v>
      </c>
      <c r="B576" s="4" t="s">
        <v>100</v>
      </c>
      <c r="C576" s="4" t="s">
        <v>205</v>
      </c>
      <c r="D576" s="4" t="s">
        <v>206</v>
      </c>
      <c r="E576" s="4" t="n">
        <v>46268.5022800926</v>
      </c>
      <c r="F576" s="4" t="n">
        <v>74</v>
      </c>
      <c r="G576" s="4" t="n">
        <v>74</v>
      </c>
      <c r="H576" s="4" t="n">
        <v>72</v>
      </c>
      <c r="I576" s="4" t="n">
        <v>2</v>
      </c>
      <c r="J576" s="4" t="n">
        <v>0</v>
      </c>
      <c r="K576" s="4" t="n">
        <v>0</v>
      </c>
      <c r="L576" s="11" t="b">
        <f aca="false">FALSE()</f>
        <v>0</v>
      </c>
    </row>
    <row r="577" customFormat="false" ht="15" hidden="false" customHeight="false" outlineLevel="0" collapsed="false">
      <c r="A577" s="4" t="s">
        <v>782</v>
      </c>
      <c r="B577" s="4" t="s">
        <v>102</v>
      </c>
      <c r="C577" s="4" t="s">
        <v>205</v>
      </c>
      <c r="D577" s="4" t="s">
        <v>206</v>
      </c>
      <c r="E577" s="4" t="n">
        <v>46268.546412037</v>
      </c>
      <c r="F577" s="4" t="n">
        <v>25</v>
      </c>
      <c r="G577" s="4" t="n">
        <v>25</v>
      </c>
      <c r="H577" s="4" t="n">
        <v>24</v>
      </c>
      <c r="I577" s="4" t="n">
        <v>1</v>
      </c>
      <c r="J577" s="4" t="n">
        <v>0</v>
      </c>
      <c r="K577" s="4" t="n">
        <v>0</v>
      </c>
      <c r="L577" s="11" t="b">
        <f aca="false">FALSE()</f>
        <v>0</v>
      </c>
    </row>
    <row r="578" customFormat="false" ht="15" hidden="false" customHeight="false" outlineLevel="0" collapsed="false">
      <c r="A578" s="4" t="s">
        <v>783</v>
      </c>
      <c r="B578" s="4" t="s">
        <v>101</v>
      </c>
      <c r="C578" s="4" t="s">
        <v>205</v>
      </c>
      <c r="D578" s="4" t="s">
        <v>206</v>
      </c>
      <c r="E578" s="4" t="n">
        <v>46268.5870138889</v>
      </c>
      <c r="F578" s="4" t="n">
        <v>52</v>
      </c>
      <c r="G578" s="4" t="n">
        <v>52</v>
      </c>
      <c r="H578" s="4" t="n">
        <v>51</v>
      </c>
      <c r="I578" s="4" t="n">
        <v>1</v>
      </c>
      <c r="J578" s="4" t="n">
        <v>0</v>
      </c>
      <c r="K578" s="4" t="n">
        <v>0</v>
      </c>
      <c r="L578" s="11" t="b">
        <f aca="false">FALSE()</f>
        <v>0</v>
      </c>
    </row>
    <row r="579" customFormat="false" ht="15" hidden="false" customHeight="false" outlineLevel="0" collapsed="false">
      <c r="A579" s="4" t="s">
        <v>784</v>
      </c>
      <c r="B579" s="4" t="s">
        <v>103</v>
      </c>
      <c r="C579" s="4" t="s">
        <v>205</v>
      </c>
      <c r="D579" s="4" t="s">
        <v>206</v>
      </c>
      <c r="E579" s="4" t="n">
        <v>46268.6296759259</v>
      </c>
      <c r="F579" s="4" t="n">
        <v>27</v>
      </c>
      <c r="G579" s="4" t="n">
        <v>27</v>
      </c>
      <c r="H579" s="4" t="n">
        <v>26</v>
      </c>
      <c r="I579" s="4" t="n">
        <v>1</v>
      </c>
      <c r="J579" s="4" t="n">
        <v>0</v>
      </c>
      <c r="K579" s="4" t="n">
        <v>0</v>
      </c>
      <c r="L579" s="11" t="b">
        <f aca="false">FALSE()</f>
        <v>0</v>
      </c>
    </row>
    <row r="580" customFormat="false" ht="15" hidden="false" customHeight="false" outlineLevel="0" collapsed="false">
      <c r="A580" s="4" t="s">
        <v>785</v>
      </c>
      <c r="B580" s="4" t="s">
        <v>100</v>
      </c>
      <c r="C580" s="4" t="s">
        <v>205</v>
      </c>
      <c r="D580" s="4" t="s">
        <v>206</v>
      </c>
      <c r="E580" s="4" t="n">
        <v>46268.6700231481</v>
      </c>
      <c r="F580" s="4" t="n">
        <v>80</v>
      </c>
      <c r="G580" s="4" t="n">
        <v>80</v>
      </c>
      <c r="H580" s="4" t="n">
        <v>79</v>
      </c>
      <c r="I580" s="4" t="n">
        <v>1</v>
      </c>
      <c r="J580" s="4" t="n">
        <v>0</v>
      </c>
      <c r="K580" s="4" t="n">
        <v>0</v>
      </c>
      <c r="L580" s="11" t="b">
        <f aca="false">FALSE()</f>
        <v>0</v>
      </c>
    </row>
    <row r="581" customFormat="false" ht="15" hidden="false" customHeight="false" outlineLevel="0" collapsed="false">
      <c r="A581" s="4" t="s">
        <v>786</v>
      </c>
      <c r="B581" s="4" t="s">
        <v>101</v>
      </c>
      <c r="C581" s="4" t="s">
        <v>205</v>
      </c>
      <c r="D581" s="4" t="s">
        <v>206</v>
      </c>
      <c r="E581" s="4" t="n">
        <v>46268.7532638889</v>
      </c>
      <c r="F581" s="4" t="n">
        <v>47</v>
      </c>
      <c r="G581" s="4" t="n">
        <v>47</v>
      </c>
      <c r="H581" s="4" t="n">
        <v>46</v>
      </c>
      <c r="I581" s="4" t="n">
        <v>0</v>
      </c>
      <c r="J581" s="4" t="n">
        <v>0</v>
      </c>
      <c r="K581" s="4" t="n">
        <v>1</v>
      </c>
      <c r="L581" s="11" t="b">
        <f aca="false">FALSE()</f>
        <v>0</v>
      </c>
    </row>
    <row r="582" customFormat="false" ht="15" hidden="false" customHeight="false" outlineLevel="0" collapsed="false">
      <c r="A582" s="4" t="s">
        <v>787</v>
      </c>
      <c r="B582" s="4" t="s">
        <v>104</v>
      </c>
      <c r="C582" s="4" t="s">
        <v>205</v>
      </c>
      <c r="D582" s="4" t="s">
        <v>206</v>
      </c>
      <c r="E582" s="4" t="n">
        <v>46268.7572337963</v>
      </c>
      <c r="F582" s="4" t="n">
        <v>23</v>
      </c>
      <c r="G582" s="4" t="n">
        <v>23</v>
      </c>
      <c r="H582" s="4" t="n">
        <v>19</v>
      </c>
      <c r="I582" s="4" t="n">
        <v>2</v>
      </c>
      <c r="J582" s="4" t="n">
        <v>2</v>
      </c>
      <c r="K582" s="4" t="n">
        <v>0</v>
      </c>
      <c r="L582" s="11" t="b">
        <f aca="false">FALSE()</f>
        <v>0</v>
      </c>
    </row>
    <row r="583" customFormat="false" ht="15" hidden="false" customHeight="false" outlineLevel="0" collapsed="false">
      <c r="A583" s="4" t="s">
        <v>788</v>
      </c>
      <c r="B583" s="4" t="s">
        <v>102</v>
      </c>
      <c r="C583" s="4" t="s">
        <v>205</v>
      </c>
      <c r="D583" s="4" t="s">
        <v>206</v>
      </c>
      <c r="E583" s="4" t="n">
        <v>46268.7961805556</v>
      </c>
      <c r="F583" s="4" t="n">
        <v>29</v>
      </c>
      <c r="G583" s="4" t="n">
        <v>29</v>
      </c>
      <c r="H583" s="4" t="n">
        <v>28</v>
      </c>
      <c r="I583" s="4" t="n">
        <v>0</v>
      </c>
      <c r="J583" s="4" t="n">
        <v>1</v>
      </c>
      <c r="K583" s="4" t="n">
        <v>0</v>
      </c>
      <c r="L583" s="11" t="b">
        <f aca="false">FALSE()</f>
        <v>0</v>
      </c>
    </row>
    <row r="584" customFormat="false" ht="15" hidden="false" customHeight="false" outlineLevel="0" collapsed="false">
      <c r="A584" s="4" t="s">
        <v>789</v>
      </c>
      <c r="B584" s="4" t="s">
        <v>100</v>
      </c>
      <c r="C584" s="4" t="s">
        <v>205</v>
      </c>
      <c r="D584" s="4" t="s">
        <v>206</v>
      </c>
      <c r="E584" s="4" t="n">
        <v>46268.8367013889</v>
      </c>
      <c r="F584" s="4" t="n">
        <v>70</v>
      </c>
      <c r="G584" s="4" t="n">
        <v>70</v>
      </c>
      <c r="H584" s="4" t="n">
        <v>70</v>
      </c>
      <c r="I584" s="4" t="n">
        <v>0</v>
      </c>
      <c r="J584" s="4" t="n">
        <v>0</v>
      </c>
      <c r="K584" s="4" t="n">
        <v>0</v>
      </c>
      <c r="L584" s="11" t="b">
        <f aca="false">FALSE()</f>
        <v>0</v>
      </c>
    </row>
    <row r="585" customFormat="false" ht="15" hidden="false" customHeight="false" outlineLevel="0" collapsed="false">
      <c r="A585" s="4" t="s">
        <v>790</v>
      </c>
      <c r="B585" s="4" t="s">
        <v>103</v>
      </c>
      <c r="C585" s="4" t="s">
        <v>205</v>
      </c>
      <c r="D585" s="4" t="s">
        <v>206</v>
      </c>
      <c r="E585" s="4" t="n">
        <v>46268.8797916667</v>
      </c>
      <c r="F585" s="4" t="n">
        <v>25</v>
      </c>
      <c r="G585" s="4" t="n">
        <v>25</v>
      </c>
      <c r="H585" s="4" t="n">
        <v>24</v>
      </c>
      <c r="I585" s="4" t="n">
        <v>0</v>
      </c>
      <c r="J585" s="4" t="n">
        <v>1</v>
      </c>
      <c r="K585" s="4" t="n">
        <v>0</v>
      </c>
      <c r="L585" s="11" t="b">
        <f aca="false">FALSE()</f>
        <v>0</v>
      </c>
    </row>
    <row r="586" customFormat="false" ht="15" hidden="false" customHeight="false" outlineLevel="0" collapsed="false">
      <c r="A586" s="4" t="s">
        <v>791</v>
      </c>
      <c r="B586" s="4" t="s">
        <v>101</v>
      </c>
      <c r="C586" s="4" t="s">
        <v>205</v>
      </c>
      <c r="D586" s="4" t="s">
        <v>206</v>
      </c>
      <c r="E586" s="4" t="n">
        <v>46268.9199884259</v>
      </c>
      <c r="F586" s="4" t="n">
        <v>37</v>
      </c>
      <c r="G586" s="4" t="n">
        <v>37</v>
      </c>
      <c r="H586" s="4" t="n">
        <v>36</v>
      </c>
      <c r="I586" s="4" t="n">
        <v>1</v>
      </c>
      <c r="J586" s="4" t="n">
        <v>0</v>
      </c>
      <c r="K586" s="4" t="n">
        <v>0</v>
      </c>
      <c r="L586" s="11" t="b">
        <f aca="false">FALSE()</f>
        <v>0</v>
      </c>
    </row>
    <row r="587" customFormat="false" ht="15" hidden="false" customHeight="false" outlineLevel="0" collapsed="false">
      <c r="A587" s="4" t="s">
        <v>792</v>
      </c>
      <c r="B587" s="4" t="s">
        <v>100</v>
      </c>
      <c r="C587" s="4" t="s">
        <v>205</v>
      </c>
      <c r="D587" s="4" t="s">
        <v>206</v>
      </c>
      <c r="E587" s="4" t="n">
        <v>46269.0034490741</v>
      </c>
      <c r="F587" s="4" t="n">
        <v>38</v>
      </c>
      <c r="G587" s="4" t="n">
        <v>38</v>
      </c>
      <c r="H587" s="4" t="n">
        <v>37</v>
      </c>
      <c r="I587" s="4" t="n">
        <v>0</v>
      </c>
      <c r="J587" s="4" t="n">
        <v>1</v>
      </c>
      <c r="K587" s="4" t="n">
        <v>0</v>
      </c>
      <c r="L587" s="11" t="b">
        <f aca="false">FALSE()</f>
        <v>0</v>
      </c>
    </row>
    <row r="588" customFormat="false" ht="15" hidden="false" customHeight="false" outlineLevel="0" collapsed="false">
      <c r="A588" s="4" t="s">
        <v>793</v>
      </c>
      <c r="B588" s="4" t="s">
        <v>102</v>
      </c>
      <c r="C588" s="4" t="s">
        <v>205</v>
      </c>
      <c r="D588" s="4" t="s">
        <v>206</v>
      </c>
      <c r="E588" s="4" t="n">
        <v>46269.0454976852</v>
      </c>
      <c r="F588" s="4" t="n">
        <v>18</v>
      </c>
      <c r="G588" s="4" t="n">
        <v>18</v>
      </c>
      <c r="H588" s="4" t="n">
        <v>15</v>
      </c>
      <c r="I588" s="4" t="n">
        <v>3</v>
      </c>
      <c r="J588" s="4" t="n">
        <v>0</v>
      </c>
      <c r="K588" s="4" t="n">
        <v>0</v>
      </c>
      <c r="L588" s="11" t="b">
        <f aca="false">FALSE()</f>
        <v>0</v>
      </c>
    </row>
    <row r="589" customFormat="false" ht="15" hidden="false" customHeight="false" outlineLevel="0" collapsed="false">
      <c r="A589" s="4" t="s">
        <v>794</v>
      </c>
      <c r="B589" s="4" t="s">
        <v>101</v>
      </c>
      <c r="C589" s="4" t="s">
        <v>205</v>
      </c>
      <c r="D589" s="4" t="s">
        <v>206</v>
      </c>
      <c r="E589" s="4" t="n">
        <v>46269.0866898148</v>
      </c>
      <c r="F589" s="4" t="n">
        <v>16</v>
      </c>
      <c r="G589" s="4" t="n">
        <v>16</v>
      </c>
      <c r="H589" s="4" t="n">
        <v>13</v>
      </c>
      <c r="I589" s="4" t="n">
        <v>3</v>
      </c>
      <c r="J589" s="4" t="n">
        <v>0</v>
      </c>
      <c r="K589" s="4" t="n">
        <v>0</v>
      </c>
      <c r="L589" s="11" t="b">
        <f aca="false">FALSE()</f>
        <v>0</v>
      </c>
    </row>
    <row r="590" customFormat="false" ht="15" hidden="false" customHeight="false" outlineLevel="0" collapsed="false">
      <c r="A590" s="4" t="s">
        <v>795</v>
      </c>
      <c r="B590" s="4" t="s">
        <v>103</v>
      </c>
      <c r="C590" s="4" t="s">
        <v>205</v>
      </c>
      <c r="D590" s="4" t="s">
        <v>206</v>
      </c>
      <c r="E590" s="4" t="n">
        <v>46269.1301388889</v>
      </c>
      <c r="F590" s="4" t="n">
        <v>10</v>
      </c>
      <c r="G590" s="4" t="n">
        <v>10</v>
      </c>
      <c r="H590" s="4" t="n">
        <v>8</v>
      </c>
      <c r="I590" s="4" t="n">
        <v>2</v>
      </c>
      <c r="J590" s="4" t="n">
        <v>0</v>
      </c>
      <c r="K590" s="4" t="n">
        <v>0</v>
      </c>
      <c r="L590" s="11" t="b">
        <f aca="false">FALSE()</f>
        <v>0</v>
      </c>
    </row>
    <row r="591" customFormat="false" ht="15" hidden="false" customHeight="false" outlineLevel="0" collapsed="false">
      <c r="A591" s="4" t="s">
        <v>796</v>
      </c>
      <c r="B591" s="4" t="s">
        <v>100</v>
      </c>
      <c r="C591" s="4" t="s">
        <v>205</v>
      </c>
      <c r="D591" s="4" t="s">
        <v>206</v>
      </c>
      <c r="E591" s="4" t="n">
        <v>46269.1702546296</v>
      </c>
      <c r="F591" s="4" t="n">
        <v>16</v>
      </c>
      <c r="G591" s="4" t="n">
        <v>16</v>
      </c>
      <c r="H591" s="4" t="n">
        <v>13</v>
      </c>
      <c r="I591" s="4" t="n">
        <v>3</v>
      </c>
      <c r="J591" s="4" t="n">
        <v>0</v>
      </c>
      <c r="K591" s="4" t="n">
        <v>0</v>
      </c>
      <c r="L591" s="11" t="b">
        <f aca="false">FALSE()</f>
        <v>0</v>
      </c>
    </row>
    <row r="592" customFormat="false" ht="15" hidden="false" customHeight="false" outlineLevel="0" collapsed="false">
      <c r="A592" s="4" t="s">
        <v>797</v>
      </c>
      <c r="B592" s="4" t="s">
        <v>99</v>
      </c>
      <c r="C592" s="4" t="s">
        <v>205</v>
      </c>
      <c r="D592" s="4" t="s">
        <v>206</v>
      </c>
      <c r="E592" s="4" t="n">
        <v>46269.2144328704</v>
      </c>
      <c r="F592" s="4" t="n">
        <v>2</v>
      </c>
      <c r="G592" s="4" t="n">
        <v>2</v>
      </c>
      <c r="H592" s="4" t="n">
        <v>1</v>
      </c>
      <c r="I592" s="4" t="n">
        <v>1</v>
      </c>
      <c r="J592" s="4" t="n">
        <v>0</v>
      </c>
      <c r="K592" s="4" t="n">
        <v>0</v>
      </c>
      <c r="L592" s="11" t="b">
        <f aca="false">FALSE()</f>
        <v>0</v>
      </c>
    </row>
    <row r="593" customFormat="false" ht="15" hidden="false" customHeight="false" outlineLevel="0" collapsed="false">
      <c r="A593" s="4" t="s">
        <v>798</v>
      </c>
      <c r="B593" s="4" t="s">
        <v>101</v>
      </c>
      <c r="C593" s="4" t="s">
        <v>205</v>
      </c>
      <c r="D593" s="4" t="s">
        <v>206</v>
      </c>
      <c r="E593" s="4" t="n">
        <v>46269.2540393519</v>
      </c>
      <c r="F593" s="4" t="n">
        <v>8</v>
      </c>
      <c r="G593" s="4" t="n">
        <v>8</v>
      </c>
      <c r="H593" s="4" t="n">
        <v>8</v>
      </c>
      <c r="I593" s="4" t="n">
        <v>0</v>
      </c>
      <c r="J593" s="4" t="n">
        <v>0</v>
      </c>
      <c r="K593" s="4" t="n">
        <v>0</v>
      </c>
      <c r="L593" s="11" t="b">
        <f aca="false">FALSE()</f>
        <v>0</v>
      </c>
    </row>
    <row r="594" customFormat="false" ht="15" hidden="false" customHeight="false" outlineLevel="0" collapsed="false">
      <c r="A594" s="4" t="s">
        <v>799</v>
      </c>
      <c r="B594" s="4" t="s">
        <v>104</v>
      </c>
      <c r="C594" s="4" t="s">
        <v>205</v>
      </c>
      <c r="D594" s="4" t="s">
        <v>206</v>
      </c>
      <c r="E594" s="4" t="n">
        <v>46269.2565046296</v>
      </c>
      <c r="F594" s="4" t="n">
        <v>10</v>
      </c>
      <c r="G594" s="4" t="n">
        <v>10</v>
      </c>
      <c r="H594" s="4" t="n">
        <v>10</v>
      </c>
      <c r="I594" s="4" t="n">
        <v>0</v>
      </c>
      <c r="J594" s="4" t="n">
        <v>0</v>
      </c>
      <c r="K594" s="4" t="n">
        <v>0</v>
      </c>
      <c r="L594" s="11" t="b">
        <f aca="false">FALSE()</f>
        <v>0</v>
      </c>
    </row>
    <row r="595" customFormat="false" ht="15" hidden="false" customHeight="false" outlineLevel="0" collapsed="false">
      <c r="A595" s="4" t="s">
        <v>800</v>
      </c>
      <c r="B595" s="4" t="s">
        <v>102</v>
      </c>
      <c r="C595" s="4" t="s">
        <v>205</v>
      </c>
      <c r="D595" s="4" t="s">
        <v>206</v>
      </c>
      <c r="E595" s="4" t="n">
        <v>46269.2959606482</v>
      </c>
      <c r="F595" s="4" t="n">
        <v>7</v>
      </c>
      <c r="G595" s="4" t="n">
        <v>7</v>
      </c>
      <c r="H595" s="4" t="n">
        <v>7</v>
      </c>
      <c r="I595" s="4" t="n">
        <v>0</v>
      </c>
      <c r="J595" s="4" t="n">
        <v>0</v>
      </c>
      <c r="K595" s="4" t="n">
        <v>0</v>
      </c>
      <c r="L595" s="11" t="b">
        <f aca="false">FALSE()</f>
        <v>0</v>
      </c>
    </row>
    <row r="596" customFormat="false" ht="15" hidden="false" customHeight="false" outlineLevel="0" collapsed="false">
      <c r="A596" s="4" t="s">
        <v>801</v>
      </c>
      <c r="B596" s="4" t="s">
        <v>100</v>
      </c>
      <c r="C596" s="4" t="s">
        <v>205</v>
      </c>
      <c r="D596" s="4" t="s">
        <v>206</v>
      </c>
      <c r="E596" s="4" t="n">
        <v>46269.3365740741</v>
      </c>
      <c r="F596" s="4" t="n">
        <v>32</v>
      </c>
      <c r="G596" s="4" t="n">
        <v>32</v>
      </c>
      <c r="H596" s="4" t="n">
        <v>31</v>
      </c>
      <c r="I596" s="4" t="n">
        <v>1</v>
      </c>
      <c r="J596" s="4" t="n">
        <v>0</v>
      </c>
      <c r="K596" s="4" t="n">
        <v>0</v>
      </c>
      <c r="L596" s="11" t="b">
        <f aca="false">FALSE()</f>
        <v>0</v>
      </c>
    </row>
    <row r="597" customFormat="false" ht="15" hidden="false" customHeight="false" outlineLevel="0" collapsed="false">
      <c r="A597" s="4" t="s">
        <v>802</v>
      </c>
      <c r="B597" s="4" t="s">
        <v>103</v>
      </c>
      <c r="C597" s="4" t="s">
        <v>205</v>
      </c>
      <c r="D597" s="4" t="s">
        <v>206</v>
      </c>
      <c r="E597" s="4" t="n">
        <v>46269.3807060185</v>
      </c>
      <c r="F597" s="4" t="n">
        <v>13</v>
      </c>
      <c r="G597" s="4" t="n">
        <v>13</v>
      </c>
      <c r="H597" s="4" t="n">
        <v>13</v>
      </c>
      <c r="I597" s="4" t="n">
        <v>0</v>
      </c>
      <c r="J597" s="4" t="n">
        <v>0</v>
      </c>
      <c r="K597" s="4" t="n">
        <v>0</v>
      </c>
      <c r="L597" s="11" t="b">
        <f aca="false">FALSE()</f>
        <v>0</v>
      </c>
    </row>
    <row r="598" customFormat="false" ht="15" hidden="false" customHeight="false" outlineLevel="0" collapsed="false">
      <c r="A598" s="4" t="s">
        <v>803</v>
      </c>
      <c r="B598" s="4" t="s">
        <v>101</v>
      </c>
      <c r="C598" s="4" t="s">
        <v>205</v>
      </c>
      <c r="D598" s="4" t="s">
        <v>206</v>
      </c>
      <c r="E598" s="4" t="n">
        <v>46269.4207523148</v>
      </c>
      <c r="F598" s="4" t="n">
        <v>38</v>
      </c>
      <c r="G598" s="4" t="n">
        <v>38</v>
      </c>
      <c r="H598" s="4" t="n">
        <v>33</v>
      </c>
      <c r="I598" s="4" t="n">
        <v>3</v>
      </c>
      <c r="J598" s="4" t="n">
        <v>2</v>
      </c>
      <c r="K598" s="4" t="n">
        <v>0</v>
      </c>
      <c r="L598" s="11" t="b">
        <f aca="false">FALSE()</f>
        <v>0</v>
      </c>
    </row>
    <row r="599" customFormat="false" ht="15" hidden="false" customHeight="false" outlineLevel="0" collapsed="false">
      <c r="A599" s="4" t="s">
        <v>804</v>
      </c>
      <c r="B599" s="4" t="s">
        <v>100</v>
      </c>
      <c r="C599" s="4" t="s">
        <v>371</v>
      </c>
      <c r="D599" s="4" t="s">
        <v>371</v>
      </c>
      <c r="E599" s="4" t="n">
        <v>46269.5036458333</v>
      </c>
      <c r="F599" s="4" t="n">
        <v>71</v>
      </c>
      <c r="G599" s="4" t="n">
        <v>0</v>
      </c>
      <c r="H599" s="4" t="n">
        <v>0</v>
      </c>
      <c r="I599" s="4" t="n">
        <v>0</v>
      </c>
      <c r="J599" s="4" t="n">
        <v>0</v>
      </c>
      <c r="K599" s="4" t="n">
        <v>0</v>
      </c>
      <c r="L599" s="11" t="b">
        <f aca="false">TRUE()</f>
        <v>1</v>
      </c>
    </row>
    <row r="600" customFormat="false" ht="15" hidden="false" customHeight="false" outlineLevel="0" collapsed="false">
      <c r="A600" s="4" t="s">
        <v>805</v>
      </c>
      <c r="B600" s="4" t="s">
        <v>100</v>
      </c>
      <c r="C600" s="4" t="s">
        <v>205</v>
      </c>
      <c r="D600" s="4" t="s">
        <v>373</v>
      </c>
      <c r="E600" s="4" t="n">
        <v>46269.5184143519</v>
      </c>
      <c r="F600" s="4" t="n">
        <v>71</v>
      </c>
      <c r="G600" s="4" t="n">
        <v>71</v>
      </c>
      <c r="H600" s="4" t="n">
        <v>69</v>
      </c>
      <c r="I600" s="4" t="n">
        <v>1</v>
      </c>
      <c r="J600" s="4" t="n">
        <v>1</v>
      </c>
      <c r="K600" s="4" t="n">
        <v>0</v>
      </c>
      <c r="L600" s="11" t="b">
        <f aca="false">TRUE()</f>
        <v>1</v>
      </c>
    </row>
    <row r="601" customFormat="false" ht="15" hidden="false" customHeight="false" outlineLevel="0" collapsed="false">
      <c r="A601" s="4" t="s">
        <v>806</v>
      </c>
      <c r="B601" s="4" t="s">
        <v>102</v>
      </c>
      <c r="C601" s="4" t="s">
        <v>205</v>
      </c>
      <c r="D601" s="4" t="s">
        <v>206</v>
      </c>
      <c r="E601" s="4" t="n">
        <v>46269.5457060185</v>
      </c>
      <c r="F601" s="4" t="n">
        <v>31</v>
      </c>
      <c r="G601" s="4" t="n">
        <v>31</v>
      </c>
      <c r="H601" s="4" t="n">
        <v>28</v>
      </c>
      <c r="I601" s="4" t="n">
        <v>3</v>
      </c>
      <c r="J601" s="4" t="n">
        <v>0</v>
      </c>
      <c r="K601" s="4" t="n">
        <v>0</v>
      </c>
      <c r="L601" s="11" t="b">
        <f aca="false">FALSE()</f>
        <v>0</v>
      </c>
    </row>
    <row r="602" customFormat="false" ht="15" hidden="false" customHeight="false" outlineLevel="0" collapsed="false">
      <c r="A602" s="4" t="s">
        <v>807</v>
      </c>
      <c r="B602" s="4" t="s">
        <v>101</v>
      </c>
      <c r="C602" s="4" t="s">
        <v>205</v>
      </c>
      <c r="D602" s="4" t="s">
        <v>206</v>
      </c>
      <c r="E602" s="4" t="n">
        <v>46269.5867361111</v>
      </c>
      <c r="F602" s="4" t="n">
        <v>53</v>
      </c>
      <c r="G602" s="4" t="n">
        <v>53</v>
      </c>
      <c r="H602" s="4" t="n">
        <v>50</v>
      </c>
      <c r="I602" s="4" t="n">
        <v>3</v>
      </c>
      <c r="J602" s="4" t="n">
        <v>0</v>
      </c>
      <c r="K602" s="4" t="n">
        <v>0</v>
      </c>
      <c r="L602" s="11" t="b">
        <f aca="false">FALSE()</f>
        <v>0</v>
      </c>
    </row>
    <row r="603" customFormat="false" ht="15" hidden="false" customHeight="false" outlineLevel="0" collapsed="false">
      <c r="A603" s="4" t="s">
        <v>808</v>
      </c>
      <c r="B603" s="4" t="s">
        <v>103</v>
      </c>
      <c r="C603" s="4" t="s">
        <v>205</v>
      </c>
      <c r="D603" s="4" t="s">
        <v>206</v>
      </c>
      <c r="E603" s="4" t="n">
        <v>46269.63</v>
      </c>
      <c r="F603" s="4" t="n">
        <v>34</v>
      </c>
      <c r="G603" s="4" t="n">
        <v>34</v>
      </c>
      <c r="H603" s="4" t="n">
        <v>30</v>
      </c>
      <c r="I603" s="4" t="n">
        <v>3</v>
      </c>
      <c r="J603" s="4" t="n">
        <v>1</v>
      </c>
      <c r="K603" s="4" t="n">
        <v>0</v>
      </c>
      <c r="L603" s="11" t="b">
        <f aca="false">FALSE()</f>
        <v>0</v>
      </c>
    </row>
    <row r="604" customFormat="false" ht="15" hidden="false" customHeight="false" outlineLevel="0" collapsed="false">
      <c r="A604" s="4" t="s">
        <v>809</v>
      </c>
      <c r="B604" s="4" t="s">
        <v>100</v>
      </c>
      <c r="C604" s="4" t="s">
        <v>205</v>
      </c>
      <c r="D604" s="4" t="s">
        <v>206</v>
      </c>
      <c r="E604" s="4" t="n">
        <v>46269.6702083333</v>
      </c>
      <c r="F604" s="4" t="n">
        <v>78</v>
      </c>
      <c r="G604" s="4" t="n">
        <v>78</v>
      </c>
      <c r="H604" s="4" t="n">
        <v>78</v>
      </c>
      <c r="I604" s="4" t="n">
        <v>0</v>
      </c>
      <c r="J604" s="4" t="n">
        <v>0</v>
      </c>
      <c r="K604" s="4" t="n">
        <v>0</v>
      </c>
      <c r="L604" s="11" t="b">
        <f aca="false">FALSE()</f>
        <v>0</v>
      </c>
    </row>
    <row r="605" customFormat="false" ht="15" hidden="false" customHeight="false" outlineLevel="0" collapsed="false">
      <c r="A605" s="4" t="s">
        <v>810</v>
      </c>
      <c r="B605" s="4" t="s">
        <v>101</v>
      </c>
      <c r="C605" s="4" t="s">
        <v>205</v>
      </c>
      <c r="D605" s="4" t="s">
        <v>206</v>
      </c>
      <c r="E605" s="4" t="n">
        <v>46269.752974537</v>
      </c>
      <c r="F605" s="4" t="n">
        <v>50</v>
      </c>
      <c r="G605" s="4" t="n">
        <v>50</v>
      </c>
      <c r="H605" s="4" t="n">
        <v>48</v>
      </c>
      <c r="I605" s="4" t="n">
        <v>0</v>
      </c>
      <c r="J605" s="4" t="n">
        <v>2</v>
      </c>
      <c r="K605" s="4" t="n">
        <v>0</v>
      </c>
      <c r="L605" s="11" t="b">
        <f aca="false">FALSE()</f>
        <v>0</v>
      </c>
    </row>
    <row r="606" customFormat="false" ht="15" hidden="false" customHeight="false" outlineLevel="0" collapsed="false">
      <c r="A606" s="4" t="s">
        <v>811</v>
      </c>
      <c r="B606" s="4" t="s">
        <v>104</v>
      </c>
      <c r="C606" s="4" t="s">
        <v>205</v>
      </c>
      <c r="D606" s="4" t="s">
        <v>206</v>
      </c>
      <c r="E606" s="4" t="n">
        <v>46269.7569675926</v>
      </c>
      <c r="F606" s="4" t="n">
        <v>27</v>
      </c>
      <c r="G606" s="4" t="n">
        <v>27</v>
      </c>
      <c r="H606" s="4" t="n">
        <v>24</v>
      </c>
      <c r="I606" s="4" t="n">
        <v>3</v>
      </c>
      <c r="J606" s="4" t="n">
        <v>0</v>
      </c>
      <c r="K606" s="4" t="n">
        <v>0</v>
      </c>
      <c r="L606" s="11" t="b">
        <f aca="false">FALSE()</f>
        <v>0</v>
      </c>
    </row>
    <row r="607" customFormat="false" ht="15" hidden="false" customHeight="false" outlineLevel="0" collapsed="false">
      <c r="A607" s="4" t="s">
        <v>812</v>
      </c>
      <c r="B607" s="4" t="s">
        <v>102</v>
      </c>
      <c r="C607" s="4" t="s">
        <v>205</v>
      </c>
      <c r="D607" s="4" t="s">
        <v>206</v>
      </c>
      <c r="E607" s="4" t="n">
        <v>46269.7959606482</v>
      </c>
      <c r="F607" s="4" t="n">
        <v>29</v>
      </c>
      <c r="G607" s="4" t="n">
        <v>29</v>
      </c>
      <c r="H607" s="4" t="n">
        <v>26</v>
      </c>
      <c r="I607" s="4" t="n">
        <v>2</v>
      </c>
      <c r="J607" s="4" t="n">
        <v>1</v>
      </c>
      <c r="K607" s="4" t="n">
        <v>0</v>
      </c>
      <c r="L607" s="11" t="b">
        <f aca="false">FALSE()</f>
        <v>0</v>
      </c>
    </row>
    <row r="608" customFormat="false" ht="15" hidden="false" customHeight="false" outlineLevel="0" collapsed="false">
      <c r="A608" s="4" t="s">
        <v>813</v>
      </c>
      <c r="B608" s="4" t="s">
        <v>100</v>
      </c>
      <c r="C608" s="4" t="s">
        <v>205</v>
      </c>
      <c r="D608" s="4" t="s">
        <v>206</v>
      </c>
      <c r="E608" s="4" t="n">
        <v>46269.8366087963</v>
      </c>
      <c r="F608" s="4" t="n">
        <v>73</v>
      </c>
      <c r="G608" s="4" t="n">
        <v>73</v>
      </c>
      <c r="H608" s="4" t="n">
        <v>71</v>
      </c>
      <c r="I608" s="4" t="n">
        <v>2</v>
      </c>
      <c r="J608" s="4" t="n">
        <v>0</v>
      </c>
      <c r="K608" s="4" t="n">
        <v>0</v>
      </c>
      <c r="L608" s="11" t="b">
        <f aca="false">FALSE()</f>
        <v>0</v>
      </c>
    </row>
    <row r="609" customFormat="false" ht="15" hidden="false" customHeight="false" outlineLevel="0" collapsed="false">
      <c r="A609" s="4" t="s">
        <v>814</v>
      </c>
      <c r="B609" s="4" t="s">
        <v>103</v>
      </c>
      <c r="C609" s="4" t="s">
        <v>205</v>
      </c>
      <c r="D609" s="4" t="s">
        <v>206</v>
      </c>
      <c r="E609" s="4" t="n">
        <v>46269.8802777778</v>
      </c>
      <c r="F609" s="4" t="n">
        <v>26</v>
      </c>
      <c r="G609" s="4" t="n">
        <v>26</v>
      </c>
      <c r="H609" s="4" t="n">
        <v>26</v>
      </c>
      <c r="I609" s="4" t="n">
        <v>0</v>
      </c>
      <c r="J609" s="4" t="n">
        <v>0</v>
      </c>
      <c r="K609" s="4" t="n">
        <v>0</v>
      </c>
      <c r="L609" s="11" t="b">
        <f aca="false">FALSE()</f>
        <v>0</v>
      </c>
    </row>
    <row r="610" customFormat="false" ht="15" hidden="false" customHeight="false" outlineLevel="0" collapsed="false">
      <c r="A610" s="4" t="s">
        <v>815</v>
      </c>
      <c r="B610" s="4" t="s">
        <v>101</v>
      </c>
      <c r="C610" s="4" t="s">
        <v>205</v>
      </c>
      <c r="D610" s="4" t="s">
        <v>206</v>
      </c>
      <c r="E610" s="4" t="n">
        <v>46269.919849537</v>
      </c>
      <c r="F610" s="4" t="n">
        <v>39</v>
      </c>
      <c r="G610" s="4" t="n">
        <v>39</v>
      </c>
      <c r="H610" s="4" t="n">
        <v>37</v>
      </c>
      <c r="I610" s="4" t="n">
        <v>1</v>
      </c>
      <c r="J610" s="4" t="n">
        <v>1</v>
      </c>
      <c r="K610" s="4" t="n">
        <v>0</v>
      </c>
      <c r="L610" s="11" t="b">
        <f aca="false">FALSE()</f>
        <v>0</v>
      </c>
    </row>
    <row r="611" customFormat="false" ht="15" hidden="false" customHeight="false" outlineLevel="0" collapsed="false">
      <c r="A611" s="4" t="s">
        <v>816</v>
      </c>
      <c r="B611" s="4" t="s">
        <v>99</v>
      </c>
      <c r="C611" s="4" t="s">
        <v>205</v>
      </c>
      <c r="D611" s="4" t="s">
        <v>428</v>
      </c>
      <c r="E611" s="4" t="n">
        <v>46269.9433564815</v>
      </c>
      <c r="F611" s="4" t="n">
        <v>32</v>
      </c>
      <c r="G611" s="4" t="n">
        <v>32</v>
      </c>
      <c r="H611" s="4" t="n">
        <v>32</v>
      </c>
      <c r="I611" s="4" t="n">
        <v>0</v>
      </c>
      <c r="J611" s="4" t="n">
        <v>0</v>
      </c>
      <c r="K611" s="4" t="n">
        <v>0</v>
      </c>
      <c r="L611" s="11" t="b">
        <f aca="false">FALSE()</f>
        <v>0</v>
      </c>
    </row>
    <row r="612" customFormat="false" ht="15" hidden="false" customHeight="false" outlineLevel="0" collapsed="false">
      <c r="A612" s="4" t="s">
        <v>817</v>
      </c>
      <c r="B612" s="4" t="s">
        <v>100</v>
      </c>
      <c r="C612" s="4" t="s">
        <v>205</v>
      </c>
      <c r="D612" s="4" t="s">
        <v>206</v>
      </c>
      <c r="E612" s="4" t="n">
        <v>46270.0037962963</v>
      </c>
      <c r="F612" s="4" t="n">
        <v>42</v>
      </c>
      <c r="G612" s="4" t="n">
        <v>42</v>
      </c>
      <c r="H612" s="4" t="n">
        <v>40</v>
      </c>
      <c r="I612" s="4" t="n">
        <v>2</v>
      </c>
      <c r="J612" s="4" t="n">
        <v>0</v>
      </c>
      <c r="K612" s="4" t="n">
        <v>0</v>
      </c>
      <c r="L612" s="11" t="b">
        <f aca="false">FALSE()</f>
        <v>0</v>
      </c>
    </row>
    <row r="613" customFormat="false" ht="15" hidden="false" customHeight="false" outlineLevel="0" collapsed="false">
      <c r="A613" s="4" t="s">
        <v>818</v>
      </c>
      <c r="B613" s="4" t="s">
        <v>102</v>
      </c>
      <c r="C613" s="4" t="s">
        <v>205</v>
      </c>
      <c r="D613" s="4" t="s">
        <v>206</v>
      </c>
      <c r="E613" s="4" t="n">
        <v>46270.0452546296</v>
      </c>
      <c r="F613" s="4" t="n">
        <v>17</v>
      </c>
      <c r="G613" s="4" t="n">
        <v>17</v>
      </c>
      <c r="H613" s="4" t="n">
        <v>14</v>
      </c>
      <c r="I613" s="4" t="n">
        <v>3</v>
      </c>
      <c r="J613" s="4" t="n">
        <v>0</v>
      </c>
      <c r="K613" s="4" t="n">
        <v>0</v>
      </c>
      <c r="L613" s="11" t="b">
        <f aca="false">FALSE()</f>
        <v>0</v>
      </c>
    </row>
    <row r="614" customFormat="false" ht="15" hidden="false" customHeight="false" outlineLevel="0" collapsed="false">
      <c r="A614" s="4" t="s">
        <v>819</v>
      </c>
      <c r="B614" s="4" t="s">
        <v>101</v>
      </c>
      <c r="C614" s="4" t="s">
        <v>205</v>
      </c>
      <c r="D614" s="4" t="s">
        <v>206</v>
      </c>
      <c r="E614" s="4" t="n">
        <v>46270.0863888889</v>
      </c>
      <c r="F614" s="4" t="n">
        <v>13</v>
      </c>
      <c r="G614" s="4" t="n">
        <v>13</v>
      </c>
      <c r="H614" s="4" t="n">
        <v>12</v>
      </c>
      <c r="I614" s="4" t="n">
        <v>0</v>
      </c>
      <c r="J614" s="4" t="n">
        <v>1</v>
      </c>
      <c r="K614" s="4" t="n">
        <v>0</v>
      </c>
      <c r="L614" s="11" t="b">
        <f aca="false">FALSE()</f>
        <v>0</v>
      </c>
    </row>
    <row r="615" customFormat="false" ht="15" hidden="false" customHeight="false" outlineLevel="0" collapsed="false">
      <c r="A615" s="4" t="s">
        <v>820</v>
      </c>
      <c r="B615" s="4" t="s">
        <v>103</v>
      </c>
      <c r="C615" s="4" t="s">
        <v>205</v>
      </c>
      <c r="D615" s="4" t="s">
        <v>206</v>
      </c>
      <c r="E615" s="4" t="n">
        <v>46270.1301157407</v>
      </c>
      <c r="F615" s="4" t="n">
        <v>10</v>
      </c>
      <c r="G615" s="4" t="n">
        <v>10</v>
      </c>
      <c r="H615" s="4" t="n">
        <v>7</v>
      </c>
      <c r="I615" s="4" t="n">
        <v>3</v>
      </c>
      <c r="J615" s="4" t="n">
        <v>0</v>
      </c>
      <c r="K615" s="4" t="n">
        <v>0</v>
      </c>
      <c r="L615" s="11" t="b">
        <f aca="false">FALSE()</f>
        <v>0</v>
      </c>
    </row>
    <row r="616" customFormat="false" ht="15" hidden="false" customHeight="false" outlineLevel="0" collapsed="false">
      <c r="A616" s="4" t="s">
        <v>821</v>
      </c>
      <c r="B616" s="4" t="s">
        <v>100</v>
      </c>
      <c r="C616" s="4" t="s">
        <v>205</v>
      </c>
      <c r="D616" s="4" t="s">
        <v>206</v>
      </c>
      <c r="E616" s="4" t="n">
        <v>46270.1703587963</v>
      </c>
      <c r="F616" s="4" t="n">
        <v>14</v>
      </c>
      <c r="G616" s="4" t="n">
        <v>14</v>
      </c>
      <c r="H616" s="4" t="n">
        <v>11</v>
      </c>
      <c r="I616" s="4" t="n">
        <v>3</v>
      </c>
      <c r="J616" s="4" t="n">
        <v>0</v>
      </c>
      <c r="K616" s="4" t="n">
        <v>0</v>
      </c>
      <c r="L616" s="11" t="b">
        <f aca="false">FALSE()</f>
        <v>0</v>
      </c>
    </row>
    <row r="617" customFormat="false" ht="15" hidden="false" customHeight="false" outlineLevel="0" collapsed="false">
      <c r="A617" s="4" t="s">
        <v>822</v>
      </c>
      <c r="B617" s="4" t="s">
        <v>99</v>
      </c>
      <c r="C617" s="4" t="s">
        <v>205</v>
      </c>
      <c r="D617" s="4" t="s">
        <v>206</v>
      </c>
      <c r="E617" s="4" t="n">
        <v>46270.2135069444</v>
      </c>
      <c r="F617" s="4" t="n">
        <v>31</v>
      </c>
      <c r="G617" s="4" t="n">
        <v>31</v>
      </c>
      <c r="H617" s="4" t="n">
        <v>30</v>
      </c>
      <c r="I617" s="4" t="n">
        <v>0</v>
      </c>
      <c r="J617" s="4" t="n">
        <v>1</v>
      </c>
      <c r="K617" s="4" t="n">
        <v>0</v>
      </c>
      <c r="L617" s="11" t="b">
        <f aca="false">FALSE()</f>
        <v>0</v>
      </c>
    </row>
    <row r="618" customFormat="false" ht="15" hidden="false" customHeight="false" outlineLevel="0" collapsed="false">
      <c r="A618" s="4" t="s">
        <v>823</v>
      </c>
      <c r="B618" s="4" t="s">
        <v>101</v>
      </c>
      <c r="C618" s="4" t="s">
        <v>205</v>
      </c>
      <c r="D618" s="4" t="s">
        <v>206</v>
      </c>
      <c r="E618" s="4" t="n">
        <v>46270.2542476852</v>
      </c>
      <c r="F618" s="4" t="n">
        <v>11</v>
      </c>
      <c r="G618" s="4" t="n">
        <v>11</v>
      </c>
      <c r="H618" s="4" t="n">
        <v>9</v>
      </c>
      <c r="I618" s="4" t="n">
        <v>2</v>
      </c>
      <c r="J618" s="4" t="n">
        <v>0</v>
      </c>
      <c r="K618" s="4" t="n">
        <v>0</v>
      </c>
      <c r="L618" s="11" t="b">
        <f aca="false">FALSE()</f>
        <v>0</v>
      </c>
    </row>
    <row r="619" customFormat="false" ht="15" hidden="false" customHeight="false" outlineLevel="0" collapsed="false">
      <c r="A619" s="4" t="s">
        <v>824</v>
      </c>
      <c r="B619" s="4" t="s">
        <v>104</v>
      </c>
      <c r="C619" s="4" t="s">
        <v>205</v>
      </c>
      <c r="D619" s="4" t="s">
        <v>206</v>
      </c>
      <c r="E619" s="4" t="n">
        <v>46270.2560532407</v>
      </c>
      <c r="F619" s="4" t="n">
        <v>10</v>
      </c>
      <c r="G619" s="4" t="n">
        <v>10</v>
      </c>
      <c r="H619" s="4" t="n">
        <v>7</v>
      </c>
      <c r="I619" s="4" t="n">
        <v>2</v>
      </c>
      <c r="J619" s="4" t="n">
        <v>1</v>
      </c>
      <c r="K619" s="4" t="n">
        <v>0</v>
      </c>
      <c r="L619" s="11" t="b">
        <f aca="false">FALSE()</f>
        <v>0</v>
      </c>
    </row>
    <row r="620" customFormat="false" ht="15" hidden="false" customHeight="false" outlineLevel="0" collapsed="false">
      <c r="A620" s="4" t="s">
        <v>825</v>
      </c>
      <c r="B620" s="4" t="s">
        <v>102</v>
      </c>
      <c r="C620" s="4" t="s">
        <v>205</v>
      </c>
      <c r="D620" s="4" t="s">
        <v>206</v>
      </c>
      <c r="E620" s="4" t="n">
        <v>46270.2958217593</v>
      </c>
      <c r="F620" s="4" t="n">
        <v>6</v>
      </c>
      <c r="G620" s="4" t="n">
        <v>6</v>
      </c>
      <c r="H620" s="4" t="n">
        <v>6</v>
      </c>
      <c r="I620" s="4" t="n">
        <v>0</v>
      </c>
      <c r="J620" s="4" t="n">
        <v>0</v>
      </c>
      <c r="K620" s="4" t="n">
        <v>0</v>
      </c>
      <c r="L620" s="11" t="b">
        <f aca="false">FALSE()</f>
        <v>0</v>
      </c>
    </row>
    <row r="621" customFormat="false" ht="15" hidden="false" customHeight="false" outlineLevel="0" collapsed="false">
      <c r="A621" s="4" t="s">
        <v>826</v>
      </c>
      <c r="B621" s="4" t="s">
        <v>100</v>
      </c>
      <c r="C621" s="4" t="s">
        <v>205</v>
      </c>
      <c r="D621" s="4" t="s">
        <v>206</v>
      </c>
      <c r="E621" s="4" t="n">
        <v>46270.3355902778</v>
      </c>
      <c r="F621" s="4" t="n">
        <v>29</v>
      </c>
      <c r="G621" s="4" t="n">
        <v>29</v>
      </c>
      <c r="H621" s="4" t="n">
        <v>27</v>
      </c>
      <c r="I621" s="4" t="n">
        <v>2</v>
      </c>
      <c r="J621" s="4" t="n">
        <v>0</v>
      </c>
      <c r="K621" s="4" t="n">
        <v>0</v>
      </c>
      <c r="L621" s="11" t="b">
        <f aca="false">FALSE()</f>
        <v>0</v>
      </c>
    </row>
    <row r="622" customFormat="false" ht="15" hidden="false" customHeight="false" outlineLevel="0" collapsed="false">
      <c r="A622" s="4" t="s">
        <v>827</v>
      </c>
      <c r="B622" s="4" t="s">
        <v>103</v>
      </c>
      <c r="C622" s="4" t="s">
        <v>205</v>
      </c>
      <c r="D622" s="4" t="s">
        <v>206</v>
      </c>
      <c r="E622" s="4" t="n">
        <v>46270.3795138889</v>
      </c>
      <c r="F622" s="4" t="n">
        <v>11</v>
      </c>
      <c r="G622" s="4" t="n">
        <v>11</v>
      </c>
      <c r="H622" s="4" t="n">
        <v>9</v>
      </c>
      <c r="I622" s="4" t="n">
        <v>2</v>
      </c>
      <c r="J622" s="4" t="n">
        <v>0</v>
      </c>
      <c r="K622" s="4" t="n">
        <v>0</v>
      </c>
      <c r="L622" s="11" t="b">
        <f aca="false">FALSE()</f>
        <v>0</v>
      </c>
    </row>
    <row r="623" customFormat="false" ht="15" hidden="false" customHeight="false" outlineLevel="0" collapsed="false">
      <c r="A623" s="4" t="s">
        <v>828</v>
      </c>
      <c r="B623" s="4" t="s">
        <v>101</v>
      </c>
      <c r="C623" s="4" t="s">
        <v>205</v>
      </c>
      <c r="D623" s="4" t="s">
        <v>206</v>
      </c>
      <c r="E623" s="4" t="n">
        <v>46270.4201851852</v>
      </c>
      <c r="F623" s="4" t="n">
        <v>30</v>
      </c>
      <c r="G623" s="4" t="n">
        <v>30</v>
      </c>
      <c r="H623" s="4" t="n">
        <v>29</v>
      </c>
      <c r="I623" s="4" t="n">
        <v>0</v>
      </c>
      <c r="J623" s="4" t="n">
        <v>1</v>
      </c>
      <c r="K623" s="4" t="n">
        <v>0</v>
      </c>
      <c r="L623" s="11" t="b">
        <f aca="false">FALSE()</f>
        <v>0</v>
      </c>
    </row>
    <row r="624" customFormat="false" ht="15" hidden="false" customHeight="false" outlineLevel="0" collapsed="false">
      <c r="A624" s="4" t="s">
        <v>829</v>
      </c>
      <c r="B624" s="4" t="s">
        <v>100</v>
      </c>
      <c r="C624" s="4" t="s">
        <v>205</v>
      </c>
      <c r="D624" s="4" t="s">
        <v>206</v>
      </c>
      <c r="E624" s="4" t="n">
        <v>46270.503125</v>
      </c>
      <c r="F624" s="4" t="n">
        <v>60</v>
      </c>
      <c r="G624" s="4" t="n">
        <v>60</v>
      </c>
      <c r="H624" s="4" t="n">
        <v>57</v>
      </c>
      <c r="I624" s="4" t="n">
        <v>2</v>
      </c>
      <c r="J624" s="4" t="n">
        <v>1</v>
      </c>
      <c r="K624" s="4" t="n">
        <v>0</v>
      </c>
      <c r="L624" s="11" t="b">
        <f aca="false">FALSE()</f>
        <v>0</v>
      </c>
    </row>
    <row r="625" customFormat="false" ht="15" hidden="false" customHeight="false" outlineLevel="0" collapsed="false">
      <c r="A625" s="4" t="s">
        <v>830</v>
      </c>
      <c r="B625" s="4" t="s">
        <v>102</v>
      </c>
      <c r="C625" s="4" t="s">
        <v>205</v>
      </c>
      <c r="D625" s="4" t="s">
        <v>206</v>
      </c>
      <c r="E625" s="4" t="n">
        <v>46270.5466435185</v>
      </c>
      <c r="F625" s="4" t="n">
        <v>24</v>
      </c>
      <c r="G625" s="4" t="n">
        <v>24</v>
      </c>
      <c r="H625" s="4" t="n">
        <v>24</v>
      </c>
      <c r="I625" s="4" t="n">
        <v>0</v>
      </c>
      <c r="J625" s="4" t="n">
        <v>0</v>
      </c>
      <c r="K625" s="4" t="n">
        <v>0</v>
      </c>
      <c r="L625" s="11" t="b">
        <f aca="false">FALSE()</f>
        <v>0</v>
      </c>
    </row>
    <row r="626" customFormat="false" ht="15" hidden="false" customHeight="false" outlineLevel="0" collapsed="false">
      <c r="A626" s="4" t="s">
        <v>831</v>
      </c>
      <c r="B626" s="4" t="s">
        <v>101</v>
      </c>
      <c r="C626" s="4" t="s">
        <v>205</v>
      </c>
      <c r="D626" s="4" t="s">
        <v>206</v>
      </c>
      <c r="E626" s="4" t="n">
        <v>46270.5872222222</v>
      </c>
      <c r="F626" s="4" t="n">
        <v>45</v>
      </c>
      <c r="G626" s="4" t="n">
        <v>45</v>
      </c>
      <c r="H626" s="4" t="n">
        <v>41</v>
      </c>
      <c r="I626" s="4" t="n">
        <v>3</v>
      </c>
      <c r="J626" s="4" t="n">
        <v>1</v>
      </c>
      <c r="K626" s="4" t="n">
        <v>0</v>
      </c>
      <c r="L626" s="11" t="b">
        <f aca="false">FALSE()</f>
        <v>0</v>
      </c>
    </row>
    <row r="627" customFormat="false" ht="15" hidden="false" customHeight="false" outlineLevel="0" collapsed="false">
      <c r="A627" s="4" t="s">
        <v>832</v>
      </c>
      <c r="B627" s="4" t="s">
        <v>103</v>
      </c>
      <c r="C627" s="4" t="s">
        <v>205</v>
      </c>
      <c r="D627" s="4" t="s">
        <v>206</v>
      </c>
      <c r="E627" s="4" t="n">
        <v>46270.6303935185</v>
      </c>
      <c r="F627" s="4" t="n">
        <v>30</v>
      </c>
      <c r="G627" s="4" t="n">
        <v>30</v>
      </c>
      <c r="H627" s="4" t="n">
        <v>28</v>
      </c>
      <c r="I627" s="4" t="n">
        <v>2</v>
      </c>
      <c r="J627" s="4" t="n">
        <v>0</v>
      </c>
      <c r="K627" s="4" t="n">
        <v>0</v>
      </c>
      <c r="L627" s="11" t="b">
        <f aca="false">FALSE()</f>
        <v>0</v>
      </c>
    </row>
    <row r="628" customFormat="false" ht="15" hidden="false" customHeight="false" outlineLevel="0" collapsed="false">
      <c r="A628" s="4" t="s">
        <v>833</v>
      </c>
      <c r="B628" s="4" t="s">
        <v>100</v>
      </c>
      <c r="C628" s="4" t="s">
        <v>205</v>
      </c>
      <c r="D628" s="4" t="s">
        <v>206</v>
      </c>
      <c r="E628" s="4" t="n">
        <v>46270.6696759259</v>
      </c>
      <c r="F628" s="4" t="n">
        <v>67</v>
      </c>
      <c r="G628" s="4" t="n">
        <v>67</v>
      </c>
      <c r="H628" s="4" t="n">
        <v>64</v>
      </c>
      <c r="I628" s="4" t="n">
        <v>1</v>
      </c>
      <c r="J628" s="4" t="n">
        <v>2</v>
      </c>
      <c r="K628" s="4" t="n">
        <v>0</v>
      </c>
      <c r="L628" s="11" t="b">
        <f aca="false">FALSE()</f>
        <v>0</v>
      </c>
    </row>
    <row r="629" customFormat="false" ht="15" hidden="false" customHeight="false" outlineLevel="0" collapsed="false">
      <c r="A629" s="4" t="s">
        <v>834</v>
      </c>
      <c r="B629" s="4" t="s">
        <v>101</v>
      </c>
      <c r="C629" s="4" t="s">
        <v>205</v>
      </c>
      <c r="D629" s="4" t="s">
        <v>206</v>
      </c>
      <c r="E629" s="4" t="n">
        <v>46270.753900463</v>
      </c>
      <c r="F629" s="4" t="n">
        <v>41</v>
      </c>
      <c r="G629" s="4" t="n">
        <v>41</v>
      </c>
      <c r="H629" s="4" t="n">
        <v>39</v>
      </c>
      <c r="I629" s="4" t="n">
        <v>1</v>
      </c>
      <c r="J629" s="4" t="n">
        <v>0</v>
      </c>
      <c r="K629" s="4" t="n">
        <v>1</v>
      </c>
      <c r="L629" s="11" t="b">
        <f aca="false">FALSE()</f>
        <v>0</v>
      </c>
    </row>
    <row r="630" customFormat="false" ht="15" hidden="false" customHeight="false" outlineLevel="0" collapsed="false">
      <c r="A630" s="4" t="s">
        <v>835</v>
      </c>
      <c r="B630" s="4" t="s">
        <v>104</v>
      </c>
      <c r="C630" s="4" t="s">
        <v>205</v>
      </c>
      <c r="D630" s="4" t="s">
        <v>206</v>
      </c>
      <c r="E630" s="4" t="n">
        <v>46270.756724537</v>
      </c>
      <c r="F630" s="4" t="n">
        <v>17</v>
      </c>
      <c r="G630" s="4" t="n">
        <v>17</v>
      </c>
      <c r="H630" s="4" t="n">
        <v>16</v>
      </c>
      <c r="I630" s="4" t="n">
        <v>0</v>
      </c>
      <c r="J630" s="4" t="n">
        <v>1</v>
      </c>
      <c r="K630" s="4" t="n">
        <v>0</v>
      </c>
      <c r="L630" s="11" t="b">
        <f aca="false">FALSE()</f>
        <v>0</v>
      </c>
    </row>
    <row r="631" customFormat="false" ht="15" hidden="false" customHeight="false" outlineLevel="0" collapsed="false">
      <c r="A631" s="4" t="s">
        <v>836</v>
      </c>
      <c r="B631" s="4" t="s">
        <v>102</v>
      </c>
      <c r="C631" s="4" t="s">
        <v>205</v>
      </c>
      <c r="D631" s="4" t="s">
        <v>206</v>
      </c>
      <c r="E631" s="4" t="n">
        <v>46270.7957175926</v>
      </c>
      <c r="F631" s="4" t="n">
        <v>23</v>
      </c>
      <c r="G631" s="4" t="n">
        <v>23</v>
      </c>
      <c r="H631" s="4" t="n">
        <v>21</v>
      </c>
      <c r="I631" s="4" t="n">
        <v>2</v>
      </c>
      <c r="J631" s="4" t="n">
        <v>0</v>
      </c>
      <c r="K631" s="4" t="n">
        <v>0</v>
      </c>
      <c r="L631" s="11" t="b">
        <f aca="false">FALSE()</f>
        <v>0</v>
      </c>
    </row>
    <row r="632" customFormat="false" ht="15" hidden="false" customHeight="false" outlineLevel="0" collapsed="false">
      <c r="A632" s="4" t="s">
        <v>837</v>
      </c>
      <c r="B632" s="4" t="s">
        <v>100</v>
      </c>
      <c r="C632" s="4" t="s">
        <v>205</v>
      </c>
      <c r="D632" s="4" t="s">
        <v>206</v>
      </c>
      <c r="E632" s="4" t="n">
        <v>46270.8368518519</v>
      </c>
      <c r="F632" s="4" t="n">
        <v>60</v>
      </c>
      <c r="G632" s="4" t="n">
        <v>60</v>
      </c>
      <c r="H632" s="4" t="n">
        <v>59</v>
      </c>
      <c r="I632" s="4" t="n">
        <v>0</v>
      </c>
      <c r="J632" s="4" t="n">
        <v>1</v>
      </c>
      <c r="K632" s="4" t="n">
        <v>0</v>
      </c>
      <c r="L632" s="11" t="b">
        <f aca="false">FALSE()</f>
        <v>0</v>
      </c>
    </row>
    <row r="633" customFormat="false" ht="15" hidden="false" customHeight="false" outlineLevel="0" collapsed="false">
      <c r="A633" s="4" t="s">
        <v>838</v>
      </c>
      <c r="B633" s="4" t="s">
        <v>103</v>
      </c>
      <c r="C633" s="4" t="s">
        <v>205</v>
      </c>
      <c r="D633" s="4" t="s">
        <v>206</v>
      </c>
      <c r="E633" s="4" t="n">
        <v>46270.880162037</v>
      </c>
      <c r="F633" s="4" t="n">
        <v>22</v>
      </c>
      <c r="G633" s="4" t="n">
        <v>22</v>
      </c>
      <c r="H633" s="4" t="n">
        <v>20</v>
      </c>
      <c r="I633" s="4" t="n">
        <v>2</v>
      </c>
      <c r="J633" s="4" t="n">
        <v>0</v>
      </c>
      <c r="K633" s="4" t="n">
        <v>0</v>
      </c>
      <c r="L633" s="11" t="b">
        <f aca="false">FALSE()</f>
        <v>0</v>
      </c>
    </row>
    <row r="634" customFormat="false" ht="15" hidden="false" customHeight="false" outlineLevel="0" collapsed="false">
      <c r="A634" s="4" t="s">
        <v>839</v>
      </c>
      <c r="B634" s="4" t="s">
        <v>101</v>
      </c>
      <c r="C634" s="4" t="s">
        <v>205</v>
      </c>
      <c r="D634" s="4" t="s">
        <v>206</v>
      </c>
      <c r="E634" s="4" t="n">
        <v>46270.9196643519</v>
      </c>
      <c r="F634" s="4" t="n">
        <v>31</v>
      </c>
      <c r="G634" s="4" t="n">
        <v>31</v>
      </c>
      <c r="H634" s="4" t="n">
        <v>30</v>
      </c>
      <c r="I634" s="4" t="n">
        <v>1</v>
      </c>
      <c r="J634" s="4" t="n">
        <v>0</v>
      </c>
      <c r="K634" s="4" t="n">
        <v>0</v>
      </c>
      <c r="L634" s="11" t="b">
        <f aca="false">FALSE()</f>
        <v>0</v>
      </c>
    </row>
    <row r="635" customFormat="false" ht="15" hidden="false" customHeight="false" outlineLevel="0" collapsed="false">
      <c r="A635" s="4" t="s">
        <v>840</v>
      </c>
      <c r="B635" s="4" t="s">
        <v>100</v>
      </c>
      <c r="C635" s="4" t="s">
        <v>205</v>
      </c>
      <c r="D635" s="4" t="s">
        <v>206</v>
      </c>
      <c r="E635" s="4" t="n">
        <v>46271.0029282407</v>
      </c>
      <c r="F635" s="4" t="n">
        <v>36</v>
      </c>
      <c r="G635" s="4" t="n">
        <v>36</v>
      </c>
      <c r="H635" s="4" t="n">
        <v>33</v>
      </c>
      <c r="I635" s="4" t="n">
        <v>2</v>
      </c>
      <c r="J635" s="4" t="n">
        <v>1</v>
      </c>
      <c r="K635" s="4" t="n">
        <v>0</v>
      </c>
      <c r="L635" s="11" t="b">
        <f aca="false">FALSE()</f>
        <v>0</v>
      </c>
    </row>
    <row r="636" customFormat="false" ht="15" hidden="false" customHeight="false" outlineLevel="0" collapsed="false">
      <c r="A636" s="4" t="s">
        <v>841</v>
      </c>
      <c r="B636" s="4" t="s">
        <v>102</v>
      </c>
      <c r="C636" s="4" t="s">
        <v>205</v>
      </c>
      <c r="D636" s="4" t="s">
        <v>206</v>
      </c>
      <c r="E636" s="4" t="n">
        <v>46271.0460648148</v>
      </c>
      <c r="F636" s="4" t="n">
        <v>14</v>
      </c>
      <c r="G636" s="4" t="n">
        <v>14</v>
      </c>
      <c r="H636" s="4" t="n">
        <v>13</v>
      </c>
      <c r="I636" s="4" t="n">
        <v>0</v>
      </c>
      <c r="J636" s="4" t="n">
        <v>1</v>
      </c>
      <c r="K636" s="4" t="n">
        <v>0</v>
      </c>
      <c r="L636" s="11" t="b">
        <f aca="false">FALSE()</f>
        <v>0</v>
      </c>
    </row>
    <row r="637" customFormat="false" ht="15" hidden="false" customHeight="false" outlineLevel="0" collapsed="false">
      <c r="A637" s="4" t="s">
        <v>842</v>
      </c>
      <c r="B637" s="4" t="s">
        <v>101</v>
      </c>
      <c r="C637" s="4" t="s">
        <v>205</v>
      </c>
      <c r="D637" s="4" t="s">
        <v>206</v>
      </c>
      <c r="E637" s="4" t="n">
        <v>46271.0873726852</v>
      </c>
      <c r="F637" s="4" t="n">
        <v>12</v>
      </c>
      <c r="G637" s="4" t="n">
        <v>12</v>
      </c>
      <c r="H637" s="4" t="n">
        <v>11</v>
      </c>
      <c r="I637" s="4" t="n">
        <v>1</v>
      </c>
      <c r="J637" s="4" t="n">
        <v>0</v>
      </c>
      <c r="K637" s="4" t="n">
        <v>0</v>
      </c>
      <c r="L637" s="11" t="b">
        <f aca="false">FALSE()</f>
        <v>0</v>
      </c>
    </row>
    <row r="638" customFormat="false" ht="15" hidden="false" customHeight="false" outlineLevel="0" collapsed="false">
      <c r="A638" s="4" t="s">
        <v>843</v>
      </c>
      <c r="B638" s="4" t="s">
        <v>103</v>
      </c>
      <c r="C638" s="4" t="s">
        <v>205</v>
      </c>
      <c r="D638" s="4" t="s">
        <v>206</v>
      </c>
      <c r="E638" s="4" t="n">
        <v>46271.1314467593</v>
      </c>
      <c r="F638" s="4" t="n">
        <v>8</v>
      </c>
      <c r="G638" s="4" t="n">
        <v>8</v>
      </c>
      <c r="H638" s="4" t="n">
        <v>8</v>
      </c>
      <c r="I638" s="4" t="n">
        <v>0</v>
      </c>
      <c r="J638" s="4" t="n">
        <v>0</v>
      </c>
      <c r="K638" s="4" t="n">
        <v>0</v>
      </c>
      <c r="L638" s="11" t="b">
        <f aca="false">FALSE()</f>
        <v>0</v>
      </c>
    </row>
    <row r="639" customFormat="false" ht="15" hidden="false" customHeight="false" outlineLevel="0" collapsed="false">
      <c r="A639" s="4" t="s">
        <v>844</v>
      </c>
      <c r="B639" s="4" t="s">
        <v>100</v>
      </c>
      <c r="C639" s="4" t="s">
        <v>205</v>
      </c>
      <c r="D639" s="4" t="s">
        <v>206</v>
      </c>
      <c r="E639" s="4" t="n">
        <v>46271.1690856482</v>
      </c>
      <c r="F639" s="4" t="n">
        <v>14</v>
      </c>
      <c r="G639" s="4" t="n">
        <v>14</v>
      </c>
      <c r="H639" s="4" t="n">
        <v>12</v>
      </c>
      <c r="I639" s="4" t="n">
        <v>1</v>
      </c>
      <c r="J639" s="4" t="n">
        <v>0</v>
      </c>
      <c r="K639" s="4" t="n">
        <v>1</v>
      </c>
      <c r="L639" s="11" t="b">
        <f aca="false">FALSE()</f>
        <v>0</v>
      </c>
    </row>
    <row r="640" customFormat="false" ht="15" hidden="false" customHeight="false" outlineLevel="0" collapsed="false">
      <c r="A640" s="4" t="s">
        <v>845</v>
      </c>
      <c r="B640" s="4" t="s">
        <v>99</v>
      </c>
      <c r="C640" s="4" t="s">
        <v>205</v>
      </c>
      <c r="D640" s="4" t="s">
        <v>206</v>
      </c>
      <c r="E640" s="4" t="n">
        <v>46271.2133101852</v>
      </c>
      <c r="F640" s="4" t="n">
        <v>29</v>
      </c>
      <c r="G640" s="4" t="n">
        <v>29</v>
      </c>
      <c r="H640" s="4" t="n">
        <v>29</v>
      </c>
      <c r="I640" s="4" t="n">
        <v>0</v>
      </c>
      <c r="J640" s="4" t="n">
        <v>0</v>
      </c>
      <c r="K640" s="4" t="n">
        <v>0</v>
      </c>
      <c r="L640" s="11" t="b">
        <f aca="false">FALSE()</f>
        <v>0</v>
      </c>
    </row>
    <row r="641" customFormat="false" ht="15" hidden="false" customHeight="false" outlineLevel="0" collapsed="false">
      <c r="A641" s="4" t="s">
        <v>846</v>
      </c>
      <c r="B641" s="4" t="s">
        <v>101</v>
      </c>
      <c r="C641" s="4" t="s">
        <v>205</v>
      </c>
      <c r="D641" s="4" t="s">
        <v>206</v>
      </c>
      <c r="E641" s="4" t="n">
        <v>46271.2534606482</v>
      </c>
      <c r="F641" s="4" t="n">
        <v>7</v>
      </c>
      <c r="G641" s="4" t="n">
        <v>7</v>
      </c>
      <c r="H641" s="4" t="n">
        <v>7</v>
      </c>
      <c r="I641" s="4" t="n">
        <v>0</v>
      </c>
      <c r="J641" s="4" t="n">
        <v>0</v>
      </c>
      <c r="K641" s="4" t="n">
        <v>0</v>
      </c>
      <c r="L641" s="11" t="b">
        <f aca="false">FALSE()</f>
        <v>0</v>
      </c>
    </row>
    <row r="642" customFormat="false" ht="15" hidden="false" customHeight="false" outlineLevel="0" collapsed="false">
      <c r="A642" s="4" t="s">
        <v>847</v>
      </c>
      <c r="B642" s="4" t="s">
        <v>104</v>
      </c>
      <c r="C642" s="4" t="s">
        <v>205</v>
      </c>
      <c r="D642" s="4" t="s">
        <v>206</v>
      </c>
      <c r="E642" s="4" t="n">
        <v>46271.2569907407</v>
      </c>
      <c r="F642" s="4" t="n">
        <v>8</v>
      </c>
      <c r="G642" s="4" t="n">
        <v>8</v>
      </c>
      <c r="H642" s="4" t="n">
        <v>7</v>
      </c>
      <c r="I642" s="4" t="n">
        <v>1</v>
      </c>
      <c r="J642" s="4" t="n">
        <v>0</v>
      </c>
      <c r="K642" s="4" t="n">
        <v>0</v>
      </c>
      <c r="L642" s="11" t="b">
        <f aca="false">FALSE()</f>
        <v>0</v>
      </c>
    </row>
    <row r="643" customFormat="false" ht="15" hidden="false" customHeight="false" outlineLevel="0" collapsed="false">
      <c r="A643" s="4" t="s">
        <v>848</v>
      </c>
      <c r="B643" s="4" t="s">
        <v>102</v>
      </c>
      <c r="C643" s="4" t="s">
        <v>205</v>
      </c>
      <c r="D643" s="4" t="s">
        <v>206</v>
      </c>
      <c r="E643" s="4" t="n">
        <v>46271.2958564815</v>
      </c>
      <c r="F643" s="4" t="n">
        <v>8</v>
      </c>
      <c r="G643" s="4" t="n">
        <v>8</v>
      </c>
      <c r="H643" s="4" t="n">
        <v>5</v>
      </c>
      <c r="I643" s="4" t="n">
        <v>3</v>
      </c>
      <c r="J643" s="4" t="n">
        <v>0</v>
      </c>
      <c r="K643" s="4" t="n">
        <v>0</v>
      </c>
      <c r="L643" s="11" t="b">
        <f aca="false">FALSE()</f>
        <v>0</v>
      </c>
    </row>
    <row r="644" customFormat="false" ht="15" hidden="false" customHeight="false" outlineLevel="0" collapsed="false">
      <c r="A644" s="4" t="s">
        <v>849</v>
      </c>
      <c r="B644" s="4" t="s">
        <v>100</v>
      </c>
      <c r="C644" s="4" t="s">
        <v>205</v>
      </c>
      <c r="D644" s="4" t="s">
        <v>206</v>
      </c>
      <c r="E644" s="4" t="n">
        <v>46271.3364236111</v>
      </c>
      <c r="F644" s="4" t="n">
        <v>27</v>
      </c>
      <c r="G644" s="4" t="n">
        <v>27</v>
      </c>
      <c r="H644" s="4" t="n">
        <v>24</v>
      </c>
      <c r="I644" s="4" t="n">
        <v>2</v>
      </c>
      <c r="J644" s="4" t="n">
        <v>0</v>
      </c>
      <c r="K644" s="4" t="n">
        <v>1</v>
      </c>
      <c r="L644" s="11" t="b">
        <f aca="false">FALSE()</f>
        <v>0</v>
      </c>
    </row>
    <row r="645" customFormat="false" ht="15" hidden="false" customHeight="false" outlineLevel="0" collapsed="false">
      <c r="A645" s="4" t="s">
        <v>850</v>
      </c>
      <c r="B645" s="4" t="s">
        <v>103</v>
      </c>
      <c r="C645" s="4" t="s">
        <v>205</v>
      </c>
      <c r="D645" s="4" t="s">
        <v>206</v>
      </c>
      <c r="E645" s="4" t="n">
        <v>46271.3803125</v>
      </c>
      <c r="F645" s="4" t="n">
        <v>13</v>
      </c>
      <c r="G645" s="4" t="n">
        <v>13</v>
      </c>
      <c r="H645" s="4" t="n">
        <v>13</v>
      </c>
      <c r="I645" s="4" t="n">
        <v>0</v>
      </c>
      <c r="J645" s="4" t="n">
        <v>0</v>
      </c>
      <c r="K645" s="4" t="n">
        <v>0</v>
      </c>
      <c r="L645" s="11" t="b">
        <f aca="false">FALSE()</f>
        <v>0</v>
      </c>
    </row>
    <row r="646" customFormat="false" ht="15" hidden="false" customHeight="false" outlineLevel="0" collapsed="false">
      <c r="A646" s="4" t="s">
        <v>851</v>
      </c>
      <c r="B646" s="4" t="s">
        <v>101</v>
      </c>
      <c r="C646" s="4" t="s">
        <v>205</v>
      </c>
      <c r="D646" s="4" t="s">
        <v>206</v>
      </c>
      <c r="E646" s="4" t="n">
        <v>46271.4208333333</v>
      </c>
      <c r="F646" s="4" t="n">
        <v>32</v>
      </c>
      <c r="G646" s="4" t="n">
        <v>32</v>
      </c>
      <c r="H646" s="4" t="n">
        <v>30</v>
      </c>
      <c r="I646" s="4" t="n">
        <v>1</v>
      </c>
      <c r="J646" s="4" t="n">
        <v>1</v>
      </c>
      <c r="K646" s="4" t="n">
        <v>0</v>
      </c>
      <c r="L646" s="11" t="b">
        <f aca="false">FALSE()</f>
        <v>0</v>
      </c>
    </row>
    <row r="647" customFormat="false" ht="15" hidden="false" customHeight="false" outlineLevel="0" collapsed="false">
      <c r="A647" s="4" t="s">
        <v>852</v>
      </c>
      <c r="B647" s="4" t="s">
        <v>100</v>
      </c>
      <c r="C647" s="4" t="s">
        <v>205</v>
      </c>
      <c r="D647" s="4" t="s">
        <v>206</v>
      </c>
      <c r="E647" s="4" t="n">
        <v>46271.5030092593</v>
      </c>
      <c r="F647" s="4" t="n">
        <v>66</v>
      </c>
      <c r="G647" s="4" t="n">
        <v>66</v>
      </c>
      <c r="H647" s="4" t="n">
        <v>63</v>
      </c>
      <c r="I647" s="4" t="n">
        <v>3</v>
      </c>
      <c r="J647" s="4" t="n">
        <v>0</v>
      </c>
      <c r="K647" s="4" t="n">
        <v>0</v>
      </c>
      <c r="L647" s="11" t="b">
        <f aca="false">FALSE()</f>
        <v>0</v>
      </c>
    </row>
    <row r="648" customFormat="false" ht="15" hidden="false" customHeight="false" outlineLevel="0" collapsed="false">
      <c r="A648" s="4" t="s">
        <v>853</v>
      </c>
      <c r="B648" s="4" t="s">
        <v>102</v>
      </c>
      <c r="C648" s="4" t="s">
        <v>205</v>
      </c>
      <c r="D648" s="4" t="s">
        <v>206</v>
      </c>
      <c r="E648" s="4" t="n">
        <v>46271.5459027778</v>
      </c>
      <c r="F648" s="4" t="n">
        <v>24</v>
      </c>
      <c r="G648" s="4" t="n">
        <v>24</v>
      </c>
      <c r="H648" s="4" t="n">
        <v>23</v>
      </c>
      <c r="I648" s="4" t="n">
        <v>0</v>
      </c>
      <c r="J648" s="4" t="n">
        <v>1</v>
      </c>
      <c r="K648" s="4" t="n">
        <v>0</v>
      </c>
      <c r="L648" s="11" t="b">
        <f aca="false">FALSE()</f>
        <v>0</v>
      </c>
    </row>
    <row r="649" customFormat="false" ht="15" hidden="false" customHeight="false" outlineLevel="0" collapsed="false">
      <c r="A649" s="4" t="s">
        <v>854</v>
      </c>
      <c r="B649" s="4" t="s">
        <v>101</v>
      </c>
      <c r="C649" s="4" t="s">
        <v>205</v>
      </c>
      <c r="D649" s="4" t="s">
        <v>206</v>
      </c>
      <c r="E649" s="4" t="n">
        <v>46271.5878240741</v>
      </c>
      <c r="F649" s="4" t="n">
        <v>43</v>
      </c>
      <c r="G649" s="4" t="n">
        <v>43</v>
      </c>
      <c r="H649" s="4" t="n">
        <v>42</v>
      </c>
      <c r="I649" s="4" t="n">
        <v>0</v>
      </c>
      <c r="J649" s="4" t="n">
        <v>1</v>
      </c>
      <c r="K649" s="4" t="n">
        <v>0</v>
      </c>
      <c r="L649" s="11" t="b">
        <f aca="false">FALSE()</f>
        <v>0</v>
      </c>
    </row>
    <row r="650" customFormat="false" ht="15" hidden="false" customHeight="false" outlineLevel="0" collapsed="false">
      <c r="A650" s="4" t="s">
        <v>855</v>
      </c>
      <c r="B650" s="4" t="s">
        <v>103</v>
      </c>
      <c r="C650" s="4" t="s">
        <v>205</v>
      </c>
      <c r="D650" s="4" t="s">
        <v>206</v>
      </c>
      <c r="E650" s="4" t="n">
        <v>46271.6304976852</v>
      </c>
      <c r="F650" s="4" t="n">
        <v>23</v>
      </c>
      <c r="G650" s="4" t="n">
        <v>23</v>
      </c>
      <c r="H650" s="4" t="n">
        <v>22</v>
      </c>
      <c r="I650" s="4" t="n">
        <v>1</v>
      </c>
      <c r="J650" s="4" t="n">
        <v>0</v>
      </c>
      <c r="K650" s="4" t="n">
        <v>0</v>
      </c>
      <c r="L650" s="11" t="b">
        <f aca="false">FALSE()</f>
        <v>0</v>
      </c>
    </row>
    <row r="651" customFormat="false" ht="15" hidden="false" customHeight="false" outlineLevel="0" collapsed="false">
      <c r="A651" s="4" t="s">
        <v>856</v>
      </c>
      <c r="B651" s="4" t="s">
        <v>100</v>
      </c>
      <c r="C651" s="4" t="s">
        <v>205</v>
      </c>
      <c r="D651" s="4" t="s">
        <v>206</v>
      </c>
      <c r="E651" s="4" t="n">
        <v>46271.6690740741</v>
      </c>
      <c r="F651" s="4" t="n">
        <v>70</v>
      </c>
      <c r="G651" s="4" t="n">
        <v>70</v>
      </c>
      <c r="H651" s="4" t="n">
        <v>66</v>
      </c>
      <c r="I651" s="4" t="n">
        <v>3</v>
      </c>
      <c r="J651" s="4" t="n">
        <v>1</v>
      </c>
      <c r="K651" s="4" t="n">
        <v>0</v>
      </c>
      <c r="L651" s="11" t="b">
        <f aca="false">FALSE()</f>
        <v>0</v>
      </c>
    </row>
    <row r="652" customFormat="false" ht="15" hidden="false" customHeight="false" outlineLevel="0" collapsed="false">
      <c r="A652" s="4" t="s">
        <v>857</v>
      </c>
      <c r="B652" s="4" t="s">
        <v>101</v>
      </c>
      <c r="C652" s="4" t="s">
        <v>205</v>
      </c>
      <c r="D652" s="4" t="s">
        <v>206</v>
      </c>
      <c r="E652" s="4" t="n">
        <v>46271.7533333333</v>
      </c>
      <c r="F652" s="4" t="n">
        <v>46</v>
      </c>
      <c r="G652" s="4" t="n">
        <v>46</v>
      </c>
      <c r="H652" s="4" t="n">
        <v>42</v>
      </c>
      <c r="I652" s="4" t="n">
        <v>3</v>
      </c>
      <c r="J652" s="4" t="n">
        <v>1</v>
      </c>
      <c r="K652" s="4" t="n">
        <v>0</v>
      </c>
      <c r="L652" s="11" t="b">
        <f aca="false">FALSE()</f>
        <v>0</v>
      </c>
    </row>
    <row r="653" customFormat="false" ht="15" hidden="false" customHeight="false" outlineLevel="0" collapsed="false">
      <c r="A653" s="4" t="s">
        <v>858</v>
      </c>
      <c r="B653" s="4" t="s">
        <v>104</v>
      </c>
      <c r="C653" s="4" t="s">
        <v>205</v>
      </c>
      <c r="D653" s="4" t="s">
        <v>206</v>
      </c>
      <c r="E653" s="4" t="n">
        <v>46271.7569097222</v>
      </c>
      <c r="F653" s="4" t="n">
        <v>19</v>
      </c>
      <c r="G653" s="4" t="n">
        <v>19</v>
      </c>
      <c r="H653" s="4" t="n">
        <v>17</v>
      </c>
      <c r="I653" s="4" t="n">
        <v>1</v>
      </c>
      <c r="J653" s="4" t="n">
        <v>1</v>
      </c>
      <c r="K653" s="4" t="n">
        <v>0</v>
      </c>
      <c r="L653" s="11" t="b">
        <f aca="false">FALSE()</f>
        <v>0</v>
      </c>
    </row>
    <row r="654" customFormat="false" ht="15" hidden="false" customHeight="false" outlineLevel="0" collapsed="false">
      <c r="A654" s="4" t="s">
        <v>859</v>
      </c>
      <c r="B654" s="4" t="s">
        <v>102</v>
      </c>
      <c r="C654" s="4" t="s">
        <v>205</v>
      </c>
      <c r="D654" s="4" t="s">
        <v>206</v>
      </c>
      <c r="E654" s="4" t="n">
        <v>46271.7955208333</v>
      </c>
      <c r="F654" s="4" t="n">
        <v>25</v>
      </c>
      <c r="G654" s="4" t="n">
        <v>25</v>
      </c>
      <c r="H654" s="4" t="n">
        <v>23</v>
      </c>
      <c r="I654" s="4" t="n">
        <v>2</v>
      </c>
      <c r="J654" s="4" t="n">
        <v>0</v>
      </c>
      <c r="K654" s="4" t="n">
        <v>0</v>
      </c>
      <c r="L654" s="11" t="b">
        <f aca="false">FALSE()</f>
        <v>0</v>
      </c>
    </row>
    <row r="655" customFormat="false" ht="15" hidden="false" customHeight="false" outlineLevel="0" collapsed="false">
      <c r="A655" s="4" t="s">
        <v>860</v>
      </c>
      <c r="B655" s="4" t="s">
        <v>100</v>
      </c>
      <c r="C655" s="4" t="s">
        <v>205</v>
      </c>
      <c r="D655" s="4" t="s">
        <v>206</v>
      </c>
      <c r="E655" s="4" t="n">
        <v>46271.8361111111</v>
      </c>
      <c r="F655" s="4" t="n">
        <v>59</v>
      </c>
      <c r="G655" s="4" t="n">
        <v>59</v>
      </c>
      <c r="H655" s="4" t="n">
        <v>57</v>
      </c>
      <c r="I655" s="4" t="n">
        <v>2</v>
      </c>
      <c r="J655" s="4" t="n">
        <v>0</v>
      </c>
      <c r="K655" s="4" t="n">
        <v>0</v>
      </c>
      <c r="L655" s="11" t="b">
        <f aca="false">FALSE()</f>
        <v>0</v>
      </c>
    </row>
    <row r="656" customFormat="false" ht="15" hidden="false" customHeight="false" outlineLevel="0" collapsed="false">
      <c r="A656" s="4" t="s">
        <v>861</v>
      </c>
      <c r="B656" s="4" t="s">
        <v>103</v>
      </c>
      <c r="C656" s="4" t="s">
        <v>205</v>
      </c>
      <c r="D656" s="4" t="s">
        <v>206</v>
      </c>
      <c r="E656" s="4" t="n">
        <v>46271.8811921296</v>
      </c>
      <c r="F656" s="4" t="n">
        <v>20</v>
      </c>
      <c r="G656" s="4" t="n">
        <v>20</v>
      </c>
      <c r="H656" s="4" t="n">
        <v>18</v>
      </c>
      <c r="I656" s="4" t="n">
        <v>2</v>
      </c>
      <c r="J656" s="4" t="n">
        <v>0</v>
      </c>
      <c r="K656" s="4" t="n">
        <v>0</v>
      </c>
      <c r="L656" s="11" t="b">
        <f aca="false">FALSE()</f>
        <v>0</v>
      </c>
    </row>
    <row r="657" customFormat="false" ht="15" hidden="false" customHeight="false" outlineLevel="0" collapsed="false">
      <c r="A657" s="4" t="s">
        <v>862</v>
      </c>
      <c r="B657" s="4" t="s">
        <v>101</v>
      </c>
      <c r="C657" s="4" t="s">
        <v>205</v>
      </c>
      <c r="D657" s="4" t="s">
        <v>206</v>
      </c>
      <c r="E657" s="4" t="n">
        <v>46271.919525463</v>
      </c>
      <c r="F657" s="4" t="n">
        <v>35</v>
      </c>
      <c r="G657" s="4" t="n">
        <v>35</v>
      </c>
      <c r="H657" s="4" t="n">
        <v>31</v>
      </c>
      <c r="I657" s="4" t="n">
        <v>3</v>
      </c>
      <c r="J657" s="4" t="n">
        <v>0</v>
      </c>
      <c r="K657" s="4" t="n">
        <v>1</v>
      </c>
      <c r="L657" s="11" t="b">
        <f aca="false">FALSE()</f>
        <v>0</v>
      </c>
    </row>
    <row r="658" customFormat="false" ht="15" hidden="false" customHeight="false" outlineLevel="0" collapsed="false">
      <c r="A658" s="4" t="s">
        <v>863</v>
      </c>
      <c r="B658" s="4" t="s">
        <v>100</v>
      </c>
      <c r="C658" s="4" t="s">
        <v>205</v>
      </c>
      <c r="D658" s="4" t="s">
        <v>206</v>
      </c>
      <c r="E658" s="4" t="n">
        <v>46272.0029976852</v>
      </c>
      <c r="F658" s="4" t="n">
        <v>36</v>
      </c>
      <c r="G658" s="4" t="n">
        <v>36</v>
      </c>
      <c r="H658" s="4" t="n">
        <v>34</v>
      </c>
      <c r="I658" s="4" t="n">
        <v>1</v>
      </c>
      <c r="J658" s="4" t="n">
        <v>0</v>
      </c>
      <c r="K658" s="4" t="n">
        <v>1</v>
      </c>
      <c r="L658" s="11" t="b">
        <f aca="false">FALSE()</f>
        <v>0</v>
      </c>
    </row>
    <row r="659" customFormat="false" ht="15" hidden="false" customHeight="false" outlineLevel="0" collapsed="false">
      <c r="A659" s="4" t="s">
        <v>864</v>
      </c>
      <c r="B659" s="4" t="s">
        <v>102</v>
      </c>
      <c r="C659" s="4" t="s">
        <v>205</v>
      </c>
      <c r="D659" s="4" t="s">
        <v>206</v>
      </c>
      <c r="E659" s="4" t="n">
        <v>46272.0463657407</v>
      </c>
      <c r="F659" s="4" t="n">
        <v>14</v>
      </c>
      <c r="G659" s="4" t="n">
        <v>14</v>
      </c>
      <c r="H659" s="4" t="n">
        <v>13</v>
      </c>
      <c r="I659" s="4" t="n">
        <v>1</v>
      </c>
      <c r="J659" s="4" t="n">
        <v>0</v>
      </c>
      <c r="K659" s="4" t="n">
        <v>0</v>
      </c>
      <c r="L659" s="11" t="b">
        <f aca="false">FALSE()</f>
        <v>0</v>
      </c>
    </row>
    <row r="660" customFormat="false" ht="15" hidden="false" customHeight="false" outlineLevel="0" collapsed="false">
      <c r="A660" s="4" t="s">
        <v>865</v>
      </c>
      <c r="B660" s="4" t="s">
        <v>101</v>
      </c>
      <c r="C660" s="4" t="s">
        <v>205</v>
      </c>
      <c r="D660" s="4" t="s">
        <v>206</v>
      </c>
      <c r="E660" s="4" t="n">
        <v>46272.0872222222</v>
      </c>
      <c r="F660" s="4" t="n">
        <v>16</v>
      </c>
      <c r="G660" s="4" t="n">
        <v>16</v>
      </c>
      <c r="H660" s="4" t="n">
        <v>14</v>
      </c>
      <c r="I660" s="4" t="n">
        <v>2</v>
      </c>
      <c r="J660" s="4" t="n">
        <v>0</v>
      </c>
      <c r="K660" s="4" t="n">
        <v>0</v>
      </c>
      <c r="L660" s="11" t="b">
        <f aca="false">FALSE()</f>
        <v>0</v>
      </c>
    </row>
    <row r="661" customFormat="false" ht="15" hidden="false" customHeight="false" outlineLevel="0" collapsed="false">
      <c r="A661" s="4" t="s">
        <v>866</v>
      </c>
      <c r="B661" s="4" t="s">
        <v>103</v>
      </c>
      <c r="C661" s="4" t="s">
        <v>205</v>
      </c>
      <c r="D661" s="4" t="s">
        <v>206</v>
      </c>
      <c r="E661" s="4" t="n">
        <v>46272.1301851852</v>
      </c>
      <c r="F661" s="4" t="n">
        <v>10</v>
      </c>
      <c r="G661" s="4" t="n">
        <v>10</v>
      </c>
      <c r="H661" s="4" t="n">
        <v>7</v>
      </c>
      <c r="I661" s="4" t="n">
        <v>3</v>
      </c>
      <c r="J661" s="4" t="n">
        <v>0</v>
      </c>
      <c r="K661" s="4" t="n">
        <v>0</v>
      </c>
      <c r="L661" s="11" t="b">
        <f aca="false">FALSE()</f>
        <v>0</v>
      </c>
    </row>
    <row r="662" customFormat="false" ht="15" hidden="false" customHeight="false" outlineLevel="0" collapsed="false">
      <c r="A662" s="4" t="s">
        <v>867</v>
      </c>
      <c r="B662" s="4" t="s">
        <v>100</v>
      </c>
      <c r="C662" s="4" t="s">
        <v>205</v>
      </c>
      <c r="D662" s="4" t="s">
        <v>206</v>
      </c>
      <c r="E662" s="4" t="n">
        <v>46272.1702430556</v>
      </c>
      <c r="F662" s="4" t="n">
        <v>16</v>
      </c>
      <c r="G662" s="4" t="n">
        <v>16</v>
      </c>
      <c r="H662" s="4" t="n">
        <v>13</v>
      </c>
      <c r="I662" s="4" t="n">
        <v>3</v>
      </c>
      <c r="J662" s="4" t="n">
        <v>0</v>
      </c>
      <c r="K662" s="4" t="n">
        <v>0</v>
      </c>
      <c r="L662" s="11" t="b">
        <f aca="false">FALSE()</f>
        <v>0</v>
      </c>
    </row>
    <row r="663" customFormat="false" ht="15" hidden="false" customHeight="false" outlineLevel="0" collapsed="false">
      <c r="A663" s="4" t="s">
        <v>868</v>
      </c>
      <c r="B663" s="4" t="s">
        <v>99</v>
      </c>
      <c r="C663" s="4" t="s">
        <v>205</v>
      </c>
      <c r="D663" s="4" t="s">
        <v>206</v>
      </c>
      <c r="E663" s="4" t="n">
        <v>46272.2141898148</v>
      </c>
      <c r="F663" s="4" t="n">
        <v>28</v>
      </c>
      <c r="G663" s="4" t="n">
        <v>28</v>
      </c>
      <c r="H663" s="4" t="n">
        <v>26</v>
      </c>
      <c r="I663" s="4" t="n">
        <v>2</v>
      </c>
      <c r="J663" s="4" t="n">
        <v>0</v>
      </c>
      <c r="K663" s="4" t="n">
        <v>0</v>
      </c>
      <c r="L663" s="11" t="b">
        <f aca="false">FALSE()</f>
        <v>0</v>
      </c>
    </row>
    <row r="664" customFormat="false" ht="15" hidden="false" customHeight="false" outlineLevel="0" collapsed="false">
      <c r="A664" s="4" t="s">
        <v>869</v>
      </c>
      <c r="B664" s="4" t="s">
        <v>101</v>
      </c>
      <c r="C664" s="4" t="s">
        <v>205</v>
      </c>
      <c r="D664" s="4" t="s">
        <v>206</v>
      </c>
      <c r="E664" s="4" t="n">
        <v>46272.2540856482</v>
      </c>
      <c r="F664" s="4" t="n">
        <v>13</v>
      </c>
      <c r="G664" s="4" t="n">
        <v>13</v>
      </c>
      <c r="H664" s="4" t="n">
        <v>10</v>
      </c>
      <c r="I664" s="4" t="n">
        <v>3</v>
      </c>
      <c r="J664" s="4" t="n">
        <v>0</v>
      </c>
      <c r="K664" s="4" t="n">
        <v>0</v>
      </c>
      <c r="L664" s="11" t="b">
        <f aca="false">FALSE()</f>
        <v>0</v>
      </c>
    </row>
    <row r="665" customFormat="false" ht="15" hidden="false" customHeight="false" outlineLevel="0" collapsed="false">
      <c r="A665" s="4" t="s">
        <v>870</v>
      </c>
      <c r="B665" s="4" t="s">
        <v>104</v>
      </c>
      <c r="C665" s="4" t="s">
        <v>205</v>
      </c>
      <c r="D665" s="4" t="s">
        <v>206</v>
      </c>
      <c r="E665" s="4" t="n">
        <v>46272.2559027778</v>
      </c>
      <c r="F665" s="4" t="n">
        <v>8</v>
      </c>
      <c r="G665" s="4" t="n">
        <v>8</v>
      </c>
      <c r="H665" s="4" t="n">
        <v>7</v>
      </c>
      <c r="I665" s="4" t="n">
        <v>1</v>
      </c>
      <c r="J665" s="4" t="n">
        <v>0</v>
      </c>
      <c r="K665" s="4" t="n">
        <v>0</v>
      </c>
      <c r="L665" s="11" t="b">
        <f aca="false">FALSE()</f>
        <v>0</v>
      </c>
    </row>
    <row r="666" customFormat="false" ht="15" hidden="false" customHeight="false" outlineLevel="0" collapsed="false">
      <c r="A666" s="4" t="s">
        <v>871</v>
      </c>
      <c r="B666" s="4" t="s">
        <v>102</v>
      </c>
      <c r="C666" s="4" t="s">
        <v>205</v>
      </c>
      <c r="D666" s="4" t="s">
        <v>206</v>
      </c>
      <c r="E666" s="4" t="n">
        <v>46272.295150463</v>
      </c>
      <c r="F666" s="4" t="n">
        <v>9</v>
      </c>
      <c r="G666" s="4" t="n">
        <v>9</v>
      </c>
      <c r="H666" s="4" t="n">
        <v>8</v>
      </c>
      <c r="I666" s="4" t="n">
        <v>1</v>
      </c>
      <c r="J666" s="4" t="n">
        <v>0</v>
      </c>
      <c r="K666" s="4" t="n">
        <v>0</v>
      </c>
      <c r="L666" s="11" t="b">
        <f aca="false">FALSE()</f>
        <v>0</v>
      </c>
    </row>
    <row r="667" customFormat="false" ht="15" hidden="false" customHeight="false" outlineLevel="0" collapsed="false">
      <c r="A667" s="4" t="s">
        <v>872</v>
      </c>
      <c r="B667" s="4" t="s">
        <v>100</v>
      </c>
      <c r="C667" s="4" t="s">
        <v>205</v>
      </c>
      <c r="D667" s="4" t="s">
        <v>206</v>
      </c>
      <c r="E667" s="4" t="n">
        <v>46272.3356365741</v>
      </c>
      <c r="F667" s="4" t="n">
        <v>31</v>
      </c>
      <c r="G667" s="4" t="n">
        <v>31</v>
      </c>
      <c r="H667" s="4" t="n">
        <v>29</v>
      </c>
      <c r="I667" s="4" t="n">
        <v>1</v>
      </c>
      <c r="J667" s="4" t="n">
        <v>1</v>
      </c>
      <c r="K667" s="4" t="n">
        <v>0</v>
      </c>
      <c r="L667" s="11" t="b">
        <f aca="false">FALSE()</f>
        <v>0</v>
      </c>
    </row>
    <row r="668" customFormat="false" ht="15" hidden="false" customHeight="false" outlineLevel="0" collapsed="false">
      <c r="A668" s="4" t="s">
        <v>873</v>
      </c>
      <c r="B668" s="4" t="s">
        <v>103</v>
      </c>
      <c r="C668" s="4" t="s">
        <v>205</v>
      </c>
      <c r="D668" s="4" t="s">
        <v>206</v>
      </c>
      <c r="E668" s="4" t="n">
        <v>46272.3796180556</v>
      </c>
      <c r="F668" s="4" t="n">
        <v>12</v>
      </c>
      <c r="G668" s="4" t="n">
        <v>12</v>
      </c>
      <c r="H668" s="4" t="n">
        <v>11</v>
      </c>
      <c r="I668" s="4" t="n">
        <v>1</v>
      </c>
      <c r="J668" s="4" t="n">
        <v>0</v>
      </c>
      <c r="K668" s="4" t="n">
        <v>0</v>
      </c>
      <c r="L668" s="11" t="b">
        <f aca="false">FALSE()</f>
        <v>0</v>
      </c>
    </row>
    <row r="669" customFormat="false" ht="15" hidden="false" customHeight="false" outlineLevel="0" collapsed="false">
      <c r="A669" s="4" t="s">
        <v>874</v>
      </c>
      <c r="B669" s="4" t="s">
        <v>101</v>
      </c>
      <c r="C669" s="4" t="s">
        <v>205</v>
      </c>
      <c r="D669" s="4" t="s">
        <v>206</v>
      </c>
      <c r="E669" s="4" t="n">
        <v>46272.4205092593</v>
      </c>
      <c r="F669" s="4" t="n">
        <v>39</v>
      </c>
      <c r="G669" s="4" t="n">
        <v>39</v>
      </c>
      <c r="H669" s="4" t="n">
        <v>36</v>
      </c>
      <c r="I669" s="4" t="n">
        <v>3</v>
      </c>
      <c r="J669" s="4" t="n">
        <v>0</v>
      </c>
      <c r="K669" s="4" t="n">
        <v>0</v>
      </c>
      <c r="L669" s="11" t="b">
        <f aca="false">FALSE()</f>
        <v>0</v>
      </c>
    </row>
    <row r="670" customFormat="false" ht="15" hidden="false" customHeight="false" outlineLevel="0" collapsed="false">
      <c r="A670" s="4" t="s">
        <v>875</v>
      </c>
      <c r="B670" s="4" t="s">
        <v>100</v>
      </c>
      <c r="C670" s="4" t="s">
        <v>205</v>
      </c>
      <c r="D670" s="4" t="s">
        <v>206</v>
      </c>
      <c r="E670" s="4" t="n">
        <v>46272.5022800926</v>
      </c>
      <c r="F670" s="4" t="n">
        <v>77</v>
      </c>
      <c r="G670" s="4" t="n">
        <v>77</v>
      </c>
      <c r="H670" s="4" t="n">
        <v>74</v>
      </c>
      <c r="I670" s="4" t="n">
        <v>3</v>
      </c>
      <c r="J670" s="4" t="n">
        <v>0</v>
      </c>
      <c r="K670" s="4" t="n">
        <v>0</v>
      </c>
      <c r="L670" s="11" t="b">
        <f aca="false">FALSE()</f>
        <v>0</v>
      </c>
    </row>
    <row r="671" customFormat="false" ht="15" hidden="false" customHeight="false" outlineLevel="0" collapsed="false">
      <c r="A671" s="4" t="s">
        <v>876</v>
      </c>
      <c r="B671" s="4" t="s">
        <v>102</v>
      </c>
      <c r="C671" s="4" t="s">
        <v>205</v>
      </c>
      <c r="D671" s="4" t="s">
        <v>206</v>
      </c>
      <c r="E671" s="4" t="n">
        <v>46272.545787037</v>
      </c>
      <c r="F671" s="4" t="n">
        <v>29</v>
      </c>
      <c r="G671" s="4" t="n">
        <v>29</v>
      </c>
      <c r="H671" s="4" t="n">
        <v>27</v>
      </c>
      <c r="I671" s="4" t="n">
        <v>2</v>
      </c>
      <c r="J671" s="4" t="n">
        <v>0</v>
      </c>
      <c r="K671" s="4" t="n">
        <v>0</v>
      </c>
      <c r="L671" s="11" t="b">
        <f aca="false">FALSE()</f>
        <v>0</v>
      </c>
    </row>
    <row r="672" customFormat="false" ht="15" hidden="false" customHeight="false" outlineLevel="0" collapsed="false">
      <c r="A672" s="4" t="s">
        <v>877</v>
      </c>
      <c r="B672" s="4" t="s">
        <v>101</v>
      </c>
      <c r="C672" s="4" t="s">
        <v>205</v>
      </c>
      <c r="D672" s="4" t="s">
        <v>206</v>
      </c>
      <c r="E672" s="4" t="n">
        <v>46272.586712963</v>
      </c>
      <c r="F672" s="4" t="n">
        <v>50</v>
      </c>
      <c r="G672" s="4" t="n">
        <v>50</v>
      </c>
      <c r="H672" s="4" t="n">
        <v>47</v>
      </c>
      <c r="I672" s="4" t="n">
        <v>3</v>
      </c>
      <c r="J672" s="4" t="n">
        <v>0</v>
      </c>
      <c r="K672" s="4" t="n">
        <v>0</v>
      </c>
      <c r="L672" s="11" t="b">
        <f aca="false">FALSE()</f>
        <v>0</v>
      </c>
    </row>
    <row r="673" customFormat="false" ht="15" hidden="false" customHeight="false" outlineLevel="0" collapsed="false">
      <c r="A673" s="4" t="s">
        <v>878</v>
      </c>
      <c r="B673" s="4" t="s">
        <v>103</v>
      </c>
      <c r="C673" s="4" t="s">
        <v>205</v>
      </c>
      <c r="D673" s="4" t="s">
        <v>206</v>
      </c>
      <c r="E673" s="4" t="n">
        <v>46272.6297337963</v>
      </c>
      <c r="F673" s="4" t="n">
        <v>29</v>
      </c>
      <c r="G673" s="4" t="n">
        <v>29</v>
      </c>
      <c r="H673" s="4" t="n">
        <v>28</v>
      </c>
      <c r="I673" s="4" t="n">
        <v>1</v>
      </c>
      <c r="J673" s="4" t="n">
        <v>0</v>
      </c>
      <c r="K673" s="4" t="n">
        <v>0</v>
      </c>
      <c r="L673" s="11" t="b">
        <f aca="false">FALSE()</f>
        <v>0</v>
      </c>
    </row>
    <row r="674" customFormat="false" ht="15" hidden="false" customHeight="false" outlineLevel="0" collapsed="false">
      <c r="A674" s="4" t="s">
        <v>879</v>
      </c>
      <c r="B674" s="4" t="s">
        <v>100</v>
      </c>
      <c r="C674" s="4" t="s">
        <v>205</v>
      </c>
      <c r="D674" s="4" t="s">
        <v>206</v>
      </c>
      <c r="E674" s="4" t="n">
        <v>46272.6690046296</v>
      </c>
      <c r="F674" s="4" t="n">
        <v>82</v>
      </c>
      <c r="G674" s="4" t="n">
        <v>82</v>
      </c>
      <c r="H674" s="4" t="n">
        <v>80</v>
      </c>
      <c r="I674" s="4" t="n">
        <v>1</v>
      </c>
      <c r="J674" s="4" t="n">
        <v>1</v>
      </c>
      <c r="K674" s="4" t="n">
        <v>0</v>
      </c>
      <c r="L674" s="11" t="b">
        <f aca="false">FALSE()</f>
        <v>0</v>
      </c>
    </row>
    <row r="675" customFormat="false" ht="15" hidden="false" customHeight="false" outlineLevel="0" collapsed="false">
      <c r="A675" s="4" t="s">
        <v>880</v>
      </c>
      <c r="B675" s="4" t="s">
        <v>99</v>
      </c>
      <c r="C675" s="4" t="s">
        <v>205</v>
      </c>
      <c r="D675" s="4" t="s">
        <v>428</v>
      </c>
      <c r="E675" s="4" t="n">
        <v>46272.7182060185</v>
      </c>
      <c r="F675" s="4" t="n">
        <v>30</v>
      </c>
      <c r="G675" s="4" t="n">
        <v>30</v>
      </c>
      <c r="H675" s="4" t="n">
        <v>30</v>
      </c>
      <c r="I675" s="4" t="n">
        <v>0</v>
      </c>
      <c r="J675" s="4" t="n">
        <v>0</v>
      </c>
      <c r="K675" s="4" t="n">
        <v>0</v>
      </c>
      <c r="L675" s="11" t="b">
        <f aca="false">FALSE()</f>
        <v>0</v>
      </c>
    </row>
    <row r="676" customFormat="false" ht="15" hidden="false" customHeight="false" outlineLevel="0" collapsed="false">
      <c r="A676" s="4" t="s">
        <v>881</v>
      </c>
      <c r="B676" s="4" t="s">
        <v>101</v>
      </c>
      <c r="C676" s="4" t="s">
        <v>205</v>
      </c>
      <c r="D676" s="4" t="s">
        <v>206</v>
      </c>
      <c r="E676" s="4" t="n">
        <v>46272.7528240741</v>
      </c>
      <c r="F676" s="4" t="n">
        <v>45</v>
      </c>
      <c r="G676" s="4" t="n">
        <v>45</v>
      </c>
      <c r="H676" s="4" t="n">
        <v>44</v>
      </c>
      <c r="I676" s="4" t="n">
        <v>1</v>
      </c>
      <c r="J676" s="4" t="n">
        <v>0</v>
      </c>
      <c r="K676" s="4" t="n">
        <v>0</v>
      </c>
      <c r="L676" s="11" t="b">
        <f aca="false">FALSE()</f>
        <v>0</v>
      </c>
    </row>
    <row r="677" customFormat="false" ht="15" hidden="false" customHeight="false" outlineLevel="0" collapsed="false">
      <c r="A677" s="4" t="s">
        <v>882</v>
      </c>
      <c r="B677" s="4" t="s">
        <v>104</v>
      </c>
      <c r="C677" s="4" t="s">
        <v>205</v>
      </c>
      <c r="D677" s="4" t="s">
        <v>206</v>
      </c>
      <c r="E677" s="4" t="n">
        <v>46272.7560763889</v>
      </c>
      <c r="F677" s="4" t="n">
        <v>0</v>
      </c>
      <c r="G677" s="4" t="n">
        <v>0</v>
      </c>
      <c r="H677" s="4" t="n">
        <v>0</v>
      </c>
      <c r="I677" s="4" t="n">
        <v>0</v>
      </c>
      <c r="J677" s="4" t="n">
        <v>0</v>
      </c>
      <c r="K677" s="4" t="n">
        <v>0</v>
      </c>
      <c r="L677" s="11" t="b">
        <f aca="false">TRUE()</f>
        <v>1</v>
      </c>
    </row>
    <row r="678" customFormat="false" ht="15" hidden="false" customHeight="false" outlineLevel="0" collapsed="false">
      <c r="A678" s="4" t="s">
        <v>883</v>
      </c>
      <c r="B678" s="4" t="s">
        <v>102</v>
      </c>
      <c r="C678" s="4" t="s">
        <v>371</v>
      </c>
      <c r="D678" s="4" t="s">
        <v>371</v>
      </c>
      <c r="E678" s="4" t="n">
        <v>46272.7962152778</v>
      </c>
      <c r="F678" s="4" t="n">
        <v>26</v>
      </c>
      <c r="G678" s="4" t="n">
        <v>0</v>
      </c>
      <c r="H678" s="4" t="n">
        <v>0</v>
      </c>
      <c r="I678" s="4" t="n">
        <v>0</v>
      </c>
      <c r="J678" s="4" t="n">
        <v>0</v>
      </c>
      <c r="K678" s="4" t="n">
        <v>0</v>
      </c>
      <c r="L678" s="11" t="b">
        <f aca="false">FALSE()</f>
        <v>0</v>
      </c>
    </row>
    <row r="679" customFormat="false" ht="15" hidden="false" customHeight="false" outlineLevel="0" collapsed="false">
      <c r="A679" s="4" t="s">
        <v>884</v>
      </c>
      <c r="B679" s="4" t="s">
        <v>102</v>
      </c>
      <c r="C679" s="4" t="s">
        <v>205</v>
      </c>
      <c r="D679" s="4" t="s">
        <v>373</v>
      </c>
      <c r="E679" s="4" t="n">
        <v>46272.8116782407</v>
      </c>
      <c r="F679" s="4" t="n">
        <v>26</v>
      </c>
      <c r="G679" s="4" t="n">
        <v>26</v>
      </c>
      <c r="H679" s="4" t="n">
        <v>24</v>
      </c>
      <c r="I679" s="4" t="n">
        <v>1</v>
      </c>
      <c r="J679" s="4" t="n">
        <v>1</v>
      </c>
      <c r="K679" s="4" t="n">
        <v>0</v>
      </c>
      <c r="L679" s="11" t="b">
        <f aca="false">FALSE()</f>
        <v>0</v>
      </c>
    </row>
    <row r="680" customFormat="false" ht="15" hidden="false" customHeight="false" outlineLevel="0" collapsed="false">
      <c r="A680" s="4" t="s">
        <v>885</v>
      </c>
      <c r="B680" s="4" t="s">
        <v>100</v>
      </c>
      <c r="C680" s="4" t="s">
        <v>205</v>
      </c>
      <c r="D680" s="4" t="s">
        <v>206</v>
      </c>
      <c r="E680" s="4" t="n">
        <v>46272.8366550926</v>
      </c>
      <c r="F680" s="4" t="n">
        <v>76</v>
      </c>
      <c r="G680" s="4" t="n">
        <v>76</v>
      </c>
      <c r="H680" s="4" t="n">
        <v>72</v>
      </c>
      <c r="I680" s="4" t="n">
        <v>3</v>
      </c>
      <c r="J680" s="4" t="n">
        <v>1</v>
      </c>
      <c r="K680" s="4" t="n">
        <v>0</v>
      </c>
      <c r="L680" s="11" t="b">
        <f aca="false">FALSE()</f>
        <v>0</v>
      </c>
    </row>
    <row r="681" customFormat="false" ht="15" hidden="false" customHeight="false" outlineLevel="0" collapsed="false">
      <c r="A681" s="4" t="s">
        <v>886</v>
      </c>
      <c r="B681" s="4" t="s">
        <v>103</v>
      </c>
      <c r="C681" s="4" t="s">
        <v>205</v>
      </c>
      <c r="D681" s="4" t="s">
        <v>206</v>
      </c>
      <c r="E681" s="4" t="n">
        <v>46272.8796875</v>
      </c>
      <c r="F681" s="4" t="n">
        <v>28</v>
      </c>
      <c r="G681" s="4" t="n">
        <v>28</v>
      </c>
      <c r="H681" s="4" t="n">
        <v>25</v>
      </c>
      <c r="I681" s="4" t="n">
        <v>3</v>
      </c>
      <c r="J681" s="4" t="n">
        <v>0</v>
      </c>
      <c r="K681" s="4" t="n">
        <v>0</v>
      </c>
      <c r="L681" s="11" t="b">
        <f aca="false">FALSE()</f>
        <v>0</v>
      </c>
    </row>
    <row r="682" customFormat="false" ht="15" hidden="false" customHeight="false" outlineLevel="0" collapsed="false">
      <c r="A682" s="4" t="s">
        <v>887</v>
      </c>
      <c r="B682" s="4" t="s">
        <v>101</v>
      </c>
      <c r="C682" s="4" t="s">
        <v>205</v>
      </c>
      <c r="D682" s="4" t="s">
        <v>206</v>
      </c>
      <c r="E682" s="4" t="n">
        <v>46272.9198611111</v>
      </c>
      <c r="F682" s="4" t="n">
        <v>38</v>
      </c>
      <c r="G682" s="4" t="n">
        <v>38</v>
      </c>
      <c r="H682" s="4" t="n">
        <v>35</v>
      </c>
      <c r="I682" s="4" t="n">
        <v>2</v>
      </c>
      <c r="J682" s="4" t="n">
        <v>1</v>
      </c>
      <c r="K682" s="4" t="n">
        <v>0</v>
      </c>
      <c r="L682" s="11" t="b">
        <f aca="false">FALSE()</f>
        <v>0</v>
      </c>
    </row>
    <row r="683" customFormat="false" ht="15" hidden="false" customHeight="false" outlineLevel="0" collapsed="false">
      <c r="A683" s="4" t="s">
        <v>888</v>
      </c>
      <c r="B683" s="4" t="s">
        <v>100</v>
      </c>
      <c r="C683" s="4" t="s">
        <v>205</v>
      </c>
      <c r="D683" s="4" t="s">
        <v>206</v>
      </c>
      <c r="E683" s="4" t="n">
        <v>46273.0035300926</v>
      </c>
      <c r="F683" s="4" t="n">
        <v>42</v>
      </c>
      <c r="G683" s="4" t="n">
        <v>42</v>
      </c>
      <c r="H683" s="4" t="n">
        <v>37</v>
      </c>
      <c r="I683" s="4" t="n">
        <v>2</v>
      </c>
      <c r="J683" s="4" t="n">
        <v>3</v>
      </c>
      <c r="K683" s="4" t="n">
        <v>0</v>
      </c>
      <c r="L683" s="11" t="b">
        <f aca="false">FALSE()</f>
        <v>0</v>
      </c>
    </row>
    <row r="684" customFormat="false" ht="15" hidden="false" customHeight="false" outlineLevel="0" collapsed="false">
      <c r="A684" s="4" t="s">
        <v>889</v>
      </c>
      <c r="B684" s="4" t="s">
        <v>102</v>
      </c>
      <c r="C684" s="4" t="s">
        <v>205</v>
      </c>
      <c r="D684" s="4" t="s">
        <v>206</v>
      </c>
      <c r="E684" s="4" t="n">
        <v>46273.0468634259</v>
      </c>
      <c r="F684" s="4" t="n">
        <v>18</v>
      </c>
      <c r="G684" s="4" t="n">
        <v>18</v>
      </c>
      <c r="H684" s="4" t="n">
        <v>15</v>
      </c>
      <c r="I684" s="4" t="n">
        <v>3</v>
      </c>
      <c r="J684" s="4" t="n">
        <v>0</v>
      </c>
      <c r="K684" s="4" t="n">
        <v>0</v>
      </c>
      <c r="L684" s="11" t="b">
        <f aca="false">FALSE()</f>
        <v>0</v>
      </c>
    </row>
    <row r="685" customFormat="false" ht="15" hidden="false" customHeight="false" outlineLevel="0" collapsed="false">
      <c r="A685" s="4" t="s">
        <v>890</v>
      </c>
      <c r="B685" s="4" t="s">
        <v>101</v>
      </c>
      <c r="C685" s="4" t="s">
        <v>205</v>
      </c>
      <c r="D685" s="4" t="s">
        <v>206</v>
      </c>
      <c r="E685" s="4" t="n">
        <v>46273.0877314815</v>
      </c>
      <c r="F685" s="4" t="n">
        <v>20</v>
      </c>
      <c r="G685" s="4" t="n">
        <v>20</v>
      </c>
      <c r="H685" s="4" t="n">
        <v>18</v>
      </c>
      <c r="I685" s="4" t="n">
        <v>2</v>
      </c>
      <c r="J685" s="4" t="n">
        <v>0</v>
      </c>
      <c r="K685" s="4" t="n">
        <v>0</v>
      </c>
      <c r="L685" s="11" t="b">
        <f aca="false">FALSE()</f>
        <v>0</v>
      </c>
    </row>
    <row r="686" customFormat="false" ht="15" hidden="false" customHeight="false" outlineLevel="0" collapsed="false">
      <c r="A686" s="4" t="s">
        <v>891</v>
      </c>
      <c r="B686" s="4" t="s">
        <v>103</v>
      </c>
      <c r="C686" s="4" t="s">
        <v>205</v>
      </c>
      <c r="D686" s="4" t="s">
        <v>206</v>
      </c>
      <c r="E686" s="4" t="n">
        <v>46273.1295023148</v>
      </c>
      <c r="F686" s="4" t="n">
        <v>12</v>
      </c>
      <c r="G686" s="4" t="n">
        <v>12</v>
      </c>
      <c r="H686" s="4" t="n">
        <v>10</v>
      </c>
      <c r="I686" s="4" t="n">
        <v>2</v>
      </c>
      <c r="J686" s="4" t="n">
        <v>0</v>
      </c>
      <c r="K686" s="4" t="n">
        <v>0</v>
      </c>
      <c r="L686" s="11" t="b">
        <f aca="false">FALSE()</f>
        <v>0</v>
      </c>
    </row>
    <row r="687" customFormat="false" ht="15" hidden="false" customHeight="false" outlineLevel="0" collapsed="false">
      <c r="A687" s="4" t="s">
        <v>892</v>
      </c>
      <c r="B687" s="4" t="s">
        <v>100</v>
      </c>
      <c r="C687" s="4" t="s">
        <v>205</v>
      </c>
      <c r="D687" s="4" t="s">
        <v>206</v>
      </c>
      <c r="E687" s="4" t="n">
        <v>46273.1700347222</v>
      </c>
      <c r="F687" s="4" t="n">
        <v>15</v>
      </c>
      <c r="G687" s="4" t="n">
        <v>15</v>
      </c>
      <c r="H687" s="4" t="n">
        <v>14</v>
      </c>
      <c r="I687" s="4" t="n">
        <v>1</v>
      </c>
      <c r="J687" s="4" t="n">
        <v>0</v>
      </c>
      <c r="K687" s="4" t="n">
        <v>0</v>
      </c>
      <c r="L687" s="11" t="b">
        <f aca="false">FALSE()</f>
        <v>0</v>
      </c>
    </row>
    <row r="688" customFormat="false" ht="15" hidden="false" customHeight="false" outlineLevel="0" collapsed="false">
      <c r="A688" s="4" t="s">
        <v>893</v>
      </c>
      <c r="B688" s="4" t="s">
        <v>99</v>
      </c>
      <c r="C688" s="4" t="s">
        <v>205</v>
      </c>
      <c r="D688" s="4" t="s">
        <v>206</v>
      </c>
      <c r="E688" s="4" t="n">
        <v>46273.2131944444</v>
      </c>
      <c r="F688" s="4" t="n">
        <v>32</v>
      </c>
      <c r="G688" s="4" t="n">
        <v>32</v>
      </c>
      <c r="H688" s="4" t="n">
        <v>29</v>
      </c>
      <c r="I688" s="4" t="n">
        <v>3</v>
      </c>
      <c r="J688" s="4" t="n">
        <v>0</v>
      </c>
      <c r="K688" s="4" t="n">
        <v>0</v>
      </c>
      <c r="L688" s="11" t="b">
        <f aca="false">FALSE()</f>
        <v>0</v>
      </c>
    </row>
    <row r="689" customFormat="false" ht="15" hidden="false" customHeight="false" outlineLevel="0" collapsed="false">
      <c r="A689" s="4" t="s">
        <v>894</v>
      </c>
      <c r="B689" s="4" t="s">
        <v>101</v>
      </c>
      <c r="C689" s="4" t="s">
        <v>205</v>
      </c>
      <c r="D689" s="4" t="s">
        <v>206</v>
      </c>
      <c r="E689" s="4" t="n">
        <v>46273.2529398148</v>
      </c>
      <c r="F689" s="4" t="n">
        <v>10</v>
      </c>
      <c r="G689" s="4" t="n">
        <v>10</v>
      </c>
      <c r="H689" s="4" t="n">
        <v>8</v>
      </c>
      <c r="I689" s="4" t="n">
        <v>1</v>
      </c>
      <c r="J689" s="4" t="n">
        <v>1</v>
      </c>
      <c r="K689" s="4" t="n">
        <v>0</v>
      </c>
      <c r="L689" s="11" t="b">
        <f aca="false">FALSE()</f>
        <v>0</v>
      </c>
    </row>
    <row r="690" customFormat="false" ht="15" hidden="false" customHeight="false" outlineLevel="0" collapsed="false">
      <c r="A690" s="4" t="s">
        <v>895</v>
      </c>
      <c r="B690" s="4" t="s">
        <v>104</v>
      </c>
      <c r="C690" s="4" t="s">
        <v>205</v>
      </c>
      <c r="D690" s="4" t="s">
        <v>206</v>
      </c>
      <c r="E690" s="4" t="n">
        <v>46273.2567013889</v>
      </c>
      <c r="F690" s="4" t="n">
        <v>1</v>
      </c>
      <c r="G690" s="4" t="n">
        <v>1</v>
      </c>
      <c r="H690" s="4" t="n">
        <v>1</v>
      </c>
      <c r="I690" s="4" t="n">
        <v>0</v>
      </c>
      <c r="J690" s="4" t="n">
        <v>0</v>
      </c>
      <c r="K690" s="4" t="n">
        <v>0</v>
      </c>
      <c r="L690" s="11" t="b">
        <f aca="false">FALSE()</f>
        <v>0</v>
      </c>
    </row>
    <row r="691" customFormat="false" ht="15" hidden="false" customHeight="false" outlineLevel="0" collapsed="false">
      <c r="A691" s="4" t="s">
        <v>896</v>
      </c>
      <c r="B691" s="4" t="s">
        <v>102</v>
      </c>
      <c r="C691" s="4" t="s">
        <v>205</v>
      </c>
      <c r="D691" s="4" t="s">
        <v>206</v>
      </c>
      <c r="E691" s="4" t="n">
        <v>46273.2951967593</v>
      </c>
      <c r="F691" s="4" t="n">
        <v>7</v>
      </c>
      <c r="G691" s="4" t="n">
        <v>7</v>
      </c>
      <c r="H691" s="4" t="n">
        <v>6</v>
      </c>
      <c r="I691" s="4" t="n">
        <v>1</v>
      </c>
      <c r="J691" s="4" t="n">
        <v>0</v>
      </c>
      <c r="K691" s="4" t="n">
        <v>0</v>
      </c>
      <c r="L691" s="11" t="b">
        <f aca="false">FALSE()</f>
        <v>0</v>
      </c>
    </row>
    <row r="692" customFormat="false" ht="15" hidden="false" customHeight="false" outlineLevel="0" collapsed="false">
      <c r="A692" s="4" t="s">
        <v>897</v>
      </c>
      <c r="B692" s="4" t="s">
        <v>100</v>
      </c>
      <c r="C692" s="4" t="s">
        <v>205</v>
      </c>
      <c r="D692" s="4" t="s">
        <v>206</v>
      </c>
      <c r="E692" s="4" t="n">
        <v>46273.3359027778</v>
      </c>
      <c r="F692" s="4" t="n">
        <v>37</v>
      </c>
      <c r="G692" s="4" t="n">
        <v>37</v>
      </c>
      <c r="H692" s="4" t="n">
        <v>36</v>
      </c>
      <c r="I692" s="4" t="n">
        <v>1</v>
      </c>
      <c r="J692" s="4" t="n">
        <v>0</v>
      </c>
      <c r="K692" s="4" t="n">
        <v>0</v>
      </c>
      <c r="L692" s="11" t="b">
        <f aca="false">FALSE()</f>
        <v>0</v>
      </c>
    </row>
    <row r="693" customFormat="false" ht="15" hidden="false" customHeight="false" outlineLevel="0" collapsed="false">
      <c r="A693" s="4" t="s">
        <v>898</v>
      </c>
      <c r="B693" s="4" t="s">
        <v>103</v>
      </c>
      <c r="C693" s="4" t="s">
        <v>205</v>
      </c>
      <c r="D693" s="4" t="s">
        <v>206</v>
      </c>
      <c r="E693" s="4" t="n">
        <v>46273.3801851852</v>
      </c>
      <c r="F693" s="4" t="n">
        <v>15</v>
      </c>
      <c r="G693" s="4" t="n">
        <v>15</v>
      </c>
      <c r="H693" s="4" t="n">
        <v>14</v>
      </c>
      <c r="I693" s="4" t="n">
        <v>1</v>
      </c>
      <c r="J693" s="4" t="n">
        <v>0</v>
      </c>
      <c r="K693" s="4" t="n">
        <v>0</v>
      </c>
      <c r="L693" s="11" t="b">
        <f aca="false">FALSE()</f>
        <v>0</v>
      </c>
    </row>
    <row r="694" customFormat="false" ht="15" hidden="false" customHeight="false" outlineLevel="0" collapsed="false">
      <c r="A694" s="4" t="s">
        <v>899</v>
      </c>
      <c r="B694" s="4" t="s">
        <v>101</v>
      </c>
      <c r="C694" s="4" t="s">
        <v>205</v>
      </c>
      <c r="D694" s="4" t="s">
        <v>206</v>
      </c>
      <c r="E694" s="4" t="n">
        <v>46273.4200462963</v>
      </c>
      <c r="F694" s="4" t="n">
        <v>37</v>
      </c>
      <c r="G694" s="4" t="n">
        <v>37</v>
      </c>
      <c r="H694" s="4" t="n">
        <v>35</v>
      </c>
      <c r="I694" s="4" t="n">
        <v>1</v>
      </c>
      <c r="J694" s="4" t="n">
        <v>1</v>
      </c>
      <c r="K694" s="4" t="n">
        <v>0</v>
      </c>
      <c r="L694" s="11" t="b">
        <f aca="false">FALSE()</f>
        <v>0</v>
      </c>
    </row>
    <row r="695" customFormat="false" ht="15" hidden="false" customHeight="false" outlineLevel="0" collapsed="false">
      <c r="A695" s="4" t="s">
        <v>900</v>
      </c>
      <c r="B695" s="4" t="s">
        <v>100</v>
      </c>
      <c r="C695" s="4" t="s">
        <v>205</v>
      </c>
      <c r="D695" s="4" t="s">
        <v>206</v>
      </c>
      <c r="E695" s="4" t="n">
        <v>46273.5025462963</v>
      </c>
      <c r="F695" s="4" t="n">
        <v>75</v>
      </c>
      <c r="G695" s="4" t="n">
        <v>75</v>
      </c>
      <c r="H695" s="4" t="n">
        <v>71</v>
      </c>
      <c r="I695" s="4" t="n">
        <v>2</v>
      </c>
      <c r="J695" s="4" t="n">
        <v>1</v>
      </c>
      <c r="K695" s="4" t="n">
        <v>1</v>
      </c>
      <c r="L695" s="11" t="b">
        <f aca="false">FALSE()</f>
        <v>0</v>
      </c>
    </row>
    <row r="696" customFormat="false" ht="15" hidden="false" customHeight="false" outlineLevel="0" collapsed="false">
      <c r="A696" s="4" t="s">
        <v>901</v>
      </c>
      <c r="B696" s="4" t="s">
        <v>102</v>
      </c>
      <c r="C696" s="4" t="s">
        <v>205</v>
      </c>
      <c r="D696" s="4" t="s">
        <v>206</v>
      </c>
      <c r="E696" s="4" t="n">
        <v>46273.546099537</v>
      </c>
      <c r="F696" s="4" t="n">
        <v>28</v>
      </c>
      <c r="G696" s="4" t="n">
        <v>28</v>
      </c>
      <c r="H696" s="4" t="n">
        <v>25</v>
      </c>
      <c r="I696" s="4" t="n">
        <v>3</v>
      </c>
      <c r="J696" s="4" t="n">
        <v>0</v>
      </c>
      <c r="K696" s="4" t="n">
        <v>0</v>
      </c>
      <c r="L696" s="11" t="b">
        <f aca="false">FALSE()</f>
        <v>0</v>
      </c>
    </row>
    <row r="697" customFormat="false" ht="15" hidden="false" customHeight="false" outlineLevel="0" collapsed="false">
      <c r="A697" s="4" t="s">
        <v>902</v>
      </c>
      <c r="B697" s="4" t="s">
        <v>101</v>
      </c>
      <c r="C697" s="4" t="s">
        <v>205</v>
      </c>
      <c r="D697" s="4" t="s">
        <v>206</v>
      </c>
      <c r="E697" s="4" t="n">
        <v>46273.587037037</v>
      </c>
      <c r="F697" s="4" t="n">
        <v>51</v>
      </c>
      <c r="G697" s="4" t="n">
        <v>51</v>
      </c>
      <c r="H697" s="4" t="n">
        <v>49</v>
      </c>
      <c r="I697" s="4" t="n">
        <v>2</v>
      </c>
      <c r="J697" s="4" t="n">
        <v>0</v>
      </c>
      <c r="K697" s="4" t="n">
        <v>0</v>
      </c>
      <c r="L697" s="11" t="b">
        <f aca="false">FALSE()</f>
        <v>0</v>
      </c>
    </row>
    <row r="698" customFormat="false" ht="15" hidden="false" customHeight="false" outlineLevel="0" collapsed="false">
      <c r="A698" s="4" t="s">
        <v>903</v>
      </c>
      <c r="B698" s="4" t="s">
        <v>103</v>
      </c>
      <c r="C698" s="4" t="s">
        <v>205</v>
      </c>
      <c r="D698" s="4" t="s">
        <v>206</v>
      </c>
      <c r="E698" s="4" t="n">
        <v>46273.6321180556</v>
      </c>
      <c r="F698" s="4" t="n">
        <v>30</v>
      </c>
      <c r="G698" s="4" t="n">
        <v>30</v>
      </c>
      <c r="H698" s="4" t="n">
        <v>28</v>
      </c>
      <c r="I698" s="4" t="n">
        <v>2</v>
      </c>
      <c r="J698" s="4" t="n">
        <v>0</v>
      </c>
      <c r="K698" s="4" t="n">
        <v>0</v>
      </c>
      <c r="L698" s="11" t="b">
        <f aca="false">FALSE()</f>
        <v>0</v>
      </c>
    </row>
    <row r="699" customFormat="false" ht="15" hidden="false" customHeight="false" outlineLevel="0" collapsed="false">
      <c r="A699" s="4" t="s">
        <v>904</v>
      </c>
      <c r="B699" s="4" t="s">
        <v>100</v>
      </c>
      <c r="C699" s="4" t="s">
        <v>205</v>
      </c>
      <c r="D699" s="4" t="s">
        <v>206</v>
      </c>
      <c r="E699" s="4" t="n">
        <v>46273.6688773148</v>
      </c>
      <c r="F699" s="4" t="n">
        <v>78</v>
      </c>
      <c r="G699" s="4" t="n">
        <v>78</v>
      </c>
      <c r="H699" s="4" t="n">
        <v>77</v>
      </c>
      <c r="I699" s="4" t="n">
        <v>1</v>
      </c>
      <c r="J699" s="4" t="n">
        <v>0</v>
      </c>
      <c r="K699" s="4" t="n">
        <v>0</v>
      </c>
      <c r="L699" s="11" t="b">
        <f aca="false">TRUE()</f>
        <v>1</v>
      </c>
    </row>
    <row r="700" customFormat="false" ht="15" hidden="false" customHeight="false" outlineLevel="0" collapsed="false">
      <c r="A700" s="4" t="s">
        <v>905</v>
      </c>
      <c r="B700" s="4" t="s">
        <v>101</v>
      </c>
      <c r="C700" s="4" t="s">
        <v>205</v>
      </c>
      <c r="D700" s="4" t="s">
        <v>206</v>
      </c>
      <c r="E700" s="4" t="n">
        <v>46273.7537615741</v>
      </c>
      <c r="F700" s="4" t="n">
        <v>52</v>
      </c>
      <c r="G700" s="4" t="n">
        <v>52</v>
      </c>
      <c r="H700" s="4" t="n">
        <v>49</v>
      </c>
      <c r="I700" s="4" t="n">
        <v>3</v>
      </c>
      <c r="J700" s="4" t="n">
        <v>0</v>
      </c>
      <c r="K700" s="4" t="n">
        <v>0</v>
      </c>
      <c r="L700" s="11" t="b">
        <f aca="false">FALSE()</f>
        <v>0</v>
      </c>
    </row>
    <row r="701" customFormat="false" ht="15" hidden="false" customHeight="false" outlineLevel="0" collapsed="false">
      <c r="A701" s="4" t="s">
        <v>906</v>
      </c>
      <c r="B701" s="4" t="s">
        <v>104</v>
      </c>
      <c r="C701" s="4" t="s">
        <v>205</v>
      </c>
      <c r="D701" s="4" t="s">
        <v>206</v>
      </c>
      <c r="E701" s="4" t="n">
        <v>46273.7556481482</v>
      </c>
      <c r="F701" s="4" t="n">
        <v>24</v>
      </c>
      <c r="G701" s="4" t="n">
        <v>24</v>
      </c>
      <c r="H701" s="4" t="n">
        <v>24</v>
      </c>
      <c r="I701" s="4" t="n">
        <v>0</v>
      </c>
      <c r="J701" s="4" t="n">
        <v>0</v>
      </c>
      <c r="K701" s="4" t="n">
        <v>0</v>
      </c>
      <c r="L701" s="11" t="b">
        <f aca="false">FALSE()</f>
        <v>0</v>
      </c>
    </row>
    <row r="702" customFormat="false" ht="15" hidden="false" customHeight="false" outlineLevel="0" collapsed="false">
      <c r="A702" s="4" t="s">
        <v>907</v>
      </c>
      <c r="B702" s="4" t="s">
        <v>102</v>
      </c>
      <c r="C702" s="4" t="s">
        <v>205</v>
      </c>
      <c r="D702" s="4" t="s">
        <v>206</v>
      </c>
      <c r="E702" s="4" t="n">
        <v>46273.7953240741</v>
      </c>
      <c r="F702" s="4" t="n">
        <v>28</v>
      </c>
      <c r="G702" s="4" t="n">
        <v>28</v>
      </c>
      <c r="H702" s="4" t="n">
        <v>26</v>
      </c>
      <c r="I702" s="4" t="n">
        <v>1</v>
      </c>
      <c r="J702" s="4" t="n">
        <v>1</v>
      </c>
      <c r="K702" s="4" t="n">
        <v>0</v>
      </c>
      <c r="L702" s="11" t="b">
        <f aca="false">FALSE()</f>
        <v>0</v>
      </c>
    </row>
    <row r="703" customFormat="false" ht="15" hidden="false" customHeight="false" outlineLevel="0" collapsed="false">
      <c r="A703" s="4" t="s">
        <v>908</v>
      </c>
      <c r="B703" s="4" t="s">
        <v>100</v>
      </c>
      <c r="C703" s="4" t="s">
        <v>205</v>
      </c>
      <c r="D703" s="4" t="s">
        <v>206</v>
      </c>
      <c r="E703" s="4" t="n">
        <v>46273.8361574074</v>
      </c>
      <c r="F703" s="4" t="n">
        <v>69</v>
      </c>
      <c r="G703" s="4" t="n">
        <v>69</v>
      </c>
      <c r="H703" s="4" t="n">
        <v>68</v>
      </c>
      <c r="I703" s="4" t="n">
        <v>0</v>
      </c>
      <c r="J703" s="4" t="n">
        <v>1</v>
      </c>
      <c r="K703" s="4" t="n">
        <v>0</v>
      </c>
      <c r="L703" s="11" t="b">
        <f aca="false">FALSE()</f>
        <v>0</v>
      </c>
    </row>
    <row r="704" customFormat="false" ht="15" hidden="false" customHeight="false" outlineLevel="0" collapsed="false">
      <c r="A704" s="4" t="s">
        <v>909</v>
      </c>
      <c r="B704" s="4" t="s">
        <v>103</v>
      </c>
      <c r="C704" s="4" t="s">
        <v>205</v>
      </c>
      <c r="D704" s="4" t="s">
        <v>206</v>
      </c>
      <c r="E704" s="4" t="n">
        <v>46273.879849537</v>
      </c>
      <c r="F704" s="4" t="n">
        <v>28</v>
      </c>
      <c r="G704" s="4" t="n">
        <v>28</v>
      </c>
      <c r="H704" s="4" t="n">
        <v>26</v>
      </c>
      <c r="I704" s="4" t="n">
        <v>2</v>
      </c>
      <c r="J704" s="4" t="n">
        <v>0</v>
      </c>
      <c r="K704" s="4" t="n">
        <v>0</v>
      </c>
      <c r="L704" s="11" t="b">
        <f aca="false">FALSE()</f>
        <v>0</v>
      </c>
    </row>
    <row r="705" customFormat="false" ht="15" hidden="false" customHeight="false" outlineLevel="0" collapsed="false">
      <c r="A705" s="4" t="s">
        <v>910</v>
      </c>
      <c r="B705" s="4" t="s">
        <v>101</v>
      </c>
      <c r="C705" s="4" t="s">
        <v>205</v>
      </c>
      <c r="D705" s="4" t="s">
        <v>206</v>
      </c>
      <c r="E705" s="4" t="n">
        <v>46273.920775463</v>
      </c>
      <c r="F705" s="4" t="n">
        <v>40</v>
      </c>
      <c r="G705" s="4" t="n">
        <v>40</v>
      </c>
      <c r="H705" s="4" t="n">
        <v>39</v>
      </c>
      <c r="I705" s="4" t="n">
        <v>1</v>
      </c>
      <c r="J705" s="4" t="n">
        <v>0</v>
      </c>
      <c r="K705" s="4" t="n">
        <v>0</v>
      </c>
      <c r="L705" s="11" t="b">
        <f aca="false">FALSE()</f>
        <v>0</v>
      </c>
    </row>
    <row r="706" customFormat="false" ht="15" hidden="false" customHeight="false" outlineLevel="0" collapsed="false">
      <c r="A706" s="4" t="s">
        <v>911</v>
      </c>
      <c r="B706" s="4" t="s">
        <v>100</v>
      </c>
      <c r="C706" s="4" t="s">
        <v>205</v>
      </c>
      <c r="D706" s="4" t="s">
        <v>206</v>
      </c>
      <c r="E706" s="4" t="n">
        <v>46274.0032523148</v>
      </c>
      <c r="F706" s="4" t="n">
        <v>44</v>
      </c>
      <c r="G706" s="4" t="n">
        <v>44</v>
      </c>
      <c r="H706" s="4" t="n">
        <v>44</v>
      </c>
      <c r="I706" s="4" t="n">
        <v>0</v>
      </c>
      <c r="J706" s="4" t="n">
        <v>0</v>
      </c>
      <c r="K706" s="4" t="n">
        <v>0</v>
      </c>
      <c r="L706" s="11" t="b">
        <f aca="false">FALSE()</f>
        <v>0</v>
      </c>
    </row>
    <row r="707" customFormat="false" ht="15" hidden="false" customHeight="false" outlineLevel="0" collapsed="false">
      <c r="A707" s="4" t="s">
        <v>912</v>
      </c>
      <c r="B707" s="4" t="s">
        <v>102</v>
      </c>
      <c r="C707" s="4" t="s">
        <v>205</v>
      </c>
      <c r="D707" s="4" t="s">
        <v>206</v>
      </c>
      <c r="E707" s="4" t="n">
        <v>46274.0458912037</v>
      </c>
      <c r="F707" s="4" t="n">
        <v>14</v>
      </c>
      <c r="G707" s="4" t="n">
        <v>14</v>
      </c>
      <c r="H707" s="4" t="n">
        <v>12</v>
      </c>
      <c r="I707" s="4" t="n">
        <v>1</v>
      </c>
      <c r="J707" s="4" t="n">
        <v>1</v>
      </c>
      <c r="K707" s="4" t="n">
        <v>0</v>
      </c>
      <c r="L707" s="11" t="b">
        <f aca="false">FALSE()</f>
        <v>0</v>
      </c>
    </row>
    <row r="708" customFormat="false" ht="15" hidden="false" customHeight="false" outlineLevel="0" collapsed="false">
      <c r="A708" s="4" t="s">
        <v>913</v>
      </c>
      <c r="B708" s="4" t="s">
        <v>101</v>
      </c>
      <c r="C708" s="4" t="s">
        <v>205</v>
      </c>
      <c r="D708" s="4" t="s">
        <v>206</v>
      </c>
      <c r="E708" s="4" t="n">
        <v>46274.0878009259</v>
      </c>
      <c r="F708" s="4" t="n">
        <v>15</v>
      </c>
      <c r="G708" s="4" t="n">
        <v>15</v>
      </c>
      <c r="H708" s="4" t="n">
        <v>14</v>
      </c>
      <c r="I708" s="4" t="n">
        <v>1</v>
      </c>
      <c r="J708" s="4" t="n">
        <v>0</v>
      </c>
      <c r="K708" s="4" t="n">
        <v>0</v>
      </c>
      <c r="L708" s="11" t="b">
        <f aca="false">FALSE()</f>
        <v>0</v>
      </c>
    </row>
    <row r="709" customFormat="false" ht="15" hidden="false" customHeight="false" outlineLevel="0" collapsed="false">
      <c r="A709" s="4" t="s">
        <v>914</v>
      </c>
      <c r="B709" s="4" t="s">
        <v>103</v>
      </c>
      <c r="C709" s="4" t="s">
        <v>205</v>
      </c>
      <c r="D709" s="4" t="s">
        <v>206</v>
      </c>
      <c r="E709" s="4" t="n">
        <v>46274.1293981482</v>
      </c>
      <c r="F709" s="4" t="n">
        <v>8</v>
      </c>
      <c r="G709" s="4" t="n">
        <v>8</v>
      </c>
      <c r="H709" s="4" t="n">
        <v>7</v>
      </c>
      <c r="I709" s="4" t="n">
        <v>1</v>
      </c>
      <c r="J709" s="4" t="n">
        <v>0</v>
      </c>
      <c r="K709" s="4" t="n">
        <v>0</v>
      </c>
      <c r="L709" s="11" t="b">
        <f aca="false">FALSE()</f>
        <v>0</v>
      </c>
    </row>
    <row r="710" customFormat="false" ht="15" hidden="false" customHeight="false" outlineLevel="0" collapsed="false">
      <c r="A710" s="4" t="s">
        <v>915</v>
      </c>
      <c r="B710" s="4" t="s">
        <v>100</v>
      </c>
      <c r="C710" s="4" t="s">
        <v>205</v>
      </c>
      <c r="D710" s="4" t="s">
        <v>206</v>
      </c>
      <c r="E710" s="4" t="n">
        <v>46274.1702546296</v>
      </c>
      <c r="F710" s="4" t="n">
        <v>17</v>
      </c>
      <c r="G710" s="4" t="n">
        <v>17</v>
      </c>
      <c r="H710" s="4" t="n">
        <v>13</v>
      </c>
      <c r="I710" s="4" t="n">
        <v>3</v>
      </c>
      <c r="J710" s="4" t="n">
        <v>0</v>
      </c>
      <c r="K710" s="4" t="n">
        <v>1</v>
      </c>
      <c r="L710" s="11" t="b">
        <f aca="false">FALSE()</f>
        <v>0</v>
      </c>
    </row>
    <row r="711" customFormat="false" ht="15" hidden="false" customHeight="false" outlineLevel="0" collapsed="false">
      <c r="A711" s="4" t="s">
        <v>916</v>
      </c>
      <c r="B711" s="4" t="s">
        <v>99</v>
      </c>
      <c r="C711" s="4" t="s">
        <v>205</v>
      </c>
      <c r="D711" s="4" t="s">
        <v>206</v>
      </c>
      <c r="E711" s="4" t="n">
        <v>46274.2137037037</v>
      </c>
      <c r="F711" s="4" t="n">
        <v>31</v>
      </c>
      <c r="G711" s="4" t="n">
        <v>31</v>
      </c>
      <c r="H711" s="4" t="n">
        <v>31</v>
      </c>
      <c r="I711" s="4" t="n">
        <v>0</v>
      </c>
      <c r="J711" s="4" t="n">
        <v>0</v>
      </c>
      <c r="K711" s="4" t="n">
        <v>0</v>
      </c>
      <c r="L711" s="11" t="b">
        <f aca="false">FALSE()</f>
        <v>0</v>
      </c>
    </row>
    <row r="712" customFormat="false" ht="15" hidden="false" customHeight="false" outlineLevel="0" collapsed="false">
      <c r="A712" s="4" t="s">
        <v>917</v>
      </c>
      <c r="B712" s="4" t="s">
        <v>101</v>
      </c>
      <c r="C712" s="4" t="s">
        <v>205</v>
      </c>
      <c r="D712" s="4" t="s">
        <v>206</v>
      </c>
      <c r="E712" s="4" t="n">
        <v>46274.2533101852</v>
      </c>
      <c r="F712" s="4" t="n">
        <v>10</v>
      </c>
      <c r="G712" s="4" t="n">
        <v>10</v>
      </c>
      <c r="H712" s="4" t="n">
        <v>10</v>
      </c>
      <c r="I712" s="4" t="n">
        <v>0</v>
      </c>
      <c r="J712" s="4" t="n">
        <v>0</v>
      </c>
      <c r="K712" s="4" t="n">
        <v>0</v>
      </c>
      <c r="L712" s="11" t="b">
        <f aca="false">FALSE()</f>
        <v>0</v>
      </c>
    </row>
    <row r="713" customFormat="false" ht="15" hidden="false" customHeight="false" outlineLevel="0" collapsed="false">
      <c r="A713" s="4" t="s">
        <v>918</v>
      </c>
      <c r="B713" s="4" t="s">
        <v>104</v>
      </c>
      <c r="C713" s="4" t="s">
        <v>205</v>
      </c>
      <c r="D713" s="4" t="s">
        <v>206</v>
      </c>
      <c r="E713" s="4" t="n">
        <v>46274.2556712963</v>
      </c>
      <c r="F713" s="4" t="n">
        <v>10</v>
      </c>
      <c r="G713" s="4" t="n">
        <v>10</v>
      </c>
      <c r="H713" s="4" t="n">
        <v>9</v>
      </c>
      <c r="I713" s="4" t="n">
        <v>1</v>
      </c>
      <c r="J713" s="4" t="n">
        <v>0</v>
      </c>
      <c r="K713" s="4" t="n">
        <v>0</v>
      </c>
      <c r="L713" s="11" t="b">
        <f aca="false">FALSE()</f>
        <v>0</v>
      </c>
    </row>
    <row r="714" customFormat="false" ht="15" hidden="false" customHeight="false" outlineLevel="0" collapsed="false">
      <c r="A714" s="4" t="s">
        <v>919</v>
      </c>
      <c r="B714" s="4" t="s">
        <v>102</v>
      </c>
      <c r="C714" s="4" t="s">
        <v>205</v>
      </c>
      <c r="D714" s="4" t="s">
        <v>206</v>
      </c>
      <c r="E714" s="4" t="n">
        <v>46274.2958101852</v>
      </c>
      <c r="F714" s="4" t="n">
        <v>7</v>
      </c>
      <c r="G714" s="4" t="n">
        <v>7</v>
      </c>
      <c r="H714" s="4" t="n">
        <v>5</v>
      </c>
      <c r="I714" s="4" t="n">
        <v>2</v>
      </c>
      <c r="J714" s="4" t="n">
        <v>0</v>
      </c>
      <c r="K714" s="4" t="n">
        <v>0</v>
      </c>
      <c r="L714" s="11" t="b">
        <f aca="false">FALSE()</f>
        <v>0</v>
      </c>
    </row>
    <row r="715" customFormat="false" ht="15" hidden="false" customHeight="false" outlineLevel="0" collapsed="false">
      <c r="A715" s="4" t="s">
        <v>920</v>
      </c>
      <c r="B715" s="4" t="s">
        <v>100</v>
      </c>
      <c r="C715" s="4" t="s">
        <v>205</v>
      </c>
      <c r="D715" s="4" t="s">
        <v>206</v>
      </c>
      <c r="E715" s="4" t="n">
        <v>46274.3355671296</v>
      </c>
      <c r="F715" s="4" t="n">
        <v>32</v>
      </c>
      <c r="G715" s="4" t="n">
        <v>32</v>
      </c>
      <c r="H715" s="4" t="n">
        <v>30</v>
      </c>
      <c r="I715" s="4" t="n">
        <v>2</v>
      </c>
      <c r="J715" s="4" t="n">
        <v>0</v>
      </c>
      <c r="K715" s="4" t="n">
        <v>0</v>
      </c>
      <c r="L715" s="11" t="b">
        <f aca="false">FALSE()</f>
        <v>0</v>
      </c>
    </row>
    <row r="716" customFormat="false" ht="15" hidden="false" customHeight="false" outlineLevel="0" collapsed="false">
      <c r="A716" s="4" t="s">
        <v>921</v>
      </c>
      <c r="B716" s="4" t="s">
        <v>103</v>
      </c>
      <c r="C716" s="4" t="s">
        <v>205</v>
      </c>
      <c r="D716" s="4" t="s">
        <v>206</v>
      </c>
      <c r="E716" s="4" t="n">
        <v>46274.3792824074</v>
      </c>
      <c r="F716" s="4" t="n">
        <v>15</v>
      </c>
      <c r="G716" s="4" t="n">
        <v>15</v>
      </c>
      <c r="H716" s="4" t="n">
        <v>14</v>
      </c>
      <c r="I716" s="4" t="n">
        <v>0</v>
      </c>
      <c r="J716" s="4" t="n">
        <v>0</v>
      </c>
      <c r="K716" s="4" t="n">
        <v>1</v>
      </c>
      <c r="L716" s="11" t="b">
        <f aca="false">FALSE()</f>
        <v>0</v>
      </c>
    </row>
    <row r="717" customFormat="false" ht="15" hidden="false" customHeight="false" outlineLevel="0" collapsed="false">
      <c r="A717" s="4" t="s">
        <v>922</v>
      </c>
      <c r="B717" s="4" t="s">
        <v>101</v>
      </c>
      <c r="C717" s="4" t="s">
        <v>371</v>
      </c>
      <c r="D717" s="4" t="s">
        <v>371</v>
      </c>
      <c r="E717" s="4" t="n">
        <v>46274.4209027778</v>
      </c>
      <c r="F717" s="4" t="n">
        <v>34</v>
      </c>
      <c r="G717" s="4" t="n">
        <v>0</v>
      </c>
      <c r="H717" s="4" t="n">
        <v>0</v>
      </c>
      <c r="I717" s="4" t="n">
        <v>0</v>
      </c>
      <c r="J717" s="4" t="n">
        <v>0</v>
      </c>
      <c r="K717" s="4" t="n">
        <v>0</v>
      </c>
      <c r="L717" s="11" t="b">
        <f aca="false">TRUE()</f>
        <v>1</v>
      </c>
    </row>
    <row r="718" customFormat="false" ht="15" hidden="false" customHeight="false" outlineLevel="0" collapsed="false">
      <c r="A718" s="4" t="s">
        <v>923</v>
      </c>
      <c r="B718" s="4" t="s">
        <v>101</v>
      </c>
      <c r="C718" s="4" t="s">
        <v>205</v>
      </c>
      <c r="D718" s="4" t="s">
        <v>373</v>
      </c>
      <c r="E718" s="4" t="n">
        <v>46274.4369212963</v>
      </c>
      <c r="F718" s="4" t="n">
        <v>34</v>
      </c>
      <c r="G718" s="4" t="n">
        <v>34</v>
      </c>
      <c r="H718" s="4" t="n">
        <v>32</v>
      </c>
      <c r="I718" s="4" t="n">
        <v>2</v>
      </c>
      <c r="J718" s="4" t="n">
        <v>0</v>
      </c>
      <c r="K718" s="4" t="n">
        <v>0</v>
      </c>
      <c r="L718" s="11" t="b">
        <f aca="false">TRUE()</f>
        <v>1</v>
      </c>
    </row>
    <row r="719" customFormat="false" ht="15" hidden="false" customHeight="false" outlineLevel="0" collapsed="false">
      <c r="A719" s="4" t="s">
        <v>924</v>
      </c>
      <c r="B719" s="4" t="s">
        <v>100</v>
      </c>
      <c r="C719" s="4" t="s">
        <v>205</v>
      </c>
      <c r="D719" s="4" t="s">
        <v>206</v>
      </c>
      <c r="E719" s="4" t="n">
        <v>46274.5036226852</v>
      </c>
      <c r="F719" s="4" t="n">
        <v>73</v>
      </c>
      <c r="G719" s="4" t="n">
        <v>73</v>
      </c>
      <c r="H719" s="4" t="n">
        <v>70</v>
      </c>
      <c r="I719" s="4" t="n">
        <v>2</v>
      </c>
      <c r="J719" s="4" t="n">
        <v>1</v>
      </c>
      <c r="K719" s="4" t="n">
        <v>0</v>
      </c>
      <c r="L719" s="11" t="b">
        <f aca="false">FALSE()</f>
        <v>0</v>
      </c>
    </row>
    <row r="720" customFormat="false" ht="15" hidden="false" customHeight="false" outlineLevel="0" collapsed="false">
      <c r="A720" s="4" t="s">
        <v>925</v>
      </c>
      <c r="B720" s="4" t="s">
        <v>102</v>
      </c>
      <c r="C720" s="4" t="s">
        <v>205</v>
      </c>
      <c r="D720" s="4" t="s">
        <v>206</v>
      </c>
      <c r="E720" s="4" t="n">
        <v>46274.5462384259</v>
      </c>
      <c r="F720" s="4" t="n">
        <v>32</v>
      </c>
      <c r="G720" s="4" t="n">
        <v>32</v>
      </c>
      <c r="H720" s="4" t="n">
        <v>27</v>
      </c>
      <c r="I720" s="4" t="n">
        <v>3</v>
      </c>
      <c r="J720" s="4" t="n">
        <v>2</v>
      </c>
      <c r="K720" s="4" t="n">
        <v>0</v>
      </c>
      <c r="L720" s="11" t="b">
        <f aca="false">FALSE()</f>
        <v>0</v>
      </c>
    </row>
    <row r="721" customFormat="false" ht="15" hidden="false" customHeight="false" outlineLevel="0" collapsed="false">
      <c r="A721" s="4" t="s">
        <v>926</v>
      </c>
      <c r="B721" s="4" t="s">
        <v>101</v>
      </c>
      <c r="C721" s="4" t="s">
        <v>205</v>
      </c>
      <c r="D721" s="4" t="s">
        <v>206</v>
      </c>
      <c r="E721" s="4" t="n">
        <v>46274.5870833333</v>
      </c>
      <c r="F721" s="4" t="n">
        <v>54</v>
      </c>
      <c r="G721" s="4" t="n">
        <v>54</v>
      </c>
      <c r="H721" s="4" t="n">
        <v>51</v>
      </c>
      <c r="I721" s="4" t="n">
        <v>3</v>
      </c>
      <c r="J721" s="4" t="n">
        <v>0</v>
      </c>
      <c r="K721" s="4" t="n">
        <v>0</v>
      </c>
      <c r="L721" s="11" t="b">
        <f aca="false">FALSE()</f>
        <v>0</v>
      </c>
    </row>
    <row r="722" customFormat="false" ht="15" hidden="false" customHeight="false" outlineLevel="0" collapsed="false">
      <c r="A722" s="4" t="s">
        <v>927</v>
      </c>
      <c r="B722" s="4" t="s">
        <v>103</v>
      </c>
      <c r="C722" s="4" t="s">
        <v>205</v>
      </c>
      <c r="D722" s="4" t="s">
        <v>206</v>
      </c>
      <c r="E722" s="4" t="n">
        <v>46274.6299537037</v>
      </c>
      <c r="F722" s="4" t="n">
        <v>28</v>
      </c>
      <c r="G722" s="4" t="n">
        <v>28</v>
      </c>
      <c r="H722" s="4" t="n">
        <v>25</v>
      </c>
      <c r="I722" s="4" t="n">
        <v>2</v>
      </c>
      <c r="J722" s="4" t="n">
        <v>1</v>
      </c>
      <c r="K722" s="4" t="n">
        <v>0</v>
      </c>
      <c r="L722" s="11" t="b">
        <f aca="false">FALSE()</f>
        <v>0</v>
      </c>
    </row>
    <row r="723" customFormat="false" ht="15" hidden="false" customHeight="false" outlineLevel="0" collapsed="false">
      <c r="A723" s="4" t="s">
        <v>928</v>
      </c>
      <c r="B723" s="4" t="s">
        <v>100</v>
      </c>
      <c r="C723" s="4" t="s">
        <v>205</v>
      </c>
      <c r="D723" s="4" t="s">
        <v>206</v>
      </c>
      <c r="E723" s="4" t="n">
        <v>46274.6691898148</v>
      </c>
      <c r="F723" s="4" t="n">
        <v>82</v>
      </c>
      <c r="G723" s="4" t="n">
        <v>82</v>
      </c>
      <c r="H723" s="4" t="n">
        <v>82</v>
      </c>
      <c r="I723" s="4" t="n">
        <v>0</v>
      </c>
      <c r="J723" s="4" t="n">
        <v>0</v>
      </c>
      <c r="K723" s="4" t="n">
        <v>0</v>
      </c>
      <c r="L723" s="11" t="b">
        <f aca="false">FALSE()</f>
        <v>0</v>
      </c>
    </row>
    <row r="724" customFormat="false" ht="15" hidden="false" customHeight="false" outlineLevel="0" collapsed="false">
      <c r="A724" s="4" t="s">
        <v>929</v>
      </c>
      <c r="B724" s="4" t="s">
        <v>101</v>
      </c>
      <c r="C724" s="4" t="s">
        <v>205</v>
      </c>
      <c r="D724" s="4" t="s">
        <v>206</v>
      </c>
      <c r="E724" s="4" t="n">
        <v>46274.7534837963</v>
      </c>
      <c r="F724" s="4" t="n">
        <v>47</v>
      </c>
      <c r="G724" s="4" t="n">
        <v>47</v>
      </c>
      <c r="H724" s="4" t="n">
        <v>44</v>
      </c>
      <c r="I724" s="4" t="n">
        <v>3</v>
      </c>
      <c r="J724" s="4" t="n">
        <v>0</v>
      </c>
      <c r="K724" s="4" t="n">
        <v>0</v>
      </c>
      <c r="L724" s="11" t="b">
        <f aca="false">FALSE()</f>
        <v>0</v>
      </c>
    </row>
    <row r="725" customFormat="false" ht="15" hidden="false" customHeight="false" outlineLevel="0" collapsed="false">
      <c r="A725" s="4" t="s">
        <v>930</v>
      </c>
      <c r="B725" s="4" t="s">
        <v>104</v>
      </c>
      <c r="C725" s="4" t="s">
        <v>205</v>
      </c>
      <c r="D725" s="4" t="s">
        <v>206</v>
      </c>
      <c r="E725" s="4" t="n">
        <v>46274.7568518519</v>
      </c>
      <c r="F725" s="4" t="n">
        <v>26</v>
      </c>
      <c r="G725" s="4" t="n">
        <v>26</v>
      </c>
      <c r="H725" s="4" t="n">
        <v>22</v>
      </c>
      <c r="I725" s="4" t="n">
        <v>3</v>
      </c>
      <c r="J725" s="4" t="n">
        <v>1</v>
      </c>
      <c r="K725" s="4" t="n">
        <v>0</v>
      </c>
      <c r="L725" s="11" t="b">
        <f aca="false">TRUE()</f>
        <v>1</v>
      </c>
    </row>
    <row r="726" customFormat="false" ht="15" hidden="false" customHeight="false" outlineLevel="0" collapsed="false">
      <c r="A726" s="4" t="s">
        <v>931</v>
      </c>
      <c r="B726" s="4" t="s">
        <v>102</v>
      </c>
      <c r="C726" s="4" t="s">
        <v>205</v>
      </c>
      <c r="D726" s="4" t="s">
        <v>206</v>
      </c>
      <c r="E726" s="4" t="n">
        <v>46274.7960763889</v>
      </c>
      <c r="F726" s="4" t="n">
        <v>29</v>
      </c>
      <c r="G726" s="4" t="n">
        <v>29</v>
      </c>
      <c r="H726" s="4" t="n">
        <v>28</v>
      </c>
      <c r="I726" s="4" t="n">
        <v>1</v>
      </c>
      <c r="J726" s="4" t="n">
        <v>0</v>
      </c>
      <c r="K726" s="4" t="n">
        <v>0</v>
      </c>
      <c r="L726" s="11" t="b">
        <f aca="false">FALSE()</f>
        <v>0</v>
      </c>
    </row>
    <row r="727" customFormat="false" ht="15" hidden="false" customHeight="false" outlineLevel="0" collapsed="false">
      <c r="A727" s="4" t="s">
        <v>932</v>
      </c>
      <c r="B727" s="4" t="s">
        <v>100</v>
      </c>
      <c r="C727" s="4" t="s">
        <v>205</v>
      </c>
      <c r="D727" s="4" t="s">
        <v>206</v>
      </c>
      <c r="E727" s="4" t="n">
        <v>46274.8359259259</v>
      </c>
      <c r="F727" s="4" t="n">
        <v>69</v>
      </c>
      <c r="G727" s="4" t="n">
        <v>69</v>
      </c>
      <c r="H727" s="4" t="n">
        <v>66</v>
      </c>
      <c r="I727" s="4" t="n">
        <v>1</v>
      </c>
      <c r="J727" s="4" t="n">
        <v>2</v>
      </c>
      <c r="K727" s="4" t="n">
        <v>0</v>
      </c>
      <c r="L727" s="11" t="b">
        <f aca="false">FALSE()</f>
        <v>0</v>
      </c>
    </row>
    <row r="728" customFormat="false" ht="15" hidden="false" customHeight="false" outlineLevel="0" collapsed="false">
      <c r="A728" s="4" t="s">
        <v>933</v>
      </c>
      <c r="B728" s="4" t="s">
        <v>103</v>
      </c>
      <c r="C728" s="4" t="s">
        <v>205</v>
      </c>
      <c r="D728" s="4" t="s">
        <v>206</v>
      </c>
      <c r="E728" s="4" t="n">
        <v>46274.8802430556</v>
      </c>
      <c r="F728" s="4" t="n">
        <v>28</v>
      </c>
      <c r="G728" s="4" t="n">
        <v>28</v>
      </c>
      <c r="H728" s="4" t="n">
        <v>26</v>
      </c>
      <c r="I728" s="4" t="n">
        <v>2</v>
      </c>
      <c r="J728" s="4" t="n">
        <v>0</v>
      </c>
      <c r="K728" s="4" t="n">
        <v>0</v>
      </c>
      <c r="L728" s="11" t="b">
        <f aca="false">FALSE()</f>
        <v>0</v>
      </c>
    </row>
    <row r="729" customFormat="false" ht="15" hidden="false" customHeight="false" outlineLevel="0" collapsed="false">
      <c r="A729" s="4" t="s">
        <v>934</v>
      </c>
      <c r="B729" s="4" t="s">
        <v>101</v>
      </c>
      <c r="C729" s="4" t="s">
        <v>205</v>
      </c>
      <c r="D729" s="4" t="s">
        <v>206</v>
      </c>
      <c r="E729" s="4" t="n">
        <v>46274.9208449074</v>
      </c>
      <c r="F729" s="4" t="n">
        <v>39</v>
      </c>
      <c r="G729" s="4" t="n">
        <v>39</v>
      </c>
      <c r="H729" s="4" t="n">
        <v>37</v>
      </c>
      <c r="I729" s="4" t="n">
        <v>0</v>
      </c>
      <c r="J729" s="4" t="n">
        <v>1</v>
      </c>
      <c r="K729" s="4" t="n">
        <v>1</v>
      </c>
      <c r="L729" s="11" t="b">
        <f aca="false">FALSE()</f>
        <v>0</v>
      </c>
    </row>
    <row r="730" customFormat="false" ht="15" hidden="false" customHeight="false" outlineLevel="0" collapsed="false">
      <c r="A730" s="4" t="s">
        <v>935</v>
      </c>
      <c r="B730" s="4" t="s">
        <v>100</v>
      </c>
      <c r="C730" s="4" t="s">
        <v>205</v>
      </c>
      <c r="D730" s="4" t="s">
        <v>206</v>
      </c>
      <c r="E730" s="4" t="n">
        <v>46275.0023263889</v>
      </c>
      <c r="F730" s="4" t="n">
        <v>43</v>
      </c>
      <c r="G730" s="4" t="n">
        <v>43</v>
      </c>
      <c r="H730" s="4" t="n">
        <v>39</v>
      </c>
      <c r="I730" s="4" t="n">
        <v>3</v>
      </c>
      <c r="J730" s="4" t="n">
        <v>1</v>
      </c>
      <c r="K730" s="4" t="n">
        <v>0</v>
      </c>
      <c r="L730" s="11" t="b">
        <f aca="false">FALSE()</f>
        <v>0</v>
      </c>
    </row>
    <row r="731" customFormat="false" ht="15" hidden="false" customHeight="false" outlineLevel="0" collapsed="false">
      <c r="A731" s="4" t="s">
        <v>936</v>
      </c>
      <c r="B731" s="4" t="s">
        <v>102</v>
      </c>
      <c r="C731" s="4" t="s">
        <v>205</v>
      </c>
      <c r="D731" s="4" t="s">
        <v>206</v>
      </c>
      <c r="E731" s="4" t="n">
        <v>46275.0460416667</v>
      </c>
      <c r="F731" s="4" t="n">
        <v>21</v>
      </c>
      <c r="G731" s="4" t="n">
        <v>21</v>
      </c>
      <c r="H731" s="4" t="n">
        <v>19</v>
      </c>
      <c r="I731" s="4" t="n">
        <v>2</v>
      </c>
      <c r="J731" s="4" t="n">
        <v>0</v>
      </c>
      <c r="K731" s="4" t="n">
        <v>0</v>
      </c>
      <c r="L731" s="11" t="b">
        <f aca="false">FALSE()</f>
        <v>0</v>
      </c>
    </row>
    <row r="732" customFormat="false" ht="15" hidden="false" customHeight="false" outlineLevel="0" collapsed="false">
      <c r="A732" s="4" t="s">
        <v>937</v>
      </c>
      <c r="B732" s="4" t="s">
        <v>101</v>
      </c>
      <c r="C732" s="4" t="s">
        <v>205</v>
      </c>
      <c r="D732" s="4" t="s">
        <v>206</v>
      </c>
      <c r="E732" s="4" t="n">
        <v>46275.0874305556</v>
      </c>
      <c r="F732" s="4" t="n">
        <v>14</v>
      </c>
      <c r="G732" s="4" t="n">
        <v>14</v>
      </c>
      <c r="H732" s="4" t="n">
        <v>14</v>
      </c>
      <c r="I732" s="4" t="n">
        <v>0</v>
      </c>
      <c r="J732" s="4" t="n">
        <v>0</v>
      </c>
      <c r="K732" s="4" t="n">
        <v>0</v>
      </c>
      <c r="L732" s="11" t="b">
        <f aca="false">FALSE()</f>
        <v>0</v>
      </c>
    </row>
    <row r="733" customFormat="false" ht="15" hidden="false" customHeight="false" outlineLevel="0" collapsed="false">
      <c r="A733" s="4" t="s">
        <v>938</v>
      </c>
      <c r="B733" s="4" t="s">
        <v>103</v>
      </c>
      <c r="C733" s="4" t="s">
        <v>205</v>
      </c>
      <c r="D733" s="4" t="s">
        <v>206</v>
      </c>
      <c r="E733" s="4" t="n">
        <v>46275.1293287037</v>
      </c>
      <c r="F733" s="4" t="n">
        <v>8</v>
      </c>
      <c r="G733" s="4" t="n">
        <v>8</v>
      </c>
      <c r="H733" s="4" t="n">
        <v>6</v>
      </c>
      <c r="I733" s="4" t="n">
        <v>2</v>
      </c>
      <c r="J733" s="4" t="n">
        <v>0</v>
      </c>
      <c r="K733" s="4" t="n">
        <v>0</v>
      </c>
      <c r="L733" s="11" t="b">
        <f aca="false">FALSE()</f>
        <v>0</v>
      </c>
    </row>
    <row r="734" customFormat="false" ht="15" hidden="false" customHeight="false" outlineLevel="0" collapsed="false">
      <c r="A734" s="4" t="s">
        <v>939</v>
      </c>
      <c r="B734" s="4" t="s">
        <v>100</v>
      </c>
      <c r="C734" s="4" t="s">
        <v>205</v>
      </c>
      <c r="D734" s="4" t="s">
        <v>206</v>
      </c>
      <c r="E734" s="4" t="n">
        <v>46275.1698263889</v>
      </c>
      <c r="F734" s="4" t="n">
        <v>16</v>
      </c>
      <c r="G734" s="4" t="n">
        <v>16</v>
      </c>
      <c r="H734" s="4" t="n">
        <v>13</v>
      </c>
      <c r="I734" s="4" t="n">
        <v>2</v>
      </c>
      <c r="J734" s="4" t="n">
        <v>1</v>
      </c>
      <c r="K734" s="4" t="n">
        <v>0</v>
      </c>
      <c r="L734" s="11" t="b">
        <f aca="false">FALSE()</f>
        <v>0</v>
      </c>
    </row>
    <row r="735" customFormat="false" ht="15" hidden="false" customHeight="false" outlineLevel="0" collapsed="false">
      <c r="A735" s="4" t="s">
        <v>940</v>
      </c>
      <c r="B735" s="4" t="s">
        <v>99</v>
      </c>
      <c r="C735" s="4" t="s">
        <v>205</v>
      </c>
      <c r="D735" s="4" t="s">
        <v>206</v>
      </c>
      <c r="E735" s="4" t="n">
        <v>46275.2140162037</v>
      </c>
      <c r="F735" s="4" t="n">
        <v>34</v>
      </c>
      <c r="G735" s="4" t="n">
        <v>34</v>
      </c>
      <c r="H735" s="4" t="n">
        <v>31</v>
      </c>
      <c r="I735" s="4" t="n">
        <v>2</v>
      </c>
      <c r="J735" s="4" t="n">
        <v>1</v>
      </c>
      <c r="K735" s="4" t="n">
        <v>0</v>
      </c>
      <c r="L735" s="11" t="b">
        <f aca="false">FALSE()</f>
        <v>0</v>
      </c>
    </row>
    <row r="736" customFormat="false" ht="15" hidden="false" customHeight="false" outlineLevel="0" collapsed="false">
      <c r="A736" s="4" t="s">
        <v>941</v>
      </c>
      <c r="B736" s="4" t="s">
        <v>101</v>
      </c>
      <c r="C736" s="4" t="s">
        <v>205</v>
      </c>
      <c r="D736" s="4" t="s">
        <v>206</v>
      </c>
      <c r="E736" s="4" t="n">
        <v>46275.2538657407</v>
      </c>
      <c r="F736" s="4" t="n">
        <v>10</v>
      </c>
      <c r="G736" s="4" t="n">
        <v>10</v>
      </c>
      <c r="H736" s="4" t="n">
        <v>10</v>
      </c>
      <c r="I736" s="4" t="n">
        <v>0</v>
      </c>
      <c r="J736" s="4" t="n">
        <v>0</v>
      </c>
      <c r="K736" s="4" t="n">
        <v>0</v>
      </c>
      <c r="L736" s="11" t="b">
        <f aca="false">FALSE()</f>
        <v>0</v>
      </c>
    </row>
    <row r="737" customFormat="false" ht="15" hidden="false" customHeight="false" outlineLevel="0" collapsed="false">
      <c r="A737" s="4" t="s">
        <v>942</v>
      </c>
      <c r="B737" s="4" t="s">
        <v>104</v>
      </c>
      <c r="C737" s="4" t="s">
        <v>205</v>
      </c>
      <c r="D737" s="4" t="s">
        <v>206</v>
      </c>
      <c r="E737" s="4" t="n">
        <v>46275.2569560185</v>
      </c>
      <c r="F737" s="4" t="n">
        <v>15</v>
      </c>
      <c r="G737" s="4" t="n">
        <v>15</v>
      </c>
      <c r="H737" s="4" t="n">
        <v>12</v>
      </c>
      <c r="I737" s="4" t="n">
        <v>3</v>
      </c>
      <c r="J737" s="4" t="n">
        <v>0</v>
      </c>
      <c r="K737" s="4" t="n">
        <v>0</v>
      </c>
      <c r="L737" s="11" t="b">
        <f aca="false">FALSE()</f>
        <v>0</v>
      </c>
    </row>
    <row r="738" customFormat="false" ht="15" hidden="false" customHeight="false" outlineLevel="0" collapsed="false">
      <c r="A738" s="4" t="s">
        <v>943</v>
      </c>
      <c r="B738" s="4" t="s">
        <v>102</v>
      </c>
      <c r="C738" s="4" t="s">
        <v>205</v>
      </c>
      <c r="D738" s="4" t="s">
        <v>206</v>
      </c>
      <c r="E738" s="4" t="n">
        <v>46275.2965509259</v>
      </c>
      <c r="F738" s="4" t="n">
        <v>10</v>
      </c>
      <c r="G738" s="4" t="n">
        <v>10</v>
      </c>
      <c r="H738" s="4" t="n">
        <v>7</v>
      </c>
      <c r="I738" s="4" t="n">
        <v>3</v>
      </c>
      <c r="J738" s="4" t="n">
        <v>0</v>
      </c>
      <c r="K738" s="4" t="n">
        <v>0</v>
      </c>
      <c r="L738" s="11" t="b">
        <f aca="false">FALSE()</f>
        <v>0</v>
      </c>
    </row>
    <row r="739" customFormat="false" ht="15" hidden="false" customHeight="false" outlineLevel="0" collapsed="false">
      <c r="A739" s="4" t="s">
        <v>944</v>
      </c>
      <c r="B739" s="4" t="s">
        <v>100</v>
      </c>
      <c r="C739" s="4" t="s">
        <v>205</v>
      </c>
      <c r="D739" s="4" t="s">
        <v>206</v>
      </c>
      <c r="E739" s="4" t="n">
        <v>46275.3365162037</v>
      </c>
      <c r="F739" s="4" t="n">
        <v>36</v>
      </c>
      <c r="G739" s="4" t="n">
        <v>36</v>
      </c>
      <c r="H739" s="4" t="n">
        <v>33</v>
      </c>
      <c r="I739" s="4" t="n">
        <v>3</v>
      </c>
      <c r="J739" s="4" t="n">
        <v>0</v>
      </c>
      <c r="K739" s="4" t="n">
        <v>0</v>
      </c>
      <c r="L739" s="11" t="b">
        <f aca="false">FALSE()</f>
        <v>0</v>
      </c>
    </row>
    <row r="740" customFormat="false" ht="15" hidden="false" customHeight="false" outlineLevel="0" collapsed="false">
      <c r="A740" s="4" t="s">
        <v>945</v>
      </c>
      <c r="B740" s="4" t="s">
        <v>103</v>
      </c>
      <c r="C740" s="4" t="s">
        <v>205</v>
      </c>
      <c r="D740" s="4" t="s">
        <v>206</v>
      </c>
      <c r="E740" s="4" t="n">
        <v>46275.379525463</v>
      </c>
      <c r="F740" s="4" t="n">
        <v>1</v>
      </c>
      <c r="G740" s="4" t="n">
        <v>1</v>
      </c>
      <c r="H740" s="4" t="n">
        <v>0</v>
      </c>
      <c r="I740" s="4" t="n">
        <v>1</v>
      </c>
      <c r="J740" s="4" t="n">
        <v>0</v>
      </c>
      <c r="K740" s="4" t="n">
        <v>0</v>
      </c>
      <c r="L740" s="11" t="b">
        <f aca="false">FALSE()</f>
        <v>0</v>
      </c>
    </row>
    <row r="741" customFormat="false" ht="15" hidden="false" customHeight="false" outlineLevel="0" collapsed="false">
      <c r="A741" s="4" t="s">
        <v>946</v>
      </c>
      <c r="B741" s="4" t="s">
        <v>101</v>
      </c>
      <c r="C741" s="4" t="s">
        <v>205</v>
      </c>
      <c r="D741" s="4" t="s">
        <v>206</v>
      </c>
      <c r="E741" s="4" t="n">
        <v>46275.4211689815</v>
      </c>
      <c r="F741" s="4" t="n">
        <v>34</v>
      </c>
      <c r="G741" s="4" t="n">
        <v>34</v>
      </c>
      <c r="H741" s="4" t="n">
        <v>33</v>
      </c>
      <c r="I741" s="4" t="n">
        <v>0</v>
      </c>
      <c r="J741" s="4" t="n">
        <v>1</v>
      </c>
      <c r="K741" s="4" t="n">
        <v>0</v>
      </c>
      <c r="L741" s="11" t="b">
        <f aca="false">FALSE()</f>
        <v>0</v>
      </c>
    </row>
    <row r="742" customFormat="false" ht="15" hidden="false" customHeight="false" outlineLevel="0" collapsed="false">
      <c r="A742" s="4" t="s">
        <v>947</v>
      </c>
      <c r="B742" s="4" t="s">
        <v>104</v>
      </c>
      <c r="C742" s="4" t="s">
        <v>205</v>
      </c>
      <c r="D742" s="4" t="s">
        <v>428</v>
      </c>
      <c r="E742" s="4" t="n">
        <v>46275.4674074074</v>
      </c>
      <c r="F742" s="4" t="n">
        <v>31</v>
      </c>
      <c r="G742" s="4" t="n">
        <v>31</v>
      </c>
      <c r="H742" s="4" t="n">
        <v>31</v>
      </c>
      <c r="I742" s="4" t="n">
        <v>0</v>
      </c>
      <c r="J742" s="4" t="n">
        <v>0</v>
      </c>
      <c r="K742" s="4" t="n">
        <v>0</v>
      </c>
      <c r="L742" s="11" t="b">
        <f aca="false">FALSE()</f>
        <v>0</v>
      </c>
    </row>
    <row r="743" customFormat="false" ht="15" hidden="false" customHeight="false" outlineLevel="0" collapsed="false">
      <c r="A743" s="4" t="s">
        <v>948</v>
      </c>
      <c r="B743" s="4" t="s">
        <v>100</v>
      </c>
      <c r="C743" s="4" t="s">
        <v>205</v>
      </c>
      <c r="D743" s="4" t="s">
        <v>206</v>
      </c>
      <c r="E743" s="4" t="n">
        <v>46275.5021875</v>
      </c>
      <c r="F743" s="4" t="n">
        <v>74</v>
      </c>
      <c r="G743" s="4" t="n">
        <v>74</v>
      </c>
      <c r="H743" s="4" t="n">
        <v>72</v>
      </c>
      <c r="I743" s="4" t="n">
        <v>2</v>
      </c>
      <c r="J743" s="4" t="n">
        <v>0</v>
      </c>
      <c r="K743" s="4" t="n">
        <v>0</v>
      </c>
      <c r="L743" s="11" t="b">
        <f aca="false">FALSE()</f>
        <v>0</v>
      </c>
    </row>
    <row r="744" customFormat="false" ht="15" hidden="false" customHeight="false" outlineLevel="0" collapsed="false">
      <c r="A744" s="4" t="s">
        <v>949</v>
      </c>
      <c r="B744" s="4" t="s">
        <v>102</v>
      </c>
      <c r="C744" s="4" t="s">
        <v>205</v>
      </c>
      <c r="D744" s="4" t="s">
        <v>206</v>
      </c>
      <c r="E744" s="4" t="n">
        <v>46275.5461458333</v>
      </c>
      <c r="F744" s="4" t="n">
        <v>28</v>
      </c>
      <c r="G744" s="4" t="n">
        <v>28</v>
      </c>
      <c r="H744" s="4" t="n">
        <v>26</v>
      </c>
      <c r="I744" s="4" t="n">
        <v>2</v>
      </c>
      <c r="J744" s="4" t="n">
        <v>0</v>
      </c>
      <c r="K744" s="4" t="n">
        <v>0</v>
      </c>
      <c r="L744" s="11" t="b">
        <f aca="false">FALSE()</f>
        <v>0</v>
      </c>
    </row>
    <row r="745" customFormat="false" ht="15" hidden="false" customHeight="false" outlineLevel="0" collapsed="false">
      <c r="A745" s="4" t="s">
        <v>950</v>
      </c>
      <c r="B745" s="4" t="s">
        <v>101</v>
      </c>
      <c r="C745" s="4" t="s">
        <v>205</v>
      </c>
      <c r="D745" s="4" t="s">
        <v>206</v>
      </c>
      <c r="E745" s="4" t="n">
        <v>46275.5877199074</v>
      </c>
      <c r="F745" s="4" t="n">
        <v>50</v>
      </c>
      <c r="G745" s="4" t="n">
        <v>50</v>
      </c>
      <c r="H745" s="4" t="n">
        <v>50</v>
      </c>
      <c r="I745" s="4" t="n">
        <v>0</v>
      </c>
      <c r="J745" s="4" t="n">
        <v>0</v>
      </c>
      <c r="K745" s="4" t="n">
        <v>0</v>
      </c>
      <c r="L745" s="11" t="b">
        <f aca="false">FALSE()</f>
        <v>0</v>
      </c>
    </row>
    <row r="746" customFormat="false" ht="15" hidden="false" customHeight="false" outlineLevel="0" collapsed="false">
      <c r="A746" s="4" t="s">
        <v>951</v>
      </c>
      <c r="B746" s="4" t="s">
        <v>103</v>
      </c>
      <c r="C746" s="4" t="s">
        <v>205</v>
      </c>
      <c r="D746" s="4" t="s">
        <v>206</v>
      </c>
      <c r="E746" s="4" t="n">
        <v>46275.6308680556</v>
      </c>
      <c r="F746" s="4" t="n">
        <v>1</v>
      </c>
      <c r="G746" s="4" t="n">
        <v>1</v>
      </c>
      <c r="H746" s="4" t="n">
        <v>0</v>
      </c>
      <c r="I746" s="4" t="n">
        <v>1</v>
      </c>
      <c r="J746" s="4" t="n">
        <v>0</v>
      </c>
      <c r="K746" s="4" t="n">
        <v>0</v>
      </c>
      <c r="L746" s="11" t="b">
        <f aca="false">FALSE()</f>
        <v>0</v>
      </c>
    </row>
    <row r="747" customFormat="false" ht="15" hidden="false" customHeight="false" outlineLevel="0" collapsed="false">
      <c r="A747" s="4" t="s">
        <v>952</v>
      </c>
      <c r="B747" s="4" t="s">
        <v>100</v>
      </c>
      <c r="C747" s="4" t="s">
        <v>205</v>
      </c>
      <c r="D747" s="4" t="s">
        <v>206</v>
      </c>
      <c r="E747" s="4" t="n">
        <v>46275.6695949074</v>
      </c>
      <c r="F747" s="4" t="n">
        <v>78</v>
      </c>
      <c r="G747" s="4" t="n">
        <v>78</v>
      </c>
      <c r="H747" s="4" t="n">
        <v>77</v>
      </c>
      <c r="I747" s="4" t="n">
        <v>1</v>
      </c>
      <c r="J747" s="4" t="n">
        <v>0</v>
      </c>
      <c r="K747" s="4" t="n">
        <v>0</v>
      </c>
      <c r="L747" s="11" t="b">
        <f aca="false">FALSE()</f>
        <v>0</v>
      </c>
    </row>
    <row r="748" customFormat="false" ht="15" hidden="false" customHeight="false" outlineLevel="0" collapsed="false">
      <c r="A748" s="4" t="s">
        <v>953</v>
      </c>
      <c r="B748" s="4" t="s">
        <v>101</v>
      </c>
      <c r="C748" s="4" t="s">
        <v>205</v>
      </c>
      <c r="D748" s="4" t="s">
        <v>206</v>
      </c>
      <c r="E748" s="4" t="n">
        <v>46275.7544328704</v>
      </c>
      <c r="F748" s="4" t="n">
        <v>50</v>
      </c>
      <c r="G748" s="4" t="n">
        <v>50</v>
      </c>
      <c r="H748" s="4" t="n">
        <v>47</v>
      </c>
      <c r="I748" s="4" t="n">
        <v>3</v>
      </c>
      <c r="J748" s="4" t="n">
        <v>0</v>
      </c>
      <c r="K748" s="4" t="n">
        <v>0</v>
      </c>
      <c r="L748" s="11" t="b">
        <f aca="false">FALSE()</f>
        <v>0</v>
      </c>
    </row>
    <row r="749" customFormat="false" ht="15" hidden="false" customHeight="false" outlineLevel="0" collapsed="false">
      <c r="A749" s="4" t="s">
        <v>954</v>
      </c>
      <c r="B749" s="4" t="s">
        <v>104</v>
      </c>
      <c r="C749" s="4" t="s">
        <v>205</v>
      </c>
      <c r="D749" s="4" t="s">
        <v>206</v>
      </c>
      <c r="E749" s="4" t="n">
        <v>46275.7559490741</v>
      </c>
      <c r="F749" s="4" t="n">
        <v>24</v>
      </c>
      <c r="G749" s="4" t="n">
        <v>24</v>
      </c>
      <c r="H749" s="4" t="n">
        <v>21</v>
      </c>
      <c r="I749" s="4" t="n">
        <v>3</v>
      </c>
      <c r="J749" s="4" t="n">
        <v>0</v>
      </c>
      <c r="K749" s="4" t="n">
        <v>0</v>
      </c>
      <c r="L749" s="11" t="b">
        <f aca="false">FALSE()</f>
        <v>0</v>
      </c>
    </row>
    <row r="750" customFormat="false" ht="15" hidden="false" customHeight="false" outlineLevel="0" collapsed="false">
      <c r="A750" s="4" t="s">
        <v>955</v>
      </c>
      <c r="B750" s="4" t="s">
        <v>102</v>
      </c>
      <c r="C750" s="4" t="s">
        <v>205</v>
      </c>
      <c r="D750" s="4" t="s">
        <v>206</v>
      </c>
      <c r="E750" s="4" t="n">
        <v>46275.7962152778</v>
      </c>
      <c r="F750" s="4" t="n">
        <v>26</v>
      </c>
      <c r="G750" s="4" t="n">
        <v>26</v>
      </c>
      <c r="H750" s="4" t="n">
        <v>25</v>
      </c>
      <c r="I750" s="4" t="n">
        <v>1</v>
      </c>
      <c r="J750" s="4" t="n">
        <v>0</v>
      </c>
      <c r="K750" s="4" t="n">
        <v>0</v>
      </c>
      <c r="L750" s="11" t="b">
        <f aca="false">FALSE()</f>
        <v>0</v>
      </c>
    </row>
    <row r="751" customFormat="false" ht="15" hidden="false" customHeight="false" outlineLevel="0" collapsed="false">
      <c r="A751" s="4" t="s">
        <v>956</v>
      </c>
      <c r="B751" s="4" t="s">
        <v>100</v>
      </c>
      <c r="C751" s="4" t="s">
        <v>205</v>
      </c>
      <c r="D751" s="4" t="s">
        <v>206</v>
      </c>
      <c r="E751" s="4" t="n">
        <v>46275.8360185185</v>
      </c>
      <c r="F751" s="4" t="n">
        <v>74</v>
      </c>
      <c r="G751" s="4" t="n">
        <v>74</v>
      </c>
      <c r="H751" s="4" t="n">
        <v>70</v>
      </c>
      <c r="I751" s="4" t="n">
        <v>2</v>
      </c>
      <c r="J751" s="4" t="n">
        <v>2</v>
      </c>
      <c r="K751" s="4" t="n">
        <v>0</v>
      </c>
      <c r="L751" s="11" t="b">
        <f aca="false">FALSE()</f>
        <v>0</v>
      </c>
    </row>
    <row r="752" customFormat="false" ht="15" hidden="false" customHeight="false" outlineLevel="0" collapsed="false">
      <c r="A752" s="4" t="s">
        <v>957</v>
      </c>
      <c r="B752" s="4" t="s">
        <v>103</v>
      </c>
      <c r="C752" s="4" t="s">
        <v>205</v>
      </c>
      <c r="D752" s="4" t="s">
        <v>206</v>
      </c>
      <c r="E752" s="4" t="n">
        <v>46275.8803587963</v>
      </c>
      <c r="F752" s="4" t="n">
        <v>0</v>
      </c>
      <c r="G752" s="4" t="n">
        <v>0</v>
      </c>
      <c r="H752" s="4" t="n">
        <v>0</v>
      </c>
      <c r="I752" s="4" t="n">
        <v>0</v>
      </c>
      <c r="J752" s="4" t="n">
        <v>0</v>
      </c>
      <c r="K752" s="4" t="n">
        <v>0</v>
      </c>
      <c r="L752" s="11" t="b">
        <f aca="false">TRUE()</f>
        <v>1</v>
      </c>
    </row>
    <row r="753" customFormat="false" ht="15" hidden="false" customHeight="false" outlineLevel="0" collapsed="false">
      <c r="A753" s="4" t="s">
        <v>958</v>
      </c>
      <c r="B753" s="4" t="s">
        <v>101</v>
      </c>
      <c r="C753" s="4" t="s">
        <v>205</v>
      </c>
      <c r="D753" s="4" t="s">
        <v>206</v>
      </c>
      <c r="E753" s="4" t="n">
        <v>46275.9207060185</v>
      </c>
      <c r="F753" s="4" t="n">
        <v>39</v>
      </c>
      <c r="G753" s="4" t="n">
        <v>39</v>
      </c>
      <c r="H753" s="4" t="n">
        <v>35</v>
      </c>
      <c r="I753" s="4" t="n">
        <v>3</v>
      </c>
      <c r="J753" s="4" t="n">
        <v>1</v>
      </c>
      <c r="K753" s="4" t="n">
        <v>0</v>
      </c>
      <c r="L753" s="11" t="b">
        <f aca="false">FALSE()</f>
        <v>0</v>
      </c>
    </row>
    <row r="754" customFormat="false" ht="15" hidden="false" customHeight="false" outlineLevel="0" collapsed="false">
      <c r="A754" s="4" t="s">
        <v>959</v>
      </c>
      <c r="B754" s="4" t="s">
        <v>100</v>
      </c>
      <c r="C754" s="4" t="s">
        <v>205</v>
      </c>
      <c r="D754" s="4" t="s">
        <v>206</v>
      </c>
      <c r="E754" s="4" t="n">
        <v>46276.0028472222</v>
      </c>
      <c r="F754" s="4" t="n">
        <v>42</v>
      </c>
      <c r="G754" s="4" t="n">
        <v>42</v>
      </c>
      <c r="H754" s="4" t="n">
        <v>39</v>
      </c>
      <c r="I754" s="4" t="n">
        <v>3</v>
      </c>
      <c r="J754" s="4" t="n">
        <v>0</v>
      </c>
      <c r="K754" s="4" t="n">
        <v>0</v>
      </c>
      <c r="L754" s="11" t="b">
        <f aca="false">FALSE()</f>
        <v>0</v>
      </c>
    </row>
    <row r="755" customFormat="false" ht="15" hidden="false" customHeight="false" outlineLevel="0" collapsed="false">
      <c r="A755" s="4" t="s">
        <v>960</v>
      </c>
      <c r="B755" s="4" t="s">
        <v>102</v>
      </c>
      <c r="C755" s="4" t="s">
        <v>205</v>
      </c>
      <c r="D755" s="4" t="s">
        <v>206</v>
      </c>
      <c r="E755" s="4" t="n">
        <v>46276.0466666667</v>
      </c>
      <c r="F755" s="4" t="n">
        <v>17</v>
      </c>
      <c r="G755" s="4" t="n">
        <v>17</v>
      </c>
      <c r="H755" s="4" t="n">
        <v>15</v>
      </c>
      <c r="I755" s="4" t="n">
        <v>2</v>
      </c>
      <c r="J755" s="4" t="n">
        <v>0</v>
      </c>
      <c r="K755" s="4" t="n">
        <v>0</v>
      </c>
      <c r="L755" s="11" t="b">
        <f aca="false">FALSE()</f>
        <v>0</v>
      </c>
    </row>
    <row r="756" customFormat="false" ht="15" hidden="false" customHeight="false" outlineLevel="0" collapsed="false">
      <c r="A756" s="4" t="s">
        <v>961</v>
      </c>
      <c r="B756" s="4" t="s">
        <v>101</v>
      </c>
      <c r="C756" s="4" t="s">
        <v>205</v>
      </c>
      <c r="D756" s="4" t="s">
        <v>206</v>
      </c>
      <c r="E756" s="4" t="n">
        <v>46276.087662037</v>
      </c>
      <c r="F756" s="4" t="n">
        <v>20</v>
      </c>
      <c r="G756" s="4" t="n">
        <v>20</v>
      </c>
      <c r="H756" s="4" t="n">
        <v>16</v>
      </c>
      <c r="I756" s="4" t="n">
        <v>3</v>
      </c>
      <c r="J756" s="4" t="n">
        <v>0</v>
      </c>
      <c r="K756" s="4" t="n">
        <v>1</v>
      </c>
      <c r="L756" s="11" t="b">
        <f aca="false">FALSE()</f>
        <v>0</v>
      </c>
    </row>
    <row r="757" customFormat="false" ht="15" hidden="false" customHeight="false" outlineLevel="0" collapsed="false">
      <c r="A757" s="4" t="s">
        <v>962</v>
      </c>
      <c r="B757" s="4" t="s">
        <v>103</v>
      </c>
      <c r="C757" s="4" t="s">
        <v>205</v>
      </c>
      <c r="D757" s="4" t="s">
        <v>206</v>
      </c>
      <c r="E757" s="4" t="n">
        <v>46276.129224537</v>
      </c>
      <c r="F757" s="4" t="n">
        <v>6</v>
      </c>
      <c r="G757" s="4" t="n">
        <v>6</v>
      </c>
      <c r="H757" s="4" t="n">
        <v>2</v>
      </c>
      <c r="I757" s="4" t="n">
        <v>3</v>
      </c>
      <c r="J757" s="4" t="n">
        <v>0</v>
      </c>
      <c r="K757" s="4" t="n">
        <v>1</v>
      </c>
      <c r="L757" s="11" t="b">
        <f aca="false">FALSE()</f>
        <v>0</v>
      </c>
    </row>
    <row r="758" customFormat="false" ht="15" hidden="false" customHeight="false" outlineLevel="0" collapsed="false">
      <c r="A758" s="4" t="s">
        <v>963</v>
      </c>
      <c r="B758" s="4" t="s">
        <v>100</v>
      </c>
      <c r="C758" s="4" t="s">
        <v>205</v>
      </c>
      <c r="D758" s="4" t="s">
        <v>206</v>
      </c>
      <c r="E758" s="4" t="n">
        <v>46276.1696180556</v>
      </c>
      <c r="F758" s="4" t="n">
        <v>14</v>
      </c>
      <c r="G758" s="4" t="n">
        <v>14</v>
      </c>
      <c r="H758" s="4" t="n">
        <v>13</v>
      </c>
      <c r="I758" s="4" t="n">
        <v>0</v>
      </c>
      <c r="J758" s="4" t="n">
        <v>1</v>
      </c>
      <c r="K758" s="4" t="n">
        <v>0</v>
      </c>
      <c r="L758" s="11" t="b">
        <f aca="false">FALSE()</f>
        <v>0</v>
      </c>
    </row>
    <row r="759" customFormat="false" ht="15" hidden="false" customHeight="false" outlineLevel="0" collapsed="false">
      <c r="A759" s="4" t="s">
        <v>964</v>
      </c>
      <c r="B759" s="4" t="s">
        <v>99</v>
      </c>
      <c r="C759" s="4" t="s">
        <v>205</v>
      </c>
      <c r="D759" s="4" t="s">
        <v>206</v>
      </c>
      <c r="E759" s="4" t="n">
        <v>46276.2144328704</v>
      </c>
      <c r="F759" s="4" t="n">
        <v>33</v>
      </c>
      <c r="G759" s="4" t="n">
        <v>33</v>
      </c>
      <c r="H759" s="4" t="n">
        <v>30</v>
      </c>
      <c r="I759" s="4" t="n">
        <v>2</v>
      </c>
      <c r="J759" s="4" t="n">
        <v>1</v>
      </c>
      <c r="K759" s="4" t="n">
        <v>0</v>
      </c>
      <c r="L759" s="11" t="b">
        <f aca="false">FALSE()</f>
        <v>0</v>
      </c>
    </row>
    <row r="760" customFormat="false" ht="15" hidden="false" customHeight="false" outlineLevel="0" collapsed="false">
      <c r="A760" s="4" t="s">
        <v>965</v>
      </c>
      <c r="B760" s="4" t="s">
        <v>101</v>
      </c>
      <c r="C760" s="4" t="s">
        <v>205</v>
      </c>
      <c r="D760" s="4" t="s">
        <v>206</v>
      </c>
      <c r="E760" s="4" t="n">
        <v>46276.2528356482</v>
      </c>
      <c r="F760" s="4" t="n">
        <v>14</v>
      </c>
      <c r="G760" s="4" t="n">
        <v>14</v>
      </c>
      <c r="H760" s="4" t="n">
        <v>11</v>
      </c>
      <c r="I760" s="4" t="n">
        <v>3</v>
      </c>
      <c r="J760" s="4" t="n">
        <v>0</v>
      </c>
      <c r="K760" s="4" t="n">
        <v>0</v>
      </c>
      <c r="L760" s="11" t="b">
        <f aca="false">FALSE()</f>
        <v>0</v>
      </c>
    </row>
    <row r="761" customFormat="false" ht="15" hidden="false" customHeight="false" outlineLevel="0" collapsed="false">
      <c r="A761" s="4" t="s">
        <v>966</v>
      </c>
      <c r="B761" s="4" t="s">
        <v>104</v>
      </c>
      <c r="C761" s="4" t="s">
        <v>205</v>
      </c>
      <c r="D761" s="4" t="s">
        <v>206</v>
      </c>
      <c r="E761" s="4" t="n">
        <v>46276.255787037</v>
      </c>
      <c r="F761" s="4" t="n">
        <v>11</v>
      </c>
      <c r="G761" s="4" t="n">
        <v>11</v>
      </c>
      <c r="H761" s="4" t="n">
        <v>8</v>
      </c>
      <c r="I761" s="4" t="n">
        <v>3</v>
      </c>
      <c r="J761" s="4" t="n">
        <v>0</v>
      </c>
      <c r="K761" s="4" t="n">
        <v>0</v>
      </c>
      <c r="L761" s="11" t="b">
        <f aca="false">FALSE()</f>
        <v>0</v>
      </c>
    </row>
    <row r="762" customFormat="false" ht="15" hidden="false" customHeight="false" outlineLevel="0" collapsed="false">
      <c r="A762" s="4" t="s">
        <v>967</v>
      </c>
      <c r="B762" s="4" t="s">
        <v>102</v>
      </c>
      <c r="C762" s="4" t="s">
        <v>371</v>
      </c>
      <c r="D762" s="4" t="s">
        <v>371</v>
      </c>
      <c r="E762" s="4" t="n">
        <v>46276.2965740741</v>
      </c>
      <c r="F762" s="4" t="n">
        <v>6</v>
      </c>
      <c r="G762" s="4" t="n">
        <v>0</v>
      </c>
      <c r="H762" s="4" t="n">
        <v>0</v>
      </c>
      <c r="I762" s="4" t="n">
        <v>0</v>
      </c>
      <c r="J762" s="4" t="n">
        <v>0</v>
      </c>
      <c r="K762" s="4" t="n">
        <v>0</v>
      </c>
      <c r="L762" s="11" t="b">
        <f aca="false">FALSE()</f>
        <v>0</v>
      </c>
    </row>
    <row r="763" customFormat="false" ht="15" hidden="false" customHeight="false" outlineLevel="0" collapsed="false">
      <c r="A763" s="4" t="s">
        <v>968</v>
      </c>
      <c r="B763" s="4" t="s">
        <v>102</v>
      </c>
      <c r="C763" s="4" t="s">
        <v>205</v>
      </c>
      <c r="D763" s="4" t="s">
        <v>373</v>
      </c>
      <c r="E763" s="4" t="n">
        <v>46276.3108796296</v>
      </c>
      <c r="F763" s="4" t="n">
        <v>6</v>
      </c>
      <c r="G763" s="4" t="n">
        <v>6</v>
      </c>
      <c r="H763" s="4" t="n">
        <v>5</v>
      </c>
      <c r="I763" s="4" t="n">
        <v>0</v>
      </c>
      <c r="J763" s="4" t="n">
        <v>1</v>
      </c>
      <c r="K763" s="4" t="n">
        <v>0</v>
      </c>
      <c r="L763" s="11" t="b">
        <f aca="false">FALSE()</f>
        <v>0</v>
      </c>
    </row>
    <row r="764" customFormat="false" ht="15" hidden="false" customHeight="false" outlineLevel="0" collapsed="false">
      <c r="A764" s="4" t="s">
        <v>969</v>
      </c>
      <c r="B764" s="4" t="s">
        <v>100</v>
      </c>
      <c r="C764" s="4" t="s">
        <v>205</v>
      </c>
      <c r="D764" s="4" t="s">
        <v>206</v>
      </c>
      <c r="E764" s="4" t="n">
        <v>46276.3363425926</v>
      </c>
      <c r="F764" s="4" t="n">
        <v>30</v>
      </c>
      <c r="G764" s="4" t="n">
        <v>30</v>
      </c>
      <c r="H764" s="4" t="n">
        <v>26</v>
      </c>
      <c r="I764" s="4" t="n">
        <v>2</v>
      </c>
      <c r="J764" s="4" t="n">
        <v>2</v>
      </c>
      <c r="K764" s="4" t="n">
        <v>0</v>
      </c>
      <c r="L764" s="11" t="b">
        <f aca="false">FALSE()</f>
        <v>0</v>
      </c>
    </row>
    <row r="765" customFormat="false" ht="15" hidden="false" customHeight="false" outlineLevel="0" collapsed="false">
      <c r="A765" s="4" t="s">
        <v>970</v>
      </c>
      <c r="B765" s="4" t="s">
        <v>103</v>
      </c>
      <c r="C765" s="4" t="s">
        <v>205</v>
      </c>
      <c r="D765" s="4" t="s">
        <v>206</v>
      </c>
      <c r="E765" s="4" t="n">
        <v>46276.3792013889</v>
      </c>
      <c r="F765" s="4" t="n">
        <v>11</v>
      </c>
      <c r="G765" s="4" t="n">
        <v>11</v>
      </c>
      <c r="H765" s="4" t="n">
        <v>11</v>
      </c>
      <c r="I765" s="4" t="n">
        <v>0</v>
      </c>
      <c r="J765" s="4" t="n">
        <v>0</v>
      </c>
      <c r="K765" s="4" t="n">
        <v>0</v>
      </c>
      <c r="L765" s="11" t="b">
        <f aca="false">FALSE()</f>
        <v>0</v>
      </c>
    </row>
    <row r="766" customFormat="false" ht="15" hidden="false" customHeight="false" outlineLevel="0" collapsed="false">
      <c r="A766" s="4" t="s">
        <v>971</v>
      </c>
      <c r="B766" s="4" t="s">
        <v>101</v>
      </c>
      <c r="C766" s="4" t="s">
        <v>205</v>
      </c>
      <c r="D766" s="4" t="s">
        <v>206</v>
      </c>
      <c r="E766" s="4" t="n">
        <v>46276.4205208333</v>
      </c>
      <c r="F766" s="4" t="n">
        <v>36</v>
      </c>
      <c r="G766" s="4" t="n">
        <v>36</v>
      </c>
      <c r="H766" s="4" t="n">
        <v>34</v>
      </c>
      <c r="I766" s="4" t="n">
        <v>1</v>
      </c>
      <c r="J766" s="4" t="n">
        <v>1</v>
      </c>
      <c r="K766" s="4" t="n">
        <v>0</v>
      </c>
      <c r="L766" s="11" t="b">
        <f aca="false">FALSE()</f>
        <v>0</v>
      </c>
    </row>
    <row r="767" customFormat="false" ht="15" hidden="false" customHeight="false" outlineLevel="0" collapsed="false">
      <c r="A767" s="4" t="s">
        <v>972</v>
      </c>
      <c r="B767" s="4" t="s">
        <v>100</v>
      </c>
      <c r="C767" s="4" t="s">
        <v>205</v>
      </c>
      <c r="D767" s="4" t="s">
        <v>206</v>
      </c>
      <c r="E767" s="4" t="n">
        <v>46276.5031134259</v>
      </c>
      <c r="F767" s="4" t="n">
        <v>75</v>
      </c>
      <c r="G767" s="4" t="n">
        <v>75</v>
      </c>
      <c r="H767" s="4" t="n">
        <v>71</v>
      </c>
      <c r="I767" s="4" t="n">
        <v>3</v>
      </c>
      <c r="J767" s="4" t="n">
        <v>1</v>
      </c>
      <c r="K767" s="4" t="n">
        <v>0</v>
      </c>
      <c r="L767" s="11" t="b">
        <f aca="false">FALSE()</f>
        <v>0</v>
      </c>
    </row>
    <row r="768" customFormat="false" ht="15" hidden="false" customHeight="false" outlineLevel="0" collapsed="false">
      <c r="A768" s="4" t="s">
        <v>973</v>
      </c>
      <c r="B768" s="4" t="s">
        <v>102</v>
      </c>
      <c r="C768" s="4" t="s">
        <v>205</v>
      </c>
      <c r="D768" s="4" t="s">
        <v>206</v>
      </c>
      <c r="E768" s="4" t="n">
        <v>46276.5454050926</v>
      </c>
      <c r="F768" s="4" t="n">
        <v>25</v>
      </c>
      <c r="G768" s="4" t="n">
        <v>25</v>
      </c>
      <c r="H768" s="4" t="n">
        <v>24</v>
      </c>
      <c r="I768" s="4" t="n">
        <v>1</v>
      </c>
      <c r="J768" s="4" t="n">
        <v>0</v>
      </c>
      <c r="K768" s="4" t="n">
        <v>0</v>
      </c>
      <c r="L768" s="11" t="b">
        <f aca="false">FALSE()</f>
        <v>0</v>
      </c>
    </row>
    <row r="769" customFormat="false" ht="15" hidden="false" customHeight="false" outlineLevel="0" collapsed="false">
      <c r="A769" s="4" t="s">
        <v>974</v>
      </c>
      <c r="B769" s="4" t="s">
        <v>101</v>
      </c>
      <c r="C769" s="4" t="s">
        <v>205</v>
      </c>
      <c r="D769" s="4" t="s">
        <v>206</v>
      </c>
      <c r="E769" s="4" t="n">
        <v>46276.5875578704</v>
      </c>
      <c r="F769" s="4" t="n">
        <v>49</v>
      </c>
      <c r="G769" s="4" t="n">
        <v>49</v>
      </c>
      <c r="H769" s="4" t="n">
        <v>48</v>
      </c>
      <c r="I769" s="4" t="n">
        <v>1</v>
      </c>
      <c r="J769" s="4" t="n">
        <v>0</v>
      </c>
      <c r="K769" s="4" t="n">
        <v>0</v>
      </c>
      <c r="L769" s="11" t="b">
        <f aca="false">FALSE()</f>
        <v>0</v>
      </c>
    </row>
    <row r="770" customFormat="false" ht="15" hidden="false" customHeight="false" outlineLevel="0" collapsed="false">
      <c r="A770" s="4" t="s">
        <v>975</v>
      </c>
      <c r="B770" s="4" t="s">
        <v>103</v>
      </c>
      <c r="C770" s="4" t="s">
        <v>205</v>
      </c>
      <c r="D770" s="4" t="s">
        <v>206</v>
      </c>
      <c r="E770" s="4" t="n">
        <v>46276.630474537</v>
      </c>
      <c r="F770" s="4" t="n">
        <v>29</v>
      </c>
      <c r="G770" s="4" t="n">
        <v>29</v>
      </c>
      <c r="H770" s="4" t="n">
        <v>28</v>
      </c>
      <c r="I770" s="4" t="n">
        <v>1</v>
      </c>
      <c r="J770" s="4" t="n">
        <v>0</v>
      </c>
      <c r="K770" s="4" t="n">
        <v>0</v>
      </c>
      <c r="L770" s="11" t="b">
        <f aca="false">FALSE()</f>
        <v>0</v>
      </c>
    </row>
    <row r="771" customFormat="false" ht="15" hidden="false" customHeight="false" outlineLevel="0" collapsed="false">
      <c r="A771" s="4" t="s">
        <v>976</v>
      </c>
      <c r="B771" s="4" t="s">
        <v>100</v>
      </c>
      <c r="C771" s="4" t="s">
        <v>205</v>
      </c>
      <c r="D771" s="4" t="s">
        <v>206</v>
      </c>
      <c r="E771" s="4" t="n">
        <v>46276.6703587963</v>
      </c>
      <c r="F771" s="4" t="n">
        <v>79</v>
      </c>
      <c r="G771" s="4" t="n">
        <v>79</v>
      </c>
      <c r="H771" s="4" t="n">
        <v>76</v>
      </c>
      <c r="I771" s="4" t="n">
        <v>1</v>
      </c>
      <c r="J771" s="4" t="n">
        <v>1</v>
      </c>
      <c r="K771" s="4" t="n">
        <v>1</v>
      </c>
      <c r="L771" s="11" t="b">
        <f aca="false">FALSE()</f>
        <v>0</v>
      </c>
    </row>
    <row r="772" customFormat="false" ht="15" hidden="false" customHeight="false" outlineLevel="0" collapsed="false">
      <c r="A772" s="4" t="s">
        <v>977</v>
      </c>
      <c r="B772" s="4" t="s">
        <v>101</v>
      </c>
      <c r="C772" s="4" t="s">
        <v>205</v>
      </c>
      <c r="D772" s="4" t="s">
        <v>206</v>
      </c>
      <c r="E772" s="4" t="n">
        <v>46276.7527893519</v>
      </c>
      <c r="F772" s="4" t="n">
        <v>47</v>
      </c>
      <c r="G772" s="4" t="n">
        <v>47</v>
      </c>
      <c r="H772" s="4" t="n">
        <v>45</v>
      </c>
      <c r="I772" s="4" t="n">
        <v>2</v>
      </c>
      <c r="J772" s="4" t="n">
        <v>0</v>
      </c>
      <c r="K772" s="4" t="n">
        <v>0</v>
      </c>
      <c r="L772" s="11" t="b">
        <f aca="false">FALSE()</f>
        <v>0</v>
      </c>
    </row>
    <row r="773" customFormat="false" ht="15" hidden="false" customHeight="false" outlineLevel="0" collapsed="false">
      <c r="A773" s="4" t="s">
        <v>978</v>
      </c>
      <c r="B773" s="4" t="s">
        <v>104</v>
      </c>
      <c r="C773" s="4" t="s">
        <v>205</v>
      </c>
      <c r="D773" s="4" t="s">
        <v>206</v>
      </c>
      <c r="E773" s="4" t="n">
        <v>46276.7570601852</v>
      </c>
      <c r="F773" s="4" t="n">
        <v>25</v>
      </c>
      <c r="G773" s="4" t="n">
        <v>25</v>
      </c>
      <c r="H773" s="4" t="n">
        <v>20</v>
      </c>
      <c r="I773" s="4" t="n">
        <v>3</v>
      </c>
      <c r="J773" s="4" t="n">
        <v>2</v>
      </c>
      <c r="K773" s="4" t="n">
        <v>0</v>
      </c>
      <c r="L773" s="11" t="b">
        <f aca="false">FALSE()</f>
        <v>0</v>
      </c>
    </row>
    <row r="774" customFormat="false" ht="15" hidden="false" customHeight="false" outlineLevel="0" collapsed="false">
      <c r="A774" s="4" t="s">
        <v>979</v>
      </c>
      <c r="B774" s="4" t="s">
        <v>102</v>
      </c>
      <c r="C774" s="4" t="s">
        <v>205</v>
      </c>
      <c r="D774" s="4" t="s">
        <v>206</v>
      </c>
      <c r="E774" s="4" t="n">
        <v>46276.7956597222</v>
      </c>
      <c r="F774" s="4" t="n">
        <v>33</v>
      </c>
      <c r="G774" s="4" t="n">
        <v>33</v>
      </c>
      <c r="H774" s="4" t="n">
        <v>29</v>
      </c>
      <c r="I774" s="4" t="n">
        <v>3</v>
      </c>
      <c r="J774" s="4" t="n">
        <v>1</v>
      </c>
      <c r="K774" s="4" t="n">
        <v>0</v>
      </c>
      <c r="L774" s="11" t="b">
        <f aca="false">FALSE()</f>
        <v>0</v>
      </c>
    </row>
    <row r="775" customFormat="false" ht="15" hidden="false" customHeight="false" outlineLevel="0" collapsed="false">
      <c r="A775" s="4" t="s">
        <v>980</v>
      </c>
      <c r="B775" s="4" t="s">
        <v>100</v>
      </c>
      <c r="C775" s="4" t="s">
        <v>205</v>
      </c>
      <c r="D775" s="4" t="s">
        <v>206</v>
      </c>
      <c r="E775" s="4" t="n">
        <v>46276.836099537</v>
      </c>
      <c r="F775" s="4" t="n">
        <v>68</v>
      </c>
      <c r="G775" s="4" t="n">
        <v>68</v>
      </c>
      <c r="H775" s="4" t="n">
        <v>67</v>
      </c>
      <c r="I775" s="4" t="n">
        <v>1</v>
      </c>
      <c r="J775" s="4" t="n">
        <v>0</v>
      </c>
      <c r="K775" s="4" t="n">
        <v>0</v>
      </c>
      <c r="L775" s="11" t="b">
        <f aca="false">FALSE()</f>
        <v>0</v>
      </c>
    </row>
    <row r="776" customFormat="false" ht="15" hidden="false" customHeight="false" outlineLevel="0" collapsed="false">
      <c r="A776" s="4" t="s">
        <v>981</v>
      </c>
      <c r="B776" s="4" t="s">
        <v>103</v>
      </c>
      <c r="C776" s="4" t="s">
        <v>205</v>
      </c>
      <c r="D776" s="4" t="s">
        <v>206</v>
      </c>
      <c r="E776" s="4" t="n">
        <v>46276.880474537</v>
      </c>
      <c r="F776" s="4" t="n">
        <v>29</v>
      </c>
      <c r="G776" s="4" t="n">
        <v>29</v>
      </c>
      <c r="H776" s="4" t="n">
        <v>25</v>
      </c>
      <c r="I776" s="4" t="n">
        <v>3</v>
      </c>
      <c r="J776" s="4" t="n">
        <v>1</v>
      </c>
      <c r="K776" s="4" t="n">
        <v>0</v>
      </c>
      <c r="L776" s="11" t="b">
        <f aca="false">FALSE()</f>
        <v>0</v>
      </c>
    </row>
    <row r="777" customFormat="false" ht="15" hidden="false" customHeight="false" outlineLevel="0" collapsed="false">
      <c r="A777" s="4" t="s">
        <v>982</v>
      </c>
      <c r="B777" s="4" t="s">
        <v>101</v>
      </c>
      <c r="C777" s="4" t="s">
        <v>205</v>
      </c>
      <c r="D777" s="4" t="s">
        <v>206</v>
      </c>
      <c r="E777" s="4" t="n">
        <v>46276.9196180556</v>
      </c>
      <c r="F777" s="4" t="n">
        <v>39</v>
      </c>
      <c r="G777" s="4" t="n">
        <v>39</v>
      </c>
      <c r="H777" s="4" t="n">
        <v>36</v>
      </c>
      <c r="I777" s="4" t="n">
        <v>3</v>
      </c>
      <c r="J777" s="4" t="n">
        <v>0</v>
      </c>
      <c r="K777" s="4" t="n">
        <v>0</v>
      </c>
      <c r="L777" s="11" t="b">
        <f aca="false">FALSE()</f>
        <v>0</v>
      </c>
    </row>
    <row r="778" customFormat="false" ht="15" hidden="false" customHeight="false" outlineLevel="0" collapsed="false">
      <c r="A778" s="4" t="s">
        <v>983</v>
      </c>
      <c r="B778" s="4" t="s">
        <v>100</v>
      </c>
      <c r="C778" s="4" t="s">
        <v>205</v>
      </c>
      <c r="D778" s="4" t="s">
        <v>206</v>
      </c>
      <c r="E778" s="4" t="n">
        <v>46277.0024768519</v>
      </c>
      <c r="F778" s="4" t="n">
        <v>41</v>
      </c>
      <c r="G778" s="4" t="n">
        <v>41</v>
      </c>
      <c r="H778" s="4" t="n">
        <v>37</v>
      </c>
      <c r="I778" s="4" t="n">
        <v>3</v>
      </c>
      <c r="J778" s="4" t="n">
        <v>1</v>
      </c>
      <c r="K778" s="4" t="n">
        <v>0</v>
      </c>
      <c r="L778" s="11" t="b">
        <f aca="false">FALSE()</f>
        <v>0</v>
      </c>
    </row>
    <row r="779" customFormat="false" ht="15" hidden="false" customHeight="false" outlineLevel="0" collapsed="false">
      <c r="A779" s="4" t="s">
        <v>984</v>
      </c>
      <c r="B779" s="4" t="s">
        <v>102</v>
      </c>
      <c r="C779" s="4" t="s">
        <v>205</v>
      </c>
      <c r="D779" s="4" t="s">
        <v>206</v>
      </c>
      <c r="E779" s="4" t="n">
        <v>46277.0457986111</v>
      </c>
      <c r="F779" s="4" t="n">
        <v>19</v>
      </c>
      <c r="G779" s="4" t="n">
        <v>19</v>
      </c>
      <c r="H779" s="4" t="n">
        <v>16</v>
      </c>
      <c r="I779" s="4" t="n">
        <v>3</v>
      </c>
      <c r="J779" s="4" t="n">
        <v>0</v>
      </c>
      <c r="K779" s="4" t="n">
        <v>0</v>
      </c>
      <c r="L779" s="11" t="b">
        <f aca="false">FALSE()</f>
        <v>0</v>
      </c>
    </row>
    <row r="780" customFormat="false" ht="15" hidden="false" customHeight="false" outlineLevel="0" collapsed="false">
      <c r="A780" s="4" t="s">
        <v>985</v>
      </c>
      <c r="B780" s="4" t="s">
        <v>101</v>
      </c>
      <c r="C780" s="4" t="s">
        <v>205</v>
      </c>
      <c r="D780" s="4" t="s">
        <v>206</v>
      </c>
      <c r="E780" s="4" t="n">
        <v>46277.0863888889</v>
      </c>
      <c r="F780" s="4" t="n">
        <v>19</v>
      </c>
      <c r="G780" s="4" t="n">
        <v>19</v>
      </c>
      <c r="H780" s="4" t="n">
        <v>14</v>
      </c>
      <c r="I780" s="4" t="n">
        <v>3</v>
      </c>
      <c r="J780" s="4" t="n">
        <v>1</v>
      </c>
      <c r="K780" s="4" t="n">
        <v>1</v>
      </c>
      <c r="L780" s="11" t="b">
        <f aca="false">FALSE()</f>
        <v>0</v>
      </c>
    </row>
    <row r="781" customFormat="false" ht="15" hidden="false" customHeight="false" outlineLevel="0" collapsed="false">
      <c r="A781" s="4" t="s">
        <v>986</v>
      </c>
      <c r="B781" s="4" t="s">
        <v>103</v>
      </c>
      <c r="C781" s="4" t="s">
        <v>205</v>
      </c>
      <c r="D781" s="4" t="s">
        <v>206</v>
      </c>
      <c r="E781" s="4" t="n">
        <v>46277.1304861111</v>
      </c>
      <c r="F781" s="4" t="n">
        <v>9</v>
      </c>
      <c r="G781" s="4" t="n">
        <v>9</v>
      </c>
      <c r="H781" s="4" t="n">
        <v>8</v>
      </c>
      <c r="I781" s="4" t="n">
        <v>1</v>
      </c>
      <c r="J781" s="4" t="n">
        <v>0</v>
      </c>
      <c r="K781" s="4" t="n">
        <v>0</v>
      </c>
      <c r="L781" s="11" t="b">
        <f aca="false">FALSE()</f>
        <v>0</v>
      </c>
    </row>
    <row r="782" customFormat="false" ht="15" hidden="false" customHeight="false" outlineLevel="0" collapsed="false">
      <c r="A782" s="4" t="s">
        <v>987</v>
      </c>
      <c r="B782" s="4" t="s">
        <v>100</v>
      </c>
      <c r="C782" s="4" t="s">
        <v>205</v>
      </c>
      <c r="D782" s="4" t="s">
        <v>206</v>
      </c>
      <c r="E782" s="4" t="n">
        <v>46277.1693865741</v>
      </c>
      <c r="F782" s="4" t="n">
        <v>14</v>
      </c>
      <c r="G782" s="4" t="n">
        <v>14</v>
      </c>
      <c r="H782" s="4" t="n">
        <v>11</v>
      </c>
      <c r="I782" s="4" t="n">
        <v>3</v>
      </c>
      <c r="J782" s="4" t="n">
        <v>0</v>
      </c>
      <c r="K782" s="4" t="n">
        <v>0</v>
      </c>
      <c r="L782" s="11" t="b">
        <f aca="false">FALSE()</f>
        <v>0</v>
      </c>
    </row>
    <row r="783" customFormat="false" ht="15" hidden="false" customHeight="false" outlineLevel="0" collapsed="false">
      <c r="A783" s="4" t="s">
        <v>988</v>
      </c>
      <c r="B783" s="4" t="s">
        <v>99</v>
      </c>
      <c r="C783" s="4" t="s">
        <v>205</v>
      </c>
      <c r="D783" s="4" t="s">
        <v>206</v>
      </c>
      <c r="E783" s="4" t="n">
        <v>46277.2133449074</v>
      </c>
      <c r="F783" s="4" t="n">
        <v>30</v>
      </c>
      <c r="G783" s="4" t="n">
        <v>30</v>
      </c>
      <c r="H783" s="4" t="n">
        <v>29</v>
      </c>
      <c r="I783" s="4" t="n">
        <v>0</v>
      </c>
      <c r="J783" s="4" t="n">
        <v>1</v>
      </c>
      <c r="K783" s="4" t="n">
        <v>0</v>
      </c>
      <c r="L783" s="11" t="b">
        <f aca="false">FALSE()</f>
        <v>0</v>
      </c>
    </row>
    <row r="784" customFormat="false" ht="15" hidden="false" customHeight="false" outlineLevel="0" collapsed="false">
      <c r="A784" s="4" t="s">
        <v>989</v>
      </c>
      <c r="B784" s="4" t="s">
        <v>101</v>
      </c>
      <c r="C784" s="4" t="s">
        <v>205</v>
      </c>
      <c r="D784" s="4" t="s">
        <v>206</v>
      </c>
      <c r="E784" s="4" t="n">
        <v>46277.253900463</v>
      </c>
      <c r="F784" s="4" t="n">
        <v>9</v>
      </c>
      <c r="G784" s="4" t="n">
        <v>9</v>
      </c>
      <c r="H784" s="4" t="n">
        <v>7</v>
      </c>
      <c r="I784" s="4" t="n">
        <v>1</v>
      </c>
      <c r="J784" s="4" t="n">
        <v>0</v>
      </c>
      <c r="K784" s="4" t="n">
        <v>1</v>
      </c>
      <c r="L784" s="11" t="b">
        <f aca="false">FALSE()</f>
        <v>0</v>
      </c>
    </row>
    <row r="785" customFormat="false" ht="15" hidden="false" customHeight="false" outlineLevel="0" collapsed="false">
      <c r="A785" s="4" t="s">
        <v>990</v>
      </c>
      <c r="B785" s="4" t="s">
        <v>104</v>
      </c>
      <c r="C785" s="4" t="s">
        <v>205</v>
      </c>
      <c r="D785" s="4" t="s">
        <v>206</v>
      </c>
      <c r="E785" s="4" t="n">
        <v>46277.2571180556</v>
      </c>
      <c r="F785" s="4" t="n">
        <v>12</v>
      </c>
      <c r="G785" s="4" t="n">
        <v>12</v>
      </c>
      <c r="H785" s="4" t="n">
        <v>11</v>
      </c>
      <c r="I785" s="4" t="n">
        <v>1</v>
      </c>
      <c r="J785" s="4" t="n">
        <v>0</v>
      </c>
      <c r="K785" s="4" t="n">
        <v>0</v>
      </c>
      <c r="L785" s="11" t="b">
        <f aca="false">TRUE()</f>
        <v>1</v>
      </c>
    </row>
    <row r="786" customFormat="false" ht="15" hidden="false" customHeight="false" outlineLevel="0" collapsed="false">
      <c r="A786" s="4" t="s">
        <v>991</v>
      </c>
      <c r="B786" s="4" t="s">
        <v>102</v>
      </c>
      <c r="C786" s="4" t="s">
        <v>205</v>
      </c>
      <c r="D786" s="4" t="s">
        <v>206</v>
      </c>
      <c r="E786" s="4" t="n">
        <v>46277.2953703704</v>
      </c>
      <c r="F786" s="4" t="n">
        <v>6</v>
      </c>
      <c r="G786" s="4" t="n">
        <v>6</v>
      </c>
      <c r="H786" s="4" t="n">
        <v>6</v>
      </c>
      <c r="I786" s="4" t="n">
        <v>0</v>
      </c>
      <c r="J786" s="4" t="n">
        <v>0</v>
      </c>
      <c r="K786" s="4" t="n">
        <v>0</v>
      </c>
      <c r="L786" s="11" t="b">
        <f aca="false">FALSE()</f>
        <v>0</v>
      </c>
    </row>
    <row r="787" customFormat="false" ht="15" hidden="false" customHeight="false" outlineLevel="0" collapsed="false">
      <c r="A787" s="4" t="s">
        <v>992</v>
      </c>
      <c r="B787" s="4" t="s">
        <v>100</v>
      </c>
      <c r="C787" s="4" t="s">
        <v>205</v>
      </c>
      <c r="D787" s="4" t="s">
        <v>206</v>
      </c>
      <c r="E787" s="4" t="n">
        <v>46277.3370833333</v>
      </c>
      <c r="F787" s="4" t="n">
        <v>32</v>
      </c>
      <c r="G787" s="4" t="n">
        <v>32</v>
      </c>
      <c r="H787" s="4" t="n">
        <v>26</v>
      </c>
      <c r="I787" s="4" t="n">
        <v>3</v>
      </c>
      <c r="J787" s="4" t="n">
        <v>2</v>
      </c>
      <c r="K787" s="4" t="n">
        <v>1</v>
      </c>
      <c r="L787" s="11" t="b">
        <f aca="false">FALSE()</f>
        <v>0</v>
      </c>
    </row>
    <row r="788" customFormat="false" ht="15" hidden="false" customHeight="false" outlineLevel="0" collapsed="false">
      <c r="A788" s="4" t="s">
        <v>993</v>
      </c>
      <c r="B788" s="4" t="s">
        <v>103</v>
      </c>
      <c r="C788" s="4" t="s">
        <v>205</v>
      </c>
      <c r="D788" s="4" t="s">
        <v>206</v>
      </c>
      <c r="E788" s="4" t="n">
        <v>46277.3797800926</v>
      </c>
      <c r="F788" s="4" t="n">
        <v>14</v>
      </c>
      <c r="G788" s="4" t="n">
        <v>14</v>
      </c>
      <c r="H788" s="4" t="n">
        <v>12</v>
      </c>
      <c r="I788" s="4" t="n">
        <v>2</v>
      </c>
      <c r="J788" s="4" t="n">
        <v>0</v>
      </c>
      <c r="K788" s="4" t="n">
        <v>0</v>
      </c>
      <c r="L788" s="11" t="b">
        <f aca="false">FALSE()</f>
        <v>0</v>
      </c>
    </row>
    <row r="789" customFormat="false" ht="15" hidden="false" customHeight="false" outlineLevel="0" collapsed="false">
      <c r="A789" s="4" t="s">
        <v>994</v>
      </c>
      <c r="B789" s="4" t="s">
        <v>101</v>
      </c>
      <c r="C789" s="4" t="s">
        <v>205</v>
      </c>
      <c r="D789" s="4" t="s">
        <v>206</v>
      </c>
      <c r="E789" s="4" t="n">
        <v>46277.421087963</v>
      </c>
      <c r="F789" s="4" t="n">
        <v>34</v>
      </c>
      <c r="G789" s="4" t="n">
        <v>34</v>
      </c>
      <c r="H789" s="4" t="n">
        <v>31</v>
      </c>
      <c r="I789" s="4" t="n">
        <v>3</v>
      </c>
      <c r="J789" s="4" t="n">
        <v>0</v>
      </c>
      <c r="K789" s="4" t="n">
        <v>0</v>
      </c>
      <c r="L789" s="11" t="b">
        <f aca="false">FALSE()</f>
        <v>0</v>
      </c>
    </row>
    <row r="790" customFormat="false" ht="15" hidden="false" customHeight="false" outlineLevel="0" collapsed="false">
      <c r="A790" s="4" t="s">
        <v>995</v>
      </c>
      <c r="B790" s="4" t="s">
        <v>100</v>
      </c>
      <c r="C790" s="4" t="s">
        <v>205</v>
      </c>
      <c r="D790" s="4" t="s">
        <v>206</v>
      </c>
      <c r="E790" s="4" t="n">
        <v>46277.5032407407</v>
      </c>
      <c r="F790" s="4" t="n">
        <v>65</v>
      </c>
      <c r="G790" s="4" t="n">
        <v>65</v>
      </c>
      <c r="H790" s="4" t="n">
        <v>60</v>
      </c>
      <c r="I790" s="4" t="n">
        <v>4</v>
      </c>
      <c r="J790" s="4" t="n">
        <v>1</v>
      </c>
      <c r="K790" s="4" t="n">
        <v>0</v>
      </c>
      <c r="L790" s="11" t="b">
        <f aca="false">FALSE()</f>
        <v>0</v>
      </c>
    </row>
    <row r="791" customFormat="false" ht="15" hidden="false" customHeight="false" outlineLevel="0" collapsed="false">
      <c r="A791" s="4" t="s">
        <v>996</v>
      </c>
      <c r="B791" s="4" t="s">
        <v>102</v>
      </c>
      <c r="C791" s="4" t="s">
        <v>205</v>
      </c>
      <c r="D791" s="4" t="s">
        <v>206</v>
      </c>
      <c r="E791" s="4" t="n">
        <v>46277.5454976852</v>
      </c>
      <c r="F791" s="4" t="n">
        <v>24</v>
      </c>
      <c r="G791" s="4" t="n">
        <v>24</v>
      </c>
      <c r="H791" s="4" t="n">
        <v>22</v>
      </c>
      <c r="I791" s="4" t="n">
        <v>2</v>
      </c>
      <c r="J791" s="4" t="n">
        <v>0</v>
      </c>
      <c r="K791" s="4" t="n">
        <v>0</v>
      </c>
      <c r="L791" s="11" t="b">
        <f aca="false">FALSE()</f>
        <v>0</v>
      </c>
    </row>
    <row r="792" customFormat="false" ht="15" hidden="false" customHeight="false" outlineLevel="0" collapsed="false">
      <c r="A792" s="4" t="s">
        <v>997</v>
      </c>
      <c r="B792" s="4" t="s">
        <v>101</v>
      </c>
      <c r="C792" s="4" t="s">
        <v>205</v>
      </c>
      <c r="D792" s="4" t="s">
        <v>206</v>
      </c>
      <c r="E792" s="4" t="n">
        <v>46277.5872453704</v>
      </c>
      <c r="F792" s="4" t="n">
        <v>46</v>
      </c>
      <c r="G792" s="4" t="n">
        <v>46</v>
      </c>
      <c r="H792" s="4" t="n">
        <v>44</v>
      </c>
      <c r="I792" s="4" t="n">
        <v>2</v>
      </c>
      <c r="J792" s="4" t="n">
        <v>0</v>
      </c>
      <c r="K792" s="4" t="n">
        <v>0</v>
      </c>
      <c r="L792" s="11" t="b">
        <f aca="false">FALSE()</f>
        <v>0</v>
      </c>
    </row>
    <row r="793" customFormat="false" ht="15" hidden="false" customHeight="false" outlineLevel="0" collapsed="false">
      <c r="A793" s="4" t="s">
        <v>998</v>
      </c>
      <c r="B793" s="4" t="s">
        <v>103</v>
      </c>
      <c r="C793" s="4" t="s">
        <v>205</v>
      </c>
      <c r="D793" s="4" t="s">
        <v>206</v>
      </c>
      <c r="E793" s="4" t="n">
        <v>46277.6313888889</v>
      </c>
      <c r="F793" s="4" t="n">
        <v>29</v>
      </c>
      <c r="G793" s="4" t="n">
        <v>29</v>
      </c>
      <c r="H793" s="4" t="n">
        <v>27</v>
      </c>
      <c r="I793" s="4" t="n">
        <v>2</v>
      </c>
      <c r="J793" s="4" t="n">
        <v>0</v>
      </c>
      <c r="K793" s="4" t="n">
        <v>0</v>
      </c>
      <c r="L793" s="11" t="b">
        <f aca="false">FALSE()</f>
        <v>0</v>
      </c>
    </row>
    <row r="794" customFormat="false" ht="15" hidden="false" customHeight="false" outlineLevel="0" collapsed="false">
      <c r="A794" s="4" t="s">
        <v>999</v>
      </c>
      <c r="B794" s="4" t="s">
        <v>100</v>
      </c>
      <c r="C794" s="4" t="s">
        <v>205</v>
      </c>
      <c r="D794" s="4" t="s">
        <v>206</v>
      </c>
      <c r="E794" s="4" t="n">
        <v>46277.6692592593</v>
      </c>
      <c r="F794" s="4" t="n">
        <v>69</v>
      </c>
      <c r="G794" s="4" t="n">
        <v>69</v>
      </c>
      <c r="H794" s="4" t="n">
        <v>68</v>
      </c>
      <c r="I794" s="4" t="n">
        <v>0</v>
      </c>
      <c r="J794" s="4" t="n">
        <v>1</v>
      </c>
      <c r="K794" s="4" t="n">
        <v>0</v>
      </c>
      <c r="L794" s="11" t="b">
        <f aca="false">FALSE()</f>
        <v>0</v>
      </c>
    </row>
    <row r="795" customFormat="false" ht="15" hidden="false" customHeight="false" outlineLevel="0" collapsed="false">
      <c r="A795" s="4" t="s">
        <v>1000</v>
      </c>
      <c r="B795" s="4" t="s">
        <v>101</v>
      </c>
      <c r="C795" s="4" t="s">
        <v>205</v>
      </c>
      <c r="D795" s="4" t="s">
        <v>206</v>
      </c>
      <c r="E795" s="4" t="n">
        <v>46277.7533680556</v>
      </c>
      <c r="F795" s="4" t="n">
        <v>39</v>
      </c>
      <c r="G795" s="4" t="n">
        <v>39</v>
      </c>
      <c r="H795" s="4" t="n">
        <v>38</v>
      </c>
      <c r="I795" s="4" t="n">
        <v>1</v>
      </c>
      <c r="J795" s="4" t="n">
        <v>0</v>
      </c>
      <c r="K795" s="4" t="n">
        <v>0</v>
      </c>
      <c r="L795" s="11" t="b">
        <f aca="false">FALSE()</f>
        <v>0</v>
      </c>
    </row>
    <row r="796" customFormat="false" ht="15" hidden="false" customHeight="false" outlineLevel="0" collapsed="false">
      <c r="A796" s="4" t="s">
        <v>1001</v>
      </c>
      <c r="B796" s="4" t="s">
        <v>104</v>
      </c>
      <c r="C796" s="4" t="s">
        <v>205</v>
      </c>
      <c r="D796" s="4" t="s">
        <v>206</v>
      </c>
      <c r="E796" s="4" t="n">
        <v>46277.7571296296</v>
      </c>
      <c r="F796" s="4" t="n">
        <v>19</v>
      </c>
      <c r="G796" s="4" t="n">
        <v>19</v>
      </c>
      <c r="H796" s="4" t="n">
        <v>17</v>
      </c>
      <c r="I796" s="4" t="n">
        <v>1</v>
      </c>
      <c r="J796" s="4" t="n">
        <v>1</v>
      </c>
      <c r="K796" s="4" t="n">
        <v>0</v>
      </c>
      <c r="L796" s="11" t="b">
        <f aca="false">FALSE()</f>
        <v>0</v>
      </c>
    </row>
    <row r="797" customFormat="false" ht="15" hidden="false" customHeight="false" outlineLevel="0" collapsed="false">
      <c r="A797" s="4" t="s">
        <v>1002</v>
      </c>
      <c r="B797" s="4" t="s">
        <v>102</v>
      </c>
      <c r="C797" s="4" t="s">
        <v>205</v>
      </c>
      <c r="D797" s="4" t="s">
        <v>206</v>
      </c>
      <c r="E797" s="4" t="n">
        <v>46277.7958217593</v>
      </c>
      <c r="F797" s="4" t="n">
        <v>26</v>
      </c>
      <c r="G797" s="4" t="n">
        <v>26</v>
      </c>
      <c r="H797" s="4" t="n">
        <v>24</v>
      </c>
      <c r="I797" s="4" t="n">
        <v>2</v>
      </c>
      <c r="J797" s="4" t="n">
        <v>0</v>
      </c>
      <c r="K797" s="4" t="n">
        <v>0</v>
      </c>
      <c r="L797" s="11" t="b">
        <f aca="false">FALSE()</f>
        <v>0</v>
      </c>
    </row>
    <row r="798" customFormat="false" ht="15" hidden="false" customHeight="false" outlineLevel="0" collapsed="false">
      <c r="A798" s="4" t="s">
        <v>1003</v>
      </c>
      <c r="B798" s="4" t="s">
        <v>100</v>
      </c>
      <c r="C798" s="4" t="s">
        <v>205</v>
      </c>
      <c r="D798" s="4" t="s">
        <v>206</v>
      </c>
      <c r="E798" s="4" t="n">
        <v>46277.8354513889</v>
      </c>
      <c r="F798" s="4" t="n">
        <v>61</v>
      </c>
      <c r="G798" s="4" t="n">
        <v>61</v>
      </c>
      <c r="H798" s="4" t="n">
        <v>57</v>
      </c>
      <c r="I798" s="4" t="n">
        <v>2</v>
      </c>
      <c r="J798" s="4" t="n">
        <v>2</v>
      </c>
      <c r="K798" s="4" t="n">
        <v>0</v>
      </c>
      <c r="L798" s="11" t="b">
        <f aca="false">FALSE()</f>
        <v>0</v>
      </c>
    </row>
    <row r="799" customFormat="false" ht="15" hidden="false" customHeight="false" outlineLevel="0" collapsed="false">
      <c r="A799" s="4" t="s">
        <v>1004</v>
      </c>
      <c r="B799" s="4" t="s">
        <v>103</v>
      </c>
      <c r="C799" s="4" t="s">
        <v>205</v>
      </c>
      <c r="D799" s="4" t="s">
        <v>206</v>
      </c>
      <c r="E799" s="4" t="n">
        <v>46277.8812384259</v>
      </c>
      <c r="F799" s="4" t="n">
        <v>23</v>
      </c>
      <c r="G799" s="4" t="n">
        <v>23</v>
      </c>
      <c r="H799" s="4" t="n">
        <v>20</v>
      </c>
      <c r="I799" s="4" t="n">
        <v>3</v>
      </c>
      <c r="J799" s="4" t="n">
        <v>0</v>
      </c>
      <c r="K799" s="4" t="n">
        <v>0</v>
      </c>
      <c r="L799" s="11" t="b">
        <f aca="false">FALSE()</f>
        <v>0</v>
      </c>
    </row>
    <row r="800" customFormat="false" ht="15" hidden="false" customHeight="false" outlineLevel="0" collapsed="false">
      <c r="A800" s="4" t="s">
        <v>1005</v>
      </c>
      <c r="B800" s="4" t="s">
        <v>101</v>
      </c>
      <c r="C800" s="4" t="s">
        <v>205</v>
      </c>
      <c r="D800" s="4" t="s">
        <v>206</v>
      </c>
      <c r="E800" s="4" t="n">
        <v>46277.9197569444</v>
      </c>
      <c r="F800" s="4" t="n">
        <v>33</v>
      </c>
      <c r="G800" s="4" t="n">
        <v>33</v>
      </c>
      <c r="H800" s="4" t="n">
        <v>30</v>
      </c>
      <c r="I800" s="4" t="n">
        <v>3</v>
      </c>
      <c r="J800" s="4" t="n">
        <v>0</v>
      </c>
      <c r="K800" s="4" t="n">
        <v>0</v>
      </c>
      <c r="L800" s="11" t="b">
        <f aca="false">FALSE()</f>
        <v>0</v>
      </c>
    </row>
    <row r="801" customFormat="false" ht="15" hidden="false" customHeight="false" outlineLevel="0" collapsed="false">
      <c r="A801" s="4" t="s">
        <v>1006</v>
      </c>
      <c r="B801" s="4" t="s">
        <v>100</v>
      </c>
      <c r="C801" s="4" t="s">
        <v>205</v>
      </c>
      <c r="D801" s="4" t="s">
        <v>206</v>
      </c>
      <c r="E801" s="4" t="n">
        <v>46278.0035763889</v>
      </c>
      <c r="F801" s="4" t="n">
        <v>37</v>
      </c>
      <c r="G801" s="4" t="n">
        <v>37</v>
      </c>
      <c r="H801" s="4" t="n">
        <v>36</v>
      </c>
      <c r="I801" s="4" t="n">
        <v>1</v>
      </c>
      <c r="J801" s="4" t="n">
        <v>0</v>
      </c>
      <c r="K801" s="4" t="n">
        <v>0</v>
      </c>
      <c r="L801" s="11" t="b">
        <f aca="false">FALSE()</f>
        <v>0</v>
      </c>
    </row>
    <row r="802" customFormat="false" ht="15" hidden="false" customHeight="false" outlineLevel="0" collapsed="false">
      <c r="A802" s="4" t="s">
        <v>1007</v>
      </c>
      <c r="B802" s="4" t="s">
        <v>102</v>
      </c>
      <c r="C802" s="4" t="s">
        <v>205</v>
      </c>
      <c r="D802" s="4" t="s">
        <v>206</v>
      </c>
      <c r="E802" s="4" t="n">
        <v>46278.0466087963</v>
      </c>
      <c r="F802" s="4" t="n">
        <v>13</v>
      </c>
      <c r="G802" s="4" t="n">
        <v>13</v>
      </c>
      <c r="H802" s="4" t="n">
        <v>12</v>
      </c>
      <c r="I802" s="4" t="n">
        <v>1</v>
      </c>
      <c r="J802" s="4" t="n">
        <v>0</v>
      </c>
      <c r="K802" s="4" t="n">
        <v>0</v>
      </c>
      <c r="L802" s="11" t="b">
        <f aca="false">FALSE()</f>
        <v>0</v>
      </c>
    </row>
    <row r="803" customFormat="false" ht="15" hidden="false" customHeight="false" outlineLevel="0" collapsed="false">
      <c r="A803" s="4" t="s">
        <v>1008</v>
      </c>
      <c r="B803" s="4" t="s">
        <v>101</v>
      </c>
      <c r="C803" s="4" t="s">
        <v>205</v>
      </c>
      <c r="D803" s="4" t="s">
        <v>206</v>
      </c>
      <c r="E803" s="4" t="n">
        <v>46278.0863078704</v>
      </c>
      <c r="F803" s="4" t="n">
        <v>13</v>
      </c>
      <c r="G803" s="4" t="n">
        <v>13</v>
      </c>
      <c r="H803" s="4" t="n">
        <v>11</v>
      </c>
      <c r="I803" s="4" t="n">
        <v>2</v>
      </c>
      <c r="J803" s="4" t="n">
        <v>0</v>
      </c>
      <c r="K803" s="4" t="n">
        <v>0</v>
      </c>
      <c r="L803" s="11" t="b">
        <f aca="false">FALSE()</f>
        <v>0</v>
      </c>
    </row>
    <row r="804" customFormat="false" ht="15" hidden="false" customHeight="false" outlineLevel="0" collapsed="false">
      <c r="A804" s="4" t="s">
        <v>1009</v>
      </c>
      <c r="B804" s="4" t="s">
        <v>103</v>
      </c>
      <c r="C804" s="4" t="s">
        <v>205</v>
      </c>
      <c r="D804" s="4" t="s">
        <v>206</v>
      </c>
      <c r="E804" s="4" t="n">
        <v>46278.1305439815</v>
      </c>
      <c r="F804" s="4" t="n">
        <v>10</v>
      </c>
      <c r="G804" s="4" t="n">
        <v>10</v>
      </c>
      <c r="H804" s="4" t="n">
        <v>7</v>
      </c>
      <c r="I804" s="4" t="n">
        <v>3</v>
      </c>
      <c r="J804" s="4" t="n">
        <v>0</v>
      </c>
      <c r="K804" s="4" t="n">
        <v>0</v>
      </c>
      <c r="L804" s="11" t="b">
        <f aca="false">FALSE()</f>
        <v>0</v>
      </c>
    </row>
    <row r="805" customFormat="false" ht="15" hidden="false" customHeight="false" outlineLevel="0" collapsed="false">
      <c r="A805" s="4" t="s">
        <v>1010</v>
      </c>
      <c r="B805" s="4" t="s">
        <v>100</v>
      </c>
      <c r="C805" s="4" t="s">
        <v>205</v>
      </c>
      <c r="D805" s="4" t="s">
        <v>206</v>
      </c>
      <c r="E805" s="4" t="n">
        <v>46278.1697685185</v>
      </c>
      <c r="F805" s="4" t="n">
        <v>12</v>
      </c>
      <c r="G805" s="4" t="n">
        <v>12</v>
      </c>
      <c r="H805" s="4" t="n">
        <v>10</v>
      </c>
      <c r="I805" s="4" t="n">
        <v>2</v>
      </c>
      <c r="J805" s="4" t="n">
        <v>0</v>
      </c>
      <c r="K805" s="4" t="n">
        <v>0</v>
      </c>
      <c r="L805" s="11" t="b">
        <f aca="false">TRUE()</f>
        <v>1</v>
      </c>
    </row>
    <row r="806" customFormat="false" ht="15" hidden="false" customHeight="false" outlineLevel="0" collapsed="false">
      <c r="A806" s="4" t="s">
        <v>1011</v>
      </c>
      <c r="B806" s="4" t="s">
        <v>99</v>
      </c>
      <c r="C806" s="4" t="s">
        <v>205</v>
      </c>
      <c r="D806" s="4" t="s">
        <v>206</v>
      </c>
      <c r="E806" s="4" t="n">
        <v>46278.2140625</v>
      </c>
      <c r="F806" s="4" t="n">
        <v>29</v>
      </c>
      <c r="G806" s="4" t="n">
        <v>29</v>
      </c>
      <c r="H806" s="4" t="n">
        <v>27</v>
      </c>
      <c r="I806" s="4" t="n">
        <v>2</v>
      </c>
      <c r="J806" s="4" t="n">
        <v>0</v>
      </c>
      <c r="K806" s="4" t="n">
        <v>0</v>
      </c>
      <c r="L806" s="11" t="b">
        <f aca="false">FALSE()</f>
        <v>0</v>
      </c>
    </row>
    <row r="807" customFormat="false" ht="15" hidden="false" customHeight="false" outlineLevel="0" collapsed="false">
      <c r="A807" s="4" t="s">
        <v>1012</v>
      </c>
      <c r="B807" s="4" t="s">
        <v>101</v>
      </c>
      <c r="C807" s="4" t="s">
        <v>205</v>
      </c>
      <c r="D807" s="4" t="s">
        <v>206</v>
      </c>
      <c r="E807" s="4" t="n">
        <v>46278.2533449074</v>
      </c>
      <c r="F807" s="4" t="n">
        <v>10</v>
      </c>
      <c r="G807" s="4" t="n">
        <v>10</v>
      </c>
      <c r="H807" s="4" t="n">
        <v>9</v>
      </c>
      <c r="I807" s="4" t="n">
        <v>1</v>
      </c>
      <c r="J807" s="4" t="n">
        <v>0</v>
      </c>
      <c r="K807" s="4" t="n">
        <v>0</v>
      </c>
      <c r="L807" s="11" t="b">
        <f aca="false">FALSE()</f>
        <v>0</v>
      </c>
    </row>
    <row r="808" customFormat="false" ht="15" hidden="false" customHeight="false" outlineLevel="0" collapsed="false">
      <c r="A808" s="4" t="s">
        <v>1013</v>
      </c>
      <c r="B808" s="4" t="s">
        <v>104</v>
      </c>
      <c r="C808" s="4" t="s">
        <v>205</v>
      </c>
      <c r="D808" s="4" t="s">
        <v>206</v>
      </c>
      <c r="E808" s="4" t="n">
        <v>46278.2569444445</v>
      </c>
      <c r="F808" s="4" t="n">
        <v>6</v>
      </c>
      <c r="G808" s="4" t="n">
        <v>6</v>
      </c>
      <c r="H808" s="4" t="n">
        <v>5</v>
      </c>
      <c r="I808" s="4" t="n">
        <v>0</v>
      </c>
      <c r="J808" s="4" t="n">
        <v>1</v>
      </c>
      <c r="K808" s="4" t="n">
        <v>0</v>
      </c>
      <c r="L808" s="11" t="b">
        <f aca="false">FALSE()</f>
        <v>0</v>
      </c>
    </row>
    <row r="809" customFormat="false" ht="15" hidden="false" customHeight="false" outlineLevel="0" collapsed="false">
      <c r="A809" s="4" t="s">
        <v>1014</v>
      </c>
      <c r="B809" s="4" t="s">
        <v>104</v>
      </c>
      <c r="C809" s="4" t="s">
        <v>205</v>
      </c>
      <c r="D809" s="4" t="s">
        <v>428</v>
      </c>
      <c r="E809" s="4" t="n">
        <v>46278.2736921296</v>
      </c>
      <c r="F809" s="4" t="n">
        <v>30</v>
      </c>
      <c r="G809" s="4" t="n">
        <v>30</v>
      </c>
      <c r="H809" s="4" t="n">
        <v>30</v>
      </c>
      <c r="I809" s="4" t="n">
        <v>0</v>
      </c>
      <c r="J809" s="4" t="n">
        <v>0</v>
      </c>
      <c r="K809" s="4" t="n">
        <v>0</v>
      </c>
      <c r="L809" s="11" t="b">
        <f aca="false">FALSE()</f>
        <v>0</v>
      </c>
    </row>
    <row r="810" customFormat="false" ht="15" hidden="false" customHeight="false" outlineLevel="0" collapsed="false">
      <c r="A810" s="4" t="s">
        <v>1015</v>
      </c>
      <c r="B810" s="4" t="s">
        <v>102</v>
      </c>
      <c r="C810" s="4" t="s">
        <v>205</v>
      </c>
      <c r="D810" s="4" t="s">
        <v>206</v>
      </c>
      <c r="E810" s="4" t="n">
        <v>46278.2966087963</v>
      </c>
      <c r="F810" s="4" t="n">
        <v>6</v>
      </c>
      <c r="G810" s="4" t="n">
        <v>6</v>
      </c>
      <c r="H810" s="4" t="n">
        <v>5</v>
      </c>
      <c r="I810" s="4" t="n">
        <v>0</v>
      </c>
      <c r="J810" s="4" t="n">
        <v>1</v>
      </c>
      <c r="K810" s="4" t="n">
        <v>0</v>
      </c>
      <c r="L810" s="11" t="b">
        <f aca="false">FALSE()</f>
        <v>0</v>
      </c>
    </row>
    <row r="811" customFormat="false" ht="15" hidden="false" customHeight="false" outlineLevel="0" collapsed="false">
      <c r="A811" s="4" t="s">
        <v>1016</v>
      </c>
      <c r="B811" s="4" t="s">
        <v>100</v>
      </c>
      <c r="C811" s="4" t="s">
        <v>205</v>
      </c>
      <c r="D811" s="4" t="s">
        <v>206</v>
      </c>
      <c r="E811" s="4" t="n">
        <v>46278.335775463</v>
      </c>
      <c r="F811" s="4" t="n">
        <v>25</v>
      </c>
      <c r="G811" s="4" t="n">
        <v>25</v>
      </c>
      <c r="H811" s="4" t="n">
        <v>25</v>
      </c>
      <c r="I811" s="4" t="n">
        <v>0</v>
      </c>
      <c r="J811" s="4" t="n">
        <v>0</v>
      </c>
      <c r="K811" s="4" t="n">
        <v>0</v>
      </c>
      <c r="L811" s="11" t="b">
        <f aca="false">FALSE()</f>
        <v>0</v>
      </c>
    </row>
    <row r="812" customFormat="false" ht="15" hidden="false" customHeight="false" outlineLevel="0" collapsed="false">
      <c r="A812" s="4" t="s">
        <v>1017</v>
      </c>
      <c r="B812" s="4" t="s">
        <v>103</v>
      </c>
      <c r="C812" s="4" t="s">
        <v>205</v>
      </c>
      <c r="D812" s="4" t="s">
        <v>206</v>
      </c>
      <c r="E812" s="4" t="n">
        <v>46278.3805555556</v>
      </c>
      <c r="F812" s="4" t="n">
        <v>13</v>
      </c>
      <c r="G812" s="4" t="n">
        <v>13</v>
      </c>
      <c r="H812" s="4" t="n">
        <v>10</v>
      </c>
      <c r="I812" s="4" t="n">
        <v>2</v>
      </c>
      <c r="J812" s="4" t="n">
        <v>1</v>
      </c>
      <c r="K812" s="4" t="n">
        <v>0</v>
      </c>
      <c r="L812" s="11" t="b">
        <f aca="false">FALSE()</f>
        <v>0</v>
      </c>
    </row>
    <row r="813" customFormat="false" ht="15" hidden="false" customHeight="false" outlineLevel="0" collapsed="false">
      <c r="A813" s="4" t="s">
        <v>1018</v>
      </c>
      <c r="B813" s="4" t="s">
        <v>101</v>
      </c>
      <c r="C813" s="4" t="s">
        <v>205</v>
      </c>
      <c r="D813" s="4" t="s">
        <v>206</v>
      </c>
      <c r="E813" s="4" t="n">
        <v>46278.4206018519</v>
      </c>
      <c r="F813" s="4" t="n">
        <v>30</v>
      </c>
      <c r="G813" s="4" t="n">
        <v>30</v>
      </c>
      <c r="H813" s="4" t="n">
        <v>27</v>
      </c>
      <c r="I813" s="4" t="n">
        <v>3</v>
      </c>
      <c r="J813" s="4" t="n">
        <v>0</v>
      </c>
      <c r="K813" s="4" t="n">
        <v>0</v>
      </c>
      <c r="L813" s="11" t="b">
        <f aca="false">FALSE()</f>
        <v>0</v>
      </c>
    </row>
    <row r="814" customFormat="false" ht="15" hidden="false" customHeight="false" outlineLevel="0" collapsed="false">
      <c r="A814" s="4" t="s">
        <v>1019</v>
      </c>
      <c r="B814" s="4" t="s">
        <v>100</v>
      </c>
      <c r="C814" s="4" t="s">
        <v>205</v>
      </c>
      <c r="D814" s="4" t="s">
        <v>206</v>
      </c>
      <c r="E814" s="4" t="n">
        <v>46278.5022685185</v>
      </c>
      <c r="F814" s="4" t="n">
        <v>67</v>
      </c>
      <c r="G814" s="4" t="n">
        <v>67</v>
      </c>
      <c r="H814" s="4" t="n">
        <v>63</v>
      </c>
      <c r="I814" s="4" t="n">
        <v>3</v>
      </c>
      <c r="J814" s="4" t="n">
        <v>1</v>
      </c>
      <c r="K814" s="4" t="n">
        <v>0</v>
      </c>
      <c r="L814" s="11" t="b">
        <f aca="false">TRUE()</f>
        <v>1</v>
      </c>
    </row>
    <row r="815" customFormat="false" ht="15" hidden="false" customHeight="false" outlineLevel="0" collapsed="false">
      <c r="A815" s="4" t="s">
        <v>1020</v>
      </c>
      <c r="B815" s="4" t="s">
        <v>102</v>
      </c>
      <c r="C815" s="4" t="s">
        <v>205</v>
      </c>
      <c r="D815" s="4" t="s">
        <v>206</v>
      </c>
      <c r="E815" s="4" t="n">
        <v>46278.5467939815</v>
      </c>
      <c r="F815" s="4" t="n">
        <v>23</v>
      </c>
      <c r="G815" s="4" t="n">
        <v>23</v>
      </c>
      <c r="H815" s="4" t="n">
        <v>21</v>
      </c>
      <c r="I815" s="4" t="n">
        <v>2</v>
      </c>
      <c r="J815" s="4" t="n">
        <v>0</v>
      </c>
      <c r="K815" s="4" t="n">
        <v>0</v>
      </c>
      <c r="L815" s="11" t="b">
        <f aca="false">FALSE()</f>
        <v>0</v>
      </c>
    </row>
    <row r="816" customFormat="false" ht="15" hidden="false" customHeight="false" outlineLevel="0" collapsed="false">
      <c r="A816" s="4" t="s">
        <v>1021</v>
      </c>
      <c r="B816" s="4" t="s">
        <v>103</v>
      </c>
      <c r="C816" s="4" t="s">
        <v>205</v>
      </c>
      <c r="D816" s="4" t="s">
        <v>206</v>
      </c>
      <c r="E816" s="4" t="n">
        <v>46278.6302546296</v>
      </c>
      <c r="F816" s="4" t="n">
        <v>28</v>
      </c>
      <c r="G816" s="4" t="n">
        <v>28</v>
      </c>
      <c r="H816" s="4" t="n">
        <v>25</v>
      </c>
      <c r="I816" s="4" t="n">
        <v>3</v>
      </c>
      <c r="J816" s="4" t="n">
        <v>0</v>
      </c>
      <c r="K816" s="4" t="n">
        <v>0</v>
      </c>
      <c r="L816" s="11" t="b">
        <f aca="false">FALSE()</f>
        <v>0</v>
      </c>
    </row>
    <row r="817" customFormat="false" ht="15" hidden="false" customHeight="false" outlineLevel="0" collapsed="false">
      <c r="A817" s="4" t="s">
        <v>1022</v>
      </c>
      <c r="B817" s="4" t="s">
        <v>100</v>
      </c>
      <c r="C817" s="4" t="s">
        <v>205</v>
      </c>
      <c r="D817" s="4" t="s">
        <v>206</v>
      </c>
      <c r="E817" s="4" t="n">
        <v>46278.6693865741</v>
      </c>
      <c r="F817" s="4" t="n">
        <v>66</v>
      </c>
      <c r="G817" s="4" t="n">
        <v>66</v>
      </c>
      <c r="H817" s="4" t="n">
        <v>62</v>
      </c>
      <c r="I817" s="4" t="n">
        <v>2</v>
      </c>
      <c r="J817" s="4" t="n">
        <v>2</v>
      </c>
      <c r="K817" s="4" t="n">
        <v>0</v>
      </c>
      <c r="L817" s="11" t="b">
        <f aca="false">FALSE()</f>
        <v>0</v>
      </c>
    </row>
    <row r="818" customFormat="false" ht="15" hidden="false" customHeight="false" outlineLevel="0" collapsed="false">
      <c r="A818" s="4" t="s">
        <v>1023</v>
      </c>
      <c r="B818" s="4" t="s">
        <v>101</v>
      </c>
      <c r="C818" s="4" t="s">
        <v>205</v>
      </c>
      <c r="D818" s="4" t="s">
        <v>206</v>
      </c>
      <c r="E818" s="4" t="n">
        <v>46278.6849421296</v>
      </c>
      <c r="F818" s="4" t="n">
        <v>63</v>
      </c>
      <c r="G818" s="4" t="n">
        <v>63</v>
      </c>
      <c r="H818" s="4" t="n">
        <v>61</v>
      </c>
      <c r="I818" s="4" t="n">
        <v>0</v>
      </c>
      <c r="J818" s="4" t="n">
        <v>2</v>
      </c>
      <c r="K818" s="4" t="n">
        <v>0</v>
      </c>
      <c r="L818" s="11" t="b">
        <f aca="false">TRUE()</f>
        <v>1</v>
      </c>
    </row>
    <row r="819" customFormat="false" ht="15" hidden="false" customHeight="false" outlineLevel="0" collapsed="false">
      <c r="A819" s="4" t="s">
        <v>1024</v>
      </c>
      <c r="B819" s="4" t="s">
        <v>101</v>
      </c>
      <c r="C819" s="4" t="s">
        <v>205</v>
      </c>
      <c r="D819" s="4" t="s">
        <v>206</v>
      </c>
      <c r="E819" s="4" t="n">
        <v>46278.7531828704</v>
      </c>
      <c r="F819" s="4" t="n">
        <v>20</v>
      </c>
      <c r="G819" s="4" t="n">
        <v>20</v>
      </c>
      <c r="H819" s="4" t="n">
        <v>17</v>
      </c>
      <c r="I819" s="4" t="n">
        <v>3</v>
      </c>
      <c r="J819" s="4" t="n">
        <v>0</v>
      </c>
      <c r="K819" s="4" t="n">
        <v>0</v>
      </c>
      <c r="L819" s="11" t="b">
        <f aca="false">FALSE()</f>
        <v>0</v>
      </c>
    </row>
    <row r="820" customFormat="false" ht="15" hidden="false" customHeight="false" outlineLevel="0" collapsed="false">
      <c r="A820" s="4" t="s">
        <v>1025</v>
      </c>
      <c r="B820" s="4" t="s">
        <v>104</v>
      </c>
      <c r="C820" s="4" t="s">
        <v>205</v>
      </c>
      <c r="D820" s="4" t="s">
        <v>206</v>
      </c>
      <c r="E820" s="4" t="n">
        <v>46278.7568634259</v>
      </c>
      <c r="F820" s="4" t="n">
        <v>20</v>
      </c>
      <c r="G820" s="4" t="n">
        <v>20</v>
      </c>
      <c r="H820" s="4" t="n">
        <v>19</v>
      </c>
      <c r="I820" s="4" t="n">
        <v>1</v>
      </c>
      <c r="J820" s="4" t="n">
        <v>0</v>
      </c>
      <c r="K820" s="4" t="n">
        <v>0</v>
      </c>
      <c r="L820" s="11" t="b">
        <f aca="false">FALSE()</f>
        <v>0</v>
      </c>
    </row>
    <row r="821" customFormat="false" ht="15" hidden="false" customHeight="false" outlineLevel="0" collapsed="false">
      <c r="A821" s="4" t="s">
        <v>1026</v>
      </c>
      <c r="B821" s="4" t="s">
        <v>102</v>
      </c>
      <c r="C821" s="4" t="s">
        <v>205</v>
      </c>
      <c r="D821" s="4" t="s">
        <v>206</v>
      </c>
      <c r="E821" s="4" t="n">
        <v>46278.7965162037</v>
      </c>
      <c r="F821" s="4" t="n">
        <v>24</v>
      </c>
      <c r="G821" s="4" t="n">
        <v>24</v>
      </c>
      <c r="H821" s="4" t="n">
        <v>24</v>
      </c>
      <c r="I821" s="4" t="n">
        <v>0</v>
      </c>
      <c r="J821" s="4" t="n">
        <v>0</v>
      </c>
      <c r="K821" s="4" t="n">
        <v>0</v>
      </c>
      <c r="L821" s="11" t="b">
        <f aca="false">FALSE()</f>
        <v>0</v>
      </c>
    </row>
    <row r="822" customFormat="false" ht="15" hidden="false" customHeight="false" outlineLevel="0" collapsed="false">
      <c r="A822" s="4" t="s">
        <v>1027</v>
      </c>
      <c r="B822" s="4" t="s">
        <v>100</v>
      </c>
      <c r="C822" s="4" t="s">
        <v>205</v>
      </c>
      <c r="D822" s="4" t="s">
        <v>206</v>
      </c>
      <c r="E822" s="4" t="n">
        <v>46278.8371180556</v>
      </c>
      <c r="F822" s="4" t="n">
        <v>55</v>
      </c>
      <c r="G822" s="4" t="n">
        <v>55</v>
      </c>
      <c r="H822" s="4" t="n">
        <v>55</v>
      </c>
      <c r="I822" s="4" t="n">
        <v>0</v>
      </c>
      <c r="J822" s="4" t="n">
        <v>0</v>
      </c>
      <c r="K822" s="4" t="n">
        <v>0</v>
      </c>
      <c r="L822" s="11" t="b">
        <f aca="false">FALSE()</f>
        <v>0</v>
      </c>
    </row>
    <row r="823" customFormat="false" ht="15" hidden="false" customHeight="false" outlineLevel="0" collapsed="false">
      <c r="A823" s="4" t="s">
        <v>1028</v>
      </c>
      <c r="B823" s="4" t="s">
        <v>103</v>
      </c>
      <c r="C823" s="4" t="s">
        <v>205</v>
      </c>
      <c r="D823" s="4" t="s">
        <v>206</v>
      </c>
      <c r="E823" s="4" t="n">
        <v>46278.8796296296</v>
      </c>
      <c r="F823" s="4" t="n">
        <v>21</v>
      </c>
      <c r="G823" s="4" t="n">
        <v>21</v>
      </c>
      <c r="H823" s="4" t="n">
        <v>20</v>
      </c>
      <c r="I823" s="4" t="n">
        <v>1</v>
      </c>
      <c r="J823" s="4" t="n">
        <v>0</v>
      </c>
      <c r="K823" s="4" t="n">
        <v>0</v>
      </c>
      <c r="L823" s="11" t="b">
        <f aca="false">FALSE()</f>
        <v>0</v>
      </c>
    </row>
    <row r="824" customFormat="false" ht="15" hidden="false" customHeight="false" outlineLevel="0" collapsed="false">
      <c r="A824" s="4" t="s">
        <v>1029</v>
      </c>
      <c r="B824" s="4" t="s">
        <v>101</v>
      </c>
      <c r="C824" s="4" t="s">
        <v>205</v>
      </c>
      <c r="D824" s="4" t="s">
        <v>206</v>
      </c>
      <c r="E824" s="4" t="n">
        <v>46278.9206944444</v>
      </c>
      <c r="F824" s="4" t="n">
        <v>37</v>
      </c>
      <c r="G824" s="4" t="n">
        <v>37</v>
      </c>
      <c r="H824" s="4" t="n">
        <v>34</v>
      </c>
      <c r="I824" s="4" t="n">
        <v>3</v>
      </c>
      <c r="J824" s="4" t="n">
        <v>0</v>
      </c>
      <c r="K824" s="4" t="n">
        <v>0</v>
      </c>
      <c r="L824" s="11" t="b">
        <f aca="false">FALSE()</f>
        <v>0</v>
      </c>
    </row>
    <row r="825" customFormat="false" ht="15" hidden="false" customHeight="false" outlineLevel="0" collapsed="false">
      <c r="A825" s="4" t="s">
        <v>1030</v>
      </c>
      <c r="B825" s="4" t="s">
        <v>100</v>
      </c>
      <c r="C825" s="4" t="s">
        <v>205</v>
      </c>
      <c r="D825" s="4" t="s">
        <v>206</v>
      </c>
      <c r="E825" s="4" t="n">
        <v>46279.0034259259</v>
      </c>
      <c r="F825" s="4" t="n">
        <v>42</v>
      </c>
      <c r="G825" s="4" t="n">
        <v>42</v>
      </c>
      <c r="H825" s="4" t="n">
        <v>39</v>
      </c>
      <c r="I825" s="4" t="n">
        <v>3</v>
      </c>
      <c r="J825" s="4" t="n">
        <v>0</v>
      </c>
      <c r="K825" s="4" t="n">
        <v>0</v>
      </c>
      <c r="L825" s="11" t="b">
        <f aca="false">FALSE()</f>
        <v>0</v>
      </c>
    </row>
    <row r="826" customFormat="false" ht="15" hidden="false" customHeight="false" outlineLevel="0" collapsed="false">
      <c r="A826" s="4" t="s">
        <v>1031</v>
      </c>
      <c r="B826" s="4" t="s">
        <v>102</v>
      </c>
      <c r="C826" s="4" t="s">
        <v>205</v>
      </c>
      <c r="D826" s="4" t="s">
        <v>206</v>
      </c>
      <c r="E826" s="4" t="n">
        <v>46279.0453935185</v>
      </c>
      <c r="F826" s="4" t="n">
        <v>15</v>
      </c>
      <c r="G826" s="4" t="n">
        <v>15</v>
      </c>
      <c r="H826" s="4" t="n">
        <v>13</v>
      </c>
      <c r="I826" s="4" t="n">
        <v>2</v>
      </c>
      <c r="J826" s="4" t="n">
        <v>0</v>
      </c>
      <c r="K826" s="4" t="n">
        <v>0</v>
      </c>
      <c r="L826" s="11" t="b">
        <f aca="false">FALSE()</f>
        <v>0</v>
      </c>
    </row>
    <row r="827" customFormat="false" ht="15" hidden="false" customHeight="false" outlineLevel="0" collapsed="false">
      <c r="A827" s="4" t="s">
        <v>1032</v>
      </c>
      <c r="B827" s="4" t="s">
        <v>101</v>
      </c>
      <c r="C827" s="4" t="s">
        <v>205</v>
      </c>
      <c r="D827" s="4" t="s">
        <v>206</v>
      </c>
      <c r="E827" s="4" t="n">
        <v>46279.0861921296</v>
      </c>
      <c r="F827" s="4" t="n">
        <v>17</v>
      </c>
      <c r="G827" s="4" t="n">
        <v>17</v>
      </c>
      <c r="H827" s="4" t="n">
        <v>14</v>
      </c>
      <c r="I827" s="4" t="n">
        <v>3</v>
      </c>
      <c r="J827" s="4" t="n">
        <v>0</v>
      </c>
      <c r="K827" s="4" t="n">
        <v>0</v>
      </c>
      <c r="L827" s="11" t="b">
        <f aca="false">FALSE()</f>
        <v>0</v>
      </c>
    </row>
    <row r="828" customFormat="false" ht="15" hidden="false" customHeight="false" outlineLevel="0" collapsed="false">
      <c r="A828" s="4" t="s">
        <v>1033</v>
      </c>
      <c r="B828" s="4" t="s">
        <v>103</v>
      </c>
      <c r="C828" s="4" t="s">
        <v>205</v>
      </c>
      <c r="D828" s="4" t="s">
        <v>206</v>
      </c>
      <c r="E828" s="4" t="n">
        <v>46279.1299305556</v>
      </c>
      <c r="F828" s="4" t="n">
        <v>11</v>
      </c>
      <c r="G828" s="4" t="n">
        <v>11</v>
      </c>
      <c r="H828" s="4" t="n">
        <v>7</v>
      </c>
      <c r="I828" s="4" t="n">
        <v>3</v>
      </c>
      <c r="J828" s="4" t="n">
        <v>0</v>
      </c>
      <c r="K828" s="4" t="n">
        <v>1</v>
      </c>
      <c r="L828" s="11" t="b">
        <f aca="false">FALSE()</f>
        <v>0</v>
      </c>
    </row>
    <row r="829" customFormat="false" ht="15" hidden="false" customHeight="false" outlineLevel="0" collapsed="false">
      <c r="A829" s="4" t="s">
        <v>1034</v>
      </c>
      <c r="B829" s="4" t="s">
        <v>100</v>
      </c>
      <c r="C829" s="4" t="s">
        <v>205</v>
      </c>
      <c r="D829" s="4" t="s">
        <v>206</v>
      </c>
      <c r="E829" s="4" t="n">
        <v>46279.1694560185</v>
      </c>
      <c r="F829" s="4" t="n">
        <v>14</v>
      </c>
      <c r="G829" s="4" t="n">
        <v>14</v>
      </c>
      <c r="H829" s="4" t="n">
        <v>12</v>
      </c>
      <c r="I829" s="4" t="n">
        <v>2</v>
      </c>
      <c r="J829" s="4" t="n">
        <v>0</v>
      </c>
      <c r="K829" s="4" t="n">
        <v>0</v>
      </c>
      <c r="L829" s="11" t="b">
        <f aca="false">FALSE()</f>
        <v>0</v>
      </c>
    </row>
    <row r="830" customFormat="false" ht="15" hidden="false" customHeight="false" outlineLevel="0" collapsed="false">
      <c r="A830" s="4" t="s">
        <v>1035</v>
      </c>
      <c r="B830" s="4" t="s">
        <v>99</v>
      </c>
      <c r="C830" s="4" t="s">
        <v>205</v>
      </c>
      <c r="D830" s="4" t="s">
        <v>206</v>
      </c>
      <c r="E830" s="4" t="n">
        <v>46279.2132291667</v>
      </c>
      <c r="F830" s="4" t="n">
        <v>26</v>
      </c>
      <c r="G830" s="4" t="n">
        <v>26</v>
      </c>
      <c r="H830" s="4" t="n">
        <v>26</v>
      </c>
      <c r="I830" s="4" t="n">
        <v>0</v>
      </c>
      <c r="J830" s="4" t="n">
        <v>0</v>
      </c>
      <c r="K830" s="4" t="n">
        <v>0</v>
      </c>
      <c r="L830" s="11" t="b">
        <f aca="false">FALSE()</f>
        <v>0</v>
      </c>
    </row>
    <row r="831" customFormat="false" ht="15" hidden="false" customHeight="false" outlineLevel="0" collapsed="false">
      <c r="A831" s="4" t="s">
        <v>1036</v>
      </c>
      <c r="B831" s="4" t="s">
        <v>101</v>
      </c>
      <c r="C831" s="4" t="s">
        <v>205</v>
      </c>
      <c r="D831" s="4" t="s">
        <v>206</v>
      </c>
      <c r="E831" s="4" t="n">
        <v>46279.2527893519</v>
      </c>
      <c r="F831" s="4" t="n">
        <v>10</v>
      </c>
      <c r="G831" s="4" t="n">
        <v>10</v>
      </c>
      <c r="H831" s="4" t="n">
        <v>10</v>
      </c>
      <c r="I831" s="4" t="n">
        <v>0</v>
      </c>
      <c r="J831" s="4" t="n">
        <v>0</v>
      </c>
      <c r="K831" s="4" t="n">
        <v>0</v>
      </c>
      <c r="L831" s="11" t="b">
        <f aca="false">FALSE()</f>
        <v>0</v>
      </c>
    </row>
    <row r="832" customFormat="false" ht="15" hidden="false" customHeight="false" outlineLevel="0" collapsed="false">
      <c r="A832" s="4" t="s">
        <v>1037</v>
      </c>
      <c r="B832" s="4" t="s">
        <v>104</v>
      </c>
      <c r="C832" s="4" t="s">
        <v>205</v>
      </c>
      <c r="D832" s="4" t="s">
        <v>206</v>
      </c>
      <c r="E832" s="4" t="n">
        <v>46279.2557291667</v>
      </c>
      <c r="F832" s="4" t="n">
        <v>12</v>
      </c>
      <c r="G832" s="4" t="n">
        <v>12</v>
      </c>
      <c r="H832" s="4" t="n">
        <v>9</v>
      </c>
      <c r="I832" s="4" t="n">
        <v>3</v>
      </c>
      <c r="J832" s="4" t="n">
        <v>0</v>
      </c>
      <c r="K832" s="4" t="n">
        <v>0</v>
      </c>
      <c r="L832" s="11" t="b">
        <f aca="false">FALSE()</f>
        <v>0</v>
      </c>
    </row>
    <row r="833" customFormat="false" ht="15" hidden="false" customHeight="false" outlineLevel="0" collapsed="false">
      <c r="A833" s="4" t="s">
        <v>1038</v>
      </c>
      <c r="B833" s="4" t="s">
        <v>102</v>
      </c>
      <c r="C833" s="4" t="s">
        <v>205</v>
      </c>
      <c r="D833" s="4" t="s">
        <v>206</v>
      </c>
      <c r="E833" s="4" t="n">
        <v>46279.2966666667</v>
      </c>
      <c r="F833" s="4" t="n">
        <v>9</v>
      </c>
      <c r="G833" s="4" t="n">
        <v>9</v>
      </c>
      <c r="H833" s="4" t="n">
        <v>6</v>
      </c>
      <c r="I833" s="4" t="n">
        <v>2</v>
      </c>
      <c r="J833" s="4" t="n">
        <v>1</v>
      </c>
      <c r="K833" s="4" t="n">
        <v>0</v>
      </c>
      <c r="L833" s="11" t="b">
        <f aca="false">FALSE()</f>
        <v>0</v>
      </c>
    </row>
    <row r="834" customFormat="false" ht="15" hidden="false" customHeight="false" outlineLevel="0" collapsed="false">
      <c r="A834" s="4" t="s">
        <v>1039</v>
      </c>
      <c r="B834" s="4" t="s">
        <v>100</v>
      </c>
      <c r="C834" s="4" t="s">
        <v>205</v>
      </c>
      <c r="D834" s="4" t="s">
        <v>206</v>
      </c>
      <c r="E834" s="4" t="n">
        <v>46279.3357291667</v>
      </c>
      <c r="F834" s="4" t="n">
        <v>34</v>
      </c>
      <c r="G834" s="4" t="n">
        <v>34</v>
      </c>
      <c r="H834" s="4" t="n">
        <v>33</v>
      </c>
      <c r="I834" s="4" t="n">
        <v>0</v>
      </c>
      <c r="J834" s="4" t="n">
        <v>0</v>
      </c>
      <c r="K834" s="4" t="n">
        <v>1</v>
      </c>
      <c r="L834" s="11" t="b">
        <f aca="false">FALSE()</f>
        <v>0</v>
      </c>
    </row>
    <row r="835" customFormat="false" ht="15" hidden="false" customHeight="false" outlineLevel="0" collapsed="false">
      <c r="A835" s="4" t="s">
        <v>1040</v>
      </c>
      <c r="B835" s="4" t="s">
        <v>103</v>
      </c>
      <c r="C835" s="4" t="s">
        <v>205</v>
      </c>
      <c r="D835" s="4" t="s">
        <v>206</v>
      </c>
      <c r="E835" s="4" t="n">
        <v>46279.3805902778</v>
      </c>
      <c r="F835" s="4" t="n">
        <v>11</v>
      </c>
      <c r="G835" s="4" t="n">
        <v>11</v>
      </c>
      <c r="H835" s="4" t="n">
        <v>10</v>
      </c>
      <c r="I835" s="4" t="n">
        <v>1</v>
      </c>
      <c r="J835" s="4" t="n">
        <v>0</v>
      </c>
      <c r="K835" s="4" t="n">
        <v>0</v>
      </c>
      <c r="L835" s="11" t="b">
        <f aca="false">FALSE()</f>
        <v>0</v>
      </c>
    </row>
    <row r="836" customFormat="false" ht="15" hidden="false" customHeight="false" outlineLevel="0" collapsed="false">
      <c r="A836" s="4" t="s">
        <v>1041</v>
      </c>
      <c r="B836" s="4" t="s">
        <v>101</v>
      </c>
      <c r="C836" s="4" t="s">
        <v>205</v>
      </c>
      <c r="D836" s="4" t="s">
        <v>206</v>
      </c>
      <c r="E836" s="4" t="n">
        <v>46279.4199537037</v>
      </c>
      <c r="F836" s="4" t="n">
        <v>39</v>
      </c>
      <c r="G836" s="4" t="n">
        <v>39</v>
      </c>
      <c r="H836" s="4" t="n">
        <v>38</v>
      </c>
      <c r="I836" s="4" t="n">
        <v>1</v>
      </c>
      <c r="J836" s="4" t="n">
        <v>0</v>
      </c>
      <c r="K836" s="4" t="n">
        <v>0</v>
      </c>
      <c r="L836" s="11" t="b">
        <f aca="false">FALSE()</f>
        <v>0</v>
      </c>
    </row>
    <row r="837" customFormat="false" ht="15" hidden="false" customHeight="false" outlineLevel="0" collapsed="false">
      <c r="A837" s="4" t="s">
        <v>1042</v>
      </c>
      <c r="B837" s="4" t="s">
        <v>100</v>
      </c>
      <c r="C837" s="4" t="s">
        <v>205</v>
      </c>
      <c r="D837" s="4" t="s">
        <v>206</v>
      </c>
      <c r="E837" s="4" t="n">
        <v>46279.5034490741</v>
      </c>
      <c r="F837" s="4" t="n">
        <v>74</v>
      </c>
      <c r="G837" s="4" t="n">
        <v>74</v>
      </c>
      <c r="H837" s="4" t="n">
        <v>72</v>
      </c>
      <c r="I837" s="4" t="n">
        <v>1</v>
      </c>
      <c r="J837" s="4" t="n">
        <v>1</v>
      </c>
      <c r="K837" s="4" t="n">
        <v>0</v>
      </c>
      <c r="L837" s="11" t="b">
        <f aca="false">FALSE()</f>
        <v>0</v>
      </c>
    </row>
    <row r="838" customFormat="false" ht="15" hidden="false" customHeight="false" outlineLevel="0" collapsed="false">
      <c r="A838" s="4" t="s">
        <v>1043</v>
      </c>
      <c r="B838" s="4" t="s">
        <v>102</v>
      </c>
      <c r="C838" s="4" t="s">
        <v>205</v>
      </c>
      <c r="D838" s="4" t="s">
        <v>206</v>
      </c>
      <c r="E838" s="4" t="n">
        <v>46279.5459606482</v>
      </c>
      <c r="F838" s="4" t="n">
        <v>30</v>
      </c>
      <c r="G838" s="4" t="n">
        <v>30</v>
      </c>
      <c r="H838" s="4" t="n">
        <v>30</v>
      </c>
      <c r="I838" s="4" t="n">
        <v>0</v>
      </c>
      <c r="J838" s="4" t="n">
        <v>0</v>
      </c>
      <c r="K838" s="4" t="n">
        <v>0</v>
      </c>
      <c r="L838" s="11" t="b">
        <f aca="false">FALSE()</f>
        <v>0</v>
      </c>
    </row>
    <row r="839" customFormat="false" ht="15" hidden="false" customHeight="false" outlineLevel="0" collapsed="false">
      <c r="A839" s="4" t="s">
        <v>1044</v>
      </c>
      <c r="B839" s="4" t="s">
        <v>101</v>
      </c>
      <c r="C839" s="4" t="s">
        <v>205</v>
      </c>
      <c r="D839" s="4" t="s">
        <v>206</v>
      </c>
      <c r="E839" s="4" t="n">
        <v>46279.5871412037</v>
      </c>
      <c r="F839" s="4" t="n">
        <v>52</v>
      </c>
      <c r="G839" s="4" t="n">
        <v>52</v>
      </c>
      <c r="H839" s="4" t="n">
        <v>50</v>
      </c>
      <c r="I839" s="4" t="n">
        <v>2</v>
      </c>
      <c r="J839" s="4" t="n">
        <v>0</v>
      </c>
      <c r="K839" s="4" t="n">
        <v>0</v>
      </c>
      <c r="L839" s="11" t="b">
        <f aca="false">FALSE()</f>
        <v>0</v>
      </c>
    </row>
    <row r="840" customFormat="false" ht="15" hidden="false" customHeight="false" outlineLevel="0" collapsed="false">
      <c r="A840" s="4" t="s">
        <v>1045</v>
      </c>
      <c r="B840" s="4" t="s">
        <v>103</v>
      </c>
      <c r="C840" s="4" t="s">
        <v>205</v>
      </c>
      <c r="D840" s="4" t="s">
        <v>206</v>
      </c>
      <c r="E840" s="4" t="n">
        <v>46279.6295138889</v>
      </c>
      <c r="F840" s="4" t="n">
        <v>32</v>
      </c>
      <c r="G840" s="4" t="n">
        <v>32</v>
      </c>
      <c r="H840" s="4" t="n">
        <v>28</v>
      </c>
      <c r="I840" s="4" t="n">
        <v>3</v>
      </c>
      <c r="J840" s="4" t="n">
        <v>1</v>
      </c>
      <c r="K840" s="4" t="n">
        <v>0</v>
      </c>
      <c r="L840" s="11" t="b">
        <f aca="false">FALSE()</f>
        <v>0</v>
      </c>
    </row>
    <row r="841" customFormat="false" ht="15" hidden="false" customHeight="false" outlineLevel="0" collapsed="false">
      <c r="A841" s="4" t="s">
        <v>1046</v>
      </c>
      <c r="B841" s="4" t="s">
        <v>100</v>
      </c>
      <c r="C841" s="4" t="s">
        <v>205</v>
      </c>
      <c r="D841" s="4" t="s">
        <v>206</v>
      </c>
      <c r="E841" s="4" t="n">
        <v>46279.669537037</v>
      </c>
      <c r="F841" s="4" t="n">
        <v>79</v>
      </c>
      <c r="G841" s="4" t="n">
        <v>79</v>
      </c>
      <c r="H841" s="4" t="n">
        <v>76</v>
      </c>
      <c r="I841" s="4" t="n">
        <v>3</v>
      </c>
      <c r="J841" s="4" t="n">
        <v>0</v>
      </c>
      <c r="K841" s="4" t="n">
        <v>0</v>
      </c>
      <c r="L841" s="11" t="b">
        <f aca="false">FALSE()</f>
        <v>0</v>
      </c>
    </row>
    <row r="842" customFormat="false" ht="15" hidden="false" customHeight="false" outlineLevel="0" collapsed="false">
      <c r="A842" s="4" t="s">
        <v>1047</v>
      </c>
      <c r="B842" s="4" t="s">
        <v>101</v>
      </c>
      <c r="C842" s="4" t="s">
        <v>205</v>
      </c>
      <c r="D842" s="4" t="s">
        <v>206</v>
      </c>
      <c r="E842" s="4" t="n">
        <v>46279.7537152778</v>
      </c>
      <c r="F842" s="4" t="n">
        <v>49</v>
      </c>
      <c r="G842" s="4" t="n">
        <v>49</v>
      </c>
      <c r="H842" s="4" t="n">
        <v>46</v>
      </c>
      <c r="I842" s="4" t="n">
        <v>2</v>
      </c>
      <c r="J842" s="4" t="n">
        <v>1</v>
      </c>
      <c r="K842" s="4" t="n">
        <v>0</v>
      </c>
      <c r="L842" s="11" t="b">
        <f aca="false">FALSE()</f>
        <v>0</v>
      </c>
    </row>
    <row r="843" customFormat="false" ht="15" hidden="false" customHeight="false" outlineLevel="0" collapsed="false">
      <c r="A843" s="4" t="s">
        <v>1048</v>
      </c>
      <c r="B843" s="4" t="s">
        <v>104</v>
      </c>
      <c r="C843" s="4" t="s">
        <v>205</v>
      </c>
      <c r="D843" s="4" t="s">
        <v>206</v>
      </c>
      <c r="E843" s="4" t="n">
        <v>46279.7556944444</v>
      </c>
      <c r="F843" s="4" t="n">
        <v>21</v>
      </c>
      <c r="G843" s="4" t="n">
        <v>21</v>
      </c>
      <c r="H843" s="4" t="n">
        <v>21</v>
      </c>
      <c r="I843" s="4" t="n">
        <v>0</v>
      </c>
      <c r="J843" s="4" t="n">
        <v>0</v>
      </c>
      <c r="K843" s="4" t="n">
        <v>0</v>
      </c>
      <c r="L843" s="11" t="b">
        <f aca="false">FALSE()</f>
        <v>0</v>
      </c>
    </row>
    <row r="844" customFormat="false" ht="15" hidden="false" customHeight="false" outlineLevel="0" collapsed="false">
      <c r="A844" s="4" t="s">
        <v>1049</v>
      </c>
      <c r="B844" s="4" t="s">
        <v>102</v>
      </c>
      <c r="C844" s="4" t="s">
        <v>205</v>
      </c>
      <c r="D844" s="4" t="s">
        <v>206</v>
      </c>
      <c r="E844" s="4" t="n">
        <v>46279.7962615741</v>
      </c>
      <c r="F844" s="4" t="n">
        <v>25</v>
      </c>
      <c r="G844" s="4" t="n">
        <v>25</v>
      </c>
      <c r="H844" s="4" t="n">
        <v>24</v>
      </c>
      <c r="I844" s="4" t="n">
        <v>1</v>
      </c>
      <c r="J844" s="4" t="n">
        <v>0</v>
      </c>
      <c r="K844" s="4" t="n">
        <v>0</v>
      </c>
      <c r="L844" s="11" t="b">
        <f aca="false">FALSE()</f>
        <v>0</v>
      </c>
    </row>
    <row r="845" customFormat="false" ht="15" hidden="false" customHeight="false" outlineLevel="0" collapsed="false">
      <c r="A845" s="4" t="s">
        <v>1050</v>
      </c>
      <c r="B845" s="4" t="s">
        <v>100</v>
      </c>
      <c r="C845" s="4" t="s">
        <v>205</v>
      </c>
      <c r="D845" s="4" t="s">
        <v>206</v>
      </c>
      <c r="E845" s="4" t="n">
        <v>46279.837025463</v>
      </c>
      <c r="F845" s="4" t="n">
        <v>73</v>
      </c>
      <c r="G845" s="4" t="n">
        <v>73</v>
      </c>
      <c r="H845" s="4" t="n">
        <v>69</v>
      </c>
      <c r="I845" s="4" t="n">
        <v>3</v>
      </c>
      <c r="J845" s="4" t="n">
        <v>1</v>
      </c>
      <c r="K845" s="4" t="n">
        <v>0</v>
      </c>
      <c r="L845" s="11" t="b">
        <f aca="false">FALSE()</f>
        <v>0</v>
      </c>
    </row>
    <row r="846" customFormat="false" ht="15" hidden="false" customHeight="false" outlineLevel="0" collapsed="false">
      <c r="A846" s="4" t="s">
        <v>1051</v>
      </c>
      <c r="B846" s="4" t="s">
        <v>103</v>
      </c>
      <c r="C846" s="4" t="s">
        <v>205</v>
      </c>
      <c r="D846" s="4" t="s">
        <v>206</v>
      </c>
      <c r="E846" s="4" t="n">
        <v>46279.8795949074</v>
      </c>
      <c r="F846" s="4" t="n">
        <v>31</v>
      </c>
      <c r="G846" s="4" t="n">
        <v>31</v>
      </c>
      <c r="H846" s="4" t="n">
        <v>26</v>
      </c>
      <c r="I846" s="4" t="n">
        <v>3</v>
      </c>
      <c r="J846" s="4" t="n">
        <v>1</v>
      </c>
      <c r="K846" s="4" t="n">
        <v>1</v>
      </c>
      <c r="L846" s="11" t="b">
        <f aca="false">FALSE()</f>
        <v>0</v>
      </c>
    </row>
    <row r="847" customFormat="false" ht="15" hidden="false" customHeight="false" outlineLevel="0" collapsed="false">
      <c r="A847" s="4" t="s">
        <v>1052</v>
      </c>
      <c r="B847" s="4" t="s">
        <v>101</v>
      </c>
      <c r="C847" s="4" t="s">
        <v>205</v>
      </c>
      <c r="D847" s="4" t="s">
        <v>206</v>
      </c>
      <c r="E847" s="4" t="n">
        <v>46279.9194907407</v>
      </c>
      <c r="F847" s="4" t="n">
        <v>40</v>
      </c>
      <c r="G847" s="4" t="n">
        <v>40</v>
      </c>
      <c r="H847" s="4" t="n">
        <v>36</v>
      </c>
      <c r="I847" s="4" t="n">
        <v>3</v>
      </c>
      <c r="J847" s="4" t="n">
        <v>1</v>
      </c>
      <c r="K847" s="4" t="n">
        <v>0</v>
      </c>
      <c r="L847" s="11" t="b">
        <f aca="false">FALSE()</f>
        <v>0</v>
      </c>
    </row>
    <row r="848" customFormat="false" ht="15" hidden="false" customHeight="false" outlineLevel="0" collapsed="false">
      <c r="A848" s="4" t="s">
        <v>1053</v>
      </c>
      <c r="B848" s="4" t="s">
        <v>100</v>
      </c>
      <c r="C848" s="4" t="s">
        <v>205</v>
      </c>
      <c r="D848" s="4" t="s">
        <v>206</v>
      </c>
      <c r="E848" s="4" t="n">
        <v>46280.0027777778</v>
      </c>
      <c r="F848" s="4" t="n">
        <v>43</v>
      </c>
      <c r="G848" s="4" t="n">
        <v>43</v>
      </c>
      <c r="H848" s="4" t="n">
        <v>39</v>
      </c>
      <c r="I848" s="4" t="n">
        <v>3</v>
      </c>
      <c r="J848" s="4" t="n">
        <v>0</v>
      </c>
      <c r="K848" s="4" t="n">
        <v>1</v>
      </c>
      <c r="L848" s="11" t="b">
        <f aca="false">FALSE()</f>
        <v>0</v>
      </c>
    </row>
    <row r="849" customFormat="false" ht="15" hidden="false" customHeight="false" outlineLevel="0" collapsed="false">
      <c r="A849" s="4" t="s">
        <v>1054</v>
      </c>
      <c r="B849" s="4" t="s">
        <v>102</v>
      </c>
      <c r="C849" s="4" t="s">
        <v>205</v>
      </c>
      <c r="D849" s="4" t="s">
        <v>206</v>
      </c>
      <c r="E849" s="4" t="n">
        <v>46280.0465625</v>
      </c>
      <c r="F849" s="4" t="n">
        <v>20</v>
      </c>
      <c r="G849" s="4" t="n">
        <v>20</v>
      </c>
      <c r="H849" s="4" t="n">
        <v>17</v>
      </c>
      <c r="I849" s="4" t="n">
        <v>3</v>
      </c>
      <c r="J849" s="4" t="n">
        <v>0</v>
      </c>
      <c r="K849" s="4" t="n">
        <v>0</v>
      </c>
      <c r="L849" s="11" t="b">
        <f aca="false">FALSE()</f>
        <v>0</v>
      </c>
    </row>
    <row r="850" customFormat="false" ht="15" hidden="false" customHeight="false" outlineLevel="0" collapsed="false">
      <c r="A850" s="4" t="s">
        <v>1055</v>
      </c>
      <c r="B850" s="4" t="s">
        <v>101</v>
      </c>
      <c r="C850" s="4" t="s">
        <v>87</v>
      </c>
      <c r="D850" s="4" t="s">
        <v>1056</v>
      </c>
      <c r="E850" s="4" t="n">
        <v>46280.0863078704</v>
      </c>
      <c r="F850" s="4" t="n">
        <v>17</v>
      </c>
      <c r="G850" s="4" t="n">
        <v>0</v>
      </c>
      <c r="H850" s="4" t="n">
        <v>0</v>
      </c>
      <c r="I850" s="4" t="n">
        <v>0</v>
      </c>
      <c r="J850" s="4" t="n">
        <v>0</v>
      </c>
      <c r="K850" s="4" t="n">
        <v>0</v>
      </c>
      <c r="L850" s="11" t="b">
        <f aca="false">TRUE()</f>
        <v>1</v>
      </c>
    </row>
    <row r="851" customFormat="false" ht="15" hidden="false" customHeight="false" outlineLevel="0" collapsed="false">
      <c r="A851" s="4" t="s">
        <v>1057</v>
      </c>
      <c r="B851" s="4" t="s">
        <v>101</v>
      </c>
      <c r="C851" s="4" t="s">
        <v>205</v>
      </c>
      <c r="D851" s="4" t="s">
        <v>1058</v>
      </c>
      <c r="E851" s="4" t="n">
        <v>46280.1122337963</v>
      </c>
      <c r="F851" s="4" t="n">
        <v>17</v>
      </c>
      <c r="G851" s="4" t="n">
        <v>17</v>
      </c>
      <c r="H851" s="4" t="n">
        <v>15</v>
      </c>
      <c r="I851" s="4" t="n">
        <v>2</v>
      </c>
      <c r="J851" s="4" t="n">
        <v>0</v>
      </c>
      <c r="K851" s="4" t="n">
        <v>0</v>
      </c>
      <c r="L851" s="11" t="b">
        <f aca="false">TRUE()</f>
        <v>1</v>
      </c>
    </row>
    <row r="852" customFormat="false" ht="15" hidden="false" customHeight="false" outlineLevel="0" collapsed="false">
      <c r="A852" s="4" t="s">
        <v>1059</v>
      </c>
      <c r="B852" s="4" t="s">
        <v>103</v>
      </c>
      <c r="C852" s="4" t="s">
        <v>205</v>
      </c>
      <c r="D852" s="4" t="s">
        <v>206</v>
      </c>
      <c r="E852" s="4" t="n">
        <v>46280.1324652778</v>
      </c>
      <c r="F852" s="4" t="n">
        <v>14</v>
      </c>
      <c r="G852" s="4" t="n">
        <v>14</v>
      </c>
      <c r="H852" s="4" t="n">
        <v>11</v>
      </c>
      <c r="I852" s="4" t="n">
        <v>3</v>
      </c>
      <c r="J852" s="4" t="n">
        <v>0</v>
      </c>
      <c r="K852" s="4" t="n">
        <v>0</v>
      </c>
      <c r="L852" s="11" t="b">
        <f aca="false">FALSE()</f>
        <v>0</v>
      </c>
    </row>
    <row r="853" customFormat="false" ht="15" hidden="false" customHeight="false" outlineLevel="0" collapsed="false">
      <c r="A853" s="4" t="s">
        <v>1060</v>
      </c>
      <c r="B853" s="4" t="s">
        <v>100</v>
      </c>
      <c r="C853" s="4" t="s">
        <v>205</v>
      </c>
      <c r="D853" s="4" t="s">
        <v>206</v>
      </c>
      <c r="E853" s="4" t="n">
        <v>46280.1704513889</v>
      </c>
      <c r="F853" s="4" t="n">
        <v>17</v>
      </c>
      <c r="G853" s="4" t="n">
        <v>17</v>
      </c>
      <c r="H853" s="4" t="n">
        <v>12</v>
      </c>
      <c r="I853" s="4" t="n">
        <v>3</v>
      </c>
      <c r="J853" s="4" t="n">
        <v>1</v>
      </c>
      <c r="K853" s="4" t="n">
        <v>1</v>
      </c>
      <c r="L853" s="11" t="b">
        <f aca="false">FALSE()</f>
        <v>0</v>
      </c>
    </row>
    <row r="854" customFormat="false" ht="15" hidden="false" customHeight="false" outlineLevel="0" collapsed="false">
      <c r="A854" s="4" t="s">
        <v>1061</v>
      </c>
      <c r="B854" s="4" t="s">
        <v>99</v>
      </c>
      <c r="C854" s="4" t="s">
        <v>205</v>
      </c>
      <c r="D854" s="4" t="s">
        <v>206</v>
      </c>
      <c r="E854" s="4" t="n">
        <v>46280.2144791667</v>
      </c>
      <c r="F854" s="4" t="n">
        <v>36</v>
      </c>
      <c r="G854" s="4" t="n">
        <v>36</v>
      </c>
      <c r="H854" s="4" t="n">
        <v>33</v>
      </c>
      <c r="I854" s="4" t="n">
        <v>3</v>
      </c>
      <c r="J854" s="4" t="n">
        <v>0</v>
      </c>
      <c r="K854" s="4" t="n">
        <v>0</v>
      </c>
      <c r="L854" s="11" t="b">
        <f aca="false">FALSE()</f>
        <v>0</v>
      </c>
    </row>
    <row r="855" customFormat="false" ht="15" hidden="false" customHeight="false" outlineLevel="0" collapsed="false">
      <c r="A855" s="4" t="s">
        <v>1062</v>
      </c>
      <c r="B855" s="4" t="s">
        <v>101</v>
      </c>
      <c r="C855" s="4" t="s">
        <v>205</v>
      </c>
      <c r="D855" s="4" t="s">
        <v>206</v>
      </c>
      <c r="E855" s="4" t="n">
        <v>46280.2531712963</v>
      </c>
      <c r="F855" s="4" t="n">
        <v>12</v>
      </c>
      <c r="G855" s="4" t="n">
        <v>12</v>
      </c>
      <c r="H855" s="4" t="n">
        <v>9</v>
      </c>
      <c r="I855" s="4" t="n">
        <v>2</v>
      </c>
      <c r="J855" s="4" t="n">
        <v>1</v>
      </c>
      <c r="K855" s="4" t="n">
        <v>0</v>
      </c>
      <c r="L855" s="11" t="b">
        <f aca="false">FALSE()</f>
        <v>0</v>
      </c>
    </row>
    <row r="856" customFormat="false" ht="15" hidden="false" customHeight="false" outlineLevel="0" collapsed="false">
      <c r="A856" s="4" t="s">
        <v>1063</v>
      </c>
      <c r="B856" s="4" t="s">
        <v>104</v>
      </c>
      <c r="C856" s="4" t="s">
        <v>205</v>
      </c>
      <c r="D856" s="4" t="s">
        <v>206</v>
      </c>
      <c r="E856" s="4" t="n">
        <v>46280.2571990741</v>
      </c>
      <c r="F856" s="4" t="n">
        <v>13</v>
      </c>
      <c r="G856" s="4" t="n">
        <v>13</v>
      </c>
      <c r="H856" s="4" t="n">
        <v>11</v>
      </c>
      <c r="I856" s="4" t="n">
        <v>2</v>
      </c>
      <c r="J856" s="4" t="n">
        <v>0</v>
      </c>
      <c r="K856" s="4" t="n">
        <v>0</v>
      </c>
      <c r="L856" s="11" t="b">
        <f aca="false">FALSE()</f>
        <v>0</v>
      </c>
    </row>
    <row r="857" customFormat="false" ht="15" hidden="false" customHeight="false" outlineLevel="0" collapsed="false">
      <c r="A857" s="4" t="s">
        <v>1064</v>
      </c>
      <c r="B857" s="4" t="s">
        <v>102</v>
      </c>
      <c r="C857" s="4" t="s">
        <v>205</v>
      </c>
      <c r="D857" s="4" t="s">
        <v>206</v>
      </c>
      <c r="E857" s="4" t="n">
        <v>46280.2964467593</v>
      </c>
      <c r="F857" s="4" t="n">
        <v>8</v>
      </c>
      <c r="G857" s="4" t="n">
        <v>8</v>
      </c>
      <c r="H857" s="4" t="n">
        <v>7</v>
      </c>
      <c r="I857" s="4" t="n">
        <v>1</v>
      </c>
      <c r="J857" s="4" t="n">
        <v>0</v>
      </c>
      <c r="K857" s="4" t="n">
        <v>0</v>
      </c>
      <c r="L857" s="11" t="b">
        <f aca="false">FALSE()</f>
        <v>0</v>
      </c>
    </row>
    <row r="858" customFormat="false" ht="15" hidden="false" customHeight="false" outlineLevel="0" collapsed="false">
      <c r="A858" s="4" t="s">
        <v>1065</v>
      </c>
      <c r="B858" s="4" t="s">
        <v>100</v>
      </c>
      <c r="C858" s="4" t="s">
        <v>205</v>
      </c>
      <c r="D858" s="4" t="s">
        <v>206</v>
      </c>
      <c r="E858" s="4" t="n">
        <v>46280.3358101852</v>
      </c>
      <c r="F858" s="4" t="n">
        <v>36</v>
      </c>
      <c r="G858" s="4" t="n">
        <v>36</v>
      </c>
      <c r="H858" s="4" t="n">
        <v>33</v>
      </c>
      <c r="I858" s="4" t="n">
        <v>1</v>
      </c>
      <c r="J858" s="4" t="n">
        <v>2</v>
      </c>
      <c r="K858" s="4" t="n">
        <v>0</v>
      </c>
      <c r="L858" s="11" t="b">
        <f aca="false">FALSE()</f>
        <v>0</v>
      </c>
    </row>
    <row r="859" customFormat="false" ht="15" hidden="false" customHeight="false" outlineLevel="0" collapsed="false">
      <c r="A859" s="4" t="s">
        <v>1066</v>
      </c>
      <c r="B859" s="4" t="s">
        <v>103</v>
      </c>
      <c r="C859" s="4" t="s">
        <v>205</v>
      </c>
      <c r="D859" s="4" t="s">
        <v>206</v>
      </c>
      <c r="E859" s="4" t="n">
        <v>46280.3808912037</v>
      </c>
      <c r="F859" s="4" t="n">
        <v>14</v>
      </c>
      <c r="G859" s="4" t="n">
        <v>14</v>
      </c>
      <c r="H859" s="4" t="n">
        <v>13</v>
      </c>
      <c r="I859" s="4" t="n">
        <v>1</v>
      </c>
      <c r="J859" s="4" t="n">
        <v>0</v>
      </c>
      <c r="K859" s="4" t="n">
        <v>0</v>
      </c>
      <c r="L859" s="11" t="b">
        <f aca="false">FALSE()</f>
        <v>0</v>
      </c>
    </row>
    <row r="860" customFormat="false" ht="15" hidden="false" customHeight="false" outlineLevel="0" collapsed="false">
      <c r="A860" s="4" t="s">
        <v>1067</v>
      </c>
      <c r="B860" s="4" t="s">
        <v>101</v>
      </c>
      <c r="C860" s="4" t="s">
        <v>205</v>
      </c>
      <c r="D860" s="4" t="s">
        <v>206</v>
      </c>
      <c r="E860" s="4" t="n">
        <v>46280.4207060185</v>
      </c>
      <c r="F860" s="4" t="n">
        <v>36</v>
      </c>
      <c r="G860" s="4" t="n">
        <v>36</v>
      </c>
      <c r="H860" s="4" t="n">
        <v>34</v>
      </c>
      <c r="I860" s="4" t="n">
        <v>2</v>
      </c>
      <c r="J860" s="4" t="n">
        <v>0</v>
      </c>
      <c r="K860" s="4" t="n">
        <v>0</v>
      </c>
      <c r="L860" s="11" t="b">
        <f aca="false">FALSE()</f>
        <v>0</v>
      </c>
    </row>
    <row r="861" customFormat="false" ht="15" hidden="false" customHeight="false" outlineLevel="0" collapsed="false">
      <c r="A861" s="4" t="s">
        <v>1068</v>
      </c>
      <c r="B861" s="4" t="s">
        <v>100</v>
      </c>
      <c r="C861" s="4" t="s">
        <v>205</v>
      </c>
      <c r="D861" s="4" t="s">
        <v>206</v>
      </c>
      <c r="E861" s="4" t="n">
        <v>46280.5026041667</v>
      </c>
      <c r="F861" s="4" t="n">
        <v>74</v>
      </c>
      <c r="G861" s="4" t="n">
        <v>74</v>
      </c>
      <c r="H861" s="4" t="n">
        <v>68</v>
      </c>
      <c r="I861" s="4" t="n">
        <v>3</v>
      </c>
      <c r="J861" s="4" t="n">
        <v>3</v>
      </c>
      <c r="K861" s="4" t="n">
        <v>0</v>
      </c>
      <c r="L861" s="11" t="b">
        <f aca="false">FALSE()</f>
        <v>0</v>
      </c>
    </row>
    <row r="862" customFormat="false" ht="15" hidden="false" customHeight="false" outlineLevel="0" collapsed="false">
      <c r="A862" s="4" t="s">
        <v>1069</v>
      </c>
      <c r="B862" s="4" t="s">
        <v>102</v>
      </c>
      <c r="C862" s="4" t="s">
        <v>205</v>
      </c>
      <c r="D862" s="4" t="s">
        <v>206</v>
      </c>
      <c r="E862" s="4" t="n">
        <v>46280.5455208333</v>
      </c>
      <c r="F862" s="4" t="n">
        <v>26</v>
      </c>
      <c r="G862" s="4" t="n">
        <v>26</v>
      </c>
      <c r="H862" s="4" t="n">
        <v>25</v>
      </c>
      <c r="I862" s="4" t="n">
        <v>1</v>
      </c>
      <c r="J862" s="4" t="n">
        <v>0</v>
      </c>
      <c r="K862" s="4" t="n">
        <v>0</v>
      </c>
      <c r="L862" s="11" t="b">
        <f aca="false">FALSE()</f>
        <v>0</v>
      </c>
    </row>
    <row r="863" customFormat="false" ht="15" hidden="false" customHeight="false" outlineLevel="0" collapsed="false">
      <c r="A863" s="4" t="s">
        <v>1070</v>
      </c>
      <c r="B863" s="4" t="s">
        <v>101</v>
      </c>
      <c r="C863" s="4" t="s">
        <v>205</v>
      </c>
      <c r="D863" s="4" t="s">
        <v>206</v>
      </c>
      <c r="E863" s="4" t="n">
        <v>46280.5869328704</v>
      </c>
      <c r="F863" s="4" t="n">
        <v>50</v>
      </c>
      <c r="G863" s="4" t="n">
        <v>50</v>
      </c>
      <c r="H863" s="4" t="n">
        <v>49</v>
      </c>
      <c r="I863" s="4" t="n">
        <v>0</v>
      </c>
      <c r="J863" s="4" t="n">
        <v>1</v>
      </c>
      <c r="K863" s="4" t="n">
        <v>0</v>
      </c>
      <c r="L863" s="11" t="b">
        <f aca="false">FALSE()</f>
        <v>0</v>
      </c>
    </row>
    <row r="864" customFormat="false" ht="15" hidden="false" customHeight="false" outlineLevel="0" collapsed="false">
      <c r="A864" s="4" t="s">
        <v>1071</v>
      </c>
      <c r="B864" s="4" t="s">
        <v>103</v>
      </c>
      <c r="C864" s="4" t="s">
        <v>205</v>
      </c>
      <c r="D864" s="4" t="s">
        <v>206</v>
      </c>
      <c r="E864" s="4" t="n">
        <v>46280.6291666667</v>
      </c>
      <c r="F864" s="4" t="n">
        <v>33</v>
      </c>
      <c r="G864" s="4" t="n">
        <v>33</v>
      </c>
      <c r="H864" s="4" t="n">
        <v>29</v>
      </c>
      <c r="I864" s="4" t="n">
        <v>2</v>
      </c>
      <c r="J864" s="4" t="n">
        <v>2</v>
      </c>
      <c r="K864" s="4" t="n">
        <v>0</v>
      </c>
      <c r="L864" s="11" t="b">
        <f aca="false">FALSE()</f>
        <v>0</v>
      </c>
    </row>
    <row r="865" customFormat="false" ht="15" hidden="false" customHeight="false" outlineLevel="0" collapsed="false">
      <c r="A865" s="4" t="s">
        <v>1072</v>
      </c>
      <c r="B865" s="4" t="s">
        <v>100</v>
      </c>
      <c r="C865" s="4" t="s">
        <v>205</v>
      </c>
      <c r="D865" s="4" t="s">
        <v>206</v>
      </c>
      <c r="E865" s="4" t="n">
        <v>46280.6697453704</v>
      </c>
      <c r="F865" s="4" t="n">
        <v>79</v>
      </c>
      <c r="G865" s="4" t="n">
        <v>79</v>
      </c>
      <c r="H865" s="4" t="n">
        <v>77</v>
      </c>
      <c r="I865" s="4" t="n">
        <v>1</v>
      </c>
      <c r="J865" s="4" t="n">
        <v>1</v>
      </c>
      <c r="K865" s="4" t="n">
        <v>0</v>
      </c>
      <c r="L865" s="11" t="b">
        <f aca="false">FALSE()</f>
        <v>0</v>
      </c>
    </row>
    <row r="866" customFormat="false" ht="15" hidden="false" customHeight="false" outlineLevel="0" collapsed="false">
      <c r="A866" s="4" t="s">
        <v>1073</v>
      </c>
      <c r="B866" s="4" t="s">
        <v>101</v>
      </c>
      <c r="C866" s="4" t="s">
        <v>205</v>
      </c>
      <c r="D866" s="4" t="s">
        <v>206</v>
      </c>
      <c r="E866" s="4" t="n">
        <v>46280.7544097222</v>
      </c>
      <c r="F866" s="4" t="n">
        <v>49</v>
      </c>
      <c r="G866" s="4" t="n">
        <v>49</v>
      </c>
      <c r="H866" s="4" t="n">
        <v>47</v>
      </c>
      <c r="I866" s="4" t="n">
        <v>2</v>
      </c>
      <c r="J866" s="4" t="n">
        <v>0</v>
      </c>
      <c r="K866" s="4" t="n">
        <v>0</v>
      </c>
      <c r="L866" s="11" t="b">
        <f aca="false">TRUE()</f>
        <v>1</v>
      </c>
    </row>
    <row r="867" customFormat="false" ht="15" hidden="false" customHeight="false" outlineLevel="0" collapsed="false">
      <c r="A867" s="4" t="s">
        <v>1074</v>
      </c>
      <c r="B867" s="4" t="s">
        <v>104</v>
      </c>
      <c r="C867" s="4" t="s">
        <v>205</v>
      </c>
      <c r="D867" s="4" t="s">
        <v>206</v>
      </c>
      <c r="E867" s="4" t="n">
        <v>46280.7571759259</v>
      </c>
      <c r="F867" s="4" t="n">
        <v>21</v>
      </c>
      <c r="G867" s="4" t="n">
        <v>21</v>
      </c>
      <c r="H867" s="4" t="n">
        <v>21</v>
      </c>
      <c r="I867" s="4" t="n">
        <v>0</v>
      </c>
      <c r="J867" s="4" t="n">
        <v>0</v>
      </c>
      <c r="K867" s="4" t="n">
        <v>0</v>
      </c>
      <c r="L867" s="11" t="b">
        <f aca="false">FALSE()</f>
        <v>0</v>
      </c>
    </row>
    <row r="868" customFormat="false" ht="15" hidden="false" customHeight="false" outlineLevel="0" collapsed="false">
      <c r="A868" s="4" t="s">
        <v>1075</v>
      </c>
      <c r="B868" s="4" t="s">
        <v>102</v>
      </c>
      <c r="C868" s="4" t="s">
        <v>205</v>
      </c>
      <c r="D868" s="4" t="s">
        <v>206</v>
      </c>
      <c r="E868" s="4" t="n">
        <v>46280.7963773148</v>
      </c>
      <c r="F868" s="4" t="n">
        <v>28</v>
      </c>
      <c r="G868" s="4" t="n">
        <v>28</v>
      </c>
      <c r="H868" s="4" t="n">
        <v>25</v>
      </c>
      <c r="I868" s="4" t="n">
        <v>2</v>
      </c>
      <c r="J868" s="4" t="n">
        <v>1</v>
      </c>
      <c r="K868" s="4" t="n">
        <v>0</v>
      </c>
      <c r="L868" s="11" t="b">
        <f aca="false">FALSE()</f>
        <v>0</v>
      </c>
    </row>
    <row r="869" customFormat="false" ht="15" hidden="false" customHeight="false" outlineLevel="0" collapsed="false">
      <c r="A869" s="4" t="s">
        <v>1076</v>
      </c>
      <c r="B869" s="4" t="s">
        <v>100</v>
      </c>
      <c r="C869" s="4" t="s">
        <v>205</v>
      </c>
      <c r="D869" s="4" t="s">
        <v>206</v>
      </c>
      <c r="E869" s="4" t="n">
        <v>46280.8365393519</v>
      </c>
      <c r="F869" s="4" t="n">
        <v>70</v>
      </c>
      <c r="G869" s="4" t="n">
        <v>70</v>
      </c>
      <c r="H869" s="4" t="n">
        <v>67</v>
      </c>
      <c r="I869" s="4" t="n">
        <v>3</v>
      </c>
      <c r="J869" s="4" t="n">
        <v>0</v>
      </c>
      <c r="K869" s="4" t="n">
        <v>0</v>
      </c>
      <c r="L869" s="11" t="b">
        <f aca="false">FALSE()</f>
        <v>0</v>
      </c>
    </row>
    <row r="870" customFormat="false" ht="15" hidden="false" customHeight="false" outlineLevel="0" collapsed="false">
      <c r="A870" s="4" t="s">
        <v>1077</v>
      </c>
      <c r="B870" s="4" t="s">
        <v>103</v>
      </c>
      <c r="C870" s="4" t="s">
        <v>205</v>
      </c>
      <c r="D870" s="4" t="s">
        <v>206</v>
      </c>
      <c r="E870" s="4" t="n">
        <v>46280.8797337963</v>
      </c>
      <c r="F870" s="4" t="n">
        <v>28</v>
      </c>
      <c r="G870" s="4" t="n">
        <v>28</v>
      </c>
      <c r="H870" s="4" t="n">
        <v>23</v>
      </c>
      <c r="I870" s="4" t="n">
        <v>2</v>
      </c>
      <c r="J870" s="4" t="n">
        <v>1</v>
      </c>
      <c r="K870" s="4" t="n">
        <v>2</v>
      </c>
      <c r="L870" s="11" t="b">
        <f aca="false">FALSE()</f>
        <v>0</v>
      </c>
    </row>
    <row r="871" customFormat="false" ht="15" hidden="false" customHeight="false" outlineLevel="0" collapsed="false">
      <c r="A871" s="4" t="s">
        <v>1078</v>
      </c>
      <c r="B871" s="4" t="s">
        <v>101</v>
      </c>
      <c r="C871" s="4" t="s">
        <v>205</v>
      </c>
      <c r="D871" s="4" t="s">
        <v>206</v>
      </c>
      <c r="E871" s="4" t="n">
        <v>46280.9200115741</v>
      </c>
      <c r="F871" s="4" t="n">
        <v>37</v>
      </c>
      <c r="G871" s="4" t="n">
        <v>37</v>
      </c>
      <c r="H871" s="4" t="n">
        <v>36</v>
      </c>
      <c r="I871" s="4" t="n">
        <v>0</v>
      </c>
      <c r="J871" s="4" t="n">
        <v>1</v>
      </c>
      <c r="K871" s="4" t="n">
        <v>0</v>
      </c>
      <c r="L871" s="11" t="b">
        <f aca="false">FALSE()</f>
        <v>0</v>
      </c>
    </row>
    <row r="872" customFormat="false" ht="15" hidden="false" customHeight="false" outlineLevel="0" collapsed="false">
      <c r="A872" s="4" t="s">
        <v>1079</v>
      </c>
      <c r="B872" s="4" t="s">
        <v>100</v>
      </c>
      <c r="C872" s="4" t="s">
        <v>205</v>
      </c>
      <c r="D872" s="4" t="s">
        <v>206</v>
      </c>
      <c r="E872" s="4" t="n">
        <v>46281.0038078704</v>
      </c>
      <c r="F872" s="4" t="n">
        <v>41</v>
      </c>
      <c r="G872" s="4" t="n">
        <v>41</v>
      </c>
      <c r="H872" s="4" t="n">
        <v>38</v>
      </c>
      <c r="I872" s="4" t="n">
        <v>2</v>
      </c>
      <c r="J872" s="4" t="n">
        <v>1</v>
      </c>
      <c r="K872" s="4" t="n">
        <v>0</v>
      </c>
      <c r="L872" s="11" t="b">
        <f aca="false">FALSE()</f>
        <v>0</v>
      </c>
    </row>
    <row r="873" customFormat="false" ht="15" hidden="false" customHeight="false" outlineLevel="0" collapsed="false">
      <c r="A873" s="4" t="s">
        <v>1080</v>
      </c>
      <c r="B873" s="4" t="s">
        <v>102</v>
      </c>
      <c r="C873" s="4" t="s">
        <v>205</v>
      </c>
      <c r="D873" s="4" t="s">
        <v>206</v>
      </c>
      <c r="E873" s="4" t="n">
        <v>46281.0465393519</v>
      </c>
      <c r="F873" s="4" t="n">
        <v>16</v>
      </c>
      <c r="G873" s="4" t="n">
        <v>16</v>
      </c>
      <c r="H873" s="4" t="n">
        <v>15</v>
      </c>
      <c r="I873" s="4" t="n">
        <v>1</v>
      </c>
      <c r="J873" s="4" t="n">
        <v>0</v>
      </c>
      <c r="K873" s="4" t="n">
        <v>0</v>
      </c>
      <c r="L873" s="11" t="b">
        <f aca="false">FALSE()</f>
        <v>0</v>
      </c>
    </row>
    <row r="874" customFormat="false" ht="15" hidden="false" customHeight="false" outlineLevel="0" collapsed="false">
      <c r="A874" s="4" t="s">
        <v>1081</v>
      </c>
      <c r="B874" s="4" t="s">
        <v>104</v>
      </c>
      <c r="C874" s="4" t="s">
        <v>205</v>
      </c>
      <c r="D874" s="4" t="s">
        <v>428</v>
      </c>
      <c r="E874" s="4" t="n">
        <v>46281.0685069444</v>
      </c>
      <c r="F874" s="4" t="n">
        <v>34</v>
      </c>
      <c r="G874" s="4" t="n">
        <v>34</v>
      </c>
      <c r="H874" s="4" t="n">
        <v>32</v>
      </c>
      <c r="I874" s="4" t="n">
        <v>0</v>
      </c>
      <c r="J874" s="4" t="n">
        <v>2</v>
      </c>
      <c r="K874" s="4" t="n">
        <v>0</v>
      </c>
      <c r="L874" s="11" t="b">
        <f aca="false">FALSE()</f>
        <v>0</v>
      </c>
    </row>
    <row r="875" customFormat="false" ht="15" hidden="false" customHeight="false" outlineLevel="0" collapsed="false">
      <c r="A875" s="4" t="s">
        <v>1082</v>
      </c>
      <c r="B875" s="4" t="s">
        <v>101</v>
      </c>
      <c r="C875" s="4" t="s">
        <v>205</v>
      </c>
      <c r="D875" s="4" t="s">
        <v>206</v>
      </c>
      <c r="E875" s="4" t="n">
        <v>46281.0868287037</v>
      </c>
      <c r="F875" s="4" t="n">
        <v>15</v>
      </c>
      <c r="G875" s="4" t="n">
        <v>15</v>
      </c>
      <c r="H875" s="4" t="n">
        <v>14</v>
      </c>
      <c r="I875" s="4" t="n">
        <v>1</v>
      </c>
      <c r="J875" s="4" t="n">
        <v>0</v>
      </c>
      <c r="K875" s="4" t="n">
        <v>0</v>
      </c>
      <c r="L875" s="11" t="b">
        <f aca="false">FALSE()</f>
        <v>0</v>
      </c>
    </row>
    <row r="876" customFormat="false" ht="15" hidden="false" customHeight="false" outlineLevel="0" collapsed="false">
      <c r="A876" s="4" t="s">
        <v>1083</v>
      </c>
      <c r="B876" s="4" t="s">
        <v>103</v>
      </c>
      <c r="C876" s="4" t="s">
        <v>205</v>
      </c>
      <c r="D876" s="4" t="s">
        <v>206</v>
      </c>
      <c r="E876" s="4" t="n">
        <v>46281.1298263889</v>
      </c>
      <c r="F876" s="4" t="n">
        <v>13</v>
      </c>
      <c r="G876" s="4" t="n">
        <v>13</v>
      </c>
      <c r="H876" s="4" t="n">
        <v>9</v>
      </c>
      <c r="I876" s="4" t="n">
        <v>4</v>
      </c>
      <c r="J876" s="4" t="n">
        <v>0</v>
      </c>
      <c r="K876" s="4" t="n">
        <v>0</v>
      </c>
      <c r="L876" s="11" t="b">
        <f aca="false">FALSE()</f>
        <v>0</v>
      </c>
    </row>
    <row r="877" customFormat="false" ht="15" hidden="false" customHeight="false" outlineLevel="0" collapsed="false">
      <c r="A877" s="4" t="s">
        <v>1084</v>
      </c>
      <c r="B877" s="4" t="s">
        <v>100</v>
      </c>
      <c r="C877" s="4" t="s">
        <v>205</v>
      </c>
      <c r="D877" s="4" t="s">
        <v>206</v>
      </c>
      <c r="E877" s="4" t="n">
        <v>46281.1700462963</v>
      </c>
      <c r="F877" s="4" t="n">
        <v>16</v>
      </c>
      <c r="G877" s="4" t="n">
        <v>16</v>
      </c>
      <c r="H877" s="4" t="n">
        <v>13</v>
      </c>
      <c r="I877" s="4" t="n">
        <v>3</v>
      </c>
      <c r="J877" s="4" t="n">
        <v>0</v>
      </c>
      <c r="K877" s="4" t="n">
        <v>0</v>
      </c>
      <c r="L877" s="11" t="b">
        <f aca="false">FALSE()</f>
        <v>0</v>
      </c>
    </row>
    <row r="878" customFormat="false" ht="15" hidden="false" customHeight="false" outlineLevel="0" collapsed="false">
      <c r="A878" s="4" t="s">
        <v>1085</v>
      </c>
      <c r="B878" s="4" t="s">
        <v>99</v>
      </c>
      <c r="C878" s="4" t="s">
        <v>205</v>
      </c>
      <c r="D878" s="4" t="s">
        <v>206</v>
      </c>
      <c r="E878" s="4" t="n">
        <v>46281.2142476852</v>
      </c>
      <c r="F878" s="4" t="n">
        <v>32</v>
      </c>
      <c r="G878" s="4" t="n">
        <v>32</v>
      </c>
      <c r="H878" s="4" t="n">
        <v>30</v>
      </c>
      <c r="I878" s="4" t="n">
        <v>2</v>
      </c>
      <c r="J878" s="4" t="n">
        <v>0</v>
      </c>
      <c r="K878" s="4" t="n">
        <v>0</v>
      </c>
      <c r="L878" s="11" t="b">
        <f aca="false">FALSE()</f>
        <v>0</v>
      </c>
    </row>
    <row r="879" customFormat="false" ht="15" hidden="false" customHeight="false" outlineLevel="0" collapsed="false">
      <c r="A879" s="4" t="s">
        <v>1086</v>
      </c>
      <c r="B879" s="4" t="s">
        <v>101</v>
      </c>
      <c r="C879" s="4" t="s">
        <v>205</v>
      </c>
      <c r="D879" s="4" t="s">
        <v>206</v>
      </c>
      <c r="E879" s="4" t="n">
        <v>46281.2544675926</v>
      </c>
      <c r="F879" s="4" t="n">
        <v>14</v>
      </c>
      <c r="G879" s="4" t="n">
        <v>14</v>
      </c>
      <c r="H879" s="4" t="n">
        <v>11</v>
      </c>
      <c r="I879" s="4" t="n">
        <v>3</v>
      </c>
      <c r="J879" s="4" t="n">
        <v>0</v>
      </c>
      <c r="K879" s="4" t="n">
        <v>0</v>
      </c>
      <c r="L879" s="11" t="b">
        <f aca="false">FALSE()</f>
        <v>0</v>
      </c>
    </row>
    <row r="880" customFormat="false" ht="15" hidden="false" customHeight="false" outlineLevel="0" collapsed="false">
      <c r="A880" s="4" t="s">
        <v>1087</v>
      </c>
      <c r="B880" s="4" t="s">
        <v>104</v>
      </c>
      <c r="C880" s="4" t="s">
        <v>205</v>
      </c>
      <c r="D880" s="4" t="s">
        <v>206</v>
      </c>
      <c r="E880" s="4" t="n">
        <v>46281.2571296296</v>
      </c>
      <c r="F880" s="4" t="n">
        <v>12</v>
      </c>
      <c r="G880" s="4" t="n">
        <v>12</v>
      </c>
      <c r="H880" s="4" t="n">
        <v>8</v>
      </c>
      <c r="I880" s="4" t="n">
        <v>3</v>
      </c>
      <c r="J880" s="4" t="n">
        <v>1</v>
      </c>
      <c r="K880" s="4" t="n">
        <v>0</v>
      </c>
      <c r="L880" s="11" t="b">
        <f aca="false">FALSE()</f>
        <v>0</v>
      </c>
    </row>
    <row r="881" customFormat="false" ht="15" hidden="false" customHeight="false" outlineLevel="0" collapsed="false">
      <c r="A881" s="4" t="s">
        <v>1088</v>
      </c>
      <c r="B881" s="4" t="s">
        <v>102</v>
      </c>
      <c r="C881" s="4" t="s">
        <v>205</v>
      </c>
      <c r="D881" s="4" t="s">
        <v>206</v>
      </c>
      <c r="E881" s="4" t="n">
        <v>46281.2953703704</v>
      </c>
      <c r="F881" s="4" t="n">
        <v>8</v>
      </c>
      <c r="G881" s="4" t="n">
        <v>8</v>
      </c>
      <c r="H881" s="4" t="n">
        <v>7</v>
      </c>
      <c r="I881" s="4" t="n">
        <v>1</v>
      </c>
      <c r="J881" s="4" t="n">
        <v>0</v>
      </c>
      <c r="K881" s="4" t="n">
        <v>0</v>
      </c>
      <c r="L881" s="11" t="b">
        <f aca="false">FALSE()</f>
        <v>0</v>
      </c>
    </row>
    <row r="882" customFormat="false" ht="15" hidden="false" customHeight="false" outlineLevel="0" collapsed="false">
      <c r="A882" s="4" t="s">
        <v>1089</v>
      </c>
      <c r="B882" s="4" t="s">
        <v>100</v>
      </c>
      <c r="C882" s="4" t="s">
        <v>205</v>
      </c>
      <c r="D882" s="4" t="s">
        <v>206</v>
      </c>
      <c r="E882" s="4" t="n">
        <v>46281.3368518519</v>
      </c>
      <c r="F882" s="4" t="n">
        <v>37</v>
      </c>
      <c r="G882" s="4" t="n">
        <v>37</v>
      </c>
      <c r="H882" s="4" t="n">
        <v>32</v>
      </c>
      <c r="I882" s="4" t="n">
        <v>3</v>
      </c>
      <c r="J882" s="4" t="n">
        <v>1</v>
      </c>
      <c r="K882" s="4" t="n">
        <v>1</v>
      </c>
      <c r="L882" s="11" t="b">
        <f aca="false">FALSE()</f>
        <v>0</v>
      </c>
    </row>
    <row r="883" customFormat="false" ht="15" hidden="false" customHeight="false" outlineLevel="0" collapsed="false">
      <c r="A883" s="4" t="s">
        <v>1090</v>
      </c>
      <c r="B883" s="4" t="s">
        <v>103</v>
      </c>
      <c r="C883" s="4" t="s">
        <v>205</v>
      </c>
      <c r="D883" s="4" t="s">
        <v>206</v>
      </c>
      <c r="E883" s="4" t="n">
        <v>46281.379849537</v>
      </c>
      <c r="F883" s="4" t="n">
        <v>14</v>
      </c>
      <c r="G883" s="4" t="n">
        <v>14</v>
      </c>
      <c r="H883" s="4" t="n">
        <v>13</v>
      </c>
      <c r="I883" s="4" t="n">
        <v>1</v>
      </c>
      <c r="J883" s="4" t="n">
        <v>0</v>
      </c>
      <c r="K883" s="4" t="n">
        <v>0</v>
      </c>
      <c r="L883" s="11" t="b">
        <f aca="false">FALSE()</f>
        <v>0</v>
      </c>
    </row>
    <row r="884" customFormat="false" ht="15" hidden="false" customHeight="false" outlineLevel="0" collapsed="false">
      <c r="A884" s="4" t="s">
        <v>1091</v>
      </c>
      <c r="B884" s="4" t="s">
        <v>101</v>
      </c>
      <c r="C884" s="4" t="s">
        <v>205</v>
      </c>
      <c r="D884" s="4" t="s">
        <v>206</v>
      </c>
      <c r="E884" s="4" t="n">
        <v>46281.4211226852</v>
      </c>
      <c r="F884" s="4" t="n">
        <v>37</v>
      </c>
      <c r="G884" s="4" t="n">
        <v>37</v>
      </c>
      <c r="H884" s="4" t="n">
        <v>34</v>
      </c>
      <c r="I884" s="4" t="n">
        <v>3</v>
      </c>
      <c r="J884" s="4" t="n">
        <v>0</v>
      </c>
      <c r="K884" s="4" t="n">
        <v>0</v>
      </c>
      <c r="L884" s="11" t="b">
        <f aca="false">FALSE()</f>
        <v>0</v>
      </c>
    </row>
    <row r="885" customFormat="false" ht="15" hidden="false" customHeight="false" outlineLevel="0" collapsed="false">
      <c r="A885" s="4" t="s">
        <v>1092</v>
      </c>
      <c r="B885" s="4" t="s">
        <v>100</v>
      </c>
      <c r="C885" s="4" t="s">
        <v>205</v>
      </c>
      <c r="D885" s="4" t="s">
        <v>206</v>
      </c>
      <c r="E885" s="4" t="n">
        <v>46281.5024537037</v>
      </c>
      <c r="F885" s="4" t="n">
        <v>75</v>
      </c>
      <c r="G885" s="4" t="n">
        <v>75</v>
      </c>
      <c r="H885" s="4" t="n">
        <v>71</v>
      </c>
      <c r="I885" s="4" t="n">
        <v>3</v>
      </c>
      <c r="J885" s="4" t="n">
        <v>1</v>
      </c>
      <c r="K885" s="4" t="n">
        <v>0</v>
      </c>
      <c r="L885" s="11" t="b">
        <f aca="false">FALSE()</f>
        <v>0</v>
      </c>
    </row>
    <row r="886" customFormat="false" ht="15" hidden="false" customHeight="false" outlineLevel="0" collapsed="false">
      <c r="A886" s="4" t="s">
        <v>1093</v>
      </c>
      <c r="B886" s="4" t="s">
        <v>102</v>
      </c>
      <c r="C886" s="4" t="s">
        <v>205</v>
      </c>
      <c r="D886" s="4" t="s">
        <v>206</v>
      </c>
      <c r="E886" s="4" t="n">
        <v>46281.5468055556</v>
      </c>
      <c r="F886" s="4" t="n">
        <v>29</v>
      </c>
      <c r="G886" s="4" t="n">
        <v>29</v>
      </c>
      <c r="H886" s="4" t="n">
        <v>28</v>
      </c>
      <c r="I886" s="4" t="n">
        <v>1</v>
      </c>
      <c r="J886" s="4" t="n">
        <v>0</v>
      </c>
      <c r="K886" s="4" t="n">
        <v>0</v>
      </c>
      <c r="L886" s="11" t="b">
        <f aca="false">FALSE()</f>
        <v>0</v>
      </c>
    </row>
    <row r="887" customFormat="false" ht="15" hidden="false" customHeight="false" outlineLevel="0" collapsed="false">
      <c r="A887" s="4" t="s">
        <v>1094</v>
      </c>
      <c r="B887" s="4" t="s">
        <v>101</v>
      </c>
      <c r="C887" s="4" t="s">
        <v>205</v>
      </c>
      <c r="D887" s="4" t="s">
        <v>206</v>
      </c>
      <c r="E887" s="4" t="n">
        <v>46281.5864467593</v>
      </c>
      <c r="F887" s="4" t="n">
        <v>51</v>
      </c>
      <c r="G887" s="4" t="n">
        <v>51</v>
      </c>
      <c r="H887" s="4" t="n">
        <v>51</v>
      </c>
      <c r="I887" s="4" t="n">
        <v>0</v>
      </c>
      <c r="J887" s="4" t="n">
        <v>0</v>
      </c>
      <c r="K887" s="4" t="n">
        <v>0</v>
      </c>
      <c r="L887" s="11" t="b">
        <f aca="false">FALSE()</f>
        <v>0</v>
      </c>
    </row>
    <row r="888" customFormat="false" ht="15" hidden="false" customHeight="false" outlineLevel="0" collapsed="false">
      <c r="A888" s="4" t="s">
        <v>1095</v>
      </c>
      <c r="B888" s="4" t="s">
        <v>103</v>
      </c>
      <c r="C888" s="4" t="s">
        <v>205</v>
      </c>
      <c r="D888" s="4" t="s">
        <v>206</v>
      </c>
      <c r="E888" s="4" t="n">
        <v>46281.6298148148</v>
      </c>
      <c r="F888" s="4" t="n">
        <v>31</v>
      </c>
      <c r="G888" s="4" t="n">
        <v>31</v>
      </c>
      <c r="H888" s="4" t="n">
        <v>29</v>
      </c>
      <c r="I888" s="4" t="n">
        <v>2</v>
      </c>
      <c r="J888" s="4" t="n">
        <v>0</v>
      </c>
      <c r="K888" s="4" t="n">
        <v>0</v>
      </c>
      <c r="L888" s="11" t="b">
        <f aca="false">FALSE()</f>
        <v>0</v>
      </c>
    </row>
    <row r="889" customFormat="false" ht="15" hidden="false" customHeight="false" outlineLevel="0" collapsed="false">
      <c r="A889" s="4" t="s">
        <v>1096</v>
      </c>
      <c r="B889" s="4" t="s">
        <v>100</v>
      </c>
      <c r="C889" s="4" t="s">
        <v>205</v>
      </c>
      <c r="D889" s="4" t="s">
        <v>206</v>
      </c>
      <c r="E889" s="4" t="n">
        <v>46281.6690277778</v>
      </c>
      <c r="F889" s="4" t="n">
        <v>80</v>
      </c>
      <c r="G889" s="4" t="n">
        <v>80</v>
      </c>
      <c r="H889" s="4" t="n">
        <v>77</v>
      </c>
      <c r="I889" s="4" t="n">
        <v>0</v>
      </c>
      <c r="J889" s="4" t="n">
        <v>1</v>
      </c>
      <c r="K889" s="4" t="n">
        <v>2</v>
      </c>
      <c r="L889" s="11" t="b">
        <f aca="false">FALSE()</f>
        <v>0</v>
      </c>
    </row>
    <row r="890" customFormat="false" ht="15" hidden="false" customHeight="false" outlineLevel="0" collapsed="false">
      <c r="A890" s="4" t="s">
        <v>1097</v>
      </c>
      <c r="B890" s="4" t="s">
        <v>101</v>
      </c>
      <c r="C890" s="4" t="s">
        <v>205</v>
      </c>
      <c r="D890" s="4" t="s">
        <v>206</v>
      </c>
      <c r="E890" s="4" t="n">
        <v>46281.7528819444</v>
      </c>
      <c r="F890" s="4" t="n">
        <v>48</v>
      </c>
      <c r="G890" s="4" t="n">
        <v>48</v>
      </c>
      <c r="H890" s="4" t="n">
        <v>44</v>
      </c>
      <c r="I890" s="4" t="n">
        <v>3</v>
      </c>
      <c r="J890" s="4" t="n">
        <v>1</v>
      </c>
      <c r="K890" s="4" t="n">
        <v>0</v>
      </c>
      <c r="L890" s="11" t="b">
        <f aca="false">FALSE()</f>
        <v>0</v>
      </c>
    </row>
    <row r="891" customFormat="false" ht="15" hidden="false" customHeight="false" outlineLevel="0" collapsed="false">
      <c r="A891" s="4" t="s">
        <v>1098</v>
      </c>
      <c r="B891" s="4" t="s">
        <v>104</v>
      </c>
      <c r="C891" s="4" t="s">
        <v>205</v>
      </c>
      <c r="D891" s="4" t="s">
        <v>206</v>
      </c>
      <c r="E891" s="4" t="n">
        <v>46281.7557407407</v>
      </c>
      <c r="F891" s="4" t="n">
        <v>22</v>
      </c>
      <c r="G891" s="4" t="n">
        <v>22</v>
      </c>
      <c r="H891" s="4" t="n">
        <v>20</v>
      </c>
      <c r="I891" s="4" t="n">
        <v>2</v>
      </c>
      <c r="J891" s="4" t="n">
        <v>0</v>
      </c>
      <c r="K891" s="4" t="n">
        <v>0</v>
      </c>
      <c r="L891" s="11" t="b">
        <f aca="false">FALSE()</f>
        <v>0</v>
      </c>
    </row>
    <row r="892" customFormat="false" ht="15" hidden="false" customHeight="false" outlineLevel="0" collapsed="false">
      <c r="A892" s="4" t="s">
        <v>1099</v>
      </c>
      <c r="B892" s="4" t="s">
        <v>102</v>
      </c>
      <c r="C892" s="4" t="s">
        <v>205</v>
      </c>
      <c r="D892" s="4" t="s">
        <v>206</v>
      </c>
      <c r="E892" s="4" t="n">
        <v>46281.7965046296</v>
      </c>
      <c r="F892" s="4" t="n">
        <v>28</v>
      </c>
      <c r="G892" s="4" t="n">
        <v>28</v>
      </c>
      <c r="H892" s="4" t="n">
        <v>25</v>
      </c>
      <c r="I892" s="4" t="n">
        <v>3</v>
      </c>
      <c r="J892" s="4" t="n">
        <v>0</v>
      </c>
      <c r="K892" s="4" t="n">
        <v>0</v>
      </c>
      <c r="L892" s="11" t="b">
        <f aca="false">FALSE()</f>
        <v>0</v>
      </c>
    </row>
    <row r="893" customFormat="false" ht="15" hidden="false" customHeight="false" outlineLevel="0" collapsed="false">
      <c r="A893" s="4" t="s">
        <v>1100</v>
      </c>
      <c r="B893" s="4" t="s">
        <v>100</v>
      </c>
      <c r="C893" s="4" t="s">
        <v>205</v>
      </c>
      <c r="D893" s="4" t="s">
        <v>206</v>
      </c>
      <c r="E893" s="4" t="n">
        <v>46281.8363078704</v>
      </c>
      <c r="F893" s="4" t="n">
        <v>74</v>
      </c>
      <c r="G893" s="4" t="n">
        <v>74</v>
      </c>
      <c r="H893" s="4" t="n">
        <v>72</v>
      </c>
      <c r="I893" s="4" t="n">
        <v>2</v>
      </c>
      <c r="J893" s="4" t="n">
        <v>0</v>
      </c>
      <c r="K893" s="4" t="n">
        <v>0</v>
      </c>
      <c r="L893" s="11" t="b">
        <f aca="false">FALSE()</f>
        <v>0</v>
      </c>
    </row>
    <row r="894" customFormat="false" ht="15" hidden="false" customHeight="false" outlineLevel="0" collapsed="false">
      <c r="A894" s="4" t="s">
        <v>1101</v>
      </c>
      <c r="B894" s="4" t="s">
        <v>103</v>
      </c>
      <c r="C894" s="4" t="s">
        <v>205</v>
      </c>
      <c r="D894" s="4" t="s">
        <v>206</v>
      </c>
      <c r="E894" s="4" t="n">
        <v>46281.8797800926</v>
      </c>
      <c r="F894" s="4" t="n">
        <v>23</v>
      </c>
      <c r="G894" s="4" t="n">
        <v>23</v>
      </c>
      <c r="H894" s="4" t="n">
        <v>23</v>
      </c>
      <c r="I894" s="4" t="n">
        <v>0</v>
      </c>
      <c r="J894" s="4" t="n">
        <v>0</v>
      </c>
      <c r="K894" s="4" t="n">
        <v>0</v>
      </c>
      <c r="L894" s="11" t="b">
        <f aca="false">FALSE()</f>
        <v>0</v>
      </c>
    </row>
    <row r="895" customFormat="false" ht="15" hidden="false" customHeight="false" outlineLevel="0" collapsed="false">
      <c r="A895" s="4" t="s">
        <v>1102</v>
      </c>
      <c r="B895" s="4" t="s">
        <v>101</v>
      </c>
      <c r="C895" s="4" t="s">
        <v>205</v>
      </c>
      <c r="D895" s="4" t="s">
        <v>206</v>
      </c>
      <c r="E895" s="4" t="n">
        <v>46281.9195717593</v>
      </c>
      <c r="F895" s="4" t="n">
        <v>42</v>
      </c>
      <c r="G895" s="4" t="n">
        <v>42</v>
      </c>
      <c r="H895" s="4" t="n">
        <v>39</v>
      </c>
      <c r="I895" s="4" t="n">
        <v>2</v>
      </c>
      <c r="J895" s="4" t="n">
        <v>1</v>
      </c>
      <c r="K895" s="4" t="n">
        <v>0</v>
      </c>
      <c r="L895" s="11" t="b">
        <f aca="false">FALSE()</f>
        <v>0</v>
      </c>
    </row>
    <row r="896" customFormat="false" ht="15" hidden="false" customHeight="false" outlineLevel="0" collapsed="false">
      <c r="A896" s="4" t="s">
        <v>1103</v>
      </c>
      <c r="B896" s="4" t="s">
        <v>100</v>
      </c>
      <c r="C896" s="4" t="s">
        <v>205</v>
      </c>
      <c r="D896" s="4" t="s">
        <v>206</v>
      </c>
      <c r="E896" s="4" t="n">
        <v>46282.0027083333</v>
      </c>
      <c r="F896" s="4" t="n">
        <v>41</v>
      </c>
      <c r="G896" s="4" t="n">
        <v>41</v>
      </c>
      <c r="H896" s="4" t="n">
        <v>36</v>
      </c>
      <c r="I896" s="4" t="n">
        <v>3</v>
      </c>
      <c r="J896" s="4" t="n">
        <v>2</v>
      </c>
      <c r="K896" s="4" t="n">
        <v>0</v>
      </c>
      <c r="L896" s="11" t="b">
        <f aca="false">FALSE()</f>
        <v>0</v>
      </c>
    </row>
    <row r="897" customFormat="false" ht="15" hidden="false" customHeight="false" outlineLevel="0" collapsed="false">
      <c r="A897" s="4" t="s">
        <v>1104</v>
      </c>
      <c r="B897" s="4" t="s">
        <v>102</v>
      </c>
      <c r="C897" s="4" t="s">
        <v>205</v>
      </c>
      <c r="D897" s="4" t="s">
        <v>206</v>
      </c>
      <c r="E897" s="4" t="n">
        <v>46282.0456712963</v>
      </c>
      <c r="F897" s="4" t="n">
        <v>16</v>
      </c>
      <c r="G897" s="4" t="n">
        <v>16</v>
      </c>
      <c r="H897" s="4" t="n">
        <v>14</v>
      </c>
      <c r="I897" s="4" t="n">
        <v>2</v>
      </c>
      <c r="J897" s="4" t="n">
        <v>0</v>
      </c>
      <c r="K897" s="4" t="n">
        <v>0</v>
      </c>
      <c r="L897" s="11" t="b">
        <f aca="false">FALSE()</f>
        <v>0</v>
      </c>
    </row>
    <row r="898" customFormat="false" ht="15" hidden="false" customHeight="false" outlineLevel="0" collapsed="false">
      <c r="A898" s="4" t="s">
        <v>1105</v>
      </c>
      <c r="B898" s="4" t="s">
        <v>101</v>
      </c>
      <c r="C898" s="4" t="s">
        <v>205</v>
      </c>
      <c r="D898" s="4" t="s">
        <v>206</v>
      </c>
      <c r="E898" s="4" t="n">
        <v>46282.0866087963</v>
      </c>
      <c r="F898" s="4" t="n">
        <v>16</v>
      </c>
      <c r="G898" s="4" t="n">
        <v>16</v>
      </c>
      <c r="H898" s="4" t="n">
        <v>15</v>
      </c>
      <c r="I898" s="4" t="n">
        <v>0</v>
      </c>
      <c r="J898" s="4" t="n">
        <v>0</v>
      </c>
      <c r="K898" s="4" t="n">
        <v>1</v>
      </c>
      <c r="L898" s="11" t="b">
        <f aca="false">FALSE()</f>
        <v>0</v>
      </c>
    </row>
    <row r="899" customFormat="false" ht="15" hidden="false" customHeight="false" outlineLevel="0" collapsed="false">
      <c r="A899" s="4" t="s">
        <v>1106</v>
      </c>
      <c r="B899" s="4" t="s">
        <v>103</v>
      </c>
      <c r="C899" s="4" t="s">
        <v>205</v>
      </c>
      <c r="D899" s="4" t="s">
        <v>206</v>
      </c>
      <c r="E899" s="4" t="n">
        <v>46282.129212963</v>
      </c>
      <c r="F899" s="4" t="n">
        <v>12</v>
      </c>
      <c r="G899" s="4" t="n">
        <v>12</v>
      </c>
      <c r="H899" s="4" t="n">
        <v>10</v>
      </c>
      <c r="I899" s="4" t="n">
        <v>2</v>
      </c>
      <c r="J899" s="4" t="n">
        <v>0</v>
      </c>
      <c r="K899" s="4" t="n">
        <v>0</v>
      </c>
      <c r="L899" s="11" t="b">
        <f aca="false">FALSE()</f>
        <v>0</v>
      </c>
    </row>
    <row r="900" customFormat="false" ht="15" hidden="false" customHeight="false" outlineLevel="0" collapsed="false">
      <c r="A900" s="4" t="s">
        <v>1107</v>
      </c>
      <c r="B900" s="4" t="s">
        <v>100</v>
      </c>
      <c r="C900" s="4" t="s">
        <v>205</v>
      </c>
      <c r="D900" s="4" t="s">
        <v>206</v>
      </c>
      <c r="E900" s="4" t="n">
        <v>46282.1687962963</v>
      </c>
      <c r="F900" s="4" t="n">
        <v>13</v>
      </c>
      <c r="G900" s="4" t="n">
        <v>13</v>
      </c>
      <c r="H900" s="4" t="n">
        <v>12</v>
      </c>
      <c r="I900" s="4" t="n">
        <v>0</v>
      </c>
      <c r="J900" s="4" t="n">
        <v>1</v>
      </c>
      <c r="K900" s="4" t="n">
        <v>0</v>
      </c>
      <c r="L900" s="11" t="b">
        <f aca="false">FALSE()</f>
        <v>0</v>
      </c>
    </row>
    <row r="901" customFormat="false" ht="15" hidden="false" customHeight="false" outlineLevel="0" collapsed="false">
      <c r="A901" s="4" t="s">
        <v>1108</v>
      </c>
      <c r="B901" s="4" t="s">
        <v>99</v>
      </c>
      <c r="C901" s="4" t="s">
        <v>205</v>
      </c>
      <c r="D901" s="4" t="s">
        <v>206</v>
      </c>
      <c r="E901" s="4" t="n">
        <v>46282.2145833333</v>
      </c>
      <c r="F901" s="4" t="n">
        <v>29</v>
      </c>
      <c r="G901" s="4" t="n">
        <v>29</v>
      </c>
      <c r="H901" s="4" t="n">
        <v>28</v>
      </c>
      <c r="I901" s="4" t="n">
        <v>0</v>
      </c>
      <c r="J901" s="4" t="n">
        <v>1</v>
      </c>
      <c r="K901" s="4" t="n">
        <v>0</v>
      </c>
      <c r="L901" s="11" t="b">
        <f aca="false">TRUE()</f>
        <v>1</v>
      </c>
    </row>
    <row r="902" customFormat="false" ht="15" hidden="false" customHeight="false" outlineLevel="0" collapsed="false">
      <c r="A902" s="4" t="s">
        <v>1109</v>
      </c>
      <c r="B902" s="4" t="s">
        <v>101</v>
      </c>
      <c r="C902" s="4" t="s">
        <v>205</v>
      </c>
      <c r="D902" s="4" t="s">
        <v>206</v>
      </c>
      <c r="E902" s="4" t="n">
        <v>46282.2544791667</v>
      </c>
      <c r="F902" s="4" t="n">
        <v>9</v>
      </c>
      <c r="G902" s="4" t="n">
        <v>9</v>
      </c>
      <c r="H902" s="4" t="n">
        <v>9</v>
      </c>
      <c r="I902" s="4" t="n">
        <v>0</v>
      </c>
      <c r="J902" s="4" t="n">
        <v>0</v>
      </c>
      <c r="K902" s="4" t="n">
        <v>0</v>
      </c>
      <c r="L902" s="11" t="b">
        <f aca="false">FALSE()</f>
        <v>0</v>
      </c>
    </row>
    <row r="903" customFormat="false" ht="15" hidden="false" customHeight="false" outlineLevel="0" collapsed="false">
      <c r="A903" s="4" t="s">
        <v>1110</v>
      </c>
      <c r="B903" s="4" t="s">
        <v>104</v>
      </c>
      <c r="C903" s="4" t="s">
        <v>205</v>
      </c>
      <c r="D903" s="4" t="s">
        <v>206</v>
      </c>
      <c r="E903" s="4" t="n">
        <v>46282.2565856482</v>
      </c>
      <c r="F903" s="4" t="n">
        <v>14</v>
      </c>
      <c r="G903" s="4" t="n">
        <v>14</v>
      </c>
      <c r="H903" s="4" t="n">
        <v>11</v>
      </c>
      <c r="I903" s="4" t="n">
        <v>3</v>
      </c>
      <c r="J903" s="4" t="n">
        <v>0</v>
      </c>
      <c r="K903" s="4" t="n">
        <v>0</v>
      </c>
      <c r="L903" s="11" t="b">
        <f aca="false">FALSE()</f>
        <v>0</v>
      </c>
    </row>
    <row r="904" customFormat="false" ht="15" hidden="false" customHeight="false" outlineLevel="0" collapsed="false">
      <c r="A904" s="4" t="s">
        <v>1111</v>
      </c>
      <c r="B904" s="4" t="s">
        <v>102</v>
      </c>
      <c r="C904" s="4" t="s">
        <v>205</v>
      </c>
      <c r="D904" s="4" t="s">
        <v>206</v>
      </c>
      <c r="E904" s="4" t="n">
        <v>46282.295787037</v>
      </c>
      <c r="F904" s="4" t="n">
        <v>7</v>
      </c>
      <c r="G904" s="4" t="n">
        <v>7</v>
      </c>
      <c r="H904" s="4" t="n">
        <v>7</v>
      </c>
      <c r="I904" s="4" t="n">
        <v>0</v>
      </c>
      <c r="J904" s="4" t="n">
        <v>0</v>
      </c>
      <c r="K904" s="4" t="n">
        <v>0</v>
      </c>
      <c r="L904" s="11" t="b">
        <f aca="false">FALSE()</f>
        <v>0</v>
      </c>
    </row>
    <row r="905" customFormat="false" ht="15" hidden="false" customHeight="false" outlineLevel="0" collapsed="false">
      <c r="A905" s="4" t="s">
        <v>1112</v>
      </c>
      <c r="B905" s="4" t="s">
        <v>100</v>
      </c>
      <c r="C905" s="4" t="s">
        <v>205</v>
      </c>
      <c r="D905" s="4" t="s">
        <v>206</v>
      </c>
      <c r="E905" s="4" t="n">
        <v>46282.3368865741</v>
      </c>
      <c r="F905" s="4" t="n">
        <v>32</v>
      </c>
      <c r="G905" s="4" t="n">
        <v>32</v>
      </c>
      <c r="H905" s="4" t="n">
        <v>27</v>
      </c>
      <c r="I905" s="4" t="n">
        <v>3</v>
      </c>
      <c r="J905" s="4" t="n">
        <v>1</v>
      </c>
      <c r="K905" s="4" t="n">
        <v>1</v>
      </c>
      <c r="L905" s="11" t="b">
        <f aca="false">FALSE()</f>
        <v>0</v>
      </c>
    </row>
    <row r="906" customFormat="false" ht="15" hidden="false" customHeight="false" outlineLevel="0" collapsed="false">
      <c r="A906" s="4" t="s">
        <v>1113</v>
      </c>
      <c r="B906" s="4" t="s">
        <v>103</v>
      </c>
      <c r="C906" s="4" t="s">
        <v>205</v>
      </c>
      <c r="D906" s="4" t="s">
        <v>206</v>
      </c>
      <c r="E906" s="4" t="n">
        <v>46282.3793865741</v>
      </c>
      <c r="F906" s="4" t="n">
        <v>15</v>
      </c>
      <c r="G906" s="4" t="n">
        <v>15</v>
      </c>
      <c r="H906" s="4" t="n">
        <v>14</v>
      </c>
      <c r="I906" s="4" t="n">
        <v>1</v>
      </c>
      <c r="J906" s="4" t="n">
        <v>0</v>
      </c>
      <c r="K906" s="4" t="n">
        <v>0</v>
      </c>
      <c r="L906" s="11" t="b">
        <f aca="false">FALSE()</f>
        <v>0</v>
      </c>
    </row>
    <row r="907" customFormat="false" ht="15" hidden="false" customHeight="false" outlineLevel="0" collapsed="false">
      <c r="A907" s="4" t="s">
        <v>1114</v>
      </c>
      <c r="B907" s="4" t="s">
        <v>101</v>
      </c>
      <c r="C907" s="4" t="s">
        <v>205</v>
      </c>
      <c r="D907" s="4" t="s">
        <v>206</v>
      </c>
      <c r="E907" s="4" t="n">
        <v>46282.4206597222</v>
      </c>
      <c r="F907" s="4" t="n">
        <v>40</v>
      </c>
      <c r="G907" s="4" t="n">
        <v>40</v>
      </c>
      <c r="H907" s="4" t="n">
        <v>36</v>
      </c>
      <c r="I907" s="4" t="n">
        <v>3</v>
      </c>
      <c r="J907" s="4" t="n">
        <v>1</v>
      </c>
      <c r="K907" s="4" t="n">
        <v>0</v>
      </c>
      <c r="L907" s="11" t="b">
        <f aca="false">FALSE()</f>
        <v>0</v>
      </c>
    </row>
    <row r="908" customFormat="false" ht="15" hidden="false" customHeight="false" outlineLevel="0" collapsed="false">
      <c r="A908" s="4" t="s">
        <v>1115</v>
      </c>
      <c r="B908" s="4" t="s">
        <v>100</v>
      </c>
      <c r="C908" s="4" t="s">
        <v>205</v>
      </c>
      <c r="D908" s="4" t="s">
        <v>206</v>
      </c>
      <c r="E908" s="4" t="n">
        <v>46282.5028356482</v>
      </c>
      <c r="F908" s="4" t="n">
        <v>75</v>
      </c>
      <c r="G908" s="4" t="n">
        <v>75</v>
      </c>
      <c r="H908" s="4" t="n">
        <v>69</v>
      </c>
      <c r="I908" s="4" t="n">
        <v>3</v>
      </c>
      <c r="J908" s="4" t="n">
        <v>3</v>
      </c>
      <c r="K908" s="4" t="n">
        <v>0</v>
      </c>
      <c r="L908" s="11" t="b">
        <f aca="false">FALSE()</f>
        <v>0</v>
      </c>
    </row>
    <row r="909" customFormat="false" ht="15" hidden="false" customHeight="false" outlineLevel="0" collapsed="false">
      <c r="A909" s="4" t="s">
        <v>1116</v>
      </c>
      <c r="B909" s="4" t="s">
        <v>102</v>
      </c>
      <c r="C909" s="4" t="s">
        <v>205</v>
      </c>
      <c r="D909" s="4" t="s">
        <v>206</v>
      </c>
      <c r="E909" s="4" t="n">
        <v>46282.5468055556</v>
      </c>
      <c r="F909" s="4" t="n">
        <v>27</v>
      </c>
      <c r="G909" s="4" t="n">
        <v>27</v>
      </c>
      <c r="H909" s="4" t="n">
        <v>25</v>
      </c>
      <c r="I909" s="4" t="n">
        <v>2</v>
      </c>
      <c r="J909" s="4" t="n">
        <v>0</v>
      </c>
      <c r="K909" s="4" t="n">
        <v>0</v>
      </c>
      <c r="L909" s="11" t="b">
        <f aca="false">TRUE()</f>
        <v>1</v>
      </c>
    </row>
    <row r="910" customFormat="false" ht="15" hidden="false" customHeight="false" outlineLevel="0" collapsed="false">
      <c r="A910" s="4" t="s">
        <v>1117</v>
      </c>
      <c r="B910" s="4" t="s">
        <v>101</v>
      </c>
      <c r="C910" s="4" t="s">
        <v>205</v>
      </c>
      <c r="D910" s="4" t="s">
        <v>206</v>
      </c>
      <c r="E910" s="4" t="n">
        <v>46282.5865277778</v>
      </c>
      <c r="F910" s="4" t="n">
        <v>47</v>
      </c>
      <c r="G910" s="4" t="n">
        <v>47</v>
      </c>
      <c r="H910" s="4" t="n">
        <v>46</v>
      </c>
      <c r="I910" s="4" t="n">
        <v>0</v>
      </c>
      <c r="J910" s="4" t="n">
        <v>0</v>
      </c>
      <c r="K910" s="4" t="n">
        <v>1</v>
      </c>
      <c r="L910" s="11" t="b">
        <f aca="false">FALSE()</f>
        <v>0</v>
      </c>
    </row>
    <row r="911" customFormat="false" ht="15" hidden="false" customHeight="false" outlineLevel="0" collapsed="false">
      <c r="A911" s="4" t="s">
        <v>1118</v>
      </c>
      <c r="B911" s="4" t="s">
        <v>103</v>
      </c>
      <c r="C911" s="4" t="s">
        <v>205</v>
      </c>
      <c r="D911" s="4" t="s">
        <v>206</v>
      </c>
      <c r="E911" s="4" t="n">
        <v>46282.6306828704</v>
      </c>
      <c r="F911" s="4" t="n">
        <v>30</v>
      </c>
      <c r="G911" s="4" t="n">
        <v>30</v>
      </c>
      <c r="H911" s="4" t="n">
        <v>30</v>
      </c>
      <c r="I911" s="4" t="n">
        <v>0</v>
      </c>
      <c r="J911" s="4" t="n">
        <v>0</v>
      </c>
      <c r="K911" s="4" t="n">
        <v>0</v>
      </c>
      <c r="L911" s="11" t="b">
        <f aca="false">FALSE()</f>
        <v>0</v>
      </c>
    </row>
    <row r="912" customFormat="false" ht="15" hidden="false" customHeight="false" outlineLevel="0" collapsed="false">
      <c r="A912" s="4" t="s">
        <v>1119</v>
      </c>
      <c r="B912" s="4" t="s">
        <v>100</v>
      </c>
      <c r="C912" s="4" t="s">
        <v>205</v>
      </c>
      <c r="D912" s="4" t="s">
        <v>206</v>
      </c>
      <c r="E912" s="4" t="n">
        <v>46282.669537037</v>
      </c>
      <c r="F912" s="4" t="n">
        <v>80</v>
      </c>
      <c r="G912" s="4" t="n">
        <v>80</v>
      </c>
      <c r="H912" s="4" t="n">
        <v>75</v>
      </c>
      <c r="I912" s="4" t="n">
        <v>3</v>
      </c>
      <c r="J912" s="4" t="n">
        <v>2</v>
      </c>
      <c r="K912" s="4" t="n">
        <v>0</v>
      </c>
      <c r="L912" s="11" t="b">
        <f aca="false">FALSE()</f>
        <v>0</v>
      </c>
    </row>
    <row r="913" customFormat="false" ht="15" hidden="false" customHeight="false" outlineLevel="0" collapsed="false">
      <c r="A913" s="4" t="s">
        <v>1120</v>
      </c>
      <c r="B913" s="4" t="s">
        <v>101</v>
      </c>
      <c r="C913" s="4" t="s">
        <v>205</v>
      </c>
      <c r="D913" s="4" t="s">
        <v>206</v>
      </c>
      <c r="E913" s="4" t="n">
        <v>46282.7531365741</v>
      </c>
      <c r="F913" s="4" t="n">
        <v>52</v>
      </c>
      <c r="G913" s="4" t="n">
        <v>52</v>
      </c>
      <c r="H913" s="4" t="n">
        <v>49</v>
      </c>
      <c r="I913" s="4" t="n">
        <v>2</v>
      </c>
      <c r="J913" s="4" t="n">
        <v>0</v>
      </c>
      <c r="K913" s="4" t="n">
        <v>1</v>
      </c>
      <c r="L913" s="11" t="b">
        <f aca="false">FALSE()</f>
        <v>0</v>
      </c>
    </row>
    <row r="914" customFormat="false" ht="15" hidden="false" customHeight="false" outlineLevel="0" collapsed="false">
      <c r="A914" s="4" t="s">
        <v>1121</v>
      </c>
      <c r="B914" s="4" t="s">
        <v>104</v>
      </c>
      <c r="C914" s="4" t="s">
        <v>205</v>
      </c>
      <c r="D914" s="4" t="s">
        <v>206</v>
      </c>
      <c r="E914" s="4" t="n">
        <v>46282.7561458333</v>
      </c>
      <c r="F914" s="4" t="n">
        <v>23</v>
      </c>
      <c r="G914" s="4" t="n">
        <v>23</v>
      </c>
      <c r="H914" s="4" t="n">
        <v>22</v>
      </c>
      <c r="I914" s="4" t="n">
        <v>1</v>
      </c>
      <c r="J914" s="4" t="n">
        <v>0</v>
      </c>
      <c r="K914" s="4" t="n">
        <v>0</v>
      </c>
      <c r="L914" s="11" t="b">
        <f aca="false">FALSE()</f>
        <v>0</v>
      </c>
    </row>
    <row r="915" customFormat="false" ht="15" hidden="false" customHeight="false" outlineLevel="0" collapsed="false">
      <c r="A915" s="4" t="s">
        <v>1122</v>
      </c>
      <c r="B915" s="4" t="s">
        <v>102</v>
      </c>
      <c r="C915" s="4" t="s">
        <v>205</v>
      </c>
      <c r="D915" s="4" t="s">
        <v>206</v>
      </c>
      <c r="E915" s="4" t="n">
        <v>46282.7955439815</v>
      </c>
      <c r="F915" s="4" t="n">
        <v>28</v>
      </c>
      <c r="G915" s="4" t="n">
        <v>28</v>
      </c>
      <c r="H915" s="4" t="n">
        <v>27</v>
      </c>
      <c r="I915" s="4" t="n">
        <v>1</v>
      </c>
      <c r="J915" s="4" t="n">
        <v>0</v>
      </c>
      <c r="K915" s="4" t="n">
        <v>0</v>
      </c>
      <c r="L915" s="11" t="b">
        <f aca="false">FALSE()</f>
        <v>0</v>
      </c>
    </row>
    <row r="916" customFormat="false" ht="15" hidden="false" customHeight="false" outlineLevel="0" collapsed="false">
      <c r="A916" s="4" t="s">
        <v>1123</v>
      </c>
      <c r="B916" s="4" t="s">
        <v>100</v>
      </c>
      <c r="C916" s="4" t="s">
        <v>205</v>
      </c>
      <c r="D916" s="4" t="s">
        <v>206</v>
      </c>
      <c r="E916" s="4" t="n">
        <v>46282.8354166667</v>
      </c>
      <c r="F916" s="4" t="n">
        <v>65</v>
      </c>
      <c r="G916" s="4" t="n">
        <v>65</v>
      </c>
      <c r="H916" s="4" t="n">
        <v>63</v>
      </c>
      <c r="I916" s="4" t="n">
        <v>1</v>
      </c>
      <c r="J916" s="4" t="n">
        <v>1</v>
      </c>
      <c r="K916" s="4" t="n">
        <v>0</v>
      </c>
      <c r="L916" s="11" t="b">
        <f aca="false">FALSE()</f>
        <v>0</v>
      </c>
    </row>
    <row r="917" customFormat="false" ht="15" hidden="false" customHeight="false" outlineLevel="0" collapsed="false">
      <c r="A917" s="4" t="s">
        <v>1124</v>
      </c>
      <c r="B917" s="4" t="s">
        <v>103</v>
      </c>
      <c r="C917" s="4" t="s">
        <v>205</v>
      </c>
      <c r="D917" s="4" t="s">
        <v>206</v>
      </c>
      <c r="E917" s="4" t="n">
        <v>46282.880474537</v>
      </c>
      <c r="F917" s="4" t="n">
        <v>28</v>
      </c>
      <c r="G917" s="4" t="n">
        <v>28</v>
      </c>
      <c r="H917" s="4" t="n">
        <v>25</v>
      </c>
      <c r="I917" s="4" t="n">
        <v>3</v>
      </c>
      <c r="J917" s="4" t="n">
        <v>0</v>
      </c>
      <c r="K917" s="4" t="n">
        <v>0</v>
      </c>
      <c r="L917" s="11" t="b">
        <f aca="false">FALSE()</f>
        <v>0</v>
      </c>
    </row>
    <row r="918" customFormat="false" ht="15" hidden="false" customHeight="false" outlineLevel="0" collapsed="false">
      <c r="A918" s="4" t="s">
        <v>1125</v>
      </c>
      <c r="B918" s="4" t="s">
        <v>101</v>
      </c>
      <c r="C918" s="4" t="s">
        <v>205</v>
      </c>
      <c r="D918" s="4" t="s">
        <v>206</v>
      </c>
      <c r="E918" s="4" t="n">
        <v>46282.919537037</v>
      </c>
      <c r="F918" s="4" t="n">
        <v>41</v>
      </c>
      <c r="G918" s="4" t="n">
        <v>41</v>
      </c>
      <c r="H918" s="4" t="n">
        <v>40</v>
      </c>
      <c r="I918" s="4" t="n">
        <v>1</v>
      </c>
      <c r="J918" s="4" t="n">
        <v>0</v>
      </c>
      <c r="K918" s="4" t="n">
        <v>0</v>
      </c>
      <c r="L918" s="11" t="b">
        <f aca="false">FALSE()</f>
        <v>0</v>
      </c>
    </row>
    <row r="919" customFormat="false" ht="15" hidden="false" customHeight="false" outlineLevel="0" collapsed="false">
      <c r="A919" s="4" t="s">
        <v>1126</v>
      </c>
      <c r="B919" s="4" t="s">
        <v>100</v>
      </c>
      <c r="C919" s="4" t="s">
        <v>205</v>
      </c>
      <c r="D919" s="4" t="s">
        <v>206</v>
      </c>
      <c r="E919" s="4" t="n">
        <v>46283.003125</v>
      </c>
      <c r="F919" s="4" t="n">
        <v>35</v>
      </c>
      <c r="G919" s="4" t="n">
        <v>35</v>
      </c>
      <c r="H919" s="4" t="n">
        <v>33</v>
      </c>
      <c r="I919" s="4" t="n">
        <v>0</v>
      </c>
      <c r="J919" s="4" t="n">
        <v>1</v>
      </c>
      <c r="K919" s="4" t="n">
        <v>1</v>
      </c>
      <c r="L919" s="11" t="b">
        <f aca="false">FALSE()</f>
        <v>0</v>
      </c>
    </row>
    <row r="920" customFormat="false" ht="15" hidden="false" customHeight="false" outlineLevel="0" collapsed="false">
      <c r="A920" s="4" t="s">
        <v>1127</v>
      </c>
      <c r="B920" s="4" t="s">
        <v>102</v>
      </c>
      <c r="C920" s="4" t="s">
        <v>205</v>
      </c>
      <c r="D920" s="4" t="s">
        <v>206</v>
      </c>
      <c r="E920" s="4" t="n">
        <v>46283.0461226852</v>
      </c>
      <c r="F920" s="4" t="n">
        <v>19</v>
      </c>
      <c r="G920" s="4" t="n">
        <v>19</v>
      </c>
      <c r="H920" s="4" t="n">
        <v>16</v>
      </c>
      <c r="I920" s="4" t="n">
        <v>3</v>
      </c>
      <c r="J920" s="4" t="n">
        <v>0</v>
      </c>
      <c r="K920" s="4" t="n">
        <v>0</v>
      </c>
      <c r="L920" s="11" t="b">
        <f aca="false">FALSE()</f>
        <v>0</v>
      </c>
    </row>
    <row r="921" customFormat="false" ht="15" hidden="false" customHeight="false" outlineLevel="0" collapsed="false">
      <c r="A921" s="4" t="s">
        <v>1128</v>
      </c>
      <c r="B921" s="4" t="s">
        <v>101</v>
      </c>
      <c r="C921" s="4" t="s">
        <v>205</v>
      </c>
      <c r="D921" s="4" t="s">
        <v>206</v>
      </c>
      <c r="E921" s="4" t="n">
        <v>46283.0874884259</v>
      </c>
      <c r="F921" s="4" t="n">
        <v>16</v>
      </c>
      <c r="G921" s="4" t="n">
        <v>16</v>
      </c>
      <c r="H921" s="4" t="n">
        <v>15</v>
      </c>
      <c r="I921" s="4" t="n">
        <v>1</v>
      </c>
      <c r="J921" s="4" t="n">
        <v>0</v>
      </c>
      <c r="K921" s="4" t="n">
        <v>0</v>
      </c>
      <c r="L921" s="11" t="b">
        <f aca="false">FALSE()</f>
        <v>0</v>
      </c>
    </row>
    <row r="922" customFormat="false" ht="15" hidden="false" customHeight="false" outlineLevel="0" collapsed="false">
      <c r="A922" s="4" t="s">
        <v>1129</v>
      </c>
      <c r="B922" s="4" t="s">
        <v>103</v>
      </c>
      <c r="C922" s="4" t="s">
        <v>205</v>
      </c>
      <c r="D922" s="4" t="s">
        <v>206</v>
      </c>
      <c r="E922" s="4" t="n">
        <v>46283.1307060185</v>
      </c>
      <c r="F922" s="4" t="n">
        <v>11</v>
      </c>
      <c r="G922" s="4" t="n">
        <v>11</v>
      </c>
      <c r="H922" s="4" t="n">
        <v>10</v>
      </c>
      <c r="I922" s="4" t="n">
        <v>1</v>
      </c>
      <c r="J922" s="4" t="n">
        <v>0</v>
      </c>
      <c r="K922" s="4" t="n">
        <v>0</v>
      </c>
      <c r="L922" s="11" t="b">
        <f aca="false">FALSE()</f>
        <v>0</v>
      </c>
    </row>
    <row r="923" customFormat="false" ht="15" hidden="false" customHeight="false" outlineLevel="0" collapsed="false">
      <c r="A923" s="4" t="s">
        <v>1130</v>
      </c>
      <c r="B923" s="4" t="s">
        <v>100</v>
      </c>
      <c r="C923" s="4" t="s">
        <v>205</v>
      </c>
      <c r="D923" s="4" t="s">
        <v>206</v>
      </c>
      <c r="E923" s="4" t="n">
        <v>46283.168900463</v>
      </c>
      <c r="F923" s="4" t="n">
        <v>16</v>
      </c>
      <c r="G923" s="4" t="n">
        <v>16</v>
      </c>
      <c r="H923" s="4" t="n">
        <v>13</v>
      </c>
      <c r="I923" s="4" t="n">
        <v>2</v>
      </c>
      <c r="J923" s="4" t="n">
        <v>1</v>
      </c>
      <c r="K923" s="4" t="n">
        <v>0</v>
      </c>
      <c r="L923" s="11" t="b">
        <f aca="false">FALSE()</f>
        <v>0</v>
      </c>
    </row>
    <row r="924" customFormat="false" ht="15" hidden="false" customHeight="false" outlineLevel="0" collapsed="false">
      <c r="A924" s="4" t="s">
        <v>1131</v>
      </c>
      <c r="B924" s="4" t="s">
        <v>99</v>
      </c>
      <c r="C924" s="4" t="s">
        <v>205</v>
      </c>
      <c r="D924" s="4" t="s">
        <v>206</v>
      </c>
      <c r="E924" s="4" t="n">
        <v>46283.2138310185</v>
      </c>
      <c r="F924" s="4" t="n">
        <v>4</v>
      </c>
      <c r="G924" s="4" t="n">
        <v>4</v>
      </c>
      <c r="H924" s="4" t="n">
        <v>2</v>
      </c>
      <c r="I924" s="4" t="n">
        <v>2</v>
      </c>
      <c r="J924" s="4" t="n">
        <v>0</v>
      </c>
      <c r="K924" s="4" t="n">
        <v>0</v>
      </c>
      <c r="L924" s="11" t="b">
        <f aca="false">FALSE()</f>
        <v>0</v>
      </c>
    </row>
    <row r="925" customFormat="false" ht="15" hidden="false" customHeight="false" outlineLevel="0" collapsed="false">
      <c r="A925" s="4" t="s">
        <v>1132</v>
      </c>
      <c r="B925" s="4" t="s">
        <v>101</v>
      </c>
      <c r="C925" s="4" t="s">
        <v>205</v>
      </c>
      <c r="D925" s="4" t="s">
        <v>206</v>
      </c>
      <c r="E925" s="4" t="n">
        <v>46283.2531712963</v>
      </c>
      <c r="F925" s="4" t="n">
        <v>10</v>
      </c>
      <c r="G925" s="4" t="n">
        <v>10</v>
      </c>
      <c r="H925" s="4" t="n">
        <v>8</v>
      </c>
      <c r="I925" s="4" t="n">
        <v>2</v>
      </c>
      <c r="J925" s="4" t="n">
        <v>0</v>
      </c>
      <c r="K925" s="4" t="n">
        <v>0</v>
      </c>
      <c r="L925" s="11" t="b">
        <f aca="false">FALSE()</f>
        <v>0</v>
      </c>
    </row>
    <row r="926" customFormat="false" ht="15" hidden="false" customHeight="false" outlineLevel="0" collapsed="false">
      <c r="A926" s="4" t="s">
        <v>1133</v>
      </c>
      <c r="B926" s="4" t="s">
        <v>104</v>
      </c>
      <c r="C926" s="4" t="s">
        <v>205</v>
      </c>
      <c r="D926" s="4" t="s">
        <v>206</v>
      </c>
      <c r="E926" s="4" t="n">
        <v>46283.2560416667</v>
      </c>
      <c r="F926" s="4" t="n">
        <v>11</v>
      </c>
      <c r="G926" s="4" t="n">
        <v>11</v>
      </c>
      <c r="H926" s="4" t="n">
        <v>9</v>
      </c>
      <c r="I926" s="4" t="n">
        <v>2</v>
      </c>
      <c r="J926" s="4" t="n">
        <v>0</v>
      </c>
      <c r="K926" s="4" t="n">
        <v>0</v>
      </c>
      <c r="L926" s="11" t="b">
        <f aca="false">FALSE()</f>
        <v>0</v>
      </c>
    </row>
    <row r="927" customFormat="false" ht="15" hidden="false" customHeight="false" outlineLevel="0" collapsed="false">
      <c r="A927" s="4" t="s">
        <v>1134</v>
      </c>
      <c r="B927" s="4" t="s">
        <v>102</v>
      </c>
      <c r="C927" s="4" t="s">
        <v>205</v>
      </c>
      <c r="D927" s="4" t="s">
        <v>206</v>
      </c>
      <c r="E927" s="4" t="n">
        <v>46283.2954166667</v>
      </c>
      <c r="F927" s="4" t="n">
        <v>7</v>
      </c>
      <c r="G927" s="4" t="n">
        <v>7</v>
      </c>
      <c r="H927" s="4" t="n">
        <v>6</v>
      </c>
      <c r="I927" s="4" t="n">
        <v>1</v>
      </c>
      <c r="J927" s="4" t="n">
        <v>0</v>
      </c>
      <c r="K927" s="4" t="n">
        <v>0</v>
      </c>
      <c r="L927" s="11" t="b">
        <f aca="false">FALSE()</f>
        <v>0</v>
      </c>
    </row>
    <row r="928" customFormat="false" ht="15" hidden="false" customHeight="false" outlineLevel="0" collapsed="false">
      <c r="A928" s="4" t="s">
        <v>1135</v>
      </c>
      <c r="B928" s="4" t="s">
        <v>100</v>
      </c>
      <c r="C928" s="4" t="s">
        <v>205</v>
      </c>
      <c r="D928" s="4" t="s">
        <v>206</v>
      </c>
      <c r="E928" s="4" t="n">
        <v>46283.3358796296</v>
      </c>
      <c r="F928" s="4" t="n">
        <v>34</v>
      </c>
      <c r="G928" s="4" t="n">
        <v>34</v>
      </c>
      <c r="H928" s="4" t="n">
        <v>31</v>
      </c>
      <c r="I928" s="4" t="n">
        <v>3</v>
      </c>
      <c r="J928" s="4" t="n">
        <v>0</v>
      </c>
      <c r="K928" s="4" t="n">
        <v>0</v>
      </c>
      <c r="L928" s="11" t="b">
        <f aca="false">FALSE()</f>
        <v>0</v>
      </c>
    </row>
    <row r="929" customFormat="false" ht="15" hidden="false" customHeight="false" outlineLevel="0" collapsed="false">
      <c r="A929" s="4" t="s">
        <v>1136</v>
      </c>
      <c r="B929" s="4" t="s">
        <v>103</v>
      </c>
      <c r="C929" s="4" t="s">
        <v>205</v>
      </c>
      <c r="D929" s="4" t="s">
        <v>206</v>
      </c>
      <c r="E929" s="4" t="n">
        <v>46283.3802430556</v>
      </c>
      <c r="F929" s="4" t="n">
        <v>12</v>
      </c>
      <c r="G929" s="4" t="n">
        <v>12</v>
      </c>
      <c r="H929" s="4" t="n">
        <v>12</v>
      </c>
      <c r="I929" s="4" t="n">
        <v>0</v>
      </c>
      <c r="J929" s="4" t="n">
        <v>0</v>
      </c>
      <c r="K929" s="4" t="n">
        <v>0</v>
      </c>
      <c r="L929" s="11" t="b">
        <f aca="false">FALSE()</f>
        <v>0</v>
      </c>
    </row>
    <row r="930" customFormat="false" ht="15" hidden="false" customHeight="false" outlineLevel="0" collapsed="false">
      <c r="A930" s="4" t="s">
        <v>1137</v>
      </c>
      <c r="B930" s="4" t="s">
        <v>101</v>
      </c>
      <c r="C930" s="4" t="s">
        <v>205</v>
      </c>
      <c r="D930" s="4" t="s">
        <v>206</v>
      </c>
      <c r="E930" s="4" t="n">
        <v>46283.4194560185</v>
      </c>
      <c r="F930" s="4" t="n">
        <v>36</v>
      </c>
      <c r="G930" s="4" t="n">
        <v>36</v>
      </c>
      <c r="H930" s="4" t="n">
        <v>33</v>
      </c>
      <c r="I930" s="4" t="n">
        <v>1</v>
      </c>
      <c r="J930" s="4" t="n">
        <v>2</v>
      </c>
      <c r="K930" s="4" t="n">
        <v>0</v>
      </c>
      <c r="L930" s="11" t="b">
        <f aca="false">FALSE()</f>
        <v>0</v>
      </c>
    </row>
    <row r="931" customFormat="false" ht="15" hidden="false" customHeight="false" outlineLevel="0" collapsed="false">
      <c r="A931" s="4" t="s">
        <v>1138</v>
      </c>
      <c r="B931" s="4" t="s">
        <v>100</v>
      </c>
      <c r="C931" s="4" t="s">
        <v>205</v>
      </c>
      <c r="D931" s="4" t="s">
        <v>206</v>
      </c>
      <c r="E931" s="4" t="n">
        <v>46283.5031481482</v>
      </c>
      <c r="F931" s="4" t="n">
        <v>77</v>
      </c>
      <c r="G931" s="4" t="n">
        <v>77</v>
      </c>
      <c r="H931" s="4" t="n">
        <v>72</v>
      </c>
      <c r="I931" s="4" t="n">
        <v>3</v>
      </c>
      <c r="J931" s="4" t="n">
        <v>1</v>
      </c>
      <c r="K931" s="4" t="n">
        <v>1</v>
      </c>
      <c r="L931" s="11" t="b">
        <f aca="false">TRUE()</f>
        <v>1</v>
      </c>
    </row>
    <row r="932" customFormat="false" ht="15" hidden="false" customHeight="false" outlineLevel="0" collapsed="false">
      <c r="A932" s="4" t="s">
        <v>1139</v>
      </c>
      <c r="B932" s="4" t="s">
        <v>102</v>
      </c>
      <c r="C932" s="4" t="s">
        <v>205</v>
      </c>
      <c r="D932" s="4" t="s">
        <v>206</v>
      </c>
      <c r="E932" s="4" t="n">
        <v>46283.5451851852</v>
      </c>
      <c r="F932" s="4" t="n">
        <v>28</v>
      </c>
      <c r="G932" s="4" t="n">
        <v>28</v>
      </c>
      <c r="H932" s="4" t="n">
        <v>25</v>
      </c>
      <c r="I932" s="4" t="n">
        <v>3</v>
      </c>
      <c r="J932" s="4" t="n">
        <v>0</v>
      </c>
      <c r="K932" s="4" t="n">
        <v>0</v>
      </c>
      <c r="L932" s="11" t="b">
        <f aca="false">FALSE()</f>
        <v>0</v>
      </c>
    </row>
    <row r="933" customFormat="false" ht="15" hidden="false" customHeight="false" outlineLevel="0" collapsed="false">
      <c r="A933" s="4" t="s">
        <v>1140</v>
      </c>
      <c r="B933" s="4" t="s">
        <v>101</v>
      </c>
      <c r="C933" s="4" t="s">
        <v>205</v>
      </c>
      <c r="D933" s="4" t="s">
        <v>206</v>
      </c>
      <c r="E933" s="4" t="n">
        <v>46283.5867824074</v>
      </c>
      <c r="F933" s="4" t="n">
        <v>51</v>
      </c>
      <c r="G933" s="4" t="n">
        <v>51</v>
      </c>
      <c r="H933" s="4" t="n">
        <v>48</v>
      </c>
      <c r="I933" s="4" t="n">
        <v>1</v>
      </c>
      <c r="J933" s="4" t="n">
        <v>2</v>
      </c>
      <c r="K933" s="4" t="n">
        <v>0</v>
      </c>
      <c r="L933" s="11" t="b">
        <f aca="false">FALSE()</f>
        <v>0</v>
      </c>
    </row>
    <row r="934" customFormat="false" ht="15" hidden="false" customHeight="false" outlineLevel="0" collapsed="false">
      <c r="A934" s="4" t="s">
        <v>1141</v>
      </c>
      <c r="B934" s="4" t="s">
        <v>103</v>
      </c>
      <c r="C934" s="4" t="s">
        <v>205</v>
      </c>
      <c r="D934" s="4" t="s">
        <v>206</v>
      </c>
      <c r="E934" s="4" t="n">
        <v>46283.6295138889</v>
      </c>
      <c r="F934" s="4" t="n">
        <v>30</v>
      </c>
      <c r="G934" s="4" t="n">
        <v>30</v>
      </c>
      <c r="H934" s="4" t="n">
        <v>27</v>
      </c>
      <c r="I934" s="4" t="n">
        <v>2</v>
      </c>
      <c r="J934" s="4" t="n">
        <v>0</v>
      </c>
      <c r="K934" s="4" t="n">
        <v>1</v>
      </c>
      <c r="L934" s="11" t="b">
        <f aca="false">FALSE()</f>
        <v>0</v>
      </c>
    </row>
    <row r="935" customFormat="false" ht="15" hidden="false" customHeight="false" outlineLevel="0" collapsed="false">
      <c r="A935" s="4" t="s">
        <v>1142</v>
      </c>
      <c r="B935" s="4" t="s">
        <v>100</v>
      </c>
      <c r="C935" s="4" t="s">
        <v>205</v>
      </c>
      <c r="D935" s="4" t="s">
        <v>206</v>
      </c>
      <c r="E935" s="4" t="n">
        <v>46283.6690162037</v>
      </c>
      <c r="F935" s="4" t="n">
        <v>88</v>
      </c>
      <c r="G935" s="4" t="n">
        <v>88</v>
      </c>
      <c r="H935" s="4" t="n">
        <v>86</v>
      </c>
      <c r="I935" s="4" t="n">
        <v>2</v>
      </c>
      <c r="J935" s="4" t="n">
        <v>0</v>
      </c>
      <c r="K935" s="4" t="n">
        <v>0</v>
      </c>
      <c r="L935" s="11" t="b">
        <f aca="false">TRUE()</f>
        <v>1</v>
      </c>
    </row>
    <row r="936" customFormat="false" ht="15" hidden="false" customHeight="false" outlineLevel="0" collapsed="false">
      <c r="A936" s="4" t="s">
        <v>1143</v>
      </c>
      <c r="B936" s="4" t="s">
        <v>101</v>
      </c>
      <c r="C936" s="4" t="s">
        <v>205</v>
      </c>
      <c r="D936" s="4" t="s">
        <v>206</v>
      </c>
      <c r="E936" s="4" t="n">
        <v>46283.7528009259</v>
      </c>
      <c r="F936" s="4" t="n">
        <v>47</v>
      </c>
      <c r="G936" s="4" t="n">
        <v>47</v>
      </c>
      <c r="H936" s="4" t="n">
        <v>46</v>
      </c>
      <c r="I936" s="4" t="n">
        <v>1</v>
      </c>
      <c r="J936" s="4" t="n">
        <v>0</v>
      </c>
      <c r="K936" s="4" t="n">
        <v>0</v>
      </c>
      <c r="L936" s="11" t="b">
        <f aca="false">FALSE()</f>
        <v>0</v>
      </c>
    </row>
    <row r="937" customFormat="false" ht="15" hidden="false" customHeight="false" outlineLevel="0" collapsed="false">
      <c r="A937" s="4" t="s">
        <v>1144</v>
      </c>
      <c r="B937" s="4" t="s">
        <v>104</v>
      </c>
      <c r="C937" s="4" t="s">
        <v>205</v>
      </c>
      <c r="D937" s="4" t="s">
        <v>206</v>
      </c>
      <c r="E937" s="4" t="n">
        <v>46283.7566898148</v>
      </c>
      <c r="F937" s="4" t="n">
        <v>23</v>
      </c>
      <c r="G937" s="4" t="n">
        <v>23</v>
      </c>
      <c r="H937" s="4" t="n">
        <v>20</v>
      </c>
      <c r="I937" s="4" t="n">
        <v>3</v>
      </c>
      <c r="J937" s="4" t="n">
        <v>0</v>
      </c>
      <c r="K937" s="4" t="n">
        <v>0</v>
      </c>
      <c r="L937" s="11" t="b">
        <f aca="false">FALSE()</f>
        <v>0</v>
      </c>
    </row>
    <row r="938" customFormat="false" ht="15" hidden="false" customHeight="false" outlineLevel="0" collapsed="false">
      <c r="A938" s="4" t="s">
        <v>1145</v>
      </c>
      <c r="B938" s="4" t="s">
        <v>102</v>
      </c>
      <c r="C938" s="4" t="s">
        <v>205</v>
      </c>
      <c r="D938" s="4" t="s">
        <v>206</v>
      </c>
      <c r="E938" s="4" t="n">
        <v>46283.7957291667</v>
      </c>
      <c r="F938" s="4" t="n">
        <v>26</v>
      </c>
      <c r="G938" s="4" t="n">
        <v>26</v>
      </c>
      <c r="H938" s="4" t="n">
        <v>23</v>
      </c>
      <c r="I938" s="4" t="n">
        <v>2</v>
      </c>
      <c r="J938" s="4" t="n">
        <v>1</v>
      </c>
      <c r="K938" s="4" t="n">
        <v>0</v>
      </c>
      <c r="L938" s="11" t="b">
        <f aca="false">FALSE()</f>
        <v>0</v>
      </c>
    </row>
    <row r="939" customFormat="false" ht="15" hidden="false" customHeight="false" outlineLevel="0" collapsed="false">
      <c r="A939" s="4" t="s">
        <v>1146</v>
      </c>
      <c r="B939" s="4" t="s">
        <v>100</v>
      </c>
      <c r="C939" s="4" t="s">
        <v>205</v>
      </c>
      <c r="D939" s="4" t="s">
        <v>206</v>
      </c>
      <c r="E939" s="4" t="n">
        <v>46283.8367824074</v>
      </c>
      <c r="F939" s="4" t="n">
        <v>73</v>
      </c>
      <c r="G939" s="4" t="n">
        <v>73</v>
      </c>
      <c r="H939" s="4" t="n">
        <v>68</v>
      </c>
      <c r="I939" s="4" t="n">
        <v>2</v>
      </c>
      <c r="J939" s="4" t="n">
        <v>1</v>
      </c>
      <c r="K939" s="4" t="n">
        <v>2</v>
      </c>
      <c r="L939" s="11" t="b">
        <f aca="false">FALSE()</f>
        <v>0</v>
      </c>
    </row>
    <row r="940" customFormat="false" ht="15" hidden="false" customHeight="false" outlineLevel="0" collapsed="false">
      <c r="A940" s="4" t="s">
        <v>1147</v>
      </c>
      <c r="B940" s="4" t="s">
        <v>103</v>
      </c>
      <c r="C940" s="4" t="s">
        <v>205</v>
      </c>
      <c r="D940" s="4" t="s">
        <v>206</v>
      </c>
      <c r="E940" s="4" t="n">
        <v>46283.8817361111</v>
      </c>
      <c r="F940" s="4" t="n">
        <v>26</v>
      </c>
      <c r="G940" s="4" t="n">
        <v>26</v>
      </c>
      <c r="H940" s="4" t="n">
        <v>24</v>
      </c>
      <c r="I940" s="4" t="n">
        <v>2</v>
      </c>
      <c r="J940" s="4" t="n">
        <v>0</v>
      </c>
      <c r="K940" s="4" t="n">
        <v>0</v>
      </c>
      <c r="L940" s="11" t="b">
        <f aca="false">FALSE()</f>
        <v>0</v>
      </c>
    </row>
    <row r="941" customFormat="false" ht="15" hidden="false" customHeight="false" outlineLevel="0" collapsed="false">
      <c r="A941" s="4" t="s">
        <v>1148</v>
      </c>
      <c r="B941" s="4" t="s">
        <v>101</v>
      </c>
      <c r="C941" s="4" t="s">
        <v>205</v>
      </c>
      <c r="D941" s="4" t="s">
        <v>206</v>
      </c>
      <c r="E941" s="4" t="n">
        <v>46283.9196990741</v>
      </c>
      <c r="F941" s="4" t="n">
        <v>36</v>
      </c>
      <c r="G941" s="4" t="n">
        <v>36</v>
      </c>
      <c r="H941" s="4" t="n">
        <v>33</v>
      </c>
      <c r="I941" s="4" t="n">
        <v>2</v>
      </c>
      <c r="J941" s="4" t="n">
        <v>1</v>
      </c>
      <c r="K941" s="4" t="n">
        <v>0</v>
      </c>
      <c r="L941" s="11" t="b">
        <f aca="false">FALSE()</f>
        <v>0</v>
      </c>
    </row>
    <row r="942" customFormat="false" ht="15" hidden="false" customHeight="false" outlineLevel="0" collapsed="false">
      <c r="A942" s="4" t="s">
        <v>1149</v>
      </c>
      <c r="B942" s="4" t="s">
        <v>100</v>
      </c>
      <c r="C942" s="4" t="s">
        <v>205</v>
      </c>
      <c r="D942" s="4" t="s">
        <v>206</v>
      </c>
      <c r="E942" s="4" t="n">
        <v>46284.0033564815</v>
      </c>
      <c r="F942" s="4" t="n">
        <v>43</v>
      </c>
      <c r="G942" s="4" t="n">
        <v>43</v>
      </c>
      <c r="H942" s="4" t="n">
        <v>40</v>
      </c>
      <c r="I942" s="4" t="n">
        <v>3</v>
      </c>
      <c r="J942" s="4" t="n">
        <v>0</v>
      </c>
      <c r="K942" s="4" t="n">
        <v>0</v>
      </c>
      <c r="L942" s="11" t="b">
        <f aca="false">FALSE()</f>
        <v>0</v>
      </c>
    </row>
    <row r="943" customFormat="false" ht="15" hidden="false" customHeight="false" outlineLevel="0" collapsed="false">
      <c r="A943" s="4" t="s">
        <v>1150</v>
      </c>
      <c r="B943" s="4" t="s">
        <v>102</v>
      </c>
      <c r="C943" s="4" t="s">
        <v>205</v>
      </c>
      <c r="D943" s="4" t="s">
        <v>206</v>
      </c>
      <c r="E943" s="4" t="n">
        <v>46284.0451736111</v>
      </c>
      <c r="F943" s="4" t="n">
        <v>17</v>
      </c>
      <c r="G943" s="4" t="n">
        <v>17</v>
      </c>
      <c r="H943" s="4" t="n">
        <v>16</v>
      </c>
      <c r="I943" s="4" t="n">
        <v>1</v>
      </c>
      <c r="J943" s="4" t="n">
        <v>0</v>
      </c>
      <c r="K943" s="4" t="n">
        <v>0</v>
      </c>
      <c r="L943" s="11" t="b">
        <f aca="false">FALSE()</f>
        <v>0</v>
      </c>
    </row>
    <row r="944" customFormat="false" ht="15" hidden="false" customHeight="false" outlineLevel="0" collapsed="false">
      <c r="A944" s="4" t="s">
        <v>1151</v>
      </c>
      <c r="B944" s="4" t="s">
        <v>101</v>
      </c>
      <c r="C944" s="4" t="s">
        <v>205</v>
      </c>
      <c r="D944" s="4" t="s">
        <v>206</v>
      </c>
      <c r="E944" s="4" t="n">
        <v>46284.087337963</v>
      </c>
      <c r="F944" s="4" t="n">
        <v>14</v>
      </c>
      <c r="G944" s="4" t="n">
        <v>14</v>
      </c>
      <c r="H944" s="4" t="n">
        <v>13</v>
      </c>
      <c r="I944" s="4" t="n">
        <v>1</v>
      </c>
      <c r="J944" s="4" t="n">
        <v>0</v>
      </c>
      <c r="K944" s="4" t="n">
        <v>0</v>
      </c>
      <c r="L944" s="11" t="b">
        <f aca="false">FALSE()</f>
        <v>0</v>
      </c>
    </row>
    <row r="945" customFormat="false" ht="15" hidden="false" customHeight="false" outlineLevel="0" collapsed="false">
      <c r="A945" s="4" t="s">
        <v>1152</v>
      </c>
      <c r="B945" s="4" t="s">
        <v>103</v>
      </c>
      <c r="C945" s="4" t="s">
        <v>205</v>
      </c>
      <c r="D945" s="4" t="s">
        <v>206</v>
      </c>
      <c r="E945" s="4" t="n">
        <v>46284.1317361111</v>
      </c>
      <c r="F945" s="4" t="n">
        <v>12</v>
      </c>
      <c r="G945" s="4" t="n">
        <v>12</v>
      </c>
      <c r="H945" s="4" t="n">
        <v>9</v>
      </c>
      <c r="I945" s="4" t="n">
        <v>3</v>
      </c>
      <c r="J945" s="4" t="n">
        <v>0</v>
      </c>
      <c r="K945" s="4" t="n">
        <v>0</v>
      </c>
      <c r="L945" s="11" t="b">
        <f aca="false">FALSE()</f>
        <v>0</v>
      </c>
    </row>
    <row r="946" customFormat="false" ht="15" hidden="false" customHeight="false" outlineLevel="0" collapsed="false">
      <c r="A946" s="4" t="s">
        <v>1153</v>
      </c>
      <c r="B946" s="4" t="s">
        <v>100</v>
      </c>
      <c r="C946" s="4" t="s">
        <v>205</v>
      </c>
      <c r="D946" s="4" t="s">
        <v>206</v>
      </c>
      <c r="E946" s="4" t="n">
        <v>46284.1704166667</v>
      </c>
      <c r="F946" s="4" t="n">
        <v>13</v>
      </c>
      <c r="G946" s="4" t="n">
        <v>13</v>
      </c>
      <c r="H946" s="4" t="n">
        <v>13</v>
      </c>
      <c r="I946" s="4" t="n">
        <v>0</v>
      </c>
      <c r="J946" s="4" t="n">
        <v>0</v>
      </c>
      <c r="K946" s="4" t="n">
        <v>0</v>
      </c>
      <c r="L946" s="11" t="b">
        <f aca="false">FALSE()</f>
        <v>0</v>
      </c>
    </row>
    <row r="947" customFormat="false" ht="15" hidden="false" customHeight="false" outlineLevel="0" collapsed="false">
      <c r="A947" s="4" t="s">
        <v>1154</v>
      </c>
      <c r="B947" s="4" t="s">
        <v>99</v>
      </c>
      <c r="C947" s="4" t="s">
        <v>205</v>
      </c>
      <c r="D947" s="4" t="s">
        <v>206</v>
      </c>
      <c r="E947" s="4" t="n">
        <v>46284.2140046296</v>
      </c>
      <c r="F947" s="4" t="n">
        <v>33</v>
      </c>
      <c r="G947" s="4" t="n">
        <v>33</v>
      </c>
      <c r="H947" s="4" t="n">
        <v>30</v>
      </c>
      <c r="I947" s="4" t="n">
        <v>0</v>
      </c>
      <c r="J947" s="4" t="n">
        <v>3</v>
      </c>
      <c r="K947" s="4" t="n">
        <v>0</v>
      </c>
      <c r="L947" s="11" t="b">
        <f aca="false">FALSE()</f>
        <v>0</v>
      </c>
    </row>
    <row r="948" customFormat="false" ht="15" hidden="false" customHeight="false" outlineLevel="0" collapsed="false">
      <c r="A948" s="4" t="s">
        <v>1155</v>
      </c>
      <c r="B948" s="4" t="s">
        <v>101</v>
      </c>
      <c r="C948" s="4" t="s">
        <v>205</v>
      </c>
      <c r="D948" s="4" t="s">
        <v>206</v>
      </c>
      <c r="E948" s="4" t="n">
        <v>46284.2531365741</v>
      </c>
      <c r="F948" s="4" t="n">
        <v>12</v>
      </c>
      <c r="G948" s="4" t="n">
        <v>12</v>
      </c>
      <c r="H948" s="4" t="n">
        <v>9</v>
      </c>
      <c r="I948" s="4" t="n">
        <v>3</v>
      </c>
      <c r="J948" s="4" t="n">
        <v>0</v>
      </c>
      <c r="K948" s="4" t="n">
        <v>0</v>
      </c>
      <c r="L948" s="11" t="b">
        <f aca="false">FALSE()</f>
        <v>0</v>
      </c>
    </row>
    <row r="949" customFormat="false" ht="15" hidden="false" customHeight="false" outlineLevel="0" collapsed="false">
      <c r="A949" s="4" t="s">
        <v>1156</v>
      </c>
      <c r="B949" s="4" t="s">
        <v>104</v>
      </c>
      <c r="C949" s="4" t="s">
        <v>205</v>
      </c>
      <c r="D949" s="4" t="s">
        <v>206</v>
      </c>
      <c r="E949" s="4" t="n">
        <v>46284.2557986111</v>
      </c>
      <c r="F949" s="4" t="n">
        <v>13</v>
      </c>
      <c r="G949" s="4" t="n">
        <v>13</v>
      </c>
      <c r="H949" s="4" t="n">
        <v>11</v>
      </c>
      <c r="I949" s="4" t="n">
        <v>2</v>
      </c>
      <c r="J949" s="4" t="n">
        <v>0</v>
      </c>
      <c r="K949" s="4" t="n">
        <v>0</v>
      </c>
      <c r="L949" s="11" t="b">
        <f aca="false">FALSE()</f>
        <v>0</v>
      </c>
    </row>
    <row r="950" customFormat="false" ht="15" hidden="false" customHeight="false" outlineLevel="0" collapsed="false">
      <c r="A950" s="4" t="s">
        <v>1157</v>
      </c>
      <c r="B950" s="4" t="s">
        <v>102</v>
      </c>
      <c r="C950" s="4" t="s">
        <v>205</v>
      </c>
      <c r="D950" s="4" t="s">
        <v>206</v>
      </c>
      <c r="E950" s="4" t="n">
        <v>46284.2964814815</v>
      </c>
      <c r="F950" s="4" t="n">
        <v>6</v>
      </c>
      <c r="G950" s="4" t="n">
        <v>6</v>
      </c>
      <c r="H950" s="4" t="n">
        <v>5</v>
      </c>
      <c r="I950" s="4" t="n">
        <v>1</v>
      </c>
      <c r="J950" s="4" t="n">
        <v>0</v>
      </c>
      <c r="K950" s="4" t="n">
        <v>0</v>
      </c>
      <c r="L950" s="11" t="b">
        <f aca="false">FALSE()</f>
        <v>0</v>
      </c>
    </row>
    <row r="951" customFormat="false" ht="15" hidden="false" customHeight="false" outlineLevel="0" collapsed="false">
      <c r="A951" s="4" t="s">
        <v>1158</v>
      </c>
      <c r="B951" s="4" t="s">
        <v>100</v>
      </c>
      <c r="C951" s="4" t="s">
        <v>205</v>
      </c>
      <c r="D951" s="4" t="s">
        <v>206</v>
      </c>
      <c r="E951" s="4" t="n">
        <v>46284.3368287037</v>
      </c>
      <c r="F951" s="4" t="n">
        <v>27</v>
      </c>
      <c r="G951" s="4" t="n">
        <v>27</v>
      </c>
      <c r="H951" s="4" t="n">
        <v>24</v>
      </c>
      <c r="I951" s="4" t="n">
        <v>3</v>
      </c>
      <c r="J951" s="4" t="n">
        <v>0</v>
      </c>
      <c r="K951" s="4" t="n">
        <v>0</v>
      </c>
      <c r="L951" s="11" t="b">
        <f aca="false">FALSE()</f>
        <v>0</v>
      </c>
    </row>
    <row r="952" customFormat="false" ht="15" hidden="false" customHeight="false" outlineLevel="0" collapsed="false">
      <c r="A952" s="4" t="s">
        <v>1159</v>
      </c>
      <c r="B952" s="4" t="s">
        <v>103</v>
      </c>
      <c r="C952" s="4" t="s">
        <v>205</v>
      </c>
      <c r="D952" s="4" t="s">
        <v>206</v>
      </c>
      <c r="E952" s="4" t="n">
        <v>46284.3802083333</v>
      </c>
      <c r="F952" s="4" t="n">
        <v>12</v>
      </c>
      <c r="G952" s="4" t="n">
        <v>12</v>
      </c>
      <c r="H952" s="4" t="n">
        <v>12</v>
      </c>
      <c r="I952" s="4" t="n">
        <v>0</v>
      </c>
      <c r="J952" s="4" t="n">
        <v>0</v>
      </c>
      <c r="K952" s="4" t="n">
        <v>0</v>
      </c>
      <c r="L952" s="11" t="b">
        <f aca="false">FALSE()</f>
        <v>0</v>
      </c>
    </row>
    <row r="953" customFormat="false" ht="15" hidden="false" customHeight="false" outlineLevel="0" collapsed="false">
      <c r="A953" s="4" t="s">
        <v>1160</v>
      </c>
      <c r="B953" s="4" t="s">
        <v>101</v>
      </c>
      <c r="C953" s="4" t="s">
        <v>205</v>
      </c>
      <c r="D953" s="4" t="s">
        <v>206</v>
      </c>
      <c r="E953" s="4" t="n">
        <v>46284.4201736111</v>
      </c>
      <c r="F953" s="4" t="n">
        <v>34</v>
      </c>
      <c r="G953" s="4" t="n">
        <v>34</v>
      </c>
      <c r="H953" s="4" t="n">
        <v>29</v>
      </c>
      <c r="I953" s="4" t="n">
        <v>3</v>
      </c>
      <c r="J953" s="4" t="n">
        <v>1</v>
      </c>
      <c r="K953" s="4" t="n">
        <v>1</v>
      </c>
      <c r="L953" s="11" t="b">
        <f aca="false">TRUE()</f>
        <v>1</v>
      </c>
    </row>
    <row r="954" customFormat="false" ht="15" hidden="false" customHeight="false" outlineLevel="0" collapsed="false">
      <c r="A954" s="4" t="s">
        <v>1161</v>
      </c>
      <c r="B954" s="4" t="s">
        <v>100</v>
      </c>
      <c r="C954" s="4" t="s">
        <v>205</v>
      </c>
      <c r="D954" s="4" t="s">
        <v>206</v>
      </c>
      <c r="E954" s="4" t="n">
        <v>46284.5036689815</v>
      </c>
      <c r="F954" s="4" t="n">
        <v>62</v>
      </c>
      <c r="G954" s="4" t="n">
        <v>62</v>
      </c>
      <c r="H954" s="4" t="n">
        <v>61</v>
      </c>
      <c r="I954" s="4" t="n">
        <v>1</v>
      </c>
      <c r="J954" s="4" t="n">
        <v>0</v>
      </c>
      <c r="K954" s="4" t="n">
        <v>0</v>
      </c>
      <c r="L954" s="11" t="b">
        <f aca="false">FALSE()</f>
        <v>0</v>
      </c>
    </row>
    <row r="955" customFormat="false" ht="15" hidden="false" customHeight="false" outlineLevel="0" collapsed="false">
      <c r="A955" s="4" t="s">
        <v>1162</v>
      </c>
      <c r="B955" s="4" t="s">
        <v>102</v>
      </c>
      <c r="C955" s="4" t="s">
        <v>205</v>
      </c>
      <c r="D955" s="4" t="s">
        <v>206</v>
      </c>
      <c r="E955" s="4" t="n">
        <v>46284.5468518519</v>
      </c>
      <c r="F955" s="4" t="n">
        <v>25</v>
      </c>
      <c r="G955" s="4" t="n">
        <v>25</v>
      </c>
      <c r="H955" s="4" t="n">
        <v>24</v>
      </c>
      <c r="I955" s="4" t="n">
        <v>1</v>
      </c>
      <c r="J955" s="4" t="n">
        <v>0</v>
      </c>
      <c r="K955" s="4" t="n">
        <v>0</v>
      </c>
      <c r="L955" s="11" t="b">
        <f aca="false">FALSE()</f>
        <v>0</v>
      </c>
    </row>
    <row r="956" customFormat="false" ht="15" hidden="false" customHeight="false" outlineLevel="0" collapsed="false">
      <c r="A956" s="4" t="s">
        <v>1163</v>
      </c>
      <c r="B956" s="4" t="s">
        <v>101</v>
      </c>
      <c r="C956" s="4" t="s">
        <v>205</v>
      </c>
      <c r="D956" s="4" t="s">
        <v>206</v>
      </c>
      <c r="E956" s="4" t="n">
        <v>46284.5878009259</v>
      </c>
      <c r="F956" s="4" t="n">
        <v>47</v>
      </c>
      <c r="G956" s="4" t="n">
        <v>47</v>
      </c>
      <c r="H956" s="4" t="n">
        <v>44</v>
      </c>
      <c r="I956" s="4" t="n">
        <v>3</v>
      </c>
      <c r="J956" s="4" t="n">
        <v>0</v>
      </c>
      <c r="K956" s="4" t="n">
        <v>0</v>
      </c>
      <c r="L956" s="11" t="b">
        <f aca="false">FALSE()</f>
        <v>0</v>
      </c>
    </row>
    <row r="957" customFormat="false" ht="15" hidden="false" customHeight="false" outlineLevel="0" collapsed="false">
      <c r="A957" s="4" t="s">
        <v>1164</v>
      </c>
      <c r="B957" s="4" t="s">
        <v>103</v>
      </c>
      <c r="C957" s="4" t="s">
        <v>205</v>
      </c>
      <c r="D957" s="4" t="s">
        <v>206</v>
      </c>
      <c r="E957" s="4" t="n">
        <v>46284.6293981482</v>
      </c>
      <c r="F957" s="4" t="n">
        <v>26</v>
      </c>
      <c r="G957" s="4" t="n">
        <v>26</v>
      </c>
      <c r="H957" s="4" t="n">
        <v>24</v>
      </c>
      <c r="I957" s="4" t="n">
        <v>2</v>
      </c>
      <c r="J957" s="4" t="n">
        <v>0</v>
      </c>
      <c r="K957" s="4" t="n">
        <v>0</v>
      </c>
      <c r="L957" s="11" t="b">
        <f aca="false">FALSE()</f>
        <v>0</v>
      </c>
    </row>
    <row r="958" customFormat="false" ht="15" hidden="false" customHeight="false" outlineLevel="0" collapsed="false">
      <c r="A958" s="4" t="s">
        <v>1165</v>
      </c>
      <c r="B958" s="4" t="s">
        <v>100</v>
      </c>
      <c r="C958" s="4" t="s">
        <v>205</v>
      </c>
      <c r="D958" s="4" t="s">
        <v>206</v>
      </c>
      <c r="E958" s="4" t="n">
        <v>46284.6695486111</v>
      </c>
      <c r="F958" s="4" t="n">
        <v>69</v>
      </c>
      <c r="G958" s="4" t="n">
        <v>69</v>
      </c>
      <c r="H958" s="4" t="n">
        <v>67</v>
      </c>
      <c r="I958" s="4" t="n">
        <v>1</v>
      </c>
      <c r="J958" s="4" t="n">
        <v>0</v>
      </c>
      <c r="K958" s="4" t="n">
        <v>1</v>
      </c>
      <c r="L958" s="11" t="b">
        <f aca="false">FALSE()</f>
        <v>0</v>
      </c>
    </row>
    <row r="959" customFormat="false" ht="15" hidden="false" customHeight="false" outlineLevel="0" collapsed="false">
      <c r="A959" s="4" t="s">
        <v>1166</v>
      </c>
      <c r="B959" s="4" t="s">
        <v>101</v>
      </c>
      <c r="C959" s="4" t="s">
        <v>205</v>
      </c>
      <c r="D959" s="4" t="s">
        <v>206</v>
      </c>
      <c r="E959" s="4" t="n">
        <v>46284.7528935185</v>
      </c>
      <c r="F959" s="4" t="n">
        <v>40</v>
      </c>
      <c r="G959" s="4" t="n">
        <v>40</v>
      </c>
      <c r="H959" s="4" t="n">
        <v>39</v>
      </c>
      <c r="I959" s="4" t="n">
        <v>1</v>
      </c>
      <c r="J959" s="4" t="n">
        <v>0</v>
      </c>
      <c r="K959" s="4" t="n">
        <v>0</v>
      </c>
      <c r="L959" s="11" t="b">
        <f aca="false">FALSE()</f>
        <v>0</v>
      </c>
    </row>
    <row r="960" customFormat="false" ht="15" hidden="false" customHeight="false" outlineLevel="0" collapsed="false">
      <c r="A960" s="4" t="s">
        <v>1167</v>
      </c>
      <c r="B960" s="4" t="s">
        <v>104</v>
      </c>
      <c r="C960" s="4" t="s">
        <v>205</v>
      </c>
      <c r="D960" s="4" t="s">
        <v>206</v>
      </c>
      <c r="E960" s="4" t="n">
        <v>46284.7557638889</v>
      </c>
      <c r="F960" s="4" t="n">
        <v>24</v>
      </c>
      <c r="G960" s="4" t="n">
        <v>24</v>
      </c>
      <c r="H960" s="4" t="n">
        <v>21</v>
      </c>
      <c r="I960" s="4" t="n">
        <v>3</v>
      </c>
      <c r="J960" s="4" t="n">
        <v>0</v>
      </c>
      <c r="K960" s="4" t="n">
        <v>0</v>
      </c>
      <c r="L960" s="11" t="b">
        <f aca="false">FALSE()</f>
        <v>0</v>
      </c>
    </row>
    <row r="961" customFormat="false" ht="15" hidden="false" customHeight="false" outlineLevel="0" collapsed="false">
      <c r="A961" s="4" t="s">
        <v>1168</v>
      </c>
      <c r="B961" s="4" t="s">
        <v>102</v>
      </c>
      <c r="C961" s="4" t="s">
        <v>205</v>
      </c>
      <c r="D961" s="4" t="s">
        <v>206</v>
      </c>
      <c r="E961" s="4" t="n">
        <v>46284.7963078704</v>
      </c>
      <c r="F961" s="4" t="n">
        <v>27</v>
      </c>
      <c r="G961" s="4" t="n">
        <v>27</v>
      </c>
      <c r="H961" s="4" t="n">
        <v>26</v>
      </c>
      <c r="I961" s="4" t="n">
        <v>1</v>
      </c>
      <c r="J961" s="4" t="n">
        <v>0</v>
      </c>
      <c r="K961" s="4" t="n">
        <v>0</v>
      </c>
      <c r="L961" s="11" t="b">
        <f aca="false">FALSE()</f>
        <v>0</v>
      </c>
    </row>
    <row r="962" customFormat="false" ht="15" hidden="false" customHeight="false" outlineLevel="0" collapsed="false">
      <c r="A962" s="4" t="s">
        <v>1169</v>
      </c>
      <c r="B962" s="4" t="s">
        <v>100</v>
      </c>
      <c r="C962" s="4" t="s">
        <v>205</v>
      </c>
      <c r="D962" s="4" t="s">
        <v>206</v>
      </c>
      <c r="E962" s="4" t="n">
        <v>46284.8365509259</v>
      </c>
      <c r="F962" s="4" t="n">
        <v>59</v>
      </c>
      <c r="G962" s="4" t="n">
        <v>59</v>
      </c>
      <c r="H962" s="4" t="n">
        <v>58</v>
      </c>
      <c r="I962" s="4" t="n">
        <v>0</v>
      </c>
      <c r="J962" s="4" t="n">
        <v>1</v>
      </c>
      <c r="K962" s="4" t="n">
        <v>0</v>
      </c>
      <c r="L962" s="11" t="b">
        <f aca="false">FALSE()</f>
        <v>0</v>
      </c>
    </row>
    <row r="963" customFormat="false" ht="15" hidden="false" customHeight="false" outlineLevel="0" collapsed="false">
      <c r="A963" s="4" t="s">
        <v>1170</v>
      </c>
      <c r="B963" s="4" t="s">
        <v>103</v>
      </c>
      <c r="C963" s="4" t="s">
        <v>205</v>
      </c>
      <c r="D963" s="4" t="s">
        <v>206</v>
      </c>
      <c r="E963" s="4" t="n">
        <v>46284.8815509259</v>
      </c>
      <c r="F963" s="4" t="n">
        <v>17</v>
      </c>
      <c r="G963" s="4" t="n">
        <v>17</v>
      </c>
      <c r="H963" s="4" t="n">
        <v>17</v>
      </c>
      <c r="I963" s="4" t="n">
        <v>0</v>
      </c>
      <c r="J963" s="4" t="n">
        <v>0</v>
      </c>
      <c r="K963" s="4" t="n">
        <v>0</v>
      </c>
      <c r="L963" s="11" t="b">
        <f aca="false">FALSE()</f>
        <v>0</v>
      </c>
    </row>
    <row r="964" customFormat="false" ht="15" hidden="false" customHeight="false" outlineLevel="0" collapsed="false">
      <c r="A964" s="4" t="s">
        <v>1171</v>
      </c>
      <c r="B964" s="4" t="s">
        <v>101</v>
      </c>
      <c r="C964" s="4" t="s">
        <v>205</v>
      </c>
      <c r="D964" s="4" t="s">
        <v>206</v>
      </c>
      <c r="E964" s="4" t="n">
        <v>46284.9194907407</v>
      </c>
      <c r="F964" s="4" t="n">
        <v>36</v>
      </c>
      <c r="G964" s="4" t="n">
        <v>36</v>
      </c>
      <c r="H964" s="4" t="n">
        <v>32</v>
      </c>
      <c r="I964" s="4" t="n">
        <v>3</v>
      </c>
      <c r="J964" s="4" t="n">
        <v>0</v>
      </c>
      <c r="K964" s="4" t="n">
        <v>1</v>
      </c>
      <c r="L964" s="11" t="b">
        <f aca="false">FALSE()</f>
        <v>0</v>
      </c>
    </row>
    <row r="965" customFormat="false" ht="15" hidden="false" customHeight="false" outlineLevel="0" collapsed="false">
      <c r="A965" s="4" t="s">
        <v>1172</v>
      </c>
      <c r="B965" s="4" t="s">
        <v>100</v>
      </c>
      <c r="C965" s="4" t="s">
        <v>205</v>
      </c>
      <c r="D965" s="4" t="s">
        <v>206</v>
      </c>
      <c r="E965" s="4" t="n">
        <v>46285.0024189815</v>
      </c>
      <c r="F965" s="4" t="n">
        <v>35</v>
      </c>
      <c r="G965" s="4" t="n">
        <v>35</v>
      </c>
      <c r="H965" s="4" t="n">
        <v>35</v>
      </c>
      <c r="I965" s="4" t="n">
        <v>0</v>
      </c>
      <c r="J965" s="4" t="n">
        <v>0</v>
      </c>
      <c r="K965" s="4" t="n">
        <v>0</v>
      </c>
      <c r="L965" s="11" t="b">
        <f aca="false">FALSE()</f>
        <v>0</v>
      </c>
    </row>
    <row r="966" customFormat="false" ht="15" hidden="false" customHeight="false" outlineLevel="0" collapsed="false">
      <c r="A966" s="4" t="s">
        <v>1173</v>
      </c>
      <c r="B966" s="4" t="s">
        <v>102</v>
      </c>
      <c r="C966" s="4" t="s">
        <v>205</v>
      </c>
      <c r="D966" s="4" t="s">
        <v>206</v>
      </c>
      <c r="E966" s="4" t="n">
        <v>46285.0457523148</v>
      </c>
      <c r="F966" s="4" t="n">
        <v>16</v>
      </c>
      <c r="G966" s="4" t="n">
        <v>16</v>
      </c>
      <c r="H966" s="4" t="n">
        <v>14</v>
      </c>
      <c r="I966" s="4" t="n">
        <v>2</v>
      </c>
      <c r="J966" s="4" t="n">
        <v>0</v>
      </c>
      <c r="K966" s="4" t="n">
        <v>0</v>
      </c>
      <c r="L966" s="11" t="b">
        <f aca="false">FALSE()</f>
        <v>0</v>
      </c>
    </row>
    <row r="967" customFormat="false" ht="15" hidden="false" customHeight="false" outlineLevel="0" collapsed="false">
      <c r="A967" s="4" t="s">
        <v>1174</v>
      </c>
      <c r="B967" s="4" t="s">
        <v>101</v>
      </c>
      <c r="C967" s="4" t="s">
        <v>205</v>
      </c>
      <c r="D967" s="4" t="s">
        <v>206</v>
      </c>
      <c r="E967" s="4" t="n">
        <v>46285.0873148148</v>
      </c>
      <c r="F967" s="4" t="n">
        <v>12</v>
      </c>
      <c r="G967" s="4" t="n">
        <v>12</v>
      </c>
      <c r="H967" s="4" t="n">
        <v>12</v>
      </c>
      <c r="I967" s="4" t="n">
        <v>0</v>
      </c>
      <c r="J967" s="4" t="n">
        <v>0</v>
      </c>
      <c r="K967" s="4" t="n">
        <v>0</v>
      </c>
      <c r="L967" s="11" t="b">
        <f aca="false">FALSE()</f>
        <v>0</v>
      </c>
    </row>
    <row r="968" customFormat="false" ht="15" hidden="false" customHeight="false" outlineLevel="0" collapsed="false">
      <c r="A968" s="4" t="s">
        <v>1175</v>
      </c>
      <c r="B968" s="4" t="s">
        <v>103</v>
      </c>
      <c r="C968" s="4" t="s">
        <v>205</v>
      </c>
      <c r="D968" s="4" t="s">
        <v>206</v>
      </c>
      <c r="E968" s="4" t="n">
        <v>46285.1308217593</v>
      </c>
      <c r="F968" s="4" t="n">
        <v>10</v>
      </c>
      <c r="G968" s="4" t="n">
        <v>10</v>
      </c>
      <c r="H968" s="4" t="n">
        <v>8</v>
      </c>
      <c r="I968" s="4" t="n">
        <v>2</v>
      </c>
      <c r="J968" s="4" t="n">
        <v>0</v>
      </c>
      <c r="K968" s="4" t="n">
        <v>0</v>
      </c>
      <c r="L968" s="11" t="b">
        <f aca="false">FALSE()</f>
        <v>0</v>
      </c>
    </row>
    <row r="969" customFormat="false" ht="15" hidden="false" customHeight="false" outlineLevel="0" collapsed="false">
      <c r="A969" s="4" t="s">
        <v>1176</v>
      </c>
      <c r="B969" s="4" t="s">
        <v>100</v>
      </c>
      <c r="C969" s="4" t="s">
        <v>205</v>
      </c>
      <c r="D969" s="4" t="s">
        <v>206</v>
      </c>
      <c r="E969" s="4" t="n">
        <v>46285.1696296296</v>
      </c>
      <c r="F969" s="4" t="n">
        <v>13</v>
      </c>
      <c r="G969" s="4" t="n">
        <v>13</v>
      </c>
      <c r="H969" s="4" t="n">
        <v>12</v>
      </c>
      <c r="I969" s="4" t="n">
        <v>0</v>
      </c>
      <c r="J969" s="4" t="n">
        <v>0</v>
      </c>
      <c r="K969" s="4" t="n">
        <v>1</v>
      </c>
      <c r="L969" s="11" t="b">
        <f aca="false">FALSE()</f>
        <v>0</v>
      </c>
    </row>
    <row r="970" customFormat="false" ht="15" hidden="false" customHeight="false" outlineLevel="0" collapsed="false">
      <c r="A970" s="4" t="s">
        <v>1177</v>
      </c>
      <c r="B970" s="4" t="s">
        <v>99</v>
      </c>
      <c r="C970" s="4" t="s">
        <v>205</v>
      </c>
      <c r="D970" s="4" t="s">
        <v>206</v>
      </c>
      <c r="E970" s="4" t="n">
        <v>46285.214525463</v>
      </c>
      <c r="F970" s="4" t="n">
        <v>29</v>
      </c>
      <c r="G970" s="4" t="n">
        <v>29</v>
      </c>
      <c r="H970" s="4" t="n">
        <v>29</v>
      </c>
      <c r="I970" s="4" t="n">
        <v>0</v>
      </c>
      <c r="J970" s="4" t="n">
        <v>0</v>
      </c>
      <c r="K970" s="4" t="n">
        <v>0</v>
      </c>
      <c r="L970" s="11" t="b">
        <f aca="false">FALSE()</f>
        <v>0</v>
      </c>
    </row>
    <row r="971" customFormat="false" ht="15" hidden="false" customHeight="false" outlineLevel="0" collapsed="false">
      <c r="A971" s="4" t="s">
        <v>1178</v>
      </c>
      <c r="B971" s="4" t="s">
        <v>101</v>
      </c>
      <c r="C971" s="4" t="s">
        <v>205</v>
      </c>
      <c r="D971" s="4" t="s">
        <v>206</v>
      </c>
      <c r="E971" s="4" t="n">
        <v>46285.2543518519</v>
      </c>
      <c r="F971" s="4" t="n">
        <v>10</v>
      </c>
      <c r="G971" s="4" t="n">
        <v>10</v>
      </c>
      <c r="H971" s="4" t="n">
        <v>6</v>
      </c>
      <c r="I971" s="4" t="n">
        <v>3</v>
      </c>
      <c r="J971" s="4" t="n">
        <v>1</v>
      </c>
      <c r="K971" s="4" t="n">
        <v>0</v>
      </c>
      <c r="L971" s="11" t="b">
        <f aca="false">FALSE()</f>
        <v>0</v>
      </c>
    </row>
    <row r="972" customFormat="false" ht="15" hidden="false" customHeight="false" outlineLevel="0" collapsed="false">
      <c r="A972" s="4" t="s">
        <v>1179</v>
      </c>
      <c r="B972" s="4" t="s">
        <v>104</v>
      </c>
      <c r="C972" s="4" t="s">
        <v>205</v>
      </c>
      <c r="D972" s="4" t="s">
        <v>206</v>
      </c>
      <c r="E972" s="4" t="n">
        <v>46285.256875</v>
      </c>
      <c r="F972" s="4" t="n">
        <v>12</v>
      </c>
      <c r="G972" s="4" t="n">
        <v>12</v>
      </c>
      <c r="H972" s="4" t="n">
        <v>8</v>
      </c>
      <c r="I972" s="4" t="n">
        <v>3</v>
      </c>
      <c r="J972" s="4" t="n">
        <v>1</v>
      </c>
      <c r="K972" s="4" t="n">
        <v>0</v>
      </c>
      <c r="L972" s="11" t="b">
        <f aca="false">FALSE()</f>
        <v>0</v>
      </c>
    </row>
    <row r="973" customFormat="false" ht="15" hidden="false" customHeight="false" outlineLevel="0" collapsed="false">
      <c r="A973" s="4" t="s">
        <v>1180</v>
      </c>
      <c r="B973" s="4" t="s">
        <v>102</v>
      </c>
      <c r="C973" s="4" t="s">
        <v>205</v>
      </c>
      <c r="D973" s="4" t="s">
        <v>206</v>
      </c>
      <c r="E973" s="4" t="n">
        <v>46285.2965972222</v>
      </c>
      <c r="F973" s="4" t="n">
        <v>8</v>
      </c>
      <c r="G973" s="4" t="n">
        <v>8</v>
      </c>
      <c r="H973" s="4" t="n">
        <v>5</v>
      </c>
      <c r="I973" s="4" t="n">
        <v>3</v>
      </c>
      <c r="J973" s="4" t="n">
        <v>0</v>
      </c>
      <c r="K973" s="4" t="n">
        <v>0</v>
      </c>
      <c r="L973" s="11" t="b">
        <f aca="false">FALSE()</f>
        <v>0</v>
      </c>
    </row>
    <row r="974" customFormat="false" ht="15" hidden="false" customHeight="false" outlineLevel="0" collapsed="false">
      <c r="A974" s="4" t="s">
        <v>1181</v>
      </c>
      <c r="B974" s="4" t="s">
        <v>100</v>
      </c>
      <c r="C974" s="4" t="s">
        <v>205</v>
      </c>
      <c r="D974" s="4" t="s">
        <v>206</v>
      </c>
      <c r="E974" s="4" t="n">
        <v>46285.3356712963</v>
      </c>
      <c r="F974" s="4" t="n">
        <v>31</v>
      </c>
      <c r="G974" s="4" t="n">
        <v>31</v>
      </c>
      <c r="H974" s="4" t="n">
        <v>29</v>
      </c>
      <c r="I974" s="4" t="n">
        <v>2</v>
      </c>
      <c r="J974" s="4" t="n">
        <v>0</v>
      </c>
      <c r="K974" s="4" t="n">
        <v>0</v>
      </c>
      <c r="L974" s="11" t="b">
        <f aca="false">FALSE()</f>
        <v>0</v>
      </c>
    </row>
    <row r="975" customFormat="false" ht="15" hidden="false" customHeight="false" outlineLevel="0" collapsed="false">
      <c r="A975" s="4" t="s">
        <v>1182</v>
      </c>
      <c r="B975" s="4" t="s">
        <v>103</v>
      </c>
      <c r="C975" s="4" t="s">
        <v>205</v>
      </c>
      <c r="D975" s="4" t="s">
        <v>206</v>
      </c>
      <c r="E975" s="4" t="n">
        <v>46285.38</v>
      </c>
      <c r="F975" s="4" t="n">
        <v>9</v>
      </c>
      <c r="G975" s="4" t="n">
        <v>9</v>
      </c>
      <c r="H975" s="4" t="n">
        <v>9</v>
      </c>
      <c r="I975" s="4" t="n">
        <v>0</v>
      </c>
      <c r="J975" s="4" t="n">
        <v>0</v>
      </c>
      <c r="K975" s="4" t="n">
        <v>0</v>
      </c>
      <c r="L975" s="11" t="b">
        <f aca="false">FALSE()</f>
        <v>0</v>
      </c>
    </row>
    <row r="976" customFormat="false" ht="15" hidden="false" customHeight="false" outlineLevel="0" collapsed="false">
      <c r="A976" s="4" t="s">
        <v>1183</v>
      </c>
      <c r="B976" s="4" t="s">
        <v>101</v>
      </c>
      <c r="C976" s="4" t="s">
        <v>205</v>
      </c>
      <c r="D976" s="4" t="s">
        <v>206</v>
      </c>
      <c r="E976" s="4" t="n">
        <v>46285.4198032407</v>
      </c>
      <c r="F976" s="4" t="n">
        <v>34</v>
      </c>
      <c r="G976" s="4" t="n">
        <v>34</v>
      </c>
      <c r="H976" s="4" t="n">
        <v>32</v>
      </c>
      <c r="I976" s="4" t="n">
        <v>2</v>
      </c>
      <c r="J976" s="4" t="n">
        <v>0</v>
      </c>
      <c r="K976" s="4" t="n">
        <v>0</v>
      </c>
      <c r="L976" s="11" t="b">
        <f aca="false">FALSE()</f>
        <v>0</v>
      </c>
    </row>
    <row r="977" customFormat="false" ht="15" hidden="false" customHeight="false" outlineLevel="0" collapsed="false">
      <c r="A977" s="4" t="s">
        <v>1184</v>
      </c>
      <c r="B977" s="4" t="s">
        <v>100</v>
      </c>
      <c r="C977" s="4" t="s">
        <v>205</v>
      </c>
      <c r="D977" s="4" t="s">
        <v>206</v>
      </c>
      <c r="E977" s="4" t="n">
        <v>46285.5030092593</v>
      </c>
      <c r="F977" s="4" t="n">
        <v>64</v>
      </c>
      <c r="G977" s="4" t="n">
        <v>64</v>
      </c>
      <c r="H977" s="4" t="n">
        <v>62</v>
      </c>
      <c r="I977" s="4" t="n">
        <v>0</v>
      </c>
      <c r="J977" s="4" t="n">
        <v>1</v>
      </c>
      <c r="K977" s="4" t="n">
        <v>1</v>
      </c>
      <c r="L977" s="11" t="b">
        <f aca="false">FALSE()</f>
        <v>0</v>
      </c>
    </row>
    <row r="978" customFormat="false" ht="15" hidden="false" customHeight="false" outlineLevel="0" collapsed="false">
      <c r="A978" s="4" t="s">
        <v>1185</v>
      </c>
      <c r="B978" s="4" t="s">
        <v>102</v>
      </c>
      <c r="C978" s="4" t="s">
        <v>371</v>
      </c>
      <c r="D978" s="4" t="s">
        <v>371</v>
      </c>
      <c r="E978" s="4" t="n">
        <v>46285.5459490741</v>
      </c>
      <c r="F978" s="4" t="n">
        <v>27</v>
      </c>
      <c r="G978" s="4" t="n">
        <v>0</v>
      </c>
      <c r="H978" s="4" t="n">
        <v>0</v>
      </c>
      <c r="I978" s="4" t="n">
        <v>0</v>
      </c>
      <c r="J978" s="4" t="n">
        <v>0</v>
      </c>
      <c r="K978" s="4" t="n">
        <v>0</v>
      </c>
      <c r="L978" s="11" t="b">
        <f aca="false">FALSE()</f>
        <v>0</v>
      </c>
    </row>
    <row r="979" customFormat="false" ht="15" hidden="false" customHeight="false" outlineLevel="0" collapsed="false">
      <c r="A979" s="4" t="s">
        <v>1186</v>
      </c>
      <c r="B979" s="4" t="s">
        <v>102</v>
      </c>
      <c r="C979" s="4" t="s">
        <v>205</v>
      </c>
      <c r="D979" s="4" t="s">
        <v>373</v>
      </c>
      <c r="E979" s="4" t="n">
        <v>46285.5603703704</v>
      </c>
      <c r="F979" s="4" t="n">
        <v>27</v>
      </c>
      <c r="G979" s="4" t="n">
        <v>27</v>
      </c>
      <c r="H979" s="4" t="n">
        <v>25</v>
      </c>
      <c r="I979" s="4" t="n">
        <v>2</v>
      </c>
      <c r="J979" s="4" t="n">
        <v>0</v>
      </c>
      <c r="K979" s="4" t="n">
        <v>0</v>
      </c>
      <c r="L979" s="11" t="b">
        <f aca="false">FALSE()</f>
        <v>0</v>
      </c>
    </row>
    <row r="980" customFormat="false" ht="15" hidden="false" customHeight="false" outlineLevel="0" collapsed="false">
      <c r="A980" s="4" t="s">
        <v>1187</v>
      </c>
      <c r="B980" s="4" t="s">
        <v>101</v>
      </c>
      <c r="C980" s="4" t="s">
        <v>205</v>
      </c>
      <c r="D980" s="4" t="s">
        <v>206</v>
      </c>
      <c r="E980" s="4" t="n">
        <v>46285.5870833333</v>
      </c>
      <c r="F980" s="4" t="n">
        <v>46</v>
      </c>
      <c r="G980" s="4" t="n">
        <v>46</v>
      </c>
      <c r="H980" s="4" t="n">
        <v>43</v>
      </c>
      <c r="I980" s="4" t="n">
        <v>3</v>
      </c>
      <c r="J980" s="4" t="n">
        <v>0</v>
      </c>
      <c r="K980" s="4" t="n">
        <v>0</v>
      </c>
      <c r="L980" s="11" t="b">
        <f aca="false">FALSE()</f>
        <v>0</v>
      </c>
    </row>
    <row r="981" customFormat="false" ht="15" hidden="false" customHeight="false" outlineLevel="0" collapsed="false">
      <c r="A981" s="4" t="s">
        <v>1188</v>
      </c>
      <c r="B981" s="4" t="s">
        <v>103</v>
      </c>
      <c r="C981" s="4" t="s">
        <v>205</v>
      </c>
      <c r="D981" s="4" t="s">
        <v>206</v>
      </c>
      <c r="E981" s="4" t="n">
        <v>46285.6304976852</v>
      </c>
      <c r="F981" s="4" t="n">
        <v>27</v>
      </c>
      <c r="G981" s="4" t="n">
        <v>27</v>
      </c>
      <c r="H981" s="4" t="n">
        <v>26</v>
      </c>
      <c r="I981" s="4" t="n">
        <v>0</v>
      </c>
      <c r="J981" s="4" t="n">
        <v>1</v>
      </c>
      <c r="K981" s="4" t="n">
        <v>0</v>
      </c>
      <c r="L981" s="11" t="b">
        <f aca="false">FALSE()</f>
        <v>0</v>
      </c>
    </row>
    <row r="982" customFormat="false" ht="15" hidden="false" customHeight="false" outlineLevel="0" collapsed="false">
      <c r="A982" s="4" t="s">
        <v>1189</v>
      </c>
      <c r="B982" s="4" t="s">
        <v>100</v>
      </c>
      <c r="C982" s="4" t="s">
        <v>205</v>
      </c>
      <c r="D982" s="4" t="s">
        <v>206</v>
      </c>
      <c r="E982" s="4" t="n">
        <v>46285.6692708333</v>
      </c>
      <c r="F982" s="4" t="n">
        <v>63</v>
      </c>
      <c r="G982" s="4" t="n">
        <v>63</v>
      </c>
      <c r="H982" s="4" t="n">
        <v>63</v>
      </c>
      <c r="I982" s="4" t="n">
        <v>0</v>
      </c>
      <c r="J982" s="4" t="n">
        <v>0</v>
      </c>
      <c r="K982" s="4" t="n">
        <v>0</v>
      </c>
      <c r="L982" s="11" t="b">
        <f aca="false">FALSE()</f>
        <v>0</v>
      </c>
    </row>
    <row r="983" customFormat="false" ht="15" hidden="false" customHeight="false" outlineLevel="0" collapsed="false">
      <c r="A983" s="4" t="s">
        <v>1190</v>
      </c>
      <c r="B983" s="4" t="s">
        <v>101</v>
      </c>
      <c r="C983" s="4" t="s">
        <v>205</v>
      </c>
      <c r="D983" s="4" t="s">
        <v>206</v>
      </c>
      <c r="E983" s="4" t="n">
        <v>46285.7544212963</v>
      </c>
      <c r="F983" s="4" t="n">
        <v>40</v>
      </c>
      <c r="G983" s="4" t="n">
        <v>40</v>
      </c>
      <c r="H983" s="4" t="n">
        <v>40</v>
      </c>
      <c r="I983" s="4" t="n">
        <v>0</v>
      </c>
      <c r="J983" s="4" t="n">
        <v>0</v>
      </c>
      <c r="K983" s="4" t="n">
        <v>0</v>
      </c>
      <c r="L983" s="11" t="b">
        <f aca="false">FALSE()</f>
        <v>0</v>
      </c>
    </row>
    <row r="984" customFormat="false" ht="15" hidden="false" customHeight="false" outlineLevel="0" collapsed="false">
      <c r="A984" s="4" t="s">
        <v>1191</v>
      </c>
      <c r="B984" s="4" t="s">
        <v>104</v>
      </c>
      <c r="C984" s="4" t="s">
        <v>205</v>
      </c>
      <c r="D984" s="4" t="s">
        <v>206</v>
      </c>
      <c r="E984" s="4" t="n">
        <v>46285.7563425926</v>
      </c>
      <c r="F984" s="4" t="n">
        <v>21</v>
      </c>
      <c r="G984" s="4" t="n">
        <v>21</v>
      </c>
      <c r="H984" s="4" t="n">
        <v>18</v>
      </c>
      <c r="I984" s="4" t="n">
        <v>3</v>
      </c>
      <c r="J984" s="4" t="n">
        <v>0</v>
      </c>
      <c r="K984" s="4" t="n">
        <v>0</v>
      </c>
      <c r="L984" s="11" t="b">
        <f aca="false">FALSE()</f>
        <v>0</v>
      </c>
    </row>
    <row r="985" customFormat="false" ht="15" hidden="false" customHeight="false" outlineLevel="0" collapsed="false">
      <c r="A985" s="4" t="s">
        <v>1192</v>
      </c>
      <c r="B985" s="4" t="s">
        <v>102</v>
      </c>
      <c r="C985" s="4" t="s">
        <v>205</v>
      </c>
      <c r="D985" s="4" t="s">
        <v>206</v>
      </c>
      <c r="E985" s="4" t="n">
        <v>46285.7968402778</v>
      </c>
      <c r="F985" s="4" t="n">
        <v>25</v>
      </c>
      <c r="G985" s="4" t="n">
        <v>25</v>
      </c>
      <c r="H985" s="4" t="n">
        <v>24</v>
      </c>
      <c r="I985" s="4" t="n">
        <v>0</v>
      </c>
      <c r="J985" s="4" t="n">
        <v>1</v>
      </c>
      <c r="K985" s="4" t="n">
        <v>0</v>
      </c>
      <c r="L985" s="11" t="b">
        <f aca="false">FALSE()</f>
        <v>0</v>
      </c>
    </row>
    <row r="986" customFormat="false" ht="15" hidden="false" customHeight="false" outlineLevel="0" collapsed="false">
      <c r="A986" s="4" t="s">
        <v>1193</v>
      </c>
      <c r="B986" s="4" t="s">
        <v>100</v>
      </c>
      <c r="C986" s="4" t="s">
        <v>205</v>
      </c>
      <c r="D986" s="4" t="s">
        <v>206</v>
      </c>
      <c r="E986" s="4" t="n">
        <v>46285.8355787037</v>
      </c>
      <c r="F986" s="4" t="n">
        <v>63</v>
      </c>
      <c r="G986" s="4" t="n">
        <v>63</v>
      </c>
      <c r="H986" s="4" t="n">
        <v>62</v>
      </c>
      <c r="I986" s="4" t="n">
        <v>1</v>
      </c>
      <c r="J986" s="4" t="n">
        <v>0</v>
      </c>
      <c r="K986" s="4" t="n">
        <v>0</v>
      </c>
      <c r="L986" s="11" t="b">
        <f aca="false">FALSE()</f>
        <v>0</v>
      </c>
    </row>
    <row r="987" customFormat="false" ht="15" hidden="false" customHeight="false" outlineLevel="0" collapsed="false">
      <c r="A987" s="4" t="s">
        <v>1194</v>
      </c>
      <c r="B987" s="4" t="s">
        <v>103</v>
      </c>
      <c r="C987" s="4" t="s">
        <v>205</v>
      </c>
      <c r="D987" s="4" t="s">
        <v>206</v>
      </c>
      <c r="E987" s="4" t="n">
        <v>46285.8795486111</v>
      </c>
      <c r="F987" s="4" t="n">
        <v>22</v>
      </c>
      <c r="G987" s="4" t="n">
        <v>22</v>
      </c>
      <c r="H987" s="4" t="n">
        <v>22</v>
      </c>
      <c r="I987" s="4" t="n">
        <v>0</v>
      </c>
      <c r="J987" s="4" t="n">
        <v>0</v>
      </c>
      <c r="K987" s="4" t="n">
        <v>0</v>
      </c>
      <c r="L987" s="11" t="b">
        <f aca="false">FALSE()</f>
        <v>0</v>
      </c>
    </row>
    <row r="988" customFormat="false" ht="15" hidden="false" customHeight="false" outlineLevel="0" collapsed="false">
      <c r="A988" s="4" t="s">
        <v>1195</v>
      </c>
      <c r="B988" s="4" t="s">
        <v>101</v>
      </c>
      <c r="C988" s="4" t="s">
        <v>205</v>
      </c>
      <c r="D988" s="4" t="s">
        <v>206</v>
      </c>
      <c r="E988" s="4" t="n">
        <v>46285.9205787037</v>
      </c>
      <c r="F988" s="4" t="n">
        <v>36</v>
      </c>
      <c r="G988" s="4" t="n">
        <v>36</v>
      </c>
      <c r="H988" s="4" t="n">
        <v>33</v>
      </c>
      <c r="I988" s="4" t="n">
        <v>3</v>
      </c>
      <c r="J988" s="4" t="n">
        <v>0</v>
      </c>
      <c r="K988" s="4" t="n">
        <v>0</v>
      </c>
      <c r="L988" s="11" t="b">
        <f aca="false">FALSE()</f>
        <v>0</v>
      </c>
    </row>
    <row r="989" customFormat="false" ht="15" hidden="false" customHeight="false" outlineLevel="0" collapsed="false">
      <c r="A989" s="4" t="s">
        <v>1196</v>
      </c>
      <c r="B989" s="4" t="s">
        <v>100</v>
      </c>
      <c r="C989" s="4" t="s">
        <v>205</v>
      </c>
      <c r="D989" s="4" t="s">
        <v>206</v>
      </c>
      <c r="E989" s="4" t="n">
        <v>46286.0031134259</v>
      </c>
      <c r="F989" s="4" t="n">
        <v>35</v>
      </c>
      <c r="G989" s="4" t="n">
        <v>35</v>
      </c>
      <c r="H989" s="4" t="n">
        <v>32</v>
      </c>
      <c r="I989" s="4" t="n">
        <v>3</v>
      </c>
      <c r="J989" s="4" t="n">
        <v>0</v>
      </c>
      <c r="K989" s="4" t="n">
        <v>0</v>
      </c>
      <c r="L989" s="11" t="b">
        <f aca="false">FALSE()</f>
        <v>0</v>
      </c>
    </row>
    <row r="990" customFormat="false" ht="15" hidden="false" customHeight="false" outlineLevel="0" collapsed="false">
      <c r="A990" s="4" t="s">
        <v>1197</v>
      </c>
      <c r="B990" s="4" t="s">
        <v>102</v>
      </c>
      <c r="C990" s="4" t="s">
        <v>205</v>
      </c>
      <c r="D990" s="4" t="s">
        <v>206</v>
      </c>
      <c r="E990" s="4" t="n">
        <v>46286.045625</v>
      </c>
      <c r="F990" s="4" t="n">
        <v>13</v>
      </c>
      <c r="G990" s="4" t="n">
        <v>13</v>
      </c>
      <c r="H990" s="4" t="n">
        <v>12</v>
      </c>
      <c r="I990" s="4" t="n">
        <v>1</v>
      </c>
      <c r="J990" s="4" t="n">
        <v>0</v>
      </c>
      <c r="K990" s="4" t="n">
        <v>0</v>
      </c>
      <c r="L990" s="11" t="b">
        <f aca="false">FALSE()</f>
        <v>0</v>
      </c>
    </row>
    <row r="991" customFormat="false" ht="15" hidden="false" customHeight="false" outlineLevel="0" collapsed="false">
      <c r="A991" s="4" t="s">
        <v>1198</v>
      </c>
      <c r="B991" s="4" t="s">
        <v>101</v>
      </c>
      <c r="C991" s="4" t="s">
        <v>205</v>
      </c>
      <c r="D991" s="4" t="s">
        <v>206</v>
      </c>
      <c r="E991" s="4" t="n">
        <v>46286.0861458333</v>
      </c>
      <c r="F991" s="4" t="n">
        <v>14</v>
      </c>
      <c r="G991" s="4" t="n">
        <v>14</v>
      </c>
      <c r="H991" s="4" t="n">
        <v>12</v>
      </c>
      <c r="I991" s="4" t="n">
        <v>1</v>
      </c>
      <c r="J991" s="4" t="n">
        <v>0</v>
      </c>
      <c r="K991" s="4" t="n">
        <v>1</v>
      </c>
      <c r="L991" s="11" t="b">
        <f aca="false">FALSE()</f>
        <v>0</v>
      </c>
    </row>
    <row r="992" customFormat="false" ht="15" hidden="false" customHeight="false" outlineLevel="0" collapsed="false">
      <c r="A992" s="4" t="s">
        <v>1199</v>
      </c>
      <c r="B992" s="4" t="s">
        <v>103</v>
      </c>
      <c r="C992" s="4" t="s">
        <v>205</v>
      </c>
      <c r="D992" s="4" t="s">
        <v>206</v>
      </c>
      <c r="E992" s="4" t="n">
        <v>46286.1294444444</v>
      </c>
      <c r="F992" s="4" t="n">
        <v>11</v>
      </c>
      <c r="G992" s="4" t="n">
        <v>11</v>
      </c>
      <c r="H992" s="4" t="n">
        <v>8</v>
      </c>
      <c r="I992" s="4" t="n">
        <v>3</v>
      </c>
      <c r="J992" s="4" t="n">
        <v>0</v>
      </c>
      <c r="K992" s="4" t="n">
        <v>0</v>
      </c>
      <c r="L992" s="11" t="b">
        <f aca="false">FALSE()</f>
        <v>0</v>
      </c>
    </row>
    <row r="993" customFormat="false" ht="15" hidden="false" customHeight="false" outlineLevel="0" collapsed="false">
      <c r="A993" s="4" t="s">
        <v>1200</v>
      </c>
      <c r="B993" s="4" t="s">
        <v>100</v>
      </c>
      <c r="C993" s="4" t="s">
        <v>205</v>
      </c>
      <c r="D993" s="4" t="s">
        <v>206</v>
      </c>
      <c r="E993" s="4" t="n">
        <v>46286.1702199074</v>
      </c>
      <c r="F993" s="4" t="n">
        <v>15</v>
      </c>
      <c r="G993" s="4" t="n">
        <v>15</v>
      </c>
      <c r="H993" s="4" t="n">
        <v>11</v>
      </c>
      <c r="I993" s="4" t="n">
        <v>3</v>
      </c>
      <c r="J993" s="4" t="n">
        <v>0</v>
      </c>
      <c r="K993" s="4" t="n">
        <v>1</v>
      </c>
      <c r="L993" s="11" t="b">
        <f aca="false">FALSE()</f>
        <v>0</v>
      </c>
    </row>
    <row r="994" customFormat="false" ht="15" hidden="false" customHeight="false" outlineLevel="0" collapsed="false">
      <c r="A994" s="4" t="s">
        <v>1201</v>
      </c>
      <c r="B994" s="4" t="s">
        <v>99</v>
      </c>
      <c r="C994" s="4" t="s">
        <v>205</v>
      </c>
      <c r="D994" s="4" t="s">
        <v>206</v>
      </c>
      <c r="E994" s="4" t="n">
        <v>46286.2146990741</v>
      </c>
      <c r="F994" s="4" t="n">
        <v>24</v>
      </c>
      <c r="G994" s="4" t="n">
        <v>24</v>
      </c>
      <c r="H994" s="4" t="n">
        <v>21</v>
      </c>
      <c r="I994" s="4" t="n">
        <v>3</v>
      </c>
      <c r="J994" s="4" t="n">
        <v>0</v>
      </c>
      <c r="K994" s="4" t="n">
        <v>0</v>
      </c>
      <c r="L994" s="11" t="b">
        <f aca="false">FALSE()</f>
        <v>0</v>
      </c>
    </row>
    <row r="995" customFormat="false" ht="15" hidden="false" customHeight="false" outlineLevel="0" collapsed="false">
      <c r="A995" s="4" t="s">
        <v>1202</v>
      </c>
      <c r="B995" s="4" t="s">
        <v>101</v>
      </c>
      <c r="C995" s="4" t="s">
        <v>205</v>
      </c>
      <c r="D995" s="4" t="s">
        <v>206</v>
      </c>
      <c r="E995" s="4" t="n">
        <v>46286.2543981482</v>
      </c>
      <c r="F995" s="4" t="n">
        <v>11</v>
      </c>
      <c r="G995" s="4" t="n">
        <v>11</v>
      </c>
      <c r="H995" s="4" t="n">
        <v>11</v>
      </c>
      <c r="I995" s="4" t="n">
        <v>0</v>
      </c>
      <c r="J995" s="4" t="n">
        <v>0</v>
      </c>
      <c r="K995" s="4" t="n">
        <v>0</v>
      </c>
      <c r="L995" s="11" t="b">
        <f aca="false">FALSE()</f>
        <v>0</v>
      </c>
    </row>
    <row r="996" customFormat="false" ht="15" hidden="false" customHeight="false" outlineLevel="0" collapsed="false">
      <c r="A996" s="4" t="s">
        <v>1203</v>
      </c>
      <c r="B996" s="4" t="s">
        <v>104</v>
      </c>
      <c r="C996" s="4" t="s">
        <v>205</v>
      </c>
      <c r="D996" s="4" t="s">
        <v>206</v>
      </c>
      <c r="E996" s="4" t="n">
        <v>46286.2558101852</v>
      </c>
      <c r="F996" s="4" t="n">
        <v>12</v>
      </c>
      <c r="G996" s="4" t="n">
        <v>12</v>
      </c>
      <c r="H996" s="4" t="n">
        <v>9</v>
      </c>
      <c r="I996" s="4" t="n">
        <v>3</v>
      </c>
      <c r="J996" s="4" t="n">
        <v>0</v>
      </c>
      <c r="K996" s="4" t="n">
        <v>0</v>
      </c>
      <c r="L996" s="11" t="b">
        <f aca="false">FALSE()</f>
        <v>0</v>
      </c>
    </row>
    <row r="997" customFormat="false" ht="15" hidden="false" customHeight="false" outlineLevel="0" collapsed="false">
      <c r="A997" s="4" t="s">
        <v>1204</v>
      </c>
      <c r="B997" s="4" t="s">
        <v>102</v>
      </c>
      <c r="C997" s="4" t="s">
        <v>205</v>
      </c>
      <c r="D997" s="4" t="s">
        <v>206</v>
      </c>
      <c r="E997" s="4" t="n">
        <v>46286.2958912037</v>
      </c>
      <c r="F997" s="4" t="n">
        <v>8</v>
      </c>
      <c r="G997" s="4" t="n">
        <v>8</v>
      </c>
      <c r="H997" s="4" t="n">
        <v>7</v>
      </c>
      <c r="I997" s="4" t="n">
        <v>1</v>
      </c>
      <c r="J997" s="4" t="n">
        <v>0</v>
      </c>
      <c r="K997" s="4" t="n">
        <v>0</v>
      </c>
      <c r="L997" s="11" t="b">
        <f aca="false">FALSE()</f>
        <v>0</v>
      </c>
    </row>
    <row r="998" customFormat="false" ht="15" hidden="false" customHeight="false" outlineLevel="0" collapsed="false">
      <c r="A998" s="4" t="s">
        <v>1205</v>
      </c>
      <c r="B998" s="4" t="s">
        <v>100</v>
      </c>
      <c r="C998" s="4" t="s">
        <v>205</v>
      </c>
      <c r="D998" s="4" t="s">
        <v>206</v>
      </c>
      <c r="E998" s="4" t="n">
        <v>46286.3368518519</v>
      </c>
      <c r="F998" s="4" t="n">
        <v>35</v>
      </c>
      <c r="G998" s="4" t="n">
        <v>35</v>
      </c>
      <c r="H998" s="4" t="n">
        <v>32</v>
      </c>
      <c r="I998" s="4" t="n">
        <v>3</v>
      </c>
      <c r="J998" s="4" t="n">
        <v>0</v>
      </c>
      <c r="K998" s="4" t="n">
        <v>0</v>
      </c>
      <c r="L998" s="11" t="b">
        <f aca="false">FALSE()</f>
        <v>0</v>
      </c>
    </row>
    <row r="999" customFormat="false" ht="15" hidden="false" customHeight="false" outlineLevel="0" collapsed="false">
      <c r="A999" s="4" t="s">
        <v>1206</v>
      </c>
      <c r="B999" s="4" t="s">
        <v>103</v>
      </c>
      <c r="C999" s="4" t="s">
        <v>205</v>
      </c>
      <c r="D999" s="4" t="s">
        <v>206</v>
      </c>
      <c r="E999" s="4" t="n">
        <v>46286.3800925926</v>
      </c>
      <c r="F999" s="4" t="n">
        <v>15</v>
      </c>
      <c r="G999" s="4" t="n">
        <v>15</v>
      </c>
      <c r="H999" s="4" t="n">
        <v>12</v>
      </c>
      <c r="I999" s="4" t="n">
        <v>3</v>
      </c>
      <c r="J999" s="4" t="n">
        <v>0</v>
      </c>
      <c r="K999" s="4" t="n">
        <v>0</v>
      </c>
      <c r="L999" s="11" t="b">
        <f aca="false">FALSE()</f>
        <v>0</v>
      </c>
    </row>
    <row r="1000" customFormat="false" ht="15" hidden="false" customHeight="false" outlineLevel="0" collapsed="false">
      <c r="A1000" s="4" t="s">
        <v>1207</v>
      </c>
      <c r="B1000" s="4" t="s">
        <v>101</v>
      </c>
      <c r="C1000" s="4" t="s">
        <v>205</v>
      </c>
      <c r="D1000" s="4" t="s">
        <v>206</v>
      </c>
      <c r="E1000" s="4" t="n">
        <v>46286.4202893519</v>
      </c>
      <c r="F1000" s="4" t="n">
        <v>37</v>
      </c>
      <c r="G1000" s="4" t="n">
        <v>37</v>
      </c>
      <c r="H1000" s="4" t="n">
        <v>37</v>
      </c>
      <c r="I1000" s="4" t="n">
        <v>0</v>
      </c>
      <c r="J1000" s="4" t="n">
        <v>0</v>
      </c>
      <c r="K1000" s="4" t="n">
        <v>0</v>
      </c>
      <c r="L1000" s="11" t="b">
        <f aca="false">FALSE()</f>
        <v>0</v>
      </c>
    </row>
    <row r="1001" customFormat="false" ht="15" hidden="false" customHeight="false" outlineLevel="0" collapsed="false">
      <c r="A1001" s="4" t="s">
        <v>1208</v>
      </c>
      <c r="B1001" s="4" t="s">
        <v>100</v>
      </c>
      <c r="C1001" s="4" t="s">
        <v>205</v>
      </c>
      <c r="D1001" s="4" t="s">
        <v>206</v>
      </c>
      <c r="E1001" s="4" t="n">
        <v>46286.5033333333</v>
      </c>
      <c r="F1001" s="4" t="n">
        <v>75</v>
      </c>
      <c r="G1001" s="4" t="n">
        <v>75</v>
      </c>
      <c r="H1001" s="4" t="n">
        <v>72</v>
      </c>
      <c r="I1001" s="4" t="n">
        <v>3</v>
      </c>
      <c r="J1001" s="4" t="n">
        <v>0</v>
      </c>
      <c r="K1001" s="4" t="n">
        <v>0</v>
      </c>
      <c r="L1001" s="11" t="b">
        <f aca="false">FALSE()</f>
        <v>0</v>
      </c>
    </row>
    <row r="1002" customFormat="false" ht="15" hidden="false" customHeight="false" outlineLevel="0" collapsed="false">
      <c r="A1002" s="4" t="s">
        <v>1209</v>
      </c>
      <c r="B1002" s="4" t="s">
        <v>102</v>
      </c>
      <c r="C1002" s="4" t="s">
        <v>205</v>
      </c>
      <c r="D1002" s="4" t="s">
        <v>206</v>
      </c>
      <c r="E1002" s="4" t="n">
        <v>46286.5453009259</v>
      </c>
      <c r="F1002" s="4" t="n">
        <v>27</v>
      </c>
      <c r="G1002" s="4" t="n">
        <v>27</v>
      </c>
      <c r="H1002" s="4" t="n">
        <v>25</v>
      </c>
      <c r="I1002" s="4" t="n">
        <v>2</v>
      </c>
      <c r="J1002" s="4" t="n">
        <v>0</v>
      </c>
      <c r="K1002" s="4" t="n">
        <v>0</v>
      </c>
      <c r="L1002" s="11" t="b">
        <f aca="false">FALSE()</f>
        <v>0</v>
      </c>
    </row>
    <row r="1003" customFormat="false" ht="15" hidden="false" customHeight="false" outlineLevel="0" collapsed="false">
      <c r="A1003" s="4" t="s">
        <v>1210</v>
      </c>
      <c r="B1003" s="4" t="s">
        <v>99</v>
      </c>
      <c r="C1003" s="4" t="s">
        <v>205</v>
      </c>
      <c r="D1003" s="4" t="s">
        <v>428</v>
      </c>
      <c r="E1003" s="4" t="n">
        <v>46286.5578125</v>
      </c>
      <c r="F1003" s="4" t="n">
        <v>30</v>
      </c>
      <c r="G1003" s="4" t="n">
        <v>30</v>
      </c>
      <c r="H1003" s="4" t="n">
        <v>28</v>
      </c>
      <c r="I1003" s="4" t="n">
        <v>0</v>
      </c>
      <c r="J1003" s="4" t="n">
        <v>2</v>
      </c>
      <c r="K1003" s="4" t="n">
        <v>0</v>
      </c>
      <c r="L1003" s="11" t="b">
        <f aca="false">FALSE()</f>
        <v>0</v>
      </c>
    </row>
    <row r="1004" customFormat="false" ht="15" hidden="false" customHeight="false" outlineLevel="0" collapsed="false">
      <c r="A1004" s="4" t="s">
        <v>1211</v>
      </c>
      <c r="B1004" s="4" t="s">
        <v>101</v>
      </c>
      <c r="C1004" s="4" t="s">
        <v>205</v>
      </c>
      <c r="D1004" s="4" t="s">
        <v>206</v>
      </c>
      <c r="E1004" s="4" t="n">
        <v>46286.5872916667</v>
      </c>
      <c r="F1004" s="4" t="n">
        <v>53</v>
      </c>
      <c r="G1004" s="4" t="n">
        <v>53</v>
      </c>
      <c r="H1004" s="4" t="n">
        <v>48</v>
      </c>
      <c r="I1004" s="4" t="n">
        <v>3</v>
      </c>
      <c r="J1004" s="4" t="n">
        <v>2</v>
      </c>
      <c r="K1004" s="4" t="n">
        <v>0</v>
      </c>
      <c r="L1004" s="11" t="b">
        <f aca="false">FALSE()</f>
        <v>0</v>
      </c>
    </row>
    <row r="1005" customFormat="false" ht="15" hidden="false" customHeight="false" outlineLevel="0" collapsed="false">
      <c r="A1005" s="4" t="s">
        <v>1212</v>
      </c>
      <c r="B1005" s="4" t="s">
        <v>103</v>
      </c>
      <c r="C1005" s="4" t="s">
        <v>205</v>
      </c>
      <c r="D1005" s="4" t="s">
        <v>206</v>
      </c>
      <c r="E1005" s="4" t="n">
        <v>46286.6296527778</v>
      </c>
      <c r="F1005" s="4" t="n">
        <v>26</v>
      </c>
      <c r="G1005" s="4" t="n">
        <v>26</v>
      </c>
      <c r="H1005" s="4" t="n">
        <v>25</v>
      </c>
      <c r="I1005" s="4" t="n">
        <v>0</v>
      </c>
      <c r="J1005" s="4" t="n">
        <v>1</v>
      </c>
      <c r="K1005" s="4" t="n">
        <v>0</v>
      </c>
      <c r="L1005" s="11" t="b">
        <f aca="false">FALSE()</f>
        <v>0</v>
      </c>
    </row>
    <row r="1006" customFormat="false" ht="15" hidden="false" customHeight="false" outlineLevel="0" collapsed="false">
      <c r="A1006" s="4" t="s">
        <v>1213</v>
      </c>
      <c r="B1006" s="4" t="s">
        <v>100</v>
      </c>
      <c r="C1006" s="4" t="s">
        <v>205</v>
      </c>
      <c r="D1006" s="4" t="s">
        <v>206</v>
      </c>
      <c r="E1006" s="4" t="n">
        <v>46286.6700578704</v>
      </c>
      <c r="F1006" s="4" t="n">
        <v>75</v>
      </c>
      <c r="G1006" s="4" t="n">
        <v>75</v>
      </c>
      <c r="H1006" s="4" t="n">
        <v>75</v>
      </c>
      <c r="I1006" s="4" t="n">
        <v>0</v>
      </c>
      <c r="J1006" s="4" t="n">
        <v>0</v>
      </c>
      <c r="K1006" s="4" t="n">
        <v>0</v>
      </c>
      <c r="L1006" s="11" t="b">
        <f aca="false">FALSE()</f>
        <v>0</v>
      </c>
    </row>
    <row r="1007" customFormat="false" ht="15" hidden="false" customHeight="false" outlineLevel="0" collapsed="false">
      <c r="A1007" s="4" t="s">
        <v>1214</v>
      </c>
      <c r="B1007" s="4" t="s">
        <v>101</v>
      </c>
      <c r="C1007" s="4" t="s">
        <v>205</v>
      </c>
      <c r="D1007" s="4" t="s">
        <v>206</v>
      </c>
      <c r="E1007" s="4" t="n">
        <v>46286.7538657407</v>
      </c>
      <c r="F1007" s="4" t="n">
        <v>49</v>
      </c>
      <c r="G1007" s="4" t="n">
        <v>49</v>
      </c>
      <c r="H1007" s="4" t="n">
        <v>48</v>
      </c>
      <c r="I1007" s="4" t="n">
        <v>1</v>
      </c>
      <c r="J1007" s="4" t="n">
        <v>0</v>
      </c>
      <c r="K1007" s="4" t="n">
        <v>0</v>
      </c>
      <c r="L1007" s="11" t="b">
        <f aca="false">FALSE()</f>
        <v>0</v>
      </c>
    </row>
    <row r="1008" customFormat="false" ht="15" hidden="false" customHeight="false" outlineLevel="0" collapsed="false">
      <c r="A1008" s="4" t="s">
        <v>1215</v>
      </c>
      <c r="B1008" s="4" t="s">
        <v>104</v>
      </c>
      <c r="C1008" s="4" t="s">
        <v>205</v>
      </c>
      <c r="D1008" s="4" t="s">
        <v>206</v>
      </c>
      <c r="E1008" s="4" t="n">
        <v>46286.7561458333</v>
      </c>
      <c r="F1008" s="4" t="n">
        <v>21</v>
      </c>
      <c r="G1008" s="4" t="n">
        <v>21</v>
      </c>
      <c r="H1008" s="4" t="n">
        <v>21</v>
      </c>
      <c r="I1008" s="4" t="n">
        <v>0</v>
      </c>
      <c r="J1008" s="4" t="n">
        <v>0</v>
      </c>
      <c r="K1008" s="4" t="n">
        <v>0</v>
      </c>
      <c r="L1008" s="11" t="b">
        <f aca="false">FALSE()</f>
        <v>0</v>
      </c>
    </row>
    <row r="1009" customFormat="false" ht="15" hidden="false" customHeight="false" outlineLevel="0" collapsed="false">
      <c r="A1009" s="4" t="s">
        <v>1216</v>
      </c>
      <c r="B1009" s="4" t="s">
        <v>102</v>
      </c>
      <c r="C1009" s="4" t="s">
        <v>205</v>
      </c>
      <c r="D1009" s="4" t="s">
        <v>206</v>
      </c>
      <c r="E1009" s="4" t="n">
        <v>46286.7958680556</v>
      </c>
      <c r="F1009" s="4" t="n">
        <v>27</v>
      </c>
      <c r="G1009" s="4" t="n">
        <v>27</v>
      </c>
      <c r="H1009" s="4" t="n">
        <v>24</v>
      </c>
      <c r="I1009" s="4" t="n">
        <v>3</v>
      </c>
      <c r="J1009" s="4" t="n">
        <v>0</v>
      </c>
      <c r="K1009" s="4" t="n">
        <v>0</v>
      </c>
      <c r="L1009" s="11" t="b">
        <f aca="false">FALSE()</f>
        <v>0</v>
      </c>
    </row>
    <row r="1010" customFormat="false" ht="15" hidden="false" customHeight="false" outlineLevel="0" collapsed="false">
      <c r="A1010" s="4" t="s">
        <v>1217</v>
      </c>
      <c r="B1010" s="4" t="s">
        <v>100</v>
      </c>
      <c r="C1010" s="4" t="s">
        <v>205</v>
      </c>
      <c r="D1010" s="4" t="s">
        <v>206</v>
      </c>
      <c r="E1010" s="4" t="n">
        <v>46286.8371180556</v>
      </c>
      <c r="F1010" s="4" t="n">
        <v>69</v>
      </c>
      <c r="G1010" s="4" t="n">
        <v>69</v>
      </c>
      <c r="H1010" s="4" t="n">
        <v>66</v>
      </c>
      <c r="I1010" s="4" t="n">
        <v>2</v>
      </c>
      <c r="J1010" s="4" t="n">
        <v>0</v>
      </c>
      <c r="K1010" s="4" t="n">
        <v>1</v>
      </c>
      <c r="L1010" s="11" t="b">
        <f aca="false">FALSE()</f>
        <v>0</v>
      </c>
    </row>
    <row r="1011" customFormat="false" ht="15" hidden="false" customHeight="false" outlineLevel="0" collapsed="false">
      <c r="A1011" s="4" t="s">
        <v>1218</v>
      </c>
      <c r="B1011" s="4" t="s">
        <v>103</v>
      </c>
      <c r="C1011" s="4" t="s">
        <v>205</v>
      </c>
      <c r="D1011" s="4" t="s">
        <v>206</v>
      </c>
      <c r="E1011" s="4" t="n">
        <v>46286.8802546296</v>
      </c>
      <c r="F1011" s="4" t="n">
        <v>23</v>
      </c>
      <c r="G1011" s="4" t="n">
        <v>23</v>
      </c>
      <c r="H1011" s="4" t="n">
        <v>21</v>
      </c>
      <c r="I1011" s="4" t="n">
        <v>2</v>
      </c>
      <c r="J1011" s="4" t="n">
        <v>0</v>
      </c>
      <c r="K1011" s="4" t="n">
        <v>0</v>
      </c>
      <c r="L1011" s="11" t="b">
        <f aca="false">FALSE()</f>
        <v>0</v>
      </c>
    </row>
    <row r="1012" customFormat="false" ht="15" hidden="false" customHeight="false" outlineLevel="0" collapsed="false">
      <c r="A1012" s="4" t="s">
        <v>1219</v>
      </c>
      <c r="B1012" s="4" t="s">
        <v>101</v>
      </c>
      <c r="C1012" s="4" t="s">
        <v>205</v>
      </c>
      <c r="D1012" s="4" t="s">
        <v>206</v>
      </c>
      <c r="E1012" s="4" t="n">
        <v>46286.9196412037</v>
      </c>
      <c r="F1012" s="4" t="n">
        <v>40</v>
      </c>
      <c r="G1012" s="4" t="n">
        <v>40</v>
      </c>
      <c r="H1012" s="4" t="n">
        <v>37</v>
      </c>
      <c r="I1012" s="4" t="n">
        <v>2</v>
      </c>
      <c r="J1012" s="4" t="n">
        <v>0</v>
      </c>
      <c r="K1012" s="4" t="n">
        <v>1</v>
      </c>
      <c r="L1012" s="11" t="b">
        <f aca="false">FALSE()</f>
        <v>0</v>
      </c>
    </row>
    <row r="1013" customFormat="false" ht="15" hidden="false" customHeight="false" outlineLevel="0" collapsed="false">
      <c r="A1013" s="4" t="s">
        <v>1220</v>
      </c>
      <c r="B1013" s="4" t="s">
        <v>100</v>
      </c>
      <c r="C1013" s="4" t="s">
        <v>205</v>
      </c>
      <c r="D1013" s="4" t="s">
        <v>206</v>
      </c>
      <c r="E1013" s="4" t="n">
        <v>46287.0025231482</v>
      </c>
      <c r="F1013" s="4" t="n">
        <v>41</v>
      </c>
      <c r="G1013" s="4" t="n">
        <v>41</v>
      </c>
      <c r="H1013" s="4" t="n">
        <v>41</v>
      </c>
      <c r="I1013" s="4" t="n">
        <v>0</v>
      </c>
      <c r="J1013" s="4" t="n">
        <v>0</v>
      </c>
      <c r="K1013" s="4" t="n">
        <v>0</v>
      </c>
      <c r="L1013" s="11" t="b">
        <f aca="false">FALSE()</f>
        <v>0</v>
      </c>
    </row>
    <row r="1014" customFormat="false" ht="15" hidden="false" customHeight="false" outlineLevel="0" collapsed="false">
      <c r="A1014" s="4" t="s">
        <v>1221</v>
      </c>
      <c r="B1014" s="4" t="s">
        <v>102</v>
      </c>
      <c r="C1014" s="4" t="s">
        <v>205</v>
      </c>
      <c r="D1014" s="4" t="s">
        <v>206</v>
      </c>
      <c r="E1014" s="4" t="n">
        <v>46287.0461226852</v>
      </c>
      <c r="F1014" s="4" t="n">
        <v>14</v>
      </c>
      <c r="G1014" s="4" t="n">
        <v>14</v>
      </c>
      <c r="H1014" s="4" t="n">
        <v>13</v>
      </c>
      <c r="I1014" s="4" t="n">
        <v>1</v>
      </c>
      <c r="J1014" s="4" t="n">
        <v>0</v>
      </c>
      <c r="K1014" s="4" t="n">
        <v>0</v>
      </c>
      <c r="L1014" s="11" t="b">
        <f aca="false">FALSE()</f>
        <v>0</v>
      </c>
    </row>
    <row r="1015" customFormat="false" ht="15" hidden="false" customHeight="false" outlineLevel="0" collapsed="false">
      <c r="A1015" s="4" t="s">
        <v>1222</v>
      </c>
      <c r="B1015" s="4" t="s">
        <v>101</v>
      </c>
      <c r="C1015" s="4" t="s">
        <v>205</v>
      </c>
      <c r="D1015" s="4" t="s">
        <v>206</v>
      </c>
      <c r="E1015" s="4" t="n">
        <v>46287.0869328704</v>
      </c>
      <c r="F1015" s="4" t="n">
        <v>18</v>
      </c>
      <c r="G1015" s="4" t="n">
        <v>18</v>
      </c>
      <c r="H1015" s="4" t="n">
        <v>15</v>
      </c>
      <c r="I1015" s="4" t="n">
        <v>3</v>
      </c>
      <c r="J1015" s="4" t="n">
        <v>0</v>
      </c>
      <c r="K1015" s="4" t="n">
        <v>0</v>
      </c>
      <c r="L1015" s="11" t="b">
        <f aca="false">FALSE()</f>
        <v>0</v>
      </c>
    </row>
    <row r="1016" customFormat="false" ht="15" hidden="false" customHeight="false" outlineLevel="0" collapsed="false">
      <c r="A1016" s="4" t="s">
        <v>1223</v>
      </c>
      <c r="B1016" s="4" t="s">
        <v>103</v>
      </c>
      <c r="C1016" s="4" t="s">
        <v>205</v>
      </c>
      <c r="D1016" s="4" t="s">
        <v>206</v>
      </c>
      <c r="E1016" s="4" t="n">
        <v>46287.129525463</v>
      </c>
      <c r="F1016" s="4" t="n">
        <v>13</v>
      </c>
      <c r="G1016" s="4" t="n">
        <v>13</v>
      </c>
      <c r="H1016" s="4" t="n">
        <v>10</v>
      </c>
      <c r="I1016" s="4" t="n">
        <v>3</v>
      </c>
      <c r="J1016" s="4" t="n">
        <v>0</v>
      </c>
      <c r="K1016" s="4" t="n">
        <v>0</v>
      </c>
      <c r="L1016" s="11" t="b">
        <f aca="false">FALSE()</f>
        <v>0</v>
      </c>
    </row>
    <row r="1017" customFormat="false" ht="15" hidden="false" customHeight="false" outlineLevel="0" collapsed="false">
      <c r="A1017" s="4" t="s">
        <v>1224</v>
      </c>
      <c r="B1017" s="4" t="s">
        <v>100</v>
      </c>
      <c r="C1017" s="4" t="s">
        <v>205</v>
      </c>
      <c r="D1017" s="4" t="s">
        <v>206</v>
      </c>
      <c r="E1017" s="4" t="n">
        <v>46287.169537037</v>
      </c>
      <c r="F1017" s="4" t="n">
        <v>17</v>
      </c>
      <c r="G1017" s="4" t="n">
        <v>17</v>
      </c>
      <c r="H1017" s="4" t="n">
        <v>12</v>
      </c>
      <c r="I1017" s="4" t="n">
        <v>3</v>
      </c>
      <c r="J1017" s="4" t="n">
        <v>0</v>
      </c>
      <c r="K1017" s="4" t="n">
        <v>2</v>
      </c>
      <c r="L1017" s="11" t="b">
        <f aca="false">FALSE()</f>
        <v>0</v>
      </c>
    </row>
    <row r="1018" customFormat="false" ht="15" hidden="false" customHeight="false" outlineLevel="0" collapsed="false">
      <c r="A1018" s="4" t="s">
        <v>1225</v>
      </c>
      <c r="B1018" s="4" t="s">
        <v>99</v>
      </c>
      <c r="C1018" s="4" t="s">
        <v>205</v>
      </c>
      <c r="D1018" s="4" t="s">
        <v>206</v>
      </c>
      <c r="E1018" s="4" t="n">
        <v>46287.2146990741</v>
      </c>
      <c r="F1018" s="4" t="n">
        <v>32</v>
      </c>
      <c r="G1018" s="4" t="n">
        <v>32</v>
      </c>
      <c r="H1018" s="4" t="n">
        <v>31</v>
      </c>
      <c r="I1018" s="4" t="n">
        <v>1</v>
      </c>
      <c r="J1018" s="4" t="n">
        <v>0</v>
      </c>
      <c r="K1018" s="4" t="n">
        <v>0</v>
      </c>
      <c r="L1018" s="11" t="b">
        <f aca="false">FALSE()</f>
        <v>0</v>
      </c>
    </row>
    <row r="1019" customFormat="false" ht="15" hidden="false" customHeight="false" outlineLevel="0" collapsed="false">
      <c r="A1019" s="4" t="s">
        <v>1226</v>
      </c>
      <c r="B1019" s="4" t="s">
        <v>101</v>
      </c>
      <c r="C1019" s="4" t="s">
        <v>205</v>
      </c>
      <c r="D1019" s="4" t="s">
        <v>206</v>
      </c>
      <c r="E1019" s="4" t="n">
        <v>46287.2528819444</v>
      </c>
      <c r="F1019" s="4" t="n">
        <v>12</v>
      </c>
      <c r="G1019" s="4" t="n">
        <v>12</v>
      </c>
      <c r="H1019" s="4" t="n">
        <v>11</v>
      </c>
      <c r="I1019" s="4" t="n">
        <v>1</v>
      </c>
      <c r="J1019" s="4" t="n">
        <v>0</v>
      </c>
      <c r="K1019" s="4" t="n">
        <v>0</v>
      </c>
      <c r="L1019" s="11" t="b">
        <f aca="false">FALSE()</f>
        <v>0</v>
      </c>
    </row>
    <row r="1020" customFormat="false" ht="15" hidden="false" customHeight="false" outlineLevel="0" collapsed="false">
      <c r="A1020" s="4" t="s">
        <v>1227</v>
      </c>
      <c r="B1020" s="4" t="s">
        <v>104</v>
      </c>
      <c r="C1020" s="4" t="s">
        <v>205</v>
      </c>
      <c r="D1020" s="4" t="s">
        <v>206</v>
      </c>
      <c r="E1020" s="4" t="n">
        <v>46287.2559606481</v>
      </c>
      <c r="F1020" s="4" t="n">
        <v>14</v>
      </c>
      <c r="G1020" s="4" t="n">
        <v>14</v>
      </c>
      <c r="H1020" s="4" t="n">
        <v>12</v>
      </c>
      <c r="I1020" s="4" t="n">
        <v>2</v>
      </c>
      <c r="J1020" s="4" t="n">
        <v>0</v>
      </c>
      <c r="K1020" s="4" t="n">
        <v>0</v>
      </c>
      <c r="L1020" s="11" t="b">
        <f aca="false">FALSE()</f>
        <v>0</v>
      </c>
    </row>
    <row r="1021" customFormat="false" ht="15" hidden="false" customHeight="false" outlineLevel="0" collapsed="false">
      <c r="A1021" s="4" t="s">
        <v>1228</v>
      </c>
      <c r="B1021" s="4" t="s">
        <v>102</v>
      </c>
      <c r="C1021" s="4" t="s">
        <v>205</v>
      </c>
      <c r="D1021" s="4" t="s">
        <v>206</v>
      </c>
      <c r="E1021" s="4" t="n">
        <v>46287.2964583333</v>
      </c>
      <c r="F1021" s="4" t="n">
        <v>3</v>
      </c>
      <c r="G1021" s="4" t="n">
        <v>3</v>
      </c>
      <c r="H1021" s="4" t="n">
        <v>0</v>
      </c>
      <c r="I1021" s="4" t="n">
        <v>3</v>
      </c>
      <c r="J1021" s="4" t="n">
        <v>0</v>
      </c>
      <c r="K1021" s="4" t="n">
        <v>0</v>
      </c>
      <c r="L1021" s="11" t="b">
        <f aca="false">FALSE()</f>
        <v>0</v>
      </c>
    </row>
    <row r="1022" customFormat="false" ht="15" hidden="false" customHeight="false" outlineLevel="0" collapsed="false">
      <c r="A1022" s="4" t="s">
        <v>1229</v>
      </c>
      <c r="B1022" s="4" t="s">
        <v>100</v>
      </c>
      <c r="C1022" s="4" t="s">
        <v>205</v>
      </c>
      <c r="D1022" s="4" t="s">
        <v>206</v>
      </c>
      <c r="E1022" s="4" t="n">
        <v>46287.3354282407</v>
      </c>
      <c r="F1022" s="4" t="n">
        <v>35</v>
      </c>
      <c r="G1022" s="4" t="n">
        <v>35</v>
      </c>
      <c r="H1022" s="4" t="n">
        <v>33</v>
      </c>
      <c r="I1022" s="4" t="n">
        <v>2</v>
      </c>
      <c r="J1022" s="4" t="n">
        <v>0</v>
      </c>
      <c r="K1022" s="4" t="n">
        <v>0</v>
      </c>
      <c r="L1022" s="11" t="b">
        <f aca="false">TRUE()</f>
        <v>1</v>
      </c>
    </row>
    <row r="1023" customFormat="false" ht="15" hidden="false" customHeight="false" outlineLevel="0" collapsed="false">
      <c r="A1023" s="4" t="s">
        <v>1230</v>
      </c>
      <c r="B1023" s="4" t="s">
        <v>103</v>
      </c>
      <c r="C1023" s="4" t="s">
        <v>205</v>
      </c>
      <c r="D1023" s="4" t="s">
        <v>206</v>
      </c>
      <c r="E1023" s="4" t="n">
        <v>46287.3794444444</v>
      </c>
      <c r="F1023" s="4" t="n">
        <v>16</v>
      </c>
      <c r="G1023" s="4" t="n">
        <v>16</v>
      </c>
      <c r="H1023" s="4" t="n">
        <v>14</v>
      </c>
      <c r="I1023" s="4" t="n">
        <v>2</v>
      </c>
      <c r="J1023" s="4" t="n">
        <v>0</v>
      </c>
      <c r="K1023" s="4" t="n">
        <v>0</v>
      </c>
      <c r="L1023" s="11" t="b">
        <f aca="false">FALSE()</f>
        <v>0</v>
      </c>
    </row>
    <row r="1024" customFormat="false" ht="15" hidden="false" customHeight="false" outlineLevel="0" collapsed="false">
      <c r="A1024" s="4" t="s">
        <v>1231</v>
      </c>
      <c r="B1024" s="4" t="s">
        <v>101</v>
      </c>
      <c r="C1024" s="4" t="s">
        <v>205</v>
      </c>
      <c r="D1024" s="4" t="s">
        <v>206</v>
      </c>
      <c r="E1024" s="4" t="n">
        <v>46287.4197337963</v>
      </c>
      <c r="F1024" s="4" t="n">
        <v>39</v>
      </c>
      <c r="G1024" s="4" t="n">
        <v>39</v>
      </c>
      <c r="H1024" s="4" t="n">
        <v>38</v>
      </c>
      <c r="I1024" s="4" t="n">
        <v>1</v>
      </c>
      <c r="J1024" s="4" t="n">
        <v>0</v>
      </c>
      <c r="K1024" s="4" t="n">
        <v>0</v>
      </c>
      <c r="L1024" s="11" t="b">
        <f aca="false">FALSE()</f>
        <v>0</v>
      </c>
    </row>
    <row r="1025" customFormat="false" ht="15" hidden="false" customHeight="false" outlineLevel="0" collapsed="false">
      <c r="A1025" s="4" t="s">
        <v>1232</v>
      </c>
      <c r="B1025" s="4" t="s">
        <v>100</v>
      </c>
      <c r="C1025" s="4" t="s">
        <v>205</v>
      </c>
      <c r="D1025" s="4" t="s">
        <v>206</v>
      </c>
      <c r="E1025" s="4" t="n">
        <v>46287.5031134259</v>
      </c>
      <c r="F1025" s="4" t="n">
        <v>75</v>
      </c>
      <c r="G1025" s="4" t="n">
        <v>75</v>
      </c>
      <c r="H1025" s="4" t="n">
        <v>71</v>
      </c>
      <c r="I1025" s="4" t="n">
        <v>2</v>
      </c>
      <c r="J1025" s="4" t="n">
        <v>1</v>
      </c>
      <c r="K1025" s="4" t="n">
        <v>1</v>
      </c>
      <c r="L1025" s="11" t="b">
        <f aca="false">TRUE()</f>
        <v>1</v>
      </c>
    </row>
    <row r="1026" customFormat="false" ht="15" hidden="false" customHeight="false" outlineLevel="0" collapsed="false">
      <c r="A1026" s="4" t="s">
        <v>1233</v>
      </c>
      <c r="B1026" s="4" t="s">
        <v>102</v>
      </c>
      <c r="C1026" s="4" t="s">
        <v>205</v>
      </c>
      <c r="D1026" s="4" t="s">
        <v>206</v>
      </c>
      <c r="E1026" s="4" t="n">
        <v>46287.5466435185</v>
      </c>
      <c r="F1026" s="4" t="n">
        <v>2</v>
      </c>
      <c r="G1026" s="4" t="n">
        <v>2</v>
      </c>
      <c r="H1026" s="4" t="n">
        <v>0</v>
      </c>
      <c r="I1026" s="4" t="n">
        <v>2</v>
      </c>
      <c r="J1026" s="4" t="n">
        <v>0</v>
      </c>
      <c r="K1026" s="4" t="n">
        <v>0</v>
      </c>
      <c r="L1026" s="11" t="b">
        <f aca="false">FALSE()</f>
        <v>0</v>
      </c>
    </row>
    <row r="1027" customFormat="false" ht="15" hidden="false" customHeight="false" outlineLevel="0" collapsed="false">
      <c r="A1027" s="4" t="s">
        <v>1234</v>
      </c>
      <c r="B1027" s="4" t="s">
        <v>101</v>
      </c>
      <c r="C1027" s="4" t="s">
        <v>205</v>
      </c>
      <c r="D1027" s="4" t="s">
        <v>206</v>
      </c>
      <c r="E1027" s="4" t="n">
        <v>46287.5866087963</v>
      </c>
      <c r="F1027" s="4" t="n">
        <v>50</v>
      </c>
      <c r="G1027" s="4" t="n">
        <v>50</v>
      </c>
      <c r="H1027" s="4" t="n">
        <v>48</v>
      </c>
      <c r="I1027" s="4" t="n">
        <v>1</v>
      </c>
      <c r="J1027" s="4" t="n">
        <v>0</v>
      </c>
      <c r="K1027" s="4" t="n">
        <v>1</v>
      </c>
      <c r="L1027" s="11" t="b">
        <f aca="false">FALSE()</f>
        <v>0</v>
      </c>
    </row>
    <row r="1028" customFormat="false" ht="15" hidden="false" customHeight="false" outlineLevel="0" collapsed="false">
      <c r="A1028" s="4" t="s">
        <v>1235</v>
      </c>
      <c r="B1028" s="4" t="s">
        <v>103</v>
      </c>
      <c r="C1028" s="4" t="s">
        <v>205</v>
      </c>
      <c r="D1028" s="4" t="s">
        <v>206</v>
      </c>
      <c r="E1028" s="4" t="n">
        <v>46287.6292824074</v>
      </c>
      <c r="F1028" s="4" t="n">
        <v>29</v>
      </c>
      <c r="G1028" s="4" t="n">
        <v>29</v>
      </c>
      <c r="H1028" s="4" t="n">
        <v>29</v>
      </c>
      <c r="I1028" s="4" t="n">
        <v>0</v>
      </c>
      <c r="J1028" s="4" t="n">
        <v>0</v>
      </c>
      <c r="K1028" s="4" t="n">
        <v>0</v>
      </c>
      <c r="L1028" s="11" t="b">
        <f aca="false">FALSE()</f>
        <v>0</v>
      </c>
    </row>
    <row r="1029" customFormat="false" ht="15" hidden="false" customHeight="false" outlineLevel="0" collapsed="false">
      <c r="A1029" s="4" t="s">
        <v>1236</v>
      </c>
      <c r="B1029" s="4" t="s">
        <v>100</v>
      </c>
      <c r="C1029" s="4" t="s">
        <v>205</v>
      </c>
      <c r="D1029" s="4" t="s">
        <v>206</v>
      </c>
      <c r="E1029" s="4" t="n">
        <v>46287.6696064815</v>
      </c>
      <c r="F1029" s="4" t="n">
        <v>81</v>
      </c>
      <c r="G1029" s="4" t="n">
        <v>81</v>
      </c>
      <c r="H1029" s="4" t="n">
        <v>79</v>
      </c>
      <c r="I1029" s="4" t="n">
        <v>2</v>
      </c>
      <c r="J1029" s="4" t="n">
        <v>0</v>
      </c>
      <c r="K1029" s="4" t="n">
        <v>0</v>
      </c>
      <c r="L1029" s="11" t="b">
        <f aca="false">FALSE()</f>
        <v>0</v>
      </c>
    </row>
    <row r="1030" customFormat="false" ht="15" hidden="false" customHeight="false" outlineLevel="0" collapsed="false">
      <c r="A1030" s="4" t="s">
        <v>1237</v>
      </c>
      <c r="B1030" s="4" t="s">
        <v>101</v>
      </c>
      <c r="C1030" s="4" t="s">
        <v>205</v>
      </c>
      <c r="D1030" s="4" t="s">
        <v>206</v>
      </c>
      <c r="E1030" s="4" t="n">
        <v>46287.7534722222</v>
      </c>
      <c r="F1030" s="4" t="n">
        <v>49</v>
      </c>
      <c r="G1030" s="4" t="n">
        <v>49</v>
      </c>
      <c r="H1030" s="4" t="n">
        <v>46</v>
      </c>
      <c r="I1030" s="4" t="n">
        <v>2</v>
      </c>
      <c r="J1030" s="4" t="n">
        <v>1</v>
      </c>
      <c r="K1030" s="4" t="n">
        <v>0</v>
      </c>
      <c r="L1030" s="11" t="b">
        <f aca="false">FALSE()</f>
        <v>0</v>
      </c>
    </row>
    <row r="1031" customFormat="false" ht="15" hidden="false" customHeight="false" outlineLevel="0" collapsed="false">
      <c r="A1031" s="4" t="s">
        <v>1238</v>
      </c>
      <c r="B1031" s="4" t="s">
        <v>104</v>
      </c>
      <c r="C1031" s="4" t="s">
        <v>205</v>
      </c>
      <c r="D1031" s="4" t="s">
        <v>206</v>
      </c>
      <c r="E1031" s="4" t="n">
        <v>46287.7562384259</v>
      </c>
      <c r="F1031" s="4" t="n">
        <v>22</v>
      </c>
      <c r="G1031" s="4" t="n">
        <v>22</v>
      </c>
      <c r="H1031" s="4" t="n">
        <v>22</v>
      </c>
      <c r="I1031" s="4" t="n">
        <v>0</v>
      </c>
      <c r="J1031" s="4" t="n">
        <v>0</v>
      </c>
      <c r="K1031" s="4" t="n">
        <v>0</v>
      </c>
      <c r="L1031" s="11" t="b">
        <f aca="false">FALSE()</f>
        <v>0</v>
      </c>
    </row>
    <row r="1032" customFormat="false" ht="15" hidden="false" customHeight="false" outlineLevel="0" collapsed="false">
      <c r="A1032" s="4" t="s">
        <v>1239</v>
      </c>
      <c r="B1032" s="4" t="s">
        <v>102</v>
      </c>
      <c r="C1032" s="4" t="s">
        <v>205</v>
      </c>
      <c r="D1032" s="4" t="s">
        <v>206</v>
      </c>
      <c r="E1032" s="4" t="n">
        <v>46287.7960648148</v>
      </c>
      <c r="F1032" s="4" t="n">
        <v>2</v>
      </c>
      <c r="G1032" s="4" t="n">
        <v>2</v>
      </c>
      <c r="H1032" s="4" t="n">
        <v>0</v>
      </c>
      <c r="I1032" s="4" t="n">
        <v>2</v>
      </c>
      <c r="J1032" s="4" t="n">
        <v>0</v>
      </c>
      <c r="K1032" s="4" t="n">
        <v>0</v>
      </c>
      <c r="L1032" s="11" t="b">
        <f aca="false">FALSE()</f>
        <v>0</v>
      </c>
    </row>
    <row r="1033" customFormat="false" ht="15" hidden="false" customHeight="false" outlineLevel="0" collapsed="false">
      <c r="A1033" s="4" t="s">
        <v>1240</v>
      </c>
      <c r="B1033" s="4" t="s">
        <v>100</v>
      </c>
      <c r="C1033" s="4" t="s">
        <v>205</v>
      </c>
      <c r="D1033" s="4" t="s">
        <v>206</v>
      </c>
      <c r="E1033" s="4" t="n">
        <v>46287.8361342593</v>
      </c>
      <c r="F1033" s="4" t="n">
        <v>72</v>
      </c>
      <c r="G1033" s="4" t="n">
        <v>72</v>
      </c>
      <c r="H1033" s="4" t="n">
        <v>68</v>
      </c>
      <c r="I1033" s="4" t="n">
        <v>3</v>
      </c>
      <c r="J1033" s="4" t="n">
        <v>1</v>
      </c>
      <c r="K1033" s="4" t="n">
        <v>0</v>
      </c>
      <c r="L1033" s="11" t="b">
        <f aca="false">FALSE()</f>
        <v>0</v>
      </c>
    </row>
    <row r="1034" customFormat="false" ht="15" hidden="false" customHeight="false" outlineLevel="0" collapsed="false">
      <c r="A1034" s="4" t="s">
        <v>1241</v>
      </c>
      <c r="B1034" s="4" t="s">
        <v>103</v>
      </c>
      <c r="C1034" s="4" t="s">
        <v>205</v>
      </c>
      <c r="D1034" s="4" t="s">
        <v>206</v>
      </c>
      <c r="E1034" s="4" t="n">
        <v>46287.8804861111</v>
      </c>
      <c r="F1034" s="4" t="n">
        <v>28</v>
      </c>
      <c r="G1034" s="4" t="n">
        <v>28</v>
      </c>
      <c r="H1034" s="4" t="n">
        <v>28</v>
      </c>
      <c r="I1034" s="4" t="n">
        <v>0</v>
      </c>
      <c r="J1034" s="4" t="n">
        <v>0</v>
      </c>
      <c r="K1034" s="4" t="n">
        <v>0</v>
      </c>
      <c r="L1034" s="11" t="b">
        <f aca="false">FALSE()</f>
        <v>0</v>
      </c>
    </row>
    <row r="1035" customFormat="false" ht="15" hidden="false" customHeight="false" outlineLevel="0" collapsed="false">
      <c r="A1035" s="4" t="s">
        <v>1242</v>
      </c>
      <c r="B1035" s="4" t="s">
        <v>101</v>
      </c>
      <c r="C1035" s="4" t="s">
        <v>205</v>
      </c>
      <c r="D1035" s="4" t="s">
        <v>206</v>
      </c>
      <c r="E1035" s="4" t="n">
        <v>46287.9194560185</v>
      </c>
      <c r="F1035" s="4" t="n">
        <v>40</v>
      </c>
      <c r="G1035" s="4" t="n">
        <v>40</v>
      </c>
      <c r="H1035" s="4" t="n">
        <v>37</v>
      </c>
      <c r="I1035" s="4" t="n">
        <v>2</v>
      </c>
      <c r="J1035" s="4" t="n">
        <v>1</v>
      </c>
      <c r="K1035" s="4" t="n">
        <v>0</v>
      </c>
      <c r="L1035" s="11" t="b">
        <f aca="false">FALSE()</f>
        <v>0</v>
      </c>
    </row>
    <row r="1036" customFormat="false" ht="15" hidden="false" customHeight="false" outlineLevel="0" collapsed="false">
      <c r="A1036" s="4" t="s">
        <v>1243</v>
      </c>
      <c r="B1036" s="4" t="s">
        <v>100</v>
      </c>
      <c r="C1036" s="4" t="s">
        <v>205</v>
      </c>
      <c r="D1036" s="4" t="s">
        <v>206</v>
      </c>
      <c r="E1036" s="4" t="n">
        <v>46288.0035069444</v>
      </c>
      <c r="F1036" s="4" t="n">
        <v>40</v>
      </c>
      <c r="G1036" s="4" t="n">
        <v>40</v>
      </c>
      <c r="H1036" s="4" t="n">
        <v>39</v>
      </c>
      <c r="I1036" s="4" t="n">
        <v>0</v>
      </c>
      <c r="J1036" s="4" t="n">
        <v>0</v>
      </c>
      <c r="K1036" s="4" t="n">
        <v>1</v>
      </c>
      <c r="L1036" s="11" t="b">
        <f aca="false">FALSE()</f>
        <v>0</v>
      </c>
    </row>
    <row r="1037" customFormat="false" ht="15" hidden="false" customHeight="false" outlineLevel="0" collapsed="false">
      <c r="A1037" s="4" t="s">
        <v>1244</v>
      </c>
      <c r="B1037" s="4" t="s">
        <v>102</v>
      </c>
      <c r="C1037" s="4" t="s">
        <v>205</v>
      </c>
      <c r="D1037" s="4" t="s">
        <v>206</v>
      </c>
      <c r="E1037" s="4" t="n">
        <v>46288.0462962963</v>
      </c>
      <c r="F1037" s="4" t="n">
        <v>2</v>
      </c>
      <c r="G1037" s="4" t="n">
        <v>2</v>
      </c>
      <c r="H1037" s="4" t="n">
        <v>0</v>
      </c>
      <c r="I1037" s="4" t="n">
        <v>2</v>
      </c>
      <c r="J1037" s="4" t="n">
        <v>0</v>
      </c>
      <c r="K1037" s="4" t="n">
        <v>0</v>
      </c>
      <c r="L1037" s="11" t="b">
        <f aca="false">FALSE()</f>
        <v>0</v>
      </c>
    </row>
    <row r="1038" customFormat="false" ht="15" hidden="false" customHeight="false" outlineLevel="0" collapsed="false">
      <c r="A1038" s="4" t="s">
        <v>1245</v>
      </c>
      <c r="B1038" s="4" t="s">
        <v>101</v>
      </c>
      <c r="C1038" s="4" t="s">
        <v>205</v>
      </c>
      <c r="D1038" s="4" t="s">
        <v>206</v>
      </c>
      <c r="E1038" s="4" t="n">
        <v>46288.087650463</v>
      </c>
      <c r="F1038" s="4" t="n">
        <v>15</v>
      </c>
      <c r="G1038" s="4" t="n">
        <v>15</v>
      </c>
      <c r="H1038" s="4" t="n">
        <v>13</v>
      </c>
      <c r="I1038" s="4" t="n">
        <v>2</v>
      </c>
      <c r="J1038" s="4" t="n">
        <v>0</v>
      </c>
      <c r="K1038" s="4" t="n">
        <v>0</v>
      </c>
      <c r="L1038" s="11" t="b">
        <f aca="false">FALSE()</f>
        <v>0</v>
      </c>
    </row>
    <row r="1039" customFormat="false" ht="15" hidden="false" customHeight="false" outlineLevel="0" collapsed="false">
      <c r="A1039" s="4" t="s">
        <v>1246</v>
      </c>
      <c r="B1039" s="4" t="s">
        <v>103</v>
      </c>
      <c r="C1039" s="4" t="s">
        <v>205</v>
      </c>
      <c r="D1039" s="4" t="s">
        <v>206</v>
      </c>
      <c r="E1039" s="4" t="n">
        <v>46288.1302893519</v>
      </c>
      <c r="F1039" s="4" t="n">
        <v>10</v>
      </c>
      <c r="G1039" s="4" t="n">
        <v>10</v>
      </c>
      <c r="H1039" s="4" t="n">
        <v>8</v>
      </c>
      <c r="I1039" s="4" t="n">
        <v>2</v>
      </c>
      <c r="J1039" s="4" t="n">
        <v>0</v>
      </c>
      <c r="K1039" s="4" t="n">
        <v>0</v>
      </c>
      <c r="L1039" s="11" t="b">
        <f aca="false">FALSE()</f>
        <v>0</v>
      </c>
    </row>
    <row r="1040" customFormat="false" ht="15" hidden="false" customHeight="false" outlineLevel="0" collapsed="false">
      <c r="A1040" s="4" t="s">
        <v>1247</v>
      </c>
      <c r="B1040" s="4" t="s">
        <v>100</v>
      </c>
      <c r="C1040" s="4" t="s">
        <v>205</v>
      </c>
      <c r="D1040" s="4" t="s">
        <v>206</v>
      </c>
      <c r="E1040" s="4" t="n">
        <v>46288.1703935185</v>
      </c>
      <c r="F1040" s="4" t="n">
        <v>19</v>
      </c>
      <c r="G1040" s="4" t="n">
        <v>19</v>
      </c>
      <c r="H1040" s="4" t="n">
        <v>15</v>
      </c>
      <c r="I1040" s="4" t="n">
        <v>2</v>
      </c>
      <c r="J1040" s="4" t="n">
        <v>1</v>
      </c>
      <c r="K1040" s="4" t="n">
        <v>1</v>
      </c>
      <c r="L1040" s="11" t="b">
        <f aca="false">FALSE()</f>
        <v>0</v>
      </c>
    </row>
    <row r="1041" customFormat="false" ht="15" hidden="false" customHeight="false" outlineLevel="0" collapsed="false">
      <c r="A1041" s="4" t="s">
        <v>1248</v>
      </c>
      <c r="B1041" s="4" t="s">
        <v>99</v>
      </c>
      <c r="C1041" s="4" t="s">
        <v>205</v>
      </c>
      <c r="D1041" s="4" t="s">
        <v>206</v>
      </c>
      <c r="E1041" s="4" t="n">
        <v>46288.2136574074</v>
      </c>
      <c r="F1041" s="4" t="n">
        <v>33</v>
      </c>
      <c r="G1041" s="4" t="n">
        <v>33</v>
      </c>
      <c r="H1041" s="4" t="n">
        <v>32</v>
      </c>
      <c r="I1041" s="4" t="n">
        <v>0</v>
      </c>
      <c r="J1041" s="4" t="n">
        <v>1</v>
      </c>
      <c r="K1041" s="4" t="n">
        <v>0</v>
      </c>
      <c r="L1041" s="11" t="b">
        <f aca="false">FALSE()</f>
        <v>0</v>
      </c>
    </row>
    <row r="1042" customFormat="false" ht="15" hidden="false" customHeight="false" outlineLevel="0" collapsed="false">
      <c r="A1042" s="4" t="s">
        <v>1249</v>
      </c>
      <c r="B1042" s="4" t="s">
        <v>101</v>
      </c>
      <c r="C1042" s="4" t="s">
        <v>205</v>
      </c>
      <c r="D1042" s="4" t="s">
        <v>206</v>
      </c>
      <c r="E1042" s="4" t="n">
        <v>46288.2545023148</v>
      </c>
      <c r="F1042" s="4" t="n">
        <v>9</v>
      </c>
      <c r="G1042" s="4" t="n">
        <v>9</v>
      </c>
      <c r="H1042" s="4" t="n">
        <v>9</v>
      </c>
      <c r="I1042" s="4" t="n">
        <v>0</v>
      </c>
      <c r="J1042" s="4" t="n">
        <v>0</v>
      </c>
      <c r="K1042" s="4" t="n">
        <v>0</v>
      </c>
      <c r="L1042" s="11" t="b">
        <f aca="false">FALSE()</f>
        <v>0</v>
      </c>
    </row>
    <row r="1043" customFormat="false" ht="15" hidden="false" customHeight="false" outlineLevel="0" collapsed="false">
      <c r="A1043" s="4" t="s">
        <v>1250</v>
      </c>
      <c r="B1043" s="4" t="s">
        <v>104</v>
      </c>
      <c r="C1043" s="4" t="s">
        <v>205</v>
      </c>
      <c r="D1043" s="4" t="s">
        <v>206</v>
      </c>
      <c r="E1043" s="4" t="n">
        <v>46288.2569907407</v>
      </c>
      <c r="F1043" s="4" t="n">
        <v>13</v>
      </c>
      <c r="G1043" s="4" t="n">
        <v>13</v>
      </c>
      <c r="H1043" s="4" t="n">
        <v>12</v>
      </c>
      <c r="I1043" s="4" t="n">
        <v>1</v>
      </c>
      <c r="J1043" s="4" t="n">
        <v>0</v>
      </c>
      <c r="K1043" s="4" t="n">
        <v>0</v>
      </c>
      <c r="L1043" s="11" t="b">
        <f aca="false">FALSE()</f>
        <v>0</v>
      </c>
    </row>
    <row r="1044" customFormat="false" ht="15" hidden="false" customHeight="false" outlineLevel="0" collapsed="false">
      <c r="A1044" s="4" t="s">
        <v>1251</v>
      </c>
      <c r="B1044" s="4" t="s">
        <v>102</v>
      </c>
      <c r="C1044" s="4" t="s">
        <v>205</v>
      </c>
      <c r="D1044" s="4" t="s">
        <v>206</v>
      </c>
      <c r="E1044" s="4" t="n">
        <v>46288.2960069445</v>
      </c>
      <c r="F1044" s="4" t="n">
        <v>2</v>
      </c>
      <c r="G1044" s="4" t="n">
        <v>2</v>
      </c>
      <c r="H1044" s="4" t="n">
        <v>0</v>
      </c>
      <c r="I1044" s="4" t="n">
        <v>2</v>
      </c>
      <c r="J1044" s="4" t="n">
        <v>0</v>
      </c>
      <c r="K1044" s="4" t="n">
        <v>0</v>
      </c>
      <c r="L1044" s="11" t="b">
        <f aca="false">FALSE()</f>
        <v>0</v>
      </c>
    </row>
    <row r="1045" customFormat="false" ht="15" hidden="false" customHeight="false" outlineLevel="0" collapsed="false">
      <c r="A1045" s="4" t="s">
        <v>1252</v>
      </c>
      <c r="B1045" s="4" t="s">
        <v>100</v>
      </c>
      <c r="C1045" s="4" t="s">
        <v>205</v>
      </c>
      <c r="D1045" s="4" t="s">
        <v>206</v>
      </c>
      <c r="E1045" s="4" t="n">
        <v>46288.3363657407</v>
      </c>
      <c r="F1045" s="4" t="n">
        <v>32</v>
      </c>
      <c r="G1045" s="4" t="n">
        <v>32</v>
      </c>
      <c r="H1045" s="4" t="n">
        <v>32</v>
      </c>
      <c r="I1045" s="4" t="n">
        <v>0</v>
      </c>
      <c r="J1045" s="4" t="n">
        <v>0</v>
      </c>
      <c r="K1045" s="4" t="n">
        <v>0</v>
      </c>
      <c r="L1045" s="11" t="b">
        <f aca="false">FALSE()</f>
        <v>0</v>
      </c>
    </row>
    <row r="1046" customFormat="false" ht="15" hidden="false" customHeight="false" outlineLevel="0" collapsed="false">
      <c r="A1046" s="4" t="s">
        <v>1253</v>
      </c>
      <c r="B1046" s="4" t="s">
        <v>103</v>
      </c>
      <c r="C1046" s="4" t="s">
        <v>205</v>
      </c>
      <c r="D1046" s="4" t="s">
        <v>206</v>
      </c>
      <c r="E1046" s="4" t="n">
        <v>46288.3795833333</v>
      </c>
      <c r="F1046" s="4" t="n">
        <v>14</v>
      </c>
      <c r="G1046" s="4" t="n">
        <v>14</v>
      </c>
      <c r="H1046" s="4" t="n">
        <v>12</v>
      </c>
      <c r="I1046" s="4" t="n">
        <v>2</v>
      </c>
      <c r="J1046" s="4" t="n">
        <v>0</v>
      </c>
      <c r="K1046" s="4" t="n">
        <v>0</v>
      </c>
      <c r="L1046" s="11" t="b">
        <f aca="false">FALSE()</f>
        <v>0</v>
      </c>
    </row>
    <row r="1047" customFormat="false" ht="15" hidden="false" customHeight="false" outlineLevel="0" collapsed="false">
      <c r="A1047" s="4" t="s">
        <v>1254</v>
      </c>
      <c r="B1047" s="4" t="s">
        <v>101</v>
      </c>
      <c r="C1047" s="4" t="s">
        <v>205</v>
      </c>
      <c r="D1047" s="4" t="s">
        <v>206</v>
      </c>
      <c r="E1047" s="4" t="n">
        <v>46288.4206134259</v>
      </c>
      <c r="F1047" s="4" t="n">
        <v>37</v>
      </c>
      <c r="G1047" s="4" t="n">
        <v>37</v>
      </c>
      <c r="H1047" s="4" t="n">
        <v>36</v>
      </c>
      <c r="I1047" s="4" t="n">
        <v>1</v>
      </c>
      <c r="J1047" s="4" t="n">
        <v>0</v>
      </c>
      <c r="K1047" s="4" t="n">
        <v>0</v>
      </c>
      <c r="L1047" s="11" t="b">
        <f aca="false">FALSE()</f>
        <v>0</v>
      </c>
    </row>
    <row r="1048" customFormat="false" ht="15" hidden="false" customHeight="false" outlineLevel="0" collapsed="false">
      <c r="A1048" s="4" t="s">
        <v>1255</v>
      </c>
      <c r="B1048" s="4" t="s">
        <v>100</v>
      </c>
      <c r="C1048" s="4" t="s">
        <v>205</v>
      </c>
      <c r="D1048" s="4" t="s">
        <v>206</v>
      </c>
      <c r="E1048" s="4" t="n">
        <v>46288.5037731482</v>
      </c>
      <c r="F1048" s="4" t="n">
        <v>76</v>
      </c>
      <c r="G1048" s="4" t="n">
        <v>76</v>
      </c>
      <c r="H1048" s="4" t="n">
        <v>71</v>
      </c>
      <c r="I1048" s="4" t="n">
        <v>2</v>
      </c>
      <c r="J1048" s="4" t="n">
        <v>2</v>
      </c>
      <c r="K1048" s="4" t="n">
        <v>1</v>
      </c>
      <c r="L1048" s="11" t="b">
        <f aca="false">FALSE()</f>
        <v>0</v>
      </c>
    </row>
    <row r="1049" customFormat="false" ht="15" hidden="false" customHeight="false" outlineLevel="0" collapsed="false">
      <c r="A1049" s="4" t="s">
        <v>1256</v>
      </c>
      <c r="B1049" s="4" t="s">
        <v>102</v>
      </c>
      <c r="C1049" s="4" t="s">
        <v>205</v>
      </c>
      <c r="D1049" s="4" t="s">
        <v>206</v>
      </c>
      <c r="E1049" s="4" t="n">
        <v>46288.5467476852</v>
      </c>
      <c r="F1049" s="4" t="n">
        <v>0</v>
      </c>
      <c r="G1049" s="4" t="n">
        <v>0</v>
      </c>
      <c r="H1049" s="4" t="n">
        <v>0</v>
      </c>
      <c r="I1049" s="4" t="n">
        <v>0</v>
      </c>
      <c r="J1049" s="4" t="n">
        <v>0</v>
      </c>
      <c r="K1049" s="4" t="n">
        <v>0</v>
      </c>
      <c r="L1049" s="11" t="b">
        <f aca="false">TRUE()</f>
        <v>1</v>
      </c>
    </row>
    <row r="1050" customFormat="false" ht="15" hidden="false" customHeight="false" outlineLevel="0" collapsed="false">
      <c r="A1050" s="4" t="s">
        <v>1257</v>
      </c>
      <c r="B1050" s="4" t="s">
        <v>101</v>
      </c>
      <c r="C1050" s="4" t="s">
        <v>205</v>
      </c>
      <c r="D1050" s="4" t="s">
        <v>206</v>
      </c>
      <c r="E1050" s="4" t="n">
        <v>46288.5878240741</v>
      </c>
      <c r="F1050" s="4" t="n">
        <v>50</v>
      </c>
      <c r="G1050" s="4" t="n">
        <v>50</v>
      </c>
      <c r="H1050" s="4" t="n">
        <v>50</v>
      </c>
      <c r="I1050" s="4" t="n">
        <v>0</v>
      </c>
      <c r="J1050" s="4" t="n">
        <v>0</v>
      </c>
      <c r="K1050" s="4" t="n">
        <v>0</v>
      </c>
      <c r="L1050" s="11" t="b">
        <f aca="false">FALSE()</f>
        <v>0</v>
      </c>
    </row>
    <row r="1051" customFormat="false" ht="15" hidden="false" customHeight="false" outlineLevel="0" collapsed="false">
      <c r="A1051" s="4" t="s">
        <v>1258</v>
      </c>
      <c r="B1051" s="4" t="s">
        <v>103</v>
      </c>
      <c r="C1051" s="4" t="s">
        <v>205</v>
      </c>
      <c r="D1051" s="4" t="s">
        <v>206</v>
      </c>
      <c r="E1051" s="4" t="n">
        <v>46288.6296180556</v>
      </c>
      <c r="F1051" s="4" t="n">
        <v>29</v>
      </c>
      <c r="G1051" s="4" t="n">
        <v>29</v>
      </c>
      <c r="H1051" s="4" t="n">
        <v>25</v>
      </c>
      <c r="I1051" s="4" t="n">
        <v>2</v>
      </c>
      <c r="J1051" s="4" t="n">
        <v>2</v>
      </c>
      <c r="K1051" s="4" t="n">
        <v>0</v>
      </c>
      <c r="L1051" s="11" t="b">
        <f aca="false">FALSE()</f>
        <v>0</v>
      </c>
    </row>
    <row r="1052" customFormat="false" ht="15" hidden="false" customHeight="false" outlineLevel="0" collapsed="false">
      <c r="A1052" s="4" t="s">
        <v>1259</v>
      </c>
      <c r="B1052" s="4" t="s">
        <v>100</v>
      </c>
      <c r="C1052" s="4" t="s">
        <v>205</v>
      </c>
      <c r="D1052" s="4" t="s">
        <v>206</v>
      </c>
      <c r="E1052" s="4" t="n">
        <v>46288.6696990741</v>
      </c>
      <c r="F1052" s="4" t="n">
        <v>76</v>
      </c>
      <c r="G1052" s="4" t="n">
        <v>76</v>
      </c>
      <c r="H1052" s="4" t="n">
        <v>75</v>
      </c>
      <c r="I1052" s="4" t="n">
        <v>1</v>
      </c>
      <c r="J1052" s="4" t="n">
        <v>0</v>
      </c>
      <c r="K1052" s="4" t="n">
        <v>0</v>
      </c>
      <c r="L1052" s="11" t="b">
        <f aca="false">FALSE()</f>
        <v>0</v>
      </c>
    </row>
    <row r="1053" customFormat="false" ht="15" hidden="false" customHeight="false" outlineLevel="0" collapsed="false">
      <c r="A1053" s="4" t="s">
        <v>1260</v>
      </c>
      <c r="B1053" s="4" t="s">
        <v>101</v>
      </c>
      <c r="C1053" s="4" t="s">
        <v>205</v>
      </c>
      <c r="D1053" s="4" t="s">
        <v>206</v>
      </c>
      <c r="E1053" s="4" t="n">
        <v>46288.7543055556</v>
      </c>
      <c r="F1053" s="4" t="n">
        <v>49</v>
      </c>
      <c r="G1053" s="4" t="n">
        <v>49</v>
      </c>
      <c r="H1053" s="4" t="n">
        <v>47</v>
      </c>
      <c r="I1053" s="4" t="n">
        <v>2</v>
      </c>
      <c r="J1053" s="4" t="n">
        <v>0</v>
      </c>
      <c r="K1053" s="4" t="n">
        <v>0</v>
      </c>
      <c r="L1053" s="11" t="b">
        <f aca="false">FALSE()</f>
        <v>0</v>
      </c>
    </row>
    <row r="1054" customFormat="false" ht="15" hidden="false" customHeight="false" outlineLevel="0" collapsed="false">
      <c r="A1054" s="4" t="s">
        <v>1261</v>
      </c>
      <c r="B1054" s="4" t="s">
        <v>104</v>
      </c>
      <c r="C1054" s="4" t="s">
        <v>205</v>
      </c>
      <c r="D1054" s="4" t="s">
        <v>206</v>
      </c>
      <c r="E1054" s="4" t="n">
        <v>46288.7570601852</v>
      </c>
      <c r="F1054" s="4" t="n">
        <v>21</v>
      </c>
      <c r="G1054" s="4" t="n">
        <v>21</v>
      </c>
      <c r="H1054" s="4" t="n">
        <v>18</v>
      </c>
      <c r="I1054" s="4" t="n">
        <v>3</v>
      </c>
      <c r="J1054" s="4" t="n">
        <v>0</v>
      </c>
      <c r="K1054" s="4" t="n">
        <v>0</v>
      </c>
      <c r="L1054" s="11" t="b">
        <f aca="false">FALSE()</f>
        <v>0</v>
      </c>
    </row>
    <row r="1055" customFormat="false" ht="15" hidden="false" customHeight="false" outlineLevel="0" collapsed="false">
      <c r="A1055" s="4" t="s">
        <v>1262</v>
      </c>
      <c r="B1055" s="4" t="s">
        <v>102</v>
      </c>
      <c r="C1055" s="4" t="s">
        <v>205</v>
      </c>
      <c r="D1055" s="4" t="s">
        <v>206</v>
      </c>
      <c r="E1055" s="4" t="n">
        <v>46288.7965277778</v>
      </c>
      <c r="F1055" s="4" t="n">
        <v>0</v>
      </c>
      <c r="G1055" s="4" t="n">
        <v>0</v>
      </c>
      <c r="H1055" s="4" t="n">
        <v>0</v>
      </c>
      <c r="I1055" s="4" t="n">
        <v>0</v>
      </c>
      <c r="J1055" s="4" t="n">
        <v>0</v>
      </c>
      <c r="K1055" s="4" t="n">
        <v>0</v>
      </c>
      <c r="L1055" s="11" t="b">
        <f aca="false">TRUE()</f>
        <v>1</v>
      </c>
    </row>
    <row r="1056" customFormat="false" ht="15" hidden="false" customHeight="false" outlineLevel="0" collapsed="false">
      <c r="A1056" s="4" t="s">
        <v>1263</v>
      </c>
      <c r="B1056" s="4" t="s">
        <v>100</v>
      </c>
      <c r="C1056" s="4" t="s">
        <v>205</v>
      </c>
      <c r="D1056" s="4" t="s">
        <v>206</v>
      </c>
      <c r="E1056" s="4" t="n">
        <v>46288.8363425926</v>
      </c>
      <c r="F1056" s="4" t="n">
        <v>70</v>
      </c>
      <c r="G1056" s="4" t="n">
        <v>70</v>
      </c>
      <c r="H1056" s="4" t="n">
        <v>70</v>
      </c>
      <c r="I1056" s="4" t="n">
        <v>0</v>
      </c>
      <c r="J1056" s="4" t="n">
        <v>0</v>
      </c>
      <c r="K1056" s="4" t="n">
        <v>0</v>
      </c>
      <c r="L1056" s="11" t="b">
        <f aca="false">FALSE()</f>
        <v>0</v>
      </c>
    </row>
    <row r="1057" customFormat="false" ht="15" hidden="false" customHeight="false" outlineLevel="0" collapsed="false">
      <c r="A1057" s="4" t="s">
        <v>1264</v>
      </c>
      <c r="B1057" s="4" t="s">
        <v>103</v>
      </c>
      <c r="C1057" s="4" t="s">
        <v>205</v>
      </c>
      <c r="D1057" s="4" t="s">
        <v>206</v>
      </c>
      <c r="E1057" s="4" t="n">
        <v>46288.8808101852</v>
      </c>
      <c r="F1057" s="4" t="n">
        <v>28</v>
      </c>
      <c r="G1057" s="4" t="n">
        <v>28</v>
      </c>
      <c r="H1057" s="4" t="n">
        <v>24</v>
      </c>
      <c r="I1057" s="4" t="n">
        <v>3</v>
      </c>
      <c r="J1057" s="4" t="n">
        <v>1</v>
      </c>
      <c r="K1057" s="4" t="n">
        <v>0</v>
      </c>
      <c r="L1057" s="11" t="b">
        <f aca="false">FALSE()</f>
        <v>0</v>
      </c>
    </row>
    <row r="1058" customFormat="false" ht="15" hidden="false" customHeight="false" outlineLevel="0" collapsed="false">
      <c r="A1058" s="4" t="s">
        <v>1265</v>
      </c>
      <c r="B1058" s="4" t="s">
        <v>101</v>
      </c>
      <c r="C1058" s="4" t="s">
        <v>205</v>
      </c>
      <c r="D1058" s="4" t="s">
        <v>206</v>
      </c>
      <c r="E1058" s="4" t="n">
        <v>46288.920787037</v>
      </c>
      <c r="F1058" s="4" t="n">
        <v>38</v>
      </c>
      <c r="G1058" s="4" t="n">
        <v>38</v>
      </c>
      <c r="H1058" s="4" t="n">
        <v>36</v>
      </c>
      <c r="I1058" s="4" t="n">
        <v>2</v>
      </c>
      <c r="J1058" s="4" t="n">
        <v>0</v>
      </c>
      <c r="K1058" s="4" t="n">
        <v>0</v>
      </c>
      <c r="L1058" s="11" t="b">
        <f aca="false">FALSE()</f>
        <v>0</v>
      </c>
    </row>
    <row r="1059" customFormat="false" ht="15" hidden="false" customHeight="false" outlineLevel="0" collapsed="false">
      <c r="A1059" s="4" t="s">
        <v>1266</v>
      </c>
      <c r="B1059" s="4" t="s">
        <v>100</v>
      </c>
      <c r="C1059" s="4" t="s">
        <v>205</v>
      </c>
      <c r="D1059" s="4" t="s">
        <v>206</v>
      </c>
      <c r="E1059" s="4" t="n">
        <v>46289.0031365741</v>
      </c>
      <c r="F1059" s="4" t="n">
        <v>43</v>
      </c>
      <c r="G1059" s="4" t="n">
        <v>43</v>
      </c>
      <c r="H1059" s="4" t="n">
        <v>41</v>
      </c>
      <c r="I1059" s="4" t="n">
        <v>2</v>
      </c>
      <c r="J1059" s="4" t="n">
        <v>0</v>
      </c>
      <c r="K1059" s="4" t="n">
        <v>0</v>
      </c>
      <c r="L1059" s="11" t="b">
        <f aca="false">FALSE()</f>
        <v>0</v>
      </c>
    </row>
    <row r="1060" customFormat="false" ht="15" hidden="false" customHeight="false" outlineLevel="0" collapsed="false">
      <c r="A1060" s="4" t="s">
        <v>1267</v>
      </c>
      <c r="B1060" s="4" t="s">
        <v>102</v>
      </c>
      <c r="C1060" s="4" t="s">
        <v>205</v>
      </c>
      <c r="D1060" s="4" t="s">
        <v>206</v>
      </c>
      <c r="E1060" s="4" t="n">
        <v>46289.0455439815</v>
      </c>
      <c r="F1060" s="4" t="n">
        <v>1</v>
      </c>
      <c r="G1060" s="4" t="n">
        <v>1</v>
      </c>
      <c r="H1060" s="4" t="n">
        <v>1</v>
      </c>
      <c r="I1060" s="4" t="n">
        <v>0</v>
      </c>
      <c r="J1060" s="4" t="n">
        <v>0</v>
      </c>
      <c r="K1060" s="4" t="n">
        <v>0</v>
      </c>
      <c r="L1060" s="11" t="b">
        <f aca="false">FALSE()</f>
        <v>0</v>
      </c>
    </row>
    <row r="1061" customFormat="false" ht="15" hidden="false" customHeight="false" outlineLevel="0" collapsed="false">
      <c r="A1061" s="4" t="s">
        <v>1268</v>
      </c>
      <c r="B1061" s="4" t="s">
        <v>101</v>
      </c>
      <c r="C1061" s="4" t="s">
        <v>205</v>
      </c>
      <c r="D1061" s="4" t="s">
        <v>206</v>
      </c>
      <c r="E1061" s="4" t="n">
        <v>46289.0863657407</v>
      </c>
      <c r="F1061" s="4" t="n">
        <v>14</v>
      </c>
      <c r="G1061" s="4" t="n">
        <v>14</v>
      </c>
      <c r="H1061" s="4" t="n">
        <v>13</v>
      </c>
      <c r="I1061" s="4" t="n">
        <v>1</v>
      </c>
      <c r="J1061" s="4" t="n">
        <v>0</v>
      </c>
      <c r="K1061" s="4" t="n">
        <v>0</v>
      </c>
      <c r="L1061" s="11" t="b">
        <f aca="false">FALSE()</f>
        <v>0</v>
      </c>
    </row>
    <row r="1062" customFormat="false" ht="15" hidden="false" customHeight="false" outlineLevel="0" collapsed="false">
      <c r="A1062" s="4" t="s">
        <v>1269</v>
      </c>
      <c r="B1062" s="4" t="s">
        <v>103</v>
      </c>
      <c r="C1062" s="4" t="s">
        <v>205</v>
      </c>
      <c r="D1062" s="4" t="s">
        <v>206</v>
      </c>
      <c r="E1062" s="4" t="n">
        <v>46289.1301851852</v>
      </c>
      <c r="F1062" s="4" t="n">
        <v>12</v>
      </c>
      <c r="G1062" s="4" t="n">
        <v>12</v>
      </c>
      <c r="H1062" s="4" t="n">
        <v>8</v>
      </c>
      <c r="I1062" s="4" t="n">
        <v>3</v>
      </c>
      <c r="J1062" s="4" t="n">
        <v>1</v>
      </c>
      <c r="K1062" s="4" t="n">
        <v>0</v>
      </c>
      <c r="L1062" s="11" t="b">
        <f aca="false">FALSE()</f>
        <v>0</v>
      </c>
    </row>
    <row r="1063" customFormat="false" ht="15" hidden="false" customHeight="false" outlineLevel="0" collapsed="false">
      <c r="A1063" s="4" t="s">
        <v>1270</v>
      </c>
      <c r="B1063" s="4" t="s">
        <v>100</v>
      </c>
      <c r="C1063" s="4" t="s">
        <v>205</v>
      </c>
      <c r="D1063" s="4" t="s">
        <v>206</v>
      </c>
      <c r="E1063" s="4" t="n">
        <v>46289.169849537</v>
      </c>
      <c r="F1063" s="4" t="n">
        <v>13</v>
      </c>
      <c r="G1063" s="4" t="n">
        <v>13</v>
      </c>
      <c r="H1063" s="4" t="n">
        <v>13</v>
      </c>
      <c r="I1063" s="4" t="n">
        <v>0</v>
      </c>
      <c r="J1063" s="4" t="n">
        <v>0</v>
      </c>
      <c r="K1063" s="4" t="n">
        <v>0</v>
      </c>
      <c r="L1063" s="11" t="b">
        <f aca="false">FALSE()</f>
        <v>0</v>
      </c>
    </row>
    <row r="1064" customFormat="false" ht="15" hidden="false" customHeight="false" outlineLevel="0" collapsed="false">
      <c r="A1064" s="4" t="s">
        <v>1271</v>
      </c>
      <c r="B1064" s="4" t="s">
        <v>99</v>
      </c>
      <c r="C1064" s="4" t="s">
        <v>205</v>
      </c>
      <c r="D1064" s="4" t="s">
        <v>206</v>
      </c>
      <c r="E1064" s="4" t="n">
        <v>46289.2140856482</v>
      </c>
      <c r="F1064" s="4" t="n">
        <v>38</v>
      </c>
      <c r="G1064" s="4" t="n">
        <v>38</v>
      </c>
      <c r="H1064" s="4" t="n">
        <v>34</v>
      </c>
      <c r="I1064" s="4" t="n">
        <v>3</v>
      </c>
      <c r="J1064" s="4" t="n">
        <v>1</v>
      </c>
      <c r="K1064" s="4" t="n">
        <v>0</v>
      </c>
      <c r="L1064" s="11" t="b">
        <f aca="false">FALSE()</f>
        <v>0</v>
      </c>
    </row>
    <row r="1065" customFormat="false" ht="15" hidden="false" customHeight="false" outlineLevel="0" collapsed="false">
      <c r="A1065" s="4" t="s">
        <v>1272</v>
      </c>
      <c r="B1065" s="4" t="s">
        <v>101</v>
      </c>
      <c r="C1065" s="4" t="s">
        <v>205</v>
      </c>
      <c r="D1065" s="4" t="s">
        <v>206</v>
      </c>
      <c r="E1065" s="4" t="n">
        <v>46289.2539467593</v>
      </c>
      <c r="F1065" s="4" t="n">
        <v>8</v>
      </c>
      <c r="G1065" s="4" t="n">
        <v>8</v>
      </c>
      <c r="H1065" s="4" t="n">
        <v>7</v>
      </c>
      <c r="I1065" s="4" t="n">
        <v>0</v>
      </c>
      <c r="J1065" s="4" t="n">
        <v>1</v>
      </c>
      <c r="K1065" s="4" t="n">
        <v>0</v>
      </c>
      <c r="L1065" s="11" t="b">
        <f aca="false">TRUE()</f>
        <v>1</v>
      </c>
    </row>
    <row r="1066" customFormat="false" ht="15" hidden="false" customHeight="false" outlineLevel="0" collapsed="false">
      <c r="A1066" s="4" t="s">
        <v>1273</v>
      </c>
      <c r="B1066" s="4" t="s">
        <v>104</v>
      </c>
      <c r="C1066" s="4" t="s">
        <v>205</v>
      </c>
      <c r="D1066" s="4" t="s">
        <v>206</v>
      </c>
      <c r="E1066" s="4" t="n">
        <v>46289.2558217593</v>
      </c>
      <c r="F1066" s="4" t="n">
        <v>7</v>
      </c>
      <c r="G1066" s="4" t="n">
        <v>7</v>
      </c>
      <c r="H1066" s="4" t="n">
        <v>7</v>
      </c>
      <c r="I1066" s="4" t="n">
        <v>0</v>
      </c>
      <c r="J1066" s="4" t="n">
        <v>0</v>
      </c>
      <c r="K1066" s="4" t="n">
        <v>0</v>
      </c>
      <c r="L1066" s="11" t="b">
        <f aca="false">FALSE()</f>
        <v>0</v>
      </c>
    </row>
    <row r="1067" customFormat="false" ht="15" hidden="false" customHeight="false" outlineLevel="0" collapsed="false">
      <c r="A1067" s="4" t="s">
        <v>1274</v>
      </c>
      <c r="B1067" s="4" t="s">
        <v>103</v>
      </c>
      <c r="C1067" s="4" t="s">
        <v>205</v>
      </c>
      <c r="D1067" s="4" t="s">
        <v>428</v>
      </c>
      <c r="E1067" s="4" t="n">
        <v>46289.2719328704</v>
      </c>
      <c r="F1067" s="4" t="n">
        <v>78</v>
      </c>
      <c r="G1067" s="4" t="n">
        <v>78</v>
      </c>
      <c r="H1067" s="4" t="n">
        <v>78</v>
      </c>
      <c r="I1067" s="4" t="n">
        <v>0</v>
      </c>
      <c r="J1067" s="4" t="n">
        <v>0</v>
      </c>
      <c r="K1067" s="4" t="n">
        <v>0</v>
      </c>
      <c r="L1067" s="11" t="b">
        <f aca="false">FALSE()</f>
        <v>0</v>
      </c>
    </row>
    <row r="1068" customFormat="false" ht="15" hidden="false" customHeight="false" outlineLevel="0" collapsed="false">
      <c r="A1068" s="4" t="s">
        <v>1275</v>
      </c>
      <c r="B1068" s="4" t="s">
        <v>102</v>
      </c>
      <c r="C1068" s="4" t="s">
        <v>205</v>
      </c>
      <c r="D1068" s="4" t="s">
        <v>206</v>
      </c>
      <c r="E1068" s="4" t="n">
        <v>46289.2954976852</v>
      </c>
      <c r="F1068" s="4" t="n">
        <v>8</v>
      </c>
      <c r="G1068" s="4" t="n">
        <v>8</v>
      </c>
      <c r="H1068" s="4" t="n">
        <v>8</v>
      </c>
      <c r="I1068" s="4" t="n">
        <v>0</v>
      </c>
      <c r="J1068" s="4" t="n">
        <v>0</v>
      </c>
      <c r="K1068" s="4" t="n">
        <v>0</v>
      </c>
      <c r="L1068" s="11" t="b">
        <f aca="false">FALSE()</f>
        <v>0</v>
      </c>
    </row>
    <row r="1069" customFormat="false" ht="15" hidden="false" customHeight="false" outlineLevel="0" collapsed="false">
      <c r="A1069" s="4" t="s">
        <v>1276</v>
      </c>
      <c r="B1069" s="4" t="s">
        <v>100</v>
      </c>
      <c r="C1069" s="4" t="s">
        <v>205</v>
      </c>
      <c r="D1069" s="4" t="s">
        <v>206</v>
      </c>
      <c r="E1069" s="4" t="n">
        <v>46289.3357986111</v>
      </c>
      <c r="F1069" s="4" t="n">
        <v>32</v>
      </c>
      <c r="G1069" s="4" t="n">
        <v>32</v>
      </c>
      <c r="H1069" s="4" t="n">
        <v>29</v>
      </c>
      <c r="I1069" s="4" t="n">
        <v>2</v>
      </c>
      <c r="J1069" s="4" t="n">
        <v>1</v>
      </c>
      <c r="K1069" s="4" t="n">
        <v>0</v>
      </c>
      <c r="L1069" s="11" t="b">
        <f aca="false">FALSE()</f>
        <v>0</v>
      </c>
    </row>
    <row r="1070" customFormat="false" ht="15" hidden="false" customHeight="false" outlineLevel="0" collapsed="false">
      <c r="A1070" s="4" t="s">
        <v>1277</v>
      </c>
      <c r="B1070" s="4" t="s">
        <v>103</v>
      </c>
      <c r="C1070" s="4" t="s">
        <v>205</v>
      </c>
      <c r="D1070" s="4" t="s">
        <v>206</v>
      </c>
      <c r="E1070" s="4" t="n">
        <v>46289.379224537</v>
      </c>
      <c r="F1070" s="4" t="n">
        <v>15</v>
      </c>
      <c r="G1070" s="4" t="n">
        <v>15</v>
      </c>
      <c r="H1070" s="4" t="n">
        <v>14</v>
      </c>
      <c r="I1070" s="4" t="n">
        <v>1</v>
      </c>
      <c r="J1070" s="4" t="n">
        <v>0</v>
      </c>
      <c r="K1070" s="4" t="n">
        <v>0</v>
      </c>
      <c r="L1070" s="11" t="b">
        <f aca="false">FALSE()</f>
        <v>0</v>
      </c>
    </row>
    <row r="1071" customFormat="false" ht="15" hidden="false" customHeight="false" outlineLevel="0" collapsed="false">
      <c r="A1071" s="4" t="s">
        <v>1278</v>
      </c>
      <c r="B1071" s="4" t="s">
        <v>101</v>
      </c>
      <c r="C1071" s="4" t="s">
        <v>205</v>
      </c>
      <c r="D1071" s="4" t="s">
        <v>206</v>
      </c>
      <c r="E1071" s="4" t="n">
        <v>46289.4203587963</v>
      </c>
      <c r="F1071" s="4" t="n">
        <v>36</v>
      </c>
      <c r="G1071" s="4" t="n">
        <v>36</v>
      </c>
      <c r="H1071" s="4" t="n">
        <v>35</v>
      </c>
      <c r="I1071" s="4" t="n">
        <v>1</v>
      </c>
      <c r="J1071" s="4" t="n">
        <v>0</v>
      </c>
      <c r="K1071" s="4" t="n">
        <v>0</v>
      </c>
      <c r="L1071" s="11" t="b">
        <f aca="false">FALSE()</f>
        <v>0</v>
      </c>
    </row>
    <row r="1072" customFormat="false" ht="15" hidden="false" customHeight="false" outlineLevel="0" collapsed="false">
      <c r="A1072" s="4" t="s">
        <v>1279</v>
      </c>
      <c r="B1072" s="4" t="s">
        <v>100</v>
      </c>
      <c r="C1072" s="4" t="s">
        <v>205</v>
      </c>
      <c r="D1072" s="4" t="s">
        <v>206</v>
      </c>
      <c r="E1072" s="4" t="n">
        <v>46289.502337963</v>
      </c>
      <c r="F1072" s="4" t="n">
        <v>74</v>
      </c>
      <c r="G1072" s="4" t="n">
        <v>74</v>
      </c>
      <c r="H1072" s="4" t="n">
        <v>70</v>
      </c>
      <c r="I1072" s="4" t="n">
        <v>3</v>
      </c>
      <c r="J1072" s="4" t="n">
        <v>1</v>
      </c>
      <c r="K1072" s="4" t="n">
        <v>0</v>
      </c>
      <c r="L1072" s="11" t="b">
        <f aca="false">FALSE()</f>
        <v>0</v>
      </c>
    </row>
    <row r="1073" customFormat="false" ht="15" hidden="false" customHeight="false" outlineLevel="0" collapsed="false">
      <c r="A1073" s="4" t="s">
        <v>1280</v>
      </c>
      <c r="B1073" s="4" t="s">
        <v>102</v>
      </c>
      <c r="C1073" s="4" t="s">
        <v>205</v>
      </c>
      <c r="D1073" s="4" t="s">
        <v>206</v>
      </c>
      <c r="E1073" s="4" t="n">
        <v>46289.5461342593</v>
      </c>
      <c r="F1073" s="4" t="n">
        <v>29</v>
      </c>
      <c r="G1073" s="4" t="n">
        <v>29</v>
      </c>
      <c r="H1073" s="4" t="n">
        <v>29</v>
      </c>
      <c r="I1073" s="4" t="n">
        <v>0</v>
      </c>
      <c r="J1073" s="4" t="n">
        <v>0</v>
      </c>
      <c r="K1073" s="4" t="n">
        <v>0</v>
      </c>
      <c r="L1073" s="11" t="b">
        <f aca="false">FALSE()</f>
        <v>0</v>
      </c>
    </row>
    <row r="1074" customFormat="false" ht="15" hidden="false" customHeight="false" outlineLevel="0" collapsed="false">
      <c r="A1074" s="4" t="s">
        <v>1281</v>
      </c>
      <c r="B1074" s="4" t="s">
        <v>101</v>
      </c>
      <c r="C1074" s="4" t="s">
        <v>205</v>
      </c>
      <c r="D1074" s="4" t="s">
        <v>206</v>
      </c>
      <c r="E1074" s="4" t="n">
        <v>46289.5873032407</v>
      </c>
      <c r="F1074" s="4" t="n">
        <v>47</v>
      </c>
      <c r="G1074" s="4" t="n">
        <v>47</v>
      </c>
      <c r="H1074" s="4" t="n">
        <v>46</v>
      </c>
      <c r="I1074" s="4" t="n">
        <v>0</v>
      </c>
      <c r="J1074" s="4" t="n">
        <v>1</v>
      </c>
      <c r="K1074" s="4" t="n">
        <v>0</v>
      </c>
      <c r="L1074" s="11" t="b">
        <f aca="false">FALSE()</f>
        <v>0</v>
      </c>
    </row>
    <row r="1075" customFormat="false" ht="15" hidden="false" customHeight="false" outlineLevel="0" collapsed="false">
      <c r="A1075" s="4" t="s">
        <v>1282</v>
      </c>
      <c r="B1075" s="4" t="s">
        <v>103</v>
      </c>
      <c r="C1075" s="4" t="s">
        <v>205</v>
      </c>
      <c r="D1075" s="4" t="s">
        <v>206</v>
      </c>
      <c r="E1075" s="4" t="n">
        <v>46289.6298032407</v>
      </c>
      <c r="F1075" s="4" t="n">
        <v>30</v>
      </c>
      <c r="G1075" s="4" t="n">
        <v>30</v>
      </c>
      <c r="H1075" s="4" t="n">
        <v>27</v>
      </c>
      <c r="I1075" s="4" t="n">
        <v>2</v>
      </c>
      <c r="J1075" s="4" t="n">
        <v>1</v>
      </c>
      <c r="K1075" s="4" t="n">
        <v>0</v>
      </c>
      <c r="L1075" s="11" t="b">
        <f aca="false">FALSE()</f>
        <v>0</v>
      </c>
    </row>
    <row r="1076" customFormat="false" ht="15" hidden="false" customHeight="false" outlineLevel="0" collapsed="false">
      <c r="A1076" s="4" t="s">
        <v>1283</v>
      </c>
      <c r="B1076" s="4" t="s">
        <v>100</v>
      </c>
      <c r="C1076" s="4" t="s">
        <v>205</v>
      </c>
      <c r="D1076" s="4" t="s">
        <v>206</v>
      </c>
      <c r="E1076" s="4" t="n">
        <v>46289.6690509259</v>
      </c>
      <c r="F1076" s="4" t="n">
        <v>82</v>
      </c>
      <c r="G1076" s="4" t="n">
        <v>82</v>
      </c>
      <c r="H1076" s="4" t="n">
        <v>79</v>
      </c>
      <c r="I1076" s="4" t="n">
        <v>2</v>
      </c>
      <c r="J1076" s="4" t="n">
        <v>1</v>
      </c>
      <c r="K1076" s="4" t="n">
        <v>0</v>
      </c>
      <c r="L1076" s="11" t="b">
        <f aca="false">FALSE()</f>
        <v>0</v>
      </c>
    </row>
    <row r="1077" customFormat="false" ht="15" hidden="false" customHeight="false" outlineLevel="0" collapsed="false">
      <c r="A1077" s="4" t="s">
        <v>1284</v>
      </c>
      <c r="B1077" s="4" t="s">
        <v>101</v>
      </c>
      <c r="C1077" s="4" t="s">
        <v>205</v>
      </c>
      <c r="D1077" s="4" t="s">
        <v>206</v>
      </c>
      <c r="E1077" s="4" t="n">
        <v>46289.7532291667</v>
      </c>
      <c r="F1077" s="4" t="n">
        <v>49</v>
      </c>
      <c r="G1077" s="4" t="n">
        <v>49</v>
      </c>
      <c r="H1077" s="4" t="n">
        <v>46</v>
      </c>
      <c r="I1077" s="4" t="n">
        <v>3</v>
      </c>
      <c r="J1077" s="4" t="n">
        <v>0</v>
      </c>
      <c r="K1077" s="4" t="n">
        <v>0</v>
      </c>
      <c r="L1077" s="11" t="b">
        <f aca="false">FALSE()</f>
        <v>0</v>
      </c>
    </row>
    <row r="1078" customFormat="false" ht="15" hidden="false" customHeight="false" outlineLevel="0" collapsed="false">
      <c r="A1078" s="4" t="s">
        <v>1285</v>
      </c>
      <c r="B1078" s="4" t="s">
        <v>104</v>
      </c>
      <c r="C1078" s="4" t="s">
        <v>205</v>
      </c>
      <c r="D1078" s="4" t="s">
        <v>206</v>
      </c>
      <c r="E1078" s="4" t="n">
        <v>46289.756099537</v>
      </c>
      <c r="F1078" s="4" t="n">
        <v>22</v>
      </c>
      <c r="G1078" s="4" t="n">
        <v>22</v>
      </c>
      <c r="H1078" s="4" t="n">
        <v>22</v>
      </c>
      <c r="I1078" s="4" t="n">
        <v>0</v>
      </c>
      <c r="J1078" s="4" t="n">
        <v>0</v>
      </c>
      <c r="K1078" s="4" t="n">
        <v>0</v>
      </c>
      <c r="L1078" s="11" t="b">
        <f aca="false">FALSE()</f>
        <v>0</v>
      </c>
    </row>
    <row r="1079" customFormat="false" ht="15" hidden="false" customHeight="false" outlineLevel="0" collapsed="false">
      <c r="A1079" s="4" t="s">
        <v>1286</v>
      </c>
      <c r="B1079" s="4" t="s">
        <v>102</v>
      </c>
      <c r="C1079" s="4" t="s">
        <v>205</v>
      </c>
      <c r="D1079" s="4" t="s">
        <v>206</v>
      </c>
      <c r="E1079" s="4" t="n">
        <v>46289.7966435185</v>
      </c>
      <c r="F1079" s="4" t="n">
        <v>34</v>
      </c>
      <c r="G1079" s="4" t="n">
        <v>34</v>
      </c>
      <c r="H1079" s="4" t="n">
        <v>33</v>
      </c>
      <c r="I1079" s="4" t="n">
        <v>1</v>
      </c>
      <c r="J1079" s="4" t="n">
        <v>0</v>
      </c>
      <c r="K1079" s="4" t="n">
        <v>0</v>
      </c>
      <c r="L1079" s="11" t="b">
        <f aca="false">FALSE()</f>
        <v>0</v>
      </c>
    </row>
    <row r="1080" customFormat="false" ht="15" hidden="false" customHeight="false" outlineLevel="0" collapsed="false">
      <c r="A1080" s="4" t="s">
        <v>1287</v>
      </c>
      <c r="B1080" s="4" t="s">
        <v>100</v>
      </c>
      <c r="C1080" s="4" t="s">
        <v>205</v>
      </c>
      <c r="D1080" s="4" t="s">
        <v>206</v>
      </c>
      <c r="E1080" s="4" t="n">
        <v>46289.8371180556</v>
      </c>
      <c r="F1080" s="4" t="n">
        <v>70</v>
      </c>
      <c r="G1080" s="4" t="n">
        <v>70</v>
      </c>
      <c r="H1080" s="4" t="n">
        <v>67</v>
      </c>
      <c r="I1080" s="4" t="n">
        <v>2</v>
      </c>
      <c r="J1080" s="4" t="n">
        <v>0</v>
      </c>
      <c r="K1080" s="4" t="n">
        <v>1</v>
      </c>
      <c r="L1080" s="11" t="b">
        <f aca="false">FALSE()</f>
        <v>0</v>
      </c>
    </row>
    <row r="1081" customFormat="false" ht="15" hidden="false" customHeight="false" outlineLevel="0" collapsed="false">
      <c r="A1081" s="4" t="s">
        <v>1288</v>
      </c>
      <c r="B1081" s="4" t="s">
        <v>103</v>
      </c>
      <c r="C1081" s="4" t="s">
        <v>205</v>
      </c>
      <c r="D1081" s="4" t="s">
        <v>206</v>
      </c>
      <c r="E1081" s="4" t="n">
        <v>46289.8800462963</v>
      </c>
      <c r="F1081" s="4" t="n">
        <v>22</v>
      </c>
      <c r="G1081" s="4" t="n">
        <v>22</v>
      </c>
      <c r="H1081" s="4" t="n">
        <v>22</v>
      </c>
      <c r="I1081" s="4" t="n">
        <v>0</v>
      </c>
      <c r="J1081" s="4" t="n">
        <v>0</v>
      </c>
      <c r="K1081" s="4" t="n">
        <v>0</v>
      </c>
      <c r="L1081" s="11" t="b">
        <f aca="false">FALSE()</f>
        <v>0</v>
      </c>
    </row>
    <row r="1082" customFormat="false" ht="15" hidden="false" customHeight="false" outlineLevel="0" collapsed="false">
      <c r="A1082" s="4" t="s">
        <v>1289</v>
      </c>
      <c r="B1082" s="4" t="s">
        <v>101</v>
      </c>
      <c r="C1082" s="4" t="s">
        <v>205</v>
      </c>
      <c r="D1082" s="4" t="s">
        <v>206</v>
      </c>
      <c r="E1082" s="4" t="n">
        <v>46289.9196643519</v>
      </c>
      <c r="F1082" s="4" t="n">
        <v>37</v>
      </c>
      <c r="G1082" s="4" t="n">
        <v>37</v>
      </c>
      <c r="H1082" s="4" t="n">
        <v>37</v>
      </c>
      <c r="I1082" s="4" t="n">
        <v>0</v>
      </c>
      <c r="J1082" s="4" t="n">
        <v>0</v>
      </c>
      <c r="K1082" s="4" t="n">
        <v>0</v>
      </c>
      <c r="L1082" s="11" t="b">
        <f aca="false">FALSE()</f>
        <v>0</v>
      </c>
    </row>
    <row r="1083" customFormat="false" ht="15" hidden="false" customHeight="false" outlineLevel="0" collapsed="false">
      <c r="A1083" s="4" t="s">
        <v>1290</v>
      </c>
      <c r="B1083" s="4" t="s">
        <v>100</v>
      </c>
      <c r="C1083" s="4" t="s">
        <v>205</v>
      </c>
      <c r="D1083" s="4" t="s">
        <v>206</v>
      </c>
      <c r="E1083" s="4" t="n">
        <v>46290.0027199074</v>
      </c>
      <c r="F1083" s="4" t="n">
        <v>45</v>
      </c>
      <c r="G1083" s="4" t="n">
        <v>45</v>
      </c>
      <c r="H1083" s="4" t="n">
        <v>43</v>
      </c>
      <c r="I1083" s="4" t="n">
        <v>1</v>
      </c>
      <c r="J1083" s="4" t="n">
        <v>0</v>
      </c>
      <c r="K1083" s="4" t="n">
        <v>1</v>
      </c>
      <c r="L1083" s="11" t="b">
        <f aca="false">FALSE()</f>
        <v>0</v>
      </c>
    </row>
    <row r="1084" customFormat="false" ht="15" hidden="false" customHeight="false" outlineLevel="0" collapsed="false">
      <c r="A1084" s="4" t="s">
        <v>1291</v>
      </c>
      <c r="B1084" s="4" t="s">
        <v>102</v>
      </c>
      <c r="C1084" s="4" t="s">
        <v>205</v>
      </c>
      <c r="D1084" s="4" t="s">
        <v>206</v>
      </c>
      <c r="E1084" s="4" t="n">
        <v>46290.0462384259</v>
      </c>
      <c r="F1084" s="4" t="n">
        <v>16</v>
      </c>
      <c r="G1084" s="4" t="n">
        <v>16</v>
      </c>
      <c r="H1084" s="4" t="n">
        <v>14</v>
      </c>
      <c r="I1084" s="4" t="n">
        <v>2</v>
      </c>
      <c r="J1084" s="4" t="n">
        <v>0</v>
      </c>
      <c r="K1084" s="4" t="n">
        <v>0</v>
      </c>
      <c r="L1084" s="11" t="b">
        <f aca="false">FALSE()</f>
        <v>0</v>
      </c>
    </row>
    <row r="1085" customFormat="false" ht="15" hidden="false" customHeight="false" outlineLevel="0" collapsed="false">
      <c r="A1085" s="4" t="s">
        <v>1292</v>
      </c>
      <c r="B1085" s="4" t="s">
        <v>101</v>
      </c>
      <c r="C1085" s="4" t="s">
        <v>205</v>
      </c>
      <c r="D1085" s="4" t="s">
        <v>206</v>
      </c>
      <c r="E1085" s="4" t="n">
        <v>46290.0870138889</v>
      </c>
      <c r="F1085" s="4" t="n">
        <v>18</v>
      </c>
      <c r="G1085" s="4" t="n">
        <v>18</v>
      </c>
      <c r="H1085" s="4" t="n">
        <v>14</v>
      </c>
      <c r="I1085" s="4" t="n">
        <v>3</v>
      </c>
      <c r="J1085" s="4" t="n">
        <v>0</v>
      </c>
      <c r="K1085" s="4" t="n">
        <v>1</v>
      </c>
      <c r="L1085" s="11" t="b">
        <f aca="false">FALSE()</f>
        <v>0</v>
      </c>
    </row>
    <row r="1086" customFormat="false" ht="15" hidden="false" customHeight="false" outlineLevel="0" collapsed="false">
      <c r="A1086" s="4" t="s">
        <v>1293</v>
      </c>
      <c r="B1086" s="4" t="s">
        <v>103</v>
      </c>
      <c r="C1086" s="4" t="s">
        <v>205</v>
      </c>
      <c r="D1086" s="4" t="s">
        <v>206</v>
      </c>
      <c r="E1086" s="4" t="n">
        <v>46290.1307523148</v>
      </c>
      <c r="F1086" s="4" t="n">
        <v>13</v>
      </c>
      <c r="G1086" s="4" t="n">
        <v>13</v>
      </c>
      <c r="H1086" s="4" t="n">
        <v>9</v>
      </c>
      <c r="I1086" s="4" t="n">
        <v>3</v>
      </c>
      <c r="J1086" s="4" t="n">
        <v>0</v>
      </c>
      <c r="K1086" s="4" t="n">
        <v>1</v>
      </c>
      <c r="L1086" s="11" t="b">
        <f aca="false">FALSE()</f>
        <v>0</v>
      </c>
    </row>
    <row r="1087" customFormat="false" ht="15" hidden="false" customHeight="false" outlineLevel="0" collapsed="false">
      <c r="A1087" s="4" t="s">
        <v>1294</v>
      </c>
      <c r="B1087" s="4" t="s">
        <v>100</v>
      </c>
      <c r="C1087" s="4" t="s">
        <v>205</v>
      </c>
      <c r="D1087" s="4" t="s">
        <v>206</v>
      </c>
      <c r="E1087" s="4" t="n">
        <v>46290.1696643519</v>
      </c>
      <c r="F1087" s="4" t="n">
        <v>13</v>
      </c>
      <c r="G1087" s="4" t="n">
        <v>13</v>
      </c>
      <c r="H1087" s="4" t="n">
        <v>12</v>
      </c>
      <c r="I1087" s="4" t="n">
        <v>1</v>
      </c>
      <c r="J1087" s="4" t="n">
        <v>0</v>
      </c>
      <c r="K1087" s="4" t="n">
        <v>0</v>
      </c>
      <c r="L1087" s="11" t="b">
        <f aca="false">FALSE()</f>
        <v>0</v>
      </c>
    </row>
    <row r="1088" customFormat="false" ht="15" hidden="false" customHeight="false" outlineLevel="0" collapsed="false">
      <c r="A1088" s="4" t="s">
        <v>1295</v>
      </c>
      <c r="B1088" s="4" t="s">
        <v>99</v>
      </c>
      <c r="C1088" s="4" t="s">
        <v>205</v>
      </c>
      <c r="D1088" s="4" t="s">
        <v>206</v>
      </c>
      <c r="E1088" s="4" t="n">
        <v>46290.2140277778</v>
      </c>
      <c r="F1088" s="4" t="n">
        <v>32</v>
      </c>
      <c r="G1088" s="4" t="n">
        <v>32</v>
      </c>
      <c r="H1088" s="4" t="n">
        <v>30</v>
      </c>
      <c r="I1088" s="4" t="n">
        <v>2</v>
      </c>
      <c r="J1088" s="4" t="n">
        <v>0</v>
      </c>
      <c r="K1088" s="4" t="n">
        <v>0</v>
      </c>
      <c r="L1088" s="11" t="b">
        <f aca="false">FALSE()</f>
        <v>0</v>
      </c>
    </row>
    <row r="1089" customFormat="false" ht="15" hidden="false" customHeight="false" outlineLevel="0" collapsed="false">
      <c r="A1089" s="4" t="s">
        <v>1296</v>
      </c>
      <c r="B1089" s="4" t="s">
        <v>101</v>
      </c>
      <c r="C1089" s="4" t="s">
        <v>205</v>
      </c>
      <c r="D1089" s="4" t="s">
        <v>206</v>
      </c>
      <c r="E1089" s="4" t="n">
        <v>46290.2540625</v>
      </c>
      <c r="F1089" s="4" t="n">
        <v>11</v>
      </c>
      <c r="G1089" s="4" t="n">
        <v>11</v>
      </c>
      <c r="H1089" s="4" t="n">
        <v>7</v>
      </c>
      <c r="I1089" s="4" t="n">
        <v>3</v>
      </c>
      <c r="J1089" s="4" t="n">
        <v>1</v>
      </c>
      <c r="K1089" s="4" t="n">
        <v>0</v>
      </c>
      <c r="L1089" s="11" t="b">
        <f aca="false">FALSE()</f>
        <v>0</v>
      </c>
    </row>
    <row r="1090" customFormat="false" ht="15" hidden="false" customHeight="false" outlineLevel="0" collapsed="false">
      <c r="A1090" s="4" t="s">
        <v>1297</v>
      </c>
      <c r="B1090" s="4" t="s">
        <v>104</v>
      </c>
      <c r="C1090" s="4" t="s">
        <v>205</v>
      </c>
      <c r="D1090" s="4" t="s">
        <v>206</v>
      </c>
      <c r="E1090" s="4" t="n">
        <v>46290.2571643519</v>
      </c>
      <c r="F1090" s="4" t="n">
        <v>11</v>
      </c>
      <c r="G1090" s="4" t="n">
        <v>11</v>
      </c>
      <c r="H1090" s="4" t="n">
        <v>10</v>
      </c>
      <c r="I1090" s="4" t="n">
        <v>1</v>
      </c>
      <c r="J1090" s="4" t="n">
        <v>0</v>
      </c>
      <c r="K1090" s="4" t="n">
        <v>0</v>
      </c>
      <c r="L1090" s="11" t="b">
        <f aca="false">FALSE()</f>
        <v>0</v>
      </c>
    </row>
    <row r="1091" customFormat="false" ht="15" hidden="false" customHeight="false" outlineLevel="0" collapsed="false">
      <c r="A1091" s="4" t="s">
        <v>1298</v>
      </c>
      <c r="B1091" s="4" t="s">
        <v>102</v>
      </c>
      <c r="C1091" s="4" t="s">
        <v>205</v>
      </c>
      <c r="D1091" s="4" t="s">
        <v>206</v>
      </c>
      <c r="E1091" s="4" t="n">
        <v>46290.2954861111</v>
      </c>
      <c r="F1091" s="4" t="n">
        <v>7</v>
      </c>
      <c r="G1091" s="4" t="n">
        <v>7</v>
      </c>
      <c r="H1091" s="4" t="n">
        <v>7</v>
      </c>
      <c r="I1091" s="4" t="n">
        <v>0</v>
      </c>
      <c r="J1091" s="4" t="n">
        <v>0</v>
      </c>
      <c r="K1091" s="4" t="n">
        <v>0</v>
      </c>
      <c r="L1091" s="11" t="b">
        <f aca="false">FALSE()</f>
        <v>0</v>
      </c>
    </row>
    <row r="1092" customFormat="false" ht="15" hidden="false" customHeight="false" outlineLevel="0" collapsed="false">
      <c r="A1092" s="4" t="s">
        <v>1299</v>
      </c>
      <c r="B1092" s="4" t="s">
        <v>100</v>
      </c>
      <c r="C1092" s="4" t="s">
        <v>205</v>
      </c>
      <c r="D1092" s="4" t="s">
        <v>206</v>
      </c>
      <c r="E1092" s="4" t="n">
        <v>46290.3369560185</v>
      </c>
      <c r="F1092" s="4" t="n">
        <v>32</v>
      </c>
      <c r="G1092" s="4" t="n">
        <v>32</v>
      </c>
      <c r="H1092" s="4" t="n">
        <v>31</v>
      </c>
      <c r="I1092" s="4" t="n">
        <v>1</v>
      </c>
      <c r="J1092" s="4" t="n">
        <v>0</v>
      </c>
      <c r="K1092" s="4" t="n">
        <v>0</v>
      </c>
      <c r="L1092" s="11" t="b">
        <f aca="false">FALSE()</f>
        <v>0</v>
      </c>
    </row>
    <row r="1093" customFormat="false" ht="15" hidden="false" customHeight="false" outlineLevel="0" collapsed="false">
      <c r="A1093" s="4" t="s">
        <v>1300</v>
      </c>
      <c r="B1093" s="4" t="s">
        <v>103</v>
      </c>
      <c r="C1093" s="4" t="s">
        <v>205</v>
      </c>
      <c r="D1093" s="4" t="s">
        <v>206</v>
      </c>
      <c r="E1093" s="4" t="n">
        <v>46290.380775463</v>
      </c>
      <c r="F1093" s="4" t="n">
        <v>15</v>
      </c>
      <c r="G1093" s="4" t="n">
        <v>15</v>
      </c>
      <c r="H1093" s="4" t="n">
        <v>13</v>
      </c>
      <c r="I1093" s="4" t="n">
        <v>1</v>
      </c>
      <c r="J1093" s="4" t="n">
        <v>1</v>
      </c>
      <c r="K1093" s="4" t="n">
        <v>0</v>
      </c>
      <c r="L1093" s="11" t="b">
        <f aca="false">FALSE()</f>
        <v>0</v>
      </c>
    </row>
    <row r="1094" customFormat="false" ht="15" hidden="false" customHeight="false" outlineLevel="0" collapsed="false">
      <c r="A1094" s="4" t="s">
        <v>1301</v>
      </c>
      <c r="B1094" s="4" t="s">
        <v>101</v>
      </c>
      <c r="C1094" s="4" t="s">
        <v>205</v>
      </c>
      <c r="D1094" s="4" t="s">
        <v>206</v>
      </c>
      <c r="E1094" s="4" t="n">
        <v>46290.4208217593</v>
      </c>
      <c r="F1094" s="4" t="n">
        <v>31</v>
      </c>
      <c r="G1094" s="4" t="n">
        <v>31</v>
      </c>
      <c r="H1094" s="4" t="n">
        <v>31</v>
      </c>
      <c r="I1094" s="4" t="n">
        <v>0</v>
      </c>
      <c r="J1094" s="4" t="n">
        <v>0</v>
      </c>
      <c r="K1094" s="4" t="n">
        <v>0</v>
      </c>
      <c r="L1094" s="11" t="b">
        <f aca="false">FALSE()</f>
        <v>0</v>
      </c>
    </row>
    <row r="1095" customFormat="false" ht="15" hidden="false" customHeight="false" outlineLevel="0" collapsed="false">
      <c r="A1095" s="4" t="s">
        <v>1302</v>
      </c>
      <c r="B1095" s="4" t="s">
        <v>100</v>
      </c>
      <c r="C1095" s="4" t="s">
        <v>205</v>
      </c>
      <c r="D1095" s="4" t="s">
        <v>206</v>
      </c>
      <c r="E1095" s="4" t="n">
        <v>46290.5036805556</v>
      </c>
      <c r="F1095" s="4" t="n">
        <v>74</v>
      </c>
      <c r="G1095" s="4" t="n">
        <v>74</v>
      </c>
      <c r="H1095" s="4" t="n">
        <v>70</v>
      </c>
      <c r="I1095" s="4" t="n">
        <v>3</v>
      </c>
      <c r="J1095" s="4" t="n">
        <v>1</v>
      </c>
      <c r="K1095" s="4" t="n">
        <v>0</v>
      </c>
      <c r="L1095" s="11" t="b">
        <f aca="false">FALSE()</f>
        <v>0</v>
      </c>
    </row>
    <row r="1096" customFormat="false" ht="15" hidden="false" customHeight="false" outlineLevel="0" collapsed="false">
      <c r="A1096" s="4" t="s">
        <v>1303</v>
      </c>
      <c r="B1096" s="4" t="s">
        <v>102</v>
      </c>
      <c r="C1096" s="4" t="s">
        <v>205</v>
      </c>
      <c r="D1096" s="4" t="s">
        <v>206</v>
      </c>
      <c r="E1096" s="4" t="n">
        <v>46290.5463194445</v>
      </c>
      <c r="F1096" s="4" t="n">
        <v>23</v>
      </c>
      <c r="G1096" s="4" t="n">
        <v>23</v>
      </c>
      <c r="H1096" s="4" t="n">
        <v>22</v>
      </c>
      <c r="I1096" s="4" t="n">
        <v>1</v>
      </c>
      <c r="J1096" s="4" t="n">
        <v>0</v>
      </c>
      <c r="K1096" s="4" t="n">
        <v>0</v>
      </c>
      <c r="L1096" s="11" t="b">
        <f aca="false">FALSE()</f>
        <v>0</v>
      </c>
    </row>
    <row r="1097" customFormat="false" ht="15" hidden="false" customHeight="false" outlineLevel="0" collapsed="false">
      <c r="A1097" s="4" t="s">
        <v>1304</v>
      </c>
      <c r="B1097" s="4" t="s">
        <v>101</v>
      </c>
      <c r="C1097" s="4" t="s">
        <v>205</v>
      </c>
      <c r="D1097" s="4" t="s">
        <v>206</v>
      </c>
      <c r="E1097" s="4" t="n">
        <v>46290.5873842593</v>
      </c>
      <c r="F1097" s="4" t="n">
        <v>50</v>
      </c>
      <c r="G1097" s="4" t="n">
        <v>50</v>
      </c>
      <c r="H1097" s="4" t="n">
        <v>49</v>
      </c>
      <c r="I1097" s="4" t="n">
        <v>0</v>
      </c>
      <c r="J1097" s="4" t="n">
        <v>1</v>
      </c>
      <c r="K1097" s="4" t="n">
        <v>0</v>
      </c>
      <c r="L1097" s="11" t="b">
        <f aca="false">FALSE()</f>
        <v>0</v>
      </c>
    </row>
    <row r="1098" customFormat="false" ht="15" hidden="false" customHeight="false" outlineLevel="0" collapsed="false">
      <c r="A1098" s="4" t="s">
        <v>1305</v>
      </c>
      <c r="B1098" s="4" t="s">
        <v>103</v>
      </c>
      <c r="C1098" s="4" t="s">
        <v>205</v>
      </c>
      <c r="D1098" s="4" t="s">
        <v>206</v>
      </c>
      <c r="E1098" s="4" t="n">
        <v>46290.6298263889</v>
      </c>
      <c r="F1098" s="4" t="n">
        <v>30</v>
      </c>
      <c r="G1098" s="4" t="n">
        <v>30</v>
      </c>
      <c r="H1098" s="4" t="n">
        <v>29</v>
      </c>
      <c r="I1098" s="4" t="n">
        <v>1</v>
      </c>
      <c r="J1098" s="4" t="n">
        <v>0</v>
      </c>
      <c r="K1098" s="4" t="n">
        <v>0</v>
      </c>
      <c r="L1098" s="11" t="b">
        <f aca="false">FALSE()</f>
        <v>0</v>
      </c>
    </row>
    <row r="1099" customFormat="false" ht="15" hidden="false" customHeight="false" outlineLevel="0" collapsed="false">
      <c r="A1099" s="4" t="s">
        <v>1306</v>
      </c>
      <c r="B1099" s="4" t="s">
        <v>100</v>
      </c>
      <c r="C1099" s="4" t="s">
        <v>205</v>
      </c>
      <c r="D1099" s="4" t="s">
        <v>206</v>
      </c>
      <c r="E1099" s="4" t="n">
        <v>46290.6693171296</v>
      </c>
      <c r="F1099" s="4" t="n">
        <v>81</v>
      </c>
      <c r="G1099" s="4" t="n">
        <v>81</v>
      </c>
      <c r="H1099" s="4" t="n">
        <v>79</v>
      </c>
      <c r="I1099" s="4" t="n">
        <v>2</v>
      </c>
      <c r="J1099" s="4" t="n">
        <v>0</v>
      </c>
      <c r="K1099" s="4" t="n">
        <v>0</v>
      </c>
      <c r="L1099" s="11" t="b">
        <f aca="false">FALSE()</f>
        <v>0</v>
      </c>
    </row>
    <row r="1100" customFormat="false" ht="15" hidden="false" customHeight="false" outlineLevel="0" collapsed="false">
      <c r="A1100" s="4" t="s">
        <v>1307</v>
      </c>
      <c r="B1100" s="4" t="s">
        <v>101</v>
      </c>
      <c r="C1100" s="4" t="s">
        <v>205</v>
      </c>
      <c r="D1100" s="4" t="s">
        <v>206</v>
      </c>
      <c r="E1100" s="4" t="n">
        <v>46290.7533101852</v>
      </c>
      <c r="F1100" s="4" t="n">
        <v>48</v>
      </c>
      <c r="G1100" s="4" t="n">
        <v>48</v>
      </c>
      <c r="H1100" s="4" t="n">
        <v>45</v>
      </c>
      <c r="I1100" s="4" t="n">
        <v>3</v>
      </c>
      <c r="J1100" s="4" t="n">
        <v>0</v>
      </c>
      <c r="K1100" s="4" t="n">
        <v>0</v>
      </c>
      <c r="L1100" s="11" t="b">
        <f aca="false">FALSE()</f>
        <v>0</v>
      </c>
    </row>
    <row r="1101" customFormat="false" ht="15" hidden="false" customHeight="false" outlineLevel="0" collapsed="false">
      <c r="A1101" s="4" t="s">
        <v>1308</v>
      </c>
      <c r="B1101" s="4" t="s">
        <v>104</v>
      </c>
      <c r="C1101" s="4" t="s">
        <v>205</v>
      </c>
      <c r="D1101" s="4" t="s">
        <v>206</v>
      </c>
      <c r="E1101" s="4" t="n">
        <v>46290.7555787037</v>
      </c>
      <c r="F1101" s="4" t="n">
        <v>22</v>
      </c>
      <c r="G1101" s="4" t="n">
        <v>22</v>
      </c>
      <c r="H1101" s="4" t="n">
        <v>22</v>
      </c>
      <c r="I1101" s="4" t="n">
        <v>0</v>
      </c>
      <c r="J1101" s="4" t="n">
        <v>0</v>
      </c>
      <c r="K1101" s="4" t="n">
        <v>0</v>
      </c>
      <c r="L1101" s="11" t="b">
        <f aca="false">FALSE()</f>
        <v>0</v>
      </c>
    </row>
    <row r="1102" customFormat="false" ht="15" hidden="false" customHeight="false" outlineLevel="0" collapsed="false">
      <c r="A1102" s="4" t="s">
        <v>1309</v>
      </c>
      <c r="B1102" s="4" t="s">
        <v>102</v>
      </c>
      <c r="C1102" s="4" t="s">
        <v>205</v>
      </c>
      <c r="D1102" s="4" t="s">
        <v>206</v>
      </c>
      <c r="E1102" s="4" t="n">
        <v>46290.7953125</v>
      </c>
      <c r="F1102" s="4" t="n">
        <v>28</v>
      </c>
      <c r="G1102" s="4" t="n">
        <v>28</v>
      </c>
      <c r="H1102" s="4" t="n">
        <v>25</v>
      </c>
      <c r="I1102" s="4" t="n">
        <v>3</v>
      </c>
      <c r="J1102" s="4" t="n">
        <v>0</v>
      </c>
      <c r="K1102" s="4" t="n">
        <v>0</v>
      </c>
      <c r="L1102" s="11" t="b">
        <f aca="false">TRUE()</f>
        <v>1</v>
      </c>
    </row>
    <row r="1103" customFormat="false" ht="15" hidden="false" customHeight="false" outlineLevel="0" collapsed="false">
      <c r="A1103" s="4" t="s">
        <v>1310</v>
      </c>
      <c r="B1103" s="4" t="s">
        <v>100</v>
      </c>
      <c r="C1103" s="4" t="s">
        <v>205</v>
      </c>
      <c r="D1103" s="4" t="s">
        <v>206</v>
      </c>
      <c r="E1103" s="4" t="n">
        <v>46290.8366435185</v>
      </c>
      <c r="F1103" s="4" t="n">
        <v>68</v>
      </c>
      <c r="G1103" s="4" t="n">
        <v>68</v>
      </c>
      <c r="H1103" s="4" t="n">
        <v>67</v>
      </c>
      <c r="I1103" s="4" t="n">
        <v>1</v>
      </c>
      <c r="J1103" s="4" t="n">
        <v>0</v>
      </c>
      <c r="K1103" s="4" t="n">
        <v>0</v>
      </c>
      <c r="L1103" s="11" t="b">
        <f aca="false">FALSE()</f>
        <v>0</v>
      </c>
    </row>
    <row r="1104" customFormat="false" ht="15" hidden="false" customHeight="false" outlineLevel="0" collapsed="false">
      <c r="A1104" s="4" t="s">
        <v>1311</v>
      </c>
      <c r="B1104" s="4" t="s">
        <v>103</v>
      </c>
      <c r="C1104" s="4" t="s">
        <v>205</v>
      </c>
      <c r="D1104" s="4" t="s">
        <v>206</v>
      </c>
      <c r="E1104" s="4" t="n">
        <v>46290.8795486111</v>
      </c>
      <c r="F1104" s="4" t="n">
        <v>27</v>
      </c>
      <c r="G1104" s="4" t="n">
        <v>27</v>
      </c>
      <c r="H1104" s="4" t="n">
        <v>25</v>
      </c>
      <c r="I1104" s="4" t="n">
        <v>2</v>
      </c>
      <c r="J1104" s="4" t="n">
        <v>0</v>
      </c>
      <c r="K1104" s="4" t="n">
        <v>0</v>
      </c>
      <c r="L1104" s="11" t="b">
        <f aca="false">TRUE()</f>
        <v>1</v>
      </c>
    </row>
    <row r="1105" customFormat="false" ht="15" hidden="false" customHeight="false" outlineLevel="0" collapsed="false">
      <c r="A1105" s="4" t="s">
        <v>1312</v>
      </c>
      <c r="B1105" s="4" t="s">
        <v>101</v>
      </c>
      <c r="C1105" s="4" t="s">
        <v>205</v>
      </c>
      <c r="D1105" s="4" t="s">
        <v>206</v>
      </c>
      <c r="E1105" s="4" t="n">
        <v>46290.9200115741</v>
      </c>
      <c r="F1105" s="4" t="n">
        <v>40</v>
      </c>
      <c r="G1105" s="4" t="n">
        <v>40</v>
      </c>
      <c r="H1105" s="4" t="n">
        <v>37</v>
      </c>
      <c r="I1105" s="4" t="n">
        <v>3</v>
      </c>
      <c r="J1105" s="4" t="n">
        <v>0</v>
      </c>
      <c r="K1105" s="4" t="n">
        <v>0</v>
      </c>
      <c r="L1105" s="11" t="b">
        <f aca="false">FALSE()</f>
        <v>0</v>
      </c>
    </row>
    <row r="1106" customFormat="false" ht="15" hidden="false" customHeight="false" outlineLevel="0" collapsed="false">
      <c r="A1106" s="4" t="s">
        <v>1313</v>
      </c>
      <c r="B1106" s="4" t="s">
        <v>100</v>
      </c>
      <c r="C1106" s="4" t="s">
        <v>205</v>
      </c>
      <c r="D1106" s="4" t="s">
        <v>206</v>
      </c>
      <c r="E1106" s="4" t="n">
        <v>46291.0029976852</v>
      </c>
      <c r="F1106" s="4" t="n">
        <v>36</v>
      </c>
      <c r="G1106" s="4" t="n">
        <v>36</v>
      </c>
      <c r="H1106" s="4" t="n">
        <v>36</v>
      </c>
      <c r="I1106" s="4" t="n">
        <v>0</v>
      </c>
      <c r="J1106" s="4" t="n">
        <v>0</v>
      </c>
      <c r="K1106" s="4" t="n">
        <v>0</v>
      </c>
      <c r="L1106" s="11" t="b">
        <f aca="false">FALSE()</f>
        <v>0</v>
      </c>
    </row>
    <row r="1107" customFormat="false" ht="15" hidden="false" customHeight="false" outlineLevel="0" collapsed="false">
      <c r="A1107" s="4" t="s">
        <v>1314</v>
      </c>
      <c r="B1107" s="4" t="s">
        <v>102</v>
      </c>
      <c r="C1107" s="4" t="s">
        <v>205</v>
      </c>
      <c r="D1107" s="4" t="s">
        <v>206</v>
      </c>
      <c r="E1107" s="4" t="n">
        <v>46291.0459837963</v>
      </c>
      <c r="F1107" s="4" t="n">
        <v>17</v>
      </c>
      <c r="G1107" s="4" t="n">
        <v>17</v>
      </c>
      <c r="H1107" s="4" t="n">
        <v>16</v>
      </c>
      <c r="I1107" s="4" t="n">
        <v>1</v>
      </c>
      <c r="J1107" s="4" t="n">
        <v>0</v>
      </c>
      <c r="K1107" s="4" t="n">
        <v>0</v>
      </c>
      <c r="L1107" s="11" t="b">
        <f aca="false">FALSE()</f>
        <v>0</v>
      </c>
    </row>
    <row r="1108" customFormat="false" ht="15" hidden="false" customHeight="false" outlineLevel="0" collapsed="false">
      <c r="A1108" s="4" t="s">
        <v>1315</v>
      </c>
      <c r="B1108" s="4" t="s">
        <v>101</v>
      </c>
      <c r="C1108" s="4" t="s">
        <v>205</v>
      </c>
      <c r="D1108" s="4" t="s">
        <v>206</v>
      </c>
      <c r="E1108" s="4" t="n">
        <v>46291.0863194445</v>
      </c>
      <c r="F1108" s="4" t="n">
        <v>13</v>
      </c>
      <c r="G1108" s="4" t="n">
        <v>13</v>
      </c>
      <c r="H1108" s="4" t="n">
        <v>13</v>
      </c>
      <c r="I1108" s="4" t="n">
        <v>0</v>
      </c>
      <c r="J1108" s="4" t="n">
        <v>0</v>
      </c>
      <c r="K1108" s="4" t="n">
        <v>0</v>
      </c>
      <c r="L1108" s="11" t="b">
        <f aca="false">FALSE()</f>
        <v>0</v>
      </c>
    </row>
    <row r="1109" customFormat="false" ht="15" hidden="false" customHeight="false" outlineLevel="0" collapsed="false">
      <c r="A1109" s="4" t="s">
        <v>1316</v>
      </c>
      <c r="B1109" s="4" t="s">
        <v>103</v>
      </c>
      <c r="C1109" s="4" t="s">
        <v>205</v>
      </c>
      <c r="D1109" s="4" t="s">
        <v>206</v>
      </c>
      <c r="E1109" s="4" t="n">
        <v>46291.1296759259</v>
      </c>
      <c r="F1109" s="4" t="n">
        <v>9</v>
      </c>
      <c r="G1109" s="4" t="n">
        <v>9</v>
      </c>
      <c r="H1109" s="4" t="n">
        <v>9</v>
      </c>
      <c r="I1109" s="4" t="n">
        <v>0</v>
      </c>
      <c r="J1109" s="4" t="n">
        <v>0</v>
      </c>
      <c r="K1109" s="4" t="n">
        <v>0</v>
      </c>
      <c r="L1109" s="11" t="b">
        <f aca="false">FALSE()</f>
        <v>0</v>
      </c>
    </row>
    <row r="1110" customFormat="false" ht="15" hidden="false" customHeight="false" outlineLevel="0" collapsed="false">
      <c r="A1110" s="4" t="s">
        <v>1317</v>
      </c>
      <c r="B1110" s="4" t="s">
        <v>100</v>
      </c>
      <c r="C1110" s="4" t="s">
        <v>205</v>
      </c>
      <c r="D1110" s="4" t="s">
        <v>206</v>
      </c>
      <c r="E1110" s="4" t="n">
        <v>46291.1704513889</v>
      </c>
      <c r="F1110" s="4" t="n">
        <v>12</v>
      </c>
      <c r="G1110" s="4" t="n">
        <v>12</v>
      </c>
      <c r="H1110" s="4" t="n">
        <v>10</v>
      </c>
      <c r="I1110" s="4" t="n">
        <v>2</v>
      </c>
      <c r="J1110" s="4" t="n">
        <v>0</v>
      </c>
      <c r="K1110" s="4" t="n">
        <v>0</v>
      </c>
      <c r="L1110" s="11" t="b">
        <f aca="false">FALSE()</f>
        <v>0</v>
      </c>
    </row>
    <row r="1111" customFormat="false" ht="15" hidden="false" customHeight="false" outlineLevel="0" collapsed="false">
      <c r="A1111" s="4" t="s">
        <v>1318</v>
      </c>
      <c r="B1111" s="4" t="s">
        <v>99</v>
      </c>
      <c r="C1111" s="4" t="s">
        <v>205</v>
      </c>
      <c r="D1111" s="4" t="s">
        <v>206</v>
      </c>
      <c r="E1111" s="4" t="n">
        <v>46291.2144791667</v>
      </c>
      <c r="F1111" s="4" t="n">
        <v>36</v>
      </c>
      <c r="G1111" s="4" t="n">
        <v>36</v>
      </c>
      <c r="H1111" s="4" t="n">
        <v>33</v>
      </c>
      <c r="I1111" s="4" t="n">
        <v>3</v>
      </c>
      <c r="J1111" s="4" t="n">
        <v>0</v>
      </c>
      <c r="K1111" s="4" t="n">
        <v>0</v>
      </c>
      <c r="L1111" s="11" t="b">
        <f aca="false">FALSE()</f>
        <v>0</v>
      </c>
    </row>
    <row r="1112" customFormat="false" ht="15" hidden="false" customHeight="false" outlineLevel="0" collapsed="false">
      <c r="A1112" s="4" t="s">
        <v>1319</v>
      </c>
      <c r="B1112" s="4" t="s">
        <v>101</v>
      </c>
      <c r="C1112" s="4" t="s">
        <v>205</v>
      </c>
      <c r="D1112" s="4" t="s">
        <v>206</v>
      </c>
      <c r="E1112" s="4" t="n">
        <v>46291.2533680556</v>
      </c>
      <c r="F1112" s="4" t="n">
        <v>8</v>
      </c>
      <c r="G1112" s="4" t="n">
        <v>8</v>
      </c>
      <c r="H1112" s="4" t="n">
        <v>7</v>
      </c>
      <c r="I1112" s="4" t="n">
        <v>0</v>
      </c>
      <c r="J1112" s="4" t="n">
        <v>1</v>
      </c>
      <c r="K1112" s="4" t="n">
        <v>0</v>
      </c>
      <c r="L1112" s="11" t="b">
        <f aca="false">FALSE()</f>
        <v>0</v>
      </c>
    </row>
    <row r="1113" customFormat="false" ht="15" hidden="false" customHeight="false" outlineLevel="0" collapsed="false">
      <c r="A1113" s="4" t="s">
        <v>1320</v>
      </c>
      <c r="B1113" s="4" t="s">
        <v>104</v>
      </c>
      <c r="C1113" s="4" t="s">
        <v>205</v>
      </c>
      <c r="D1113" s="4" t="s">
        <v>206</v>
      </c>
      <c r="E1113" s="4" t="n">
        <v>46291.2565277778</v>
      </c>
      <c r="F1113" s="4" t="n">
        <v>16</v>
      </c>
      <c r="G1113" s="4" t="n">
        <v>16</v>
      </c>
      <c r="H1113" s="4" t="n">
        <v>13</v>
      </c>
      <c r="I1113" s="4" t="n">
        <v>3</v>
      </c>
      <c r="J1113" s="4" t="n">
        <v>0</v>
      </c>
      <c r="K1113" s="4" t="n">
        <v>0</v>
      </c>
      <c r="L1113" s="11" t="b">
        <f aca="false">FALSE()</f>
        <v>0</v>
      </c>
    </row>
    <row r="1114" customFormat="false" ht="15" hidden="false" customHeight="false" outlineLevel="0" collapsed="false">
      <c r="A1114" s="4" t="s">
        <v>1321</v>
      </c>
      <c r="B1114" s="4" t="s">
        <v>102</v>
      </c>
      <c r="C1114" s="4" t="s">
        <v>205</v>
      </c>
      <c r="D1114" s="4" t="s">
        <v>206</v>
      </c>
      <c r="E1114" s="4" t="n">
        <v>46291.2966898148</v>
      </c>
      <c r="F1114" s="4" t="n">
        <v>7</v>
      </c>
      <c r="G1114" s="4" t="n">
        <v>7</v>
      </c>
      <c r="H1114" s="4" t="n">
        <v>5</v>
      </c>
      <c r="I1114" s="4" t="n">
        <v>2</v>
      </c>
      <c r="J1114" s="4" t="n">
        <v>0</v>
      </c>
      <c r="K1114" s="4" t="n">
        <v>0</v>
      </c>
      <c r="L1114" s="11" t="b">
        <f aca="false">FALSE()</f>
        <v>0</v>
      </c>
    </row>
    <row r="1115" customFormat="false" ht="15" hidden="false" customHeight="false" outlineLevel="0" collapsed="false">
      <c r="A1115" s="4" t="s">
        <v>1322</v>
      </c>
      <c r="B1115" s="4" t="s">
        <v>100</v>
      </c>
      <c r="C1115" s="4" t="s">
        <v>205</v>
      </c>
      <c r="D1115" s="4" t="s">
        <v>206</v>
      </c>
      <c r="E1115" s="4" t="n">
        <v>46291.3358680556</v>
      </c>
      <c r="F1115" s="4" t="n">
        <v>28</v>
      </c>
      <c r="G1115" s="4" t="n">
        <v>28</v>
      </c>
      <c r="H1115" s="4" t="n">
        <v>26</v>
      </c>
      <c r="I1115" s="4" t="n">
        <v>2</v>
      </c>
      <c r="J1115" s="4" t="n">
        <v>0</v>
      </c>
      <c r="K1115" s="4" t="n">
        <v>0</v>
      </c>
      <c r="L1115" s="11" t="b">
        <f aca="false">FALSE()</f>
        <v>0</v>
      </c>
    </row>
    <row r="1116" customFormat="false" ht="15" hidden="false" customHeight="false" outlineLevel="0" collapsed="false">
      <c r="A1116" s="4" t="s">
        <v>1323</v>
      </c>
      <c r="B1116" s="4" t="s">
        <v>103</v>
      </c>
      <c r="C1116" s="4" t="s">
        <v>205</v>
      </c>
      <c r="D1116" s="4" t="s">
        <v>206</v>
      </c>
      <c r="E1116" s="4" t="n">
        <v>46291.3804976852</v>
      </c>
      <c r="F1116" s="4" t="n">
        <v>13</v>
      </c>
      <c r="G1116" s="4" t="n">
        <v>13</v>
      </c>
      <c r="H1116" s="4" t="n">
        <v>11</v>
      </c>
      <c r="I1116" s="4" t="n">
        <v>1</v>
      </c>
      <c r="J1116" s="4" t="n">
        <v>0</v>
      </c>
      <c r="K1116" s="4" t="n">
        <v>1</v>
      </c>
      <c r="L1116" s="11" t="b">
        <f aca="false">FALSE()</f>
        <v>0</v>
      </c>
    </row>
    <row r="1117" customFormat="false" ht="15" hidden="false" customHeight="false" outlineLevel="0" collapsed="false">
      <c r="A1117" s="4" t="s">
        <v>1324</v>
      </c>
      <c r="B1117" s="4" t="s">
        <v>101</v>
      </c>
      <c r="C1117" s="4" t="s">
        <v>205</v>
      </c>
      <c r="D1117" s="4" t="s">
        <v>206</v>
      </c>
      <c r="E1117" s="4" t="n">
        <v>46291.420462963</v>
      </c>
      <c r="F1117" s="4" t="n">
        <v>29</v>
      </c>
      <c r="G1117" s="4" t="n">
        <v>29</v>
      </c>
      <c r="H1117" s="4" t="n">
        <v>29</v>
      </c>
      <c r="I1117" s="4" t="n">
        <v>0</v>
      </c>
      <c r="J1117" s="4" t="n">
        <v>0</v>
      </c>
      <c r="K1117" s="4" t="n">
        <v>0</v>
      </c>
      <c r="L1117" s="11" t="b">
        <f aca="false">FALSE()</f>
        <v>0</v>
      </c>
    </row>
    <row r="1118" customFormat="false" ht="15" hidden="false" customHeight="false" outlineLevel="0" collapsed="false">
      <c r="A1118" s="4" t="s">
        <v>1325</v>
      </c>
      <c r="B1118" s="4" t="s">
        <v>100</v>
      </c>
      <c r="C1118" s="4" t="s">
        <v>205</v>
      </c>
      <c r="D1118" s="4" t="s">
        <v>206</v>
      </c>
      <c r="E1118" s="4" t="n">
        <v>46291.5037847222</v>
      </c>
      <c r="F1118" s="4" t="n">
        <v>62</v>
      </c>
      <c r="G1118" s="4" t="n">
        <v>62</v>
      </c>
      <c r="H1118" s="4" t="n">
        <v>61</v>
      </c>
      <c r="I1118" s="4" t="n">
        <v>0</v>
      </c>
      <c r="J1118" s="4" t="n">
        <v>1</v>
      </c>
      <c r="K1118" s="4" t="n">
        <v>0</v>
      </c>
      <c r="L1118" s="11" t="b">
        <f aca="false">FALSE()</f>
        <v>0</v>
      </c>
    </row>
    <row r="1119" customFormat="false" ht="15" hidden="false" customHeight="false" outlineLevel="0" collapsed="false">
      <c r="A1119" s="4" t="s">
        <v>1326</v>
      </c>
      <c r="B1119" s="4" t="s">
        <v>102</v>
      </c>
      <c r="C1119" s="4" t="s">
        <v>205</v>
      </c>
      <c r="D1119" s="4" t="s">
        <v>206</v>
      </c>
      <c r="E1119" s="4" t="n">
        <v>46291.5467708333</v>
      </c>
      <c r="F1119" s="4" t="n">
        <v>23</v>
      </c>
      <c r="G1119" s="4" t="n">
        <v>23</v>
      </c>
      <c r="H1119" s="4" t="n">
        <v>19</v>
      </c>
      <c r="I1119" s="4" t="n">
        <v>2</v>
      </c>
      <c r="J1119" s="4" t="n">
        <v>2</v>
      </c>
      <c r="K1119" s="4" t="n">
        <v>0</v>
      </c>
      <c r="L1119" s="11" t="b">
        <f aca="false">FALSE()</f>
        <v>0</v>
      </c>
    </row>
    <row r="1120" customFormat="false" ht="15" hidden="false" customHeight="false" outlineLevel="0" collapsed="false">
      <c r="A1120" s="4" t="s">
        <v>1327</v>
      </c>
      <c r="B1120" s="4" t="s">
        <v>101</v>
      </c>
      <c r="C1120" s="4" t="s">
        <v>205</v>
      </c>
      <c r="D1120" s="4" t="s">
        <v>206</v>
      </c>
      <c r="E1120" s="4" t="n">
        <v>46291.586400463</v>
      </c>
      <c r="F1120" s="4" t="n">
        <v>43</v>
      </c>
      <c r="G1120" s="4" t="n">
        <v>43</v>
      </c>
      <c r="H1120" s="4" t="n">
        <v>41</v>
      </c>
      <c r="I1120" s="4" t="n">
        <v>2</v>
      </c>
      <c r="J1120" s="4" t="n">
        <v>0</v>
      </c>
      <c r="K1120" s="4" t="n">
        <v>0</v>
      </c>
      <c r="L1120" s="11" t="b">
        <f aca="false">FALSE()</f>
        <v>0</v>
      </c>
    </row>
    <row r="1121" customFormat="false" ht="15" hidden="false" customHeight="false" outlineLevel="0" collapsed="false">
      <c r="A1121" s="4" t="s">
        <v>1328</v>
      </c>
      <c r="B1121" s="4" t="s">
        <v>103</v>
      </c>
      <c r="C1121" s="4" t="s">
        <v>205</v>
      </c>
      <c r="D1121" s="4" t="s">
        <v>206</v>
      </c>
      <c r="E1121" s="4" t="n">
        <v>46291.6300115741</v>
      </c>
      <c r="F1121" s="4" t="n">
        <v>29</v>
      </c>
      <c r="G1121" s="4" t="n">
        <v>29</v>
      </c>
      <c r="H1121" s="4" t="n">
        <v>26</v>
      </c>
      <c r="I1121" s="4" t="n">
        <v>3</v>
      </c>
      <c r="J1121" s="4" t="n">
        <v>0</v>
      </c>
      <c r="K1121" s="4" t="n">
        <v>0</v>
      </c>
      <c r="L1121" s="11" t="b">
        <f aca="false">FALSE()</f>
        <v>0</v>
      </c>
    </row>
    <row r="1122" customFormat="false" ht="15" hidden="false" customHeight="false" outlineLevel="0" collapsed="false">
      <c r="A1122" s="4" t="s">
        <v>1329</v>
      </c>
      <c r="B1122" s="4" t="s">
        <v>101</v>
      </c>
      <c r="C1122" s="4" t="s">
        <v>205</v>
      </c>
      <c r="D1122" s="4" t="s">
        <v>206</v>
      </c>
      <c r="E1122" s="4" t="n">
        <v>46291.7528703704</v>
      </c>
      <c r="F1122" s="4" t="n">
        <v>44</v>
      </c>
      <c r="G1122" s="4" t="n">
        <v>44</v>
      </c>
      <c r="H1122" s="4" t="n">
        <v>42</v>
      </c>
      <c r="I1122" s="4" t="n">
        <v>2</v>
      </c>
      <c r="J1122" s="4" t="n">
        <v>0</v>
      </c>
      <c r="K1122" s="4" t="n">
        <v>0</v>
      </c>
      <c r="L1122" s="11" t="b">
        <f aca="false">FALSE()</f>
        <v>0</v>
      </c>
    </row>
    <row r="1123" customFormat="false" ht="15" hidden="false" customHeight="false" outlineLevel="0" collapsed="false">
      <c r="A1123" s="4" t="s">
        <v>1330</v>
      </c>
      <c r="B1123" s="4" t="s">
        <v>104</v>
      </c>
      <c r="C1123" s="4" t="s">
        <v>205</v>
      </c>
      <c r="D1123" s="4" t="s">
        <v>206</v>
      </c>
      <c r="E1123" s="4" t="n">
        <v>46291.7566898148</v>
      </c>
      <c r="F1123" s="4" t="n">
        <v>22</v>
      </c>
      <c r="G1123" s="4" t="n">
        <v>22</v>
      </c>
      <c r="H1123" s="4" t="n">
        <v>18</v>
      </c>
      <c r="I1123" s="4" t="n">
        <v>3</v>
      </c>
      <c r="J1123" s="4" t="n">
        <v>1</v>
      </c>
      <c r="K1123" s="4" t="n">
        <v>0</v>
      </c>
      <c r="L1123" s="11" t="b">
        <f aca="false">FALSE()</f>
        <v>0</v>
      </c>
    </row>
    <row r="1124" customFormat="false" ht="15" hidden="false" customHeight="false" outlineLevel="0" collapsed="false">
      <c r="A1124" s="4" t="s">
        <v>1331</v>
      </c>
      <c r="B1124" s="4" t="s">
        <v>100</v>
      </c>
      <c r="C1124" s="4" t="s">
        <v>205</v>
      </c>
      <c r="D1124" s="4" t="s">
        <v>206</v>
      </c>
      <c r="E1124" s="4" t="n">
        <v>46291.7687615741</v>
      </c>
      <c r="F1124" s="4" t="n">
        <v>102</v>
      </c>
      <c r="G1124" s="4" t="n">
        <v>102</v>
      </c>
      <c r="H1124" s="4" t="n">
        <v>101</v>
      </c>
      <c r="I1124" s="4" t="n">
        <v>1</v>
      </c>
      <c r="J1124" s="4" t="n">
        <v>0</v>
      </c>
      <c r="K1124" s="4" t="n">
        <v>0</v>
      </c>
      <c r="L1124" s="11" t="b">
        <f aca="false">TRUE()</f>
        <v>1</v>
      </c>
    </row>
    <row r="1125" customFormat="false" ht="15" hidden="false" customHeight="false" outlineLevel="0" collapsed="false">
      <c r="A1125" s="4" t="s">
        <v>1332</v>
      </c>
      <c r="B1125" s="4" t="s">
        <v>102</v>
      </c>
      <c r="C1125" s="4" t="s">
        <v>205</v>
      </c>
      <c r="D1125" s="4" t="s">
        <v>206</v>
      </c>
      <c r="E1125" s="4" t="n">
        <v>46291.7966550926</v>
      </c>
      <c r="F1125" s="4" t="n">
        <v>20</v>
      </c>
      <c r="G1125" s="4" t="n">
        <v>20</v>
      </c>
      <c r="H1125" s="4" t="n">
        <v>19</v>
      </c>
      <c r="I1125" s="4" t="n">
        <v>1</v>
      </c>
      <c r="J1125" s="4" t="n">
        <v>0</v>
      </c>
      <c r="K1125" s="4" t="n">
        <v>0</v>
      </c>
      <c r="L1125" s="11" t="b">
        <f aca="false">FALSE()</f>
        <v>0</v>
      </c>
    </row>
    <row r="1126" customFormat="false" ht="15" hidden="false" customHeight="false" outlineLevel="0" collapsed="false">
      <c r="A1126" s="4" t="s">
        <v>1333</v>
      </c>
      <c r="B1126" s="4" t="s">
        <v>100</v>
      </c>
      <c r="C1126" s="4" t="s">
        <v>205</v>
      </c>
      <c r="D1126" s="4" t="s">
        <v>206</v>
      </c>
      <c r="E1126" s="4" t="n">
        <v>46291.8355787037</v>
      </c>
      <c r="F1126" s="4" t="n">
        <v>22</v>
      </c>
      <c r="G1126" s="4" t="n">
        <v>22</v>
      </c>
      <c r="H1126" s="4" t="n">
        <v>22</v>
      </c>
      <c r="I1126" s="4" t="n">
        <v>0</v>
      </c>
      <c r="J1126" s="4" t="n">
        <v>0</v>
      </c>
      <c r="K1126" s="4" t="n">
        <v>0</v>
      </c>
      <c r="L1126" s="11" t="b">
        <f aca="false">FALSE()</f>
        <v>0</v>
      </c>
    </row>
    <row r="1127" customFormat="false" ht="15" hidden="false" customHeight="false" outlineLevel="0" collapsed="false">
      <c r="A1127" s="4" t="s">
        <v>1334</v>
      </c>
      <c r="B1127" s="4" t="s">
        <v>103</v>
      </c>
      <c r="C1127" s="4" t="s">
        <v>205</v>
      </c>
      <c r="D1127" s="4" t="s">
        <v>206</v>
      </c>
      <c r="E1127" s="4" t="n">
        <v>46291.8801273148</v>
      </c>
      <c r="F1127" s="4" t="n">
        <v>25</v>
      </c>
      <c r="G1127" s="4" t="n">
        <v>25</v>
      </c>
      <c r="H1127" s="4" t="n">
        <v>22</v>
      </c>
      <c r="I1127" s="4" t="n">
        <v>3</v>
      </c>
      <c r="J1127" s="4" t="n">
        <v>0</v>
      </c>
      <c r="K1127" s="4" t="n">
        <v>0</v>
      </c>
      <c r="L1127" s="11" t="b">
        <f aca="false">FALSE()</f>
        <v>0</v>
      </c>
    </row>
    <row r="1128" customFormat="false" ht="15" hidden="false" customHeight="false" outlineLevel="0" collapsed="false">
      <c r="A1128" s="4" t="s">
        <v>1335</v>
      </c>
      <c r="B1128" s="4" t="s">
        <v>101</v>
      </c>
      <c r="C1128" s="4" t="s">
        <v>205</v>
      </c>
      <c r="D1128" s="4" t="s">
        <v>206</v>
      </c>
      <c r="E1128" s="4" t="n">
        <v>46291.9195949074</v>
      </c>
      <c r="F1128" s="4" t="n">
        <v>29</v>
      </c>
      <c r="G1128" s="4" t="n">
        <v>29</v>
      </c>
      <c r="H1128" s="4" t="n">
        <v>26</v>
      </c>
      <c r="I1128" s="4" t="n">
        <v>1</v>
      </c>
      <c r="J1128" s="4" t="n">
        <v>2</v>
      </c>
      <c r="K1128" s="4" t="n">
        <v>0</v>
      </c>
      <c r="L1128" s="11" t="b">
        <f aca="false">FALSE()</f>
        <v>0</v>
      </c>
    </row>
    <row r="1129" customFormat="false" ht="15" hidden="false" customHeight="false" outlineLevel="0" collapsed="false">
      <c r="A1129" s="4" t="s">
        <v>1336</v>
      </c>
      <c r="B1129" s="4" t="s">
        <v>102</v>
      </c>
      <c r="C1129" s="4" t="s">
        <v>205</v>
      </c>
      <c r="D1129" s="4" t="s">
        <v>428</v>
      </c>
      <c r="E1129" s="4" t="n">
        <v>46292.0019097222</v>
      </c>
      <c r="F1129" s="4" t="n">
        <v>77</v>
      </c>
      <c r="G1129" s="4" t="n">
        <v>77</v>
      </c>
      <c r="H1129" s="4" t="n">
        <v>77</v>
      </c>
      <c r="I1129" s="4" t="n">
        <v>0</v>
      </c>
      <c r="J1129" s="4" t="n">
        <v>0</v>
      </c>
      <c r="K1129" s="4" t="n">
        <v>0</v>
      </c>
      <c r="L1129" s="11" t="b">
        <f aca="false">FALSE()</f>
        <v>0</v>
      </c>
    </row>
    <row r="1130" customFormat="false" ht="15" hidden="false" customHeight="false" outlineLevel="0" collapsed="false">
      <c r="A1130" s="4" t="s">
        <v>1337</v>
      </c>
      <c r="B1130" s="4" t="s">
        <v>100</v>
      </c>
      <c r="C1130" s="4" t="s">
        <v>205</v>
      </c>
      <c r="D1130" s="4" t="s">
        <v>206</v>
      </c>
      <c r="E1130" s="4" t="n">
        <v>46292.0025115741</v>
      </c>
      <c r="F1130" s="4" t="n">
        <v>35</v>
      </c>
      <c r="G1130" s="4" t="n">
        <v>35</v>
      </c>
      <c r="H1130" s="4" t="n">
        <v>33</v>
      </c>
      <c r="I1130" s="4" t="n">
        <v>1</v>
      </c>
      <c r="J1130" s="4" t="n">
        <v>0</v>
      </c>
      <c r="K1130" s="4" t="n">
        <v>1</v>
      </c>
      <c r="L1130" s="11" t="b">
        <f aca="false">FALSE()</f>
        <v>0</v>
      </c>
    </row>
    <row r="1131" customFormat="false" ht="15" hidden="false" customHeight="false" outlineLevel="0" collapsed="false">
      <c r="A1131" s="4" t="s">
        <v>1338</v>
      </c>
      <c r="B1131" s="4" t="s">
        <v>102</v>
      </c>
      <c r="C1131" s="4" t="s">
        <v>205</v>
      </c>
      <c r="D1131" s="4" t="s">
        <v>428</v>
      </c>
      <c r="E1131" s="4" t="n">
        <v>46292.0239351852</v>
      </c>
      <c r="F1131" s="4" t="n">
        <v>72</v>
      </c>
      <c r="G1131" s="4" t="n">
        <v>72</v>
      </c>
      <c r="H1131" s="4" t="n">
        <v>72</v>
      </c>
      <c r="I1131" s="4" t="n">
        <v>0</v>
      </c>
      <c r="J1131" s="4" t="n">
        <v>0</v>
      </c>
      <c r="K1131" s="4" t="n">
        <v>0</v>
      </c>
      <c r="L1131" s="11" t="b">
        <f aca="false">FALSE()</f>
        <v>0</v>
      </c>
    </row>
    <row r="1132" customFormat="false" ht="15" hidden="false" customHeight="false" outlineLevel="0" collapsed="false">
      <c r="A1132" s="4" t="s">
        <v>1339</v>
      </c>
      <c r="B1132" s="4" t="s">
        <v>102</v>
      </c>
      <c r="C1132" s="4" t="s">
        <v>205</v>
      </c>
      <c r="D1132" s="4" t="s">
        <v>206</v>
      </c>
      <c r="E1132" s="4" t="n">
        <v>46292.0459259259</v>
      </c>
      <c r="F1132" s="4" t="n">
        <v>15</v>
      </c>
      <c r="G1132" s="4" t="n">
        <v>15</v>
      </c>
      <c r="H1132" s="4" t="n">
        <v>12</v>
      </c>
      <c r="I1132" s="4" t="n">
        <v>3</v>
      </c>
      <c r="J1132" s="4" t="n">
        <v>0</v>
      </c>
      <c r="K1132" s="4" t="n">
        <v>0</v>
      </c>
      <c r="L1132" s="11" t="b">
        <f aca="false">FALSE()</f>
        <v>0</v>
      </c>
    </row>
    <row r="1133" customFormat="false" ht="15" hidden="false" customHeight="false" outlineLevel="0" collapsed="false">
      <c r="A1133" s="4" t="s">
        <v>1340</v>
      </c>
      <c r="B1133" s="4" t="s">
        <v>101</v>
      </c>
      <c r="C1133" s="4" t="s">
        <v>205</v>
      </c>
      <c r="D1133" s="4" t="s">
        <v>206</v>
      </c>
      <c r="E1133" s="4" t="n">
        <v>46292.0876851852</v>
      </c>
      <c r="F1133" s="4" t="n">
        <v>14</v>
      </c>
      <c r="G1133" s="4" t="n">
        <v>14</v>
      </c>
      <c r="H1133" s="4" t="n">
        <v>11</v>
      </c>
      <c r="I1133" s="4" t="n">
        <v>3</v>
      </c>
      <c r="J1133" s="4" t="n">
        <v>0</v>
      </c>
      <c r="K1133" s="4" t="n">
        <v>0</v>
      </c>
      <c r="L1133" s="11" t="b">
        <f aca="false">FALSE()</f>
        <v>0</v>
      </c>
    </row>
    <row r="1134" customFormat="false" ht="15" hidden="false" customHeight="false" outlineLevel="0" collapsed="false">
      <c r="A1134" s="4" t="s">
        <v>1341</v>
      </c>
      <c r="B1134" s="4" t="s">
        <v>103</v>
      </c>
      <c r="C1134" s="4" t="s">
        <v>205</v>
      </c>
      <c r="D1134" s="4" t="s">
        <v>206</v>
      </c>
      <c r="E1134" s="4" t="n">
        <v>46292.1302893519</v>
      </c>
      <c r="F1134" s="4" t="n">
        <v>12</v>
      </c>
      <c r="G1134" s="4" t="n">
        <v>12</v>
      </c>
      <c r="H1134" s="4" t="n">
        <v>7</v>
      </c>
      <c r="I1134" s="4" t="n">
        <v>3</v>
      </c>
      <c r="J1134" s="4" t="n">
        <v>0</v>
      </c>
      <c r="K1134" s="4" t="n">
        <v>2</v>
      </c>
      <c r="L1134" s="11" t="b">
        <f aca="false">FALSE()</f>
        <v>0</v>
      </c>
    </row>
    <row r="1135" customFormat="false" ht="15" hidden="false" customHeight="false" outlineLevel="0" collapsed="false">
      <c r="A1135" s="4" t="s">
        <v>1342</v>
      </c>
      <c r="B1135" s="4" t="s">
        <v>100</v>
      </c>
      <c r="C1135" s="4" t="s">
        <v>205</v>
      </c>
      <c r="D1135" s="4" t="s">
        <v>206</v>
      </c>
      <c r="E1135" s="4" t="n">
        <v>46292.1689699074</v>
      </c>
      <c r="F1135" s="4" t="n">
        <v>12</v>
      </c>
      <c r="G1135" s="4" t="n">
        <v>12</v>
      </c>
      <c r="H1135" s="4" t="n">
        <v>10</v>
      </c>
      <c r="I1135" s="4" t="n">
        <v>2</v>
      </c>
      <c r="J1135" s="4" t="n">
        <v>0</v>
      </c>
      <c r="K1135" s="4" t="n">
        <v>0</v>
      </c>
      <c r="L1135" s="11" t="b">
        <f aca="false">FALSE()</f>
        <v>0</v>
      </c>
    </row>
    <row r="1136" customFormat="false" ht="15" hidden="false" customHeight="false" outlineLevel="0" collapsed="false">
      <c r="A1136" s="4" t="s">
        <v>1343</v>
      </c>
      <c r="B1136" s="4" t="s">
        <v>99</v>
      </c>
      <c r="C1136" s="4" t="s">
        <v>205</v>
      </c>
      <c r="D1136" s="4" t="s">
        <v>206</v>
      </c>
      <c r="E1136" s="4" t="n">
        <v>46292.2148842593</v>
      </c>
      <c r="F1136" s="4" t="n">
        <v>31</v>
      </c>
      <c r="G1136" s="4" t="n">
        <v>31</v>
      </c>
      <c r="H1136" s="4" t="n">
        <v>29</v>
      </c>
      <c r="I1136" s="4" t="n">
        <v>1</v>
      </c>
      <c r="J1136" s="4" t="n">
        <v>1</v>
      </c>
      <c r="K1136" s="4" t="n">
        <v>0</v>
      </c>
      <c r="L1136" s="11" t="b">
        <f aca="false">FALSE()</f>
        <v>0</v>
      </c>
    </row>
    <row r="1137" customFormat="false" ht="15" hidden="false" customHeight="false" outlineLevel="0" collapsed="false">
      <c r="A1137" s="4" t="s">
        <v>1344</v>
      </c>
      <c r="B1137" s="4" t="s">
        <v>101</v>
      </c>
      <c r="C1137" s="4" t="s">
        <v>205</v>
      </c>
      <c r="D1137" s="4" t="s">
        <v>206</v>
      </c>
      <c r="E1137" s="4" t="n">
        <v>46292.2544907407</v>
      </c>
      <c r="F1137" s="4" t="n">
        <v>11</v>
      </c>
      <c r="G1137" s="4" t="n">
        <v>11</v>
      </c>
      <c r="H1137" s="4" t="n">
        <v>8</v>
      </c>
      <c r="I1137" s="4" t="n">
        <v>3</v>
      </c>
      <c r="J1137" s="4" t="n">
        <v>0</v>
      </c>
      <c r="K1137" s="4" t="n">
        <v>0</v>
      </c>
      <c r="L1137" s="11" t="b">
        <f aca="false">FALSE()</f>
        <v>0</v>
      </c>
    </row>
    <row r="1138" customFormat="false" ht="15" hidden="false" customHeight="false" outlineLevel="0" collapsed="false">
      <c r="A1138" s="4" t="s">
        <v>1345</v>
      </c>
      <c r="B1138" s="4" t="s">
        <v>104</v>
      </c>
      <c r="C1138" s="4" t="s">
        <v>205</v>
      </c>
      <c r="D1138" s="4" t="s">
        <v>206</v>
      </c>
      <c r="E1138" s="4" t="n">
        <v>46292.2572337963</v>
      </c>
      <c r="F1138" s="4" t="n">
        <v>9</v>
      </c>
      <c r="G1138" s="4" t="n">
        <v>9</v>
      </c>
      <c r="H1138" s="4" t="n">
        <v>8</v>
      </c>
      <c r="I1138" s="4" t="n">
        <v>1</v>
      </c>
      <c r="J1138" s="4" t="n">
        <v>0</v>
      </c>
      <c r="K1138" s="4" t="n">
        <v>0</v>
      </c>
      <c r="L1138" s="11" t="b">
        <f aca="false">FALSE()</f>
        <v>0</v>
      </c>
    </row>
    <row r="1139" customFormat="false" ht="15" hidden="false" customHeight="false" outlineLevel="0" collapsed="false">
      <c r="A1139" s="4" t="s">
        <v>1346</v>
      </c>
      <c r="B1139" s="4" t="s">
        <v>102</v>
      </c>
      <c r="C1139" s="4" t="s">
        <v>205</v>
      </c>
      <c r="D1139" s="4" t="s">
        <v>206</v>
      </c>
      <c r="E1139" s="4" t="n">
        <v>46292.2959143519</v>
      </c>
      <c r="F1139" s="4" t="n">
        <v>7</v>
      </c>
      <c r="G1139" s="4" t="n">
        <v>7</v>
      </c>
      <c r="H1139" s="4" t="n">
        <v>5</v>
      </c>
      <c r="I1139" s="4" t="n">
        <v>2</v>
      </c>
      <c r="J1139" s="4" t="n">
        <v>0</v>
      </c>
      <c r="K1139" s="4" t="n">
        <v>0</v>
      </c>
      <c r="L1139" s="11" t="b">
        <f aca="false">FALSE()</f>
        <v>0</v>
      </c>
    </row>
    <row r="1140" customFormat="false" ht="15" hidden="false" customHeight="false" outlineLevel="0" collapsed="false">
      <c r="A1140" s="4" t="s">
        <v>1347</v>
      </c>
      <c r="B1140" s="4" t="s">
        <v>100</v>
      </c>
      <c r="C1140" s="4" t="s">
        <v>205</v>
      </c>
      <c r="D1140" s="4" t="s">
        <v>206</v>
      </c>
      <c r="E1140" s="4" t="n">
        <v>46292.3355439815</v>
      </c>
      <c r="F1140" s="4" t="n">
        <v>33</v>
      </c>
      <c r="G1140" s="4" t="n">
        <v>33</v>
      </c>
      <c r="H1140" s="4" t="n">
        <v>29</v>
      </c>
      <c r="I1140" s="4" t="n">
        <v>3</v>
      </c>
      <c r="J1140" s="4" t="n">
        <v>0</v>
      </c>
      <c r="K1140" s="4" t="n">
        <v>1</v>
      </c>
      <c r="L1140" s="11" t="b">
        <f aca="false">FALSE()</f>
        <v>0</v>
      </c>
    </row>
    <row r="1141" customFormat="false" ht="15" hidden="false" customHeight="false" outlineLevel="0" collapsed="false">
      <c r="A1141" s="4" t="s">
        <v>1348</v>
      </c>
      <c r="B1141" s="4" t="s">
        <v>103</v>
      </c>
      <c r="C1141" s="4" t="s">
        <v>205</v>
      </c>
      <c r="D1141" s="4" t="s">
        <v>206</v>
      </c>
      <c r="E1141" s="4" t="n">
        <v>46292.3821296296</v>
      </c>
      <c r="F1141" s="4" t="n">
        <v>12</v>
      </c>
      <c r="G1141" s="4" t="n">
        <v>12</v>
      </c>
      <c r="H1141" s="4" t="n">
        <v>10</v>
      </c>
      <c r="I1141" s="4" t="n">
        <v>2</v>
      </c>
      <c r="J1141" s="4" t="n">
        <v>0</v>
      </c>
      <c r="K1141" s="4" t="n">
        <v>0</v>
      </c>
      <c r="L1141" s="11" t="b">
        <f aca="false">FALSE()</f>
        <v>0</v>
      </c>
    </row>
    <row r="1142" customFormat="false" ht="15" hidden="false" customHeight="false" outlineLevel="0" collapsed="false">
      <c r="A1142" s="4" t="s">
        <v>1349</v>
      </c>
      <c r="B1142" s="4" t="s">
        <v>101</v>
      </c>
      <c r="C1142" s="4" t="s">
        <v>205</v>
      </c>
      <c r="D1142" s="4" t="s">
        <v>206</v>
      </c>
      <c r="E1142" s="4" t="n">
        <v>46292.4200810185</v>
      </c>
      <c r="F1142" s="4" t="n">
        <v>32</v>
      </c>
      <c r="G1142" s="4" t="n">
        <v>32</v>
      </c>
      <c r="H1142" s="4" t="n">
        <v>29</v>
      </c>
      <c r="I1142" s="4" t="n">
        <v>3</v>
      </c>
      <c r="J1142" s="4" t="n">
        <v>0</v>
      </c>
      <c r="K1142" s="4" t="n">
        <v>0</v>
      </c>
      <c r="L1142" s="11" t="b">
        <f aca="false">FALSE()</f>
        <v>0</v>
      </c>
    </row>
    <row r="1143" customFormat="false" ht="15" hidden="false" customHeight="false" outlineLevel="0" collapsed="false">
      <c r="A1143" s="4" t="s">
        <v>1350</v>
      </c>
      <c r="B1143" s="4" t="s">
        <v>100</v>
      </c>
      <c r="C1143" s="4" t="s">
        <v>205</v>
      </c>
      <c r="D1143" s="4" t="s">
        <v>206</v>
      </c>
      <c r="E1143" s="4" t="n">
        <v>46292.5031018519</v>
      </c>
      <c r="F1143" s="4" t="n">
        <v>64</v>
      </c>
      <c r="G1143" s="4" t="n">
        <v>64</v>
      </c>
      <c r="H1143" s="4" t="n">
        <v>61</v>
      </c>
      <c r="I1143" s="4" t="n">
        <v>3</v>
      </c>
      <c r="J1143" s="4" t="n">
        <v>0</v>
      </c>
      <c r="K1143" s="4" t="n">
        <v>0</v>
      </c>
      <c r="L1143" s="11" t="b">
        <f aca="false">FALSE()</f>
        <v>0</v>
      </c>
    </row>
    <row r="1144" customFormat="false" ht="15" hidden="false" customHeight="false" outlineLevel="0" collapsed="false">
      <c r="A1144" s="4" t="s">
        <v>1351</v>
      </c>
      <c r="B1144" s="4" t="s">
        <v>102</v>
      </c>
      <c r="C1144" s="4" t="s">
        <v>205</v>
      </c>
      <c r="D1144" s="4" t="s">
        <v>206</v>
      </c>
      <c r="E1144" s="4" t="n">
        <v>46292.5468171296</v>
      </c>
      <c r="F1144" s="4" t="n">
        <v>20</v>
      </c>
      <c r="G1144" s="4" t="n">
        <v>20</v>
      </c>
      <c r="H1144" s="4" t="n">
        <v>18</v>
      </c>
      <c r="I1144" s="4" t="n">
        <v>1</v>
      </c>
      <c r="J1144" s="4" t="n">
        <v>1</v>
      </c>
      <c r="K1144" s="4" t="n">
        <v>0</v>
      </c>
      <c r="L1144" s="11" t="b">
        <f aca="false">FALSE()</f>
        <v>0</v>
      </c>
    </row>
    <row r="1145" customFormat="false" ht="15" hidden="false" customHeight="false" outlineLevel="0" collapsed="false">
      <c r="A1145" s="4" t="s">
        <v>1352</v>
      </c>
      <c r="B1145" s="4" t="s">
        <v>101</v>
      </c>
      <c r="C1145" s="4" t="s">
        <v>205</v>
      </c>
      <c r="D1145" s="4" t="s">
        <v>206</v>
      </c>
      <c r="E1145" s="4" t="n">
        <v>46292.5874652778</v>
      </c>
      <c r="F1145" s="4" t="n">
        <v>47</v>
      </c>
      <c r="G1145" s="4" t="n">
        <v>47</v>
      </c>
      <c r="H1145" s="4" t="n">
        <v>43</v>
      </c>
      <c r="I1145" s="4" t="n">
        <v>2</v>
      </c>
      <c r="J1145" s="4" t="n">
        <v>2</v>
      </c>
      <c r="K1145" s="4" t="n">
        <v>0</v>
      </c>
      <c r="L1145" s="11" t="b">
        <f aca="false">FALSE()</f>
        <v>0</v>
      </c>
    </row>
    <row r="1146" customFormat="false" ht="15" hidden="false" customHeight="false" outlineLevel="0" collapsed="false">
      <c r="A1146" s="4" t="s">
        <v>1353</v>
      </c>
      <c r="B1146" s="4" t="s">
        <v>103</v>
      </c>
      <c r="C1146" s="4" t="s">
        <v>205</v>
      </c>
      <c r="D1146" s="4" t="s">
        <v>206</v>
      </c>
      <c r="E1146" s="4" t="n">
        <v>46292.6303356482</v>
      </c>
      <c r="F1146" s="4" t="n">
        <v>28</v>
      </c>
      <c r="G1146" s="4" t="n">
        <v>28</v>
      </c>
      <c r="H1146" s="4" t="n">
        <v>26</v>
      </c>
      <c r="I1146" s="4" t="n">
        <v>2</v>
      </c>
      <c r="J1146" s="4" t="n">
        <v>0</v>
      </c>
      <c r="K1146" s="4" t="n">
        <v>0</v>
      </c>
      <c r="L1146" s="11" t="b">
        <f aca="false">FALSE()</f>
        <v>0</v>
      </c>
    </row>
    <row r="1147" customFormat="false" ht="15" hidden="false" customHeight="false" outlineLevel="0" collapsed="false">
      <c r="A1147" s="4" t="s">
        <v>1354</v>
      </c>
      <c r="B1147" s="4" t="s">
        <v>100</v>
      </c>
      <c r="C1147" s="4" t="s">
        <v>205</v>
      </c>
      <c r="D1147" s="4" t="s">
        <v>206</v>
      </c>
      <c r="E1147" s="4" t="n">
        <v>46292.6701273148</v>
      </c>
      <c r="F1147" s="4" t="n">
        <v>69</v>
      </c>
      <c r="G1147" s="4" t="n">
        <v>69</v>
      </c>
      <c r="H1147" s="4" t="n">
        <v>66</v>
      </c>
      <c r="I1147" s="4" t="n">
        <v>3</v>
      </c>
      <c r="J1147" s="4" t="n">
        <v>0</v>
      </c>
      <c r="K1147" s="4" t="n">
        <v>0</v>
      </c>
      <c r="L1147" s="11" t="b">
        <f aca="false">FALSE()</f>
        <v>0</v>
      </c>
    </row>
    <row r="1148" customFormat="false" ht="15" hidden="false" customHeight="false" outlineLevel="0" collapsed="false">
      <c r="A1148" s="4" t="s">
        <v>1355</v>
      </c>
      <c r="B1148" s="4" t="s">
        <v>101</v>
      </c>
      <c r="C1148" s="4" t="s">
        <v>205</v>
      </c>
      <c r="D1148" s="4" t="s">
        <v>206</v>
      </c>
      <c r="E1148" s="4" t="n">
        <v>46292.7532407407</v>
      </c>
      <c r="F1148" s="4" t="n">
        <v>39</v>
      </c>
      <c r="G1148" s="4" t="n">
        <v>39</v>
      </c>
      <c r="H1148" s="4" t="n">
        <v>38</v>
      </c>
      <c r="I1148" s="4" t="n">
        <v>1</v>
      </c>
      <c r="J1148" s="4" t="n">
        <v>0</v>
      </c>
      <c r="K1148" s="4" t="n">
        <v>0</v>
      </c>
      <c r="L1148" s="11" t="b">
        <f aca="false">FALSE()</f>
        <v>0</v>
      </c>
    </row>
    <row r="1149" customFormat="false" ht="15" hidden="false" customHeight="false" outlineLevel="0" collapsed="false">
      <c r="A1149" s="4" t="s">
        <v>1356</v>
      </c>
      <c r="B1149" s="4" t="s">
        <v>104</v>
      </c>
      <c r="C1149" s="4" t="s">
        <v>205</v>
      </c>
      <c r="D1149" s="4" t="s">
        <v>206</v>
      </c>
      <c r="E1149" s="4" t="n">
        <v>46292.7568055556</v>
      </c>
      <c r="F1149" s="4" t="n">
        <v>21</v>
      </c>
      <c r="G1149" s="4" t="n">
        <v>21</v>
      </c>
      <c r="H1149" s="4" t="n">
        <v>21</v>
      </c>
      <c r="I1149" s="4" t="n">
        <v>0</v>
      </c>
      <c r="J1149" s="4" t="n">
        <v>0</v>
      </c>
      <c r="K1149" s="4" t="n">
        <v>0</v>
      </c>
      <c r="L1149" s="11" t="b">
        <f aca="false">FALSE()</f>
        <v>0</v>
      </c>
    </row>
    <row r="1150" customFormat="false" ht="15" hidden="false" customHeight="false" outlineLevel="0" collapsed="false">
      <c r="A1150" s="4" t="s">
        <v>1357</v>
      </c>
      <c r="B1150" s="4" t="s">
        <v>102</v>
      </c>
      <c r="C1150" s="4" t="s">
        <v>205</v>
      </c>
      <c r="D1150" s="4" t="s">
        <v>206</v>
      </c>
      <c r="E1150" s="4" t="n">
        <v>46292.7955092593</v>
      </c>
      <c r="F1150" s="4" t="n">
        <v>24</v>
      </c>
      <c r="G1150" s="4" t="n">
        <v>24</v>
      </c>
      <c r="H1150" s="4" t="n">
        <v>22</v>
      </c>
      <c r="I1150" s="4" t="n">
        <v>2</v>
      </c>
      <c r="J1150" s="4" t="n">
        <v>0</v>
      </c>
      <c r="K1150" s="4" t="n">
        <v>0</v>
      </c>
      <c r="L1150" s="11" t="b">
        <f aca="false">FALSE()</f>
        <v>0</v>
      </c>
    </row>
    <row r="1151" customFormat="false" ht="15" hidden="false" customHeight="false" outlineLevel="0" collapsed="false">
      <c r="A1151" s="4" t="s">
        <v>1358</v>
      </c>
      <c r="B1151" s="4" t="s">
        <v>100</v>
      </c>
      <c r="C1151" s="4" t="s">
        <v>205</v>
      </c>
      <c r="D1151" s="4" t="s">
        <v>206</v>
      </c>
      <c r="E1151" s="4" t="n">
        <v>46292.8356712963</v>
      </c>
      <c r="F1151" s="4" t="n">
        <v>58</v>
      </c>
      <c r="G1151" s="4" t="n">
        <v>58</v>
      </c>
      <c r="H1151" s="4" t="n">
        <v>56</v>
      </c>
      <c r="I1151" s="4" t="n">
        <v>0</v>
      </c>
      <c r="J1151" s="4" t="n">
        <v>2</v>
      </c>
      <c r="K1151" s="4" t="n">
        <v>0</v>
      </c>
      <c r="L1151" s="11" t="b">
        <f aca="false">TRUE()</f>
        <v>1</v>
      </c>
    </row>
    <row r="1152" customFormat="false" ht="15" hidden="false" customHeight="false" outlineLevel="0" collapsed="false">
      <c r="A1152" s="4" t="s">
        <v>1359</v>
      </c>
      <c r="B1152" s="4" t="s">
        <v>103</v>
      </c>
      <c r="C1152" s="4" t="s">
        <v>205</v>
      </c>
      <c r="D1152" s="4" t="s">
        <v>206</v>
      </c>
      <c r="E1152" s="4" t="n">
        <v>46292.8793865741</v>
      </c>
      <c r="F1152" s="4" t="n">
        <v>21</v>
      </c>
      <c r="G1152" s="4" t="n">
        <v>21</v>
      </c>
      <c r="H1152" s="4" t="n">
        <v>21</v>
      </c>
      <c r="I1152" s="4" t="n">
        <v>0</v>
      </c>
      <c r="J1152" s="4" t="n">
        <v>0</v>
      </c>
      <c r="K1152" s="4" t="n">
        <v>0</v>
      </c>
      <c r="L1152" s="11" t="b">
        <f aca="false">FALSE()</f>
        <v>0</v>
      </c>
    </row>
    <row r="1153" customFormat="false" ht="15" hidden="false" customHeight="false" outlineLevel="0" collapsed="false">
      <c r="A1153" s="4" t="s">
        <v>1360</v>
      </c>
      <c r="B1153" s="4" t="s">
        <v>101</v>
      </c>
      <c r="C1153" s="4" t="s">
        <v>205</v>
      </c>
      <c r="D1153" s="4" t="s">
        <v>206</v>
      </c>
      <c r="E1153" s="4" t="n">
        <v>46292.9196527778</v>
      </c>
      <c r="F1153" s="4" t="n">
        <v>33</v>
      </c>
      <c r="G1153" s="4" t="n">
        <v>33</v>
      </c>
      <c r="H1153" s="4" t="n">
        <v>30</v>
      </c>
      <c r="I1153" s="4" t="n">
        <v>3</v>
      </c>
      <c r="J1153" s="4" t="n">
        <v>0</v>
      </c>
      <c r="K1153" s="4" t="n">
        <v>0</v>
      </c>
      <c r="L1153" s="11" t="b">
        <f aca="false">FALSE()</f>
        <v>0</v>
      </c>
    </row>
    <row r="1154" customFormat="false" ht="15" hidden="false" customHeight="false" outlineLevel="0" collapsed="false">
      <c r="A1154" s="4" t="s">
        <v>1361</v>
      </c>
      <c r="B1154" s="4" t="s">
        <v>100</v>
      </c>
      <c r="C1154" s="4" t="s">
        <v>205</v>
      </c>
      <c r="D1154" s="4" t="s">
        <v>206</v>
      </c>
      <c r="E1154" s="4" t="n">
        <v>46293.0029398148</v>
      </c>
      <c r="F1154" s="4" t="n">
        <v>37</v>
      </c>
      <c r="G1154" s="4" t="n">
        <v>37</v>
      </c>
      <c r="H1154" s="4" t="n">
        <v>36</v>
      </c>
      <c r="I1154" s="4" t="n">
        <v>0</v>
      </c>
      <c r="J1154" s="4" t="n">
        <v>1</v>
      </c>
      <c r="K1154" s="4" t="n">
        <v>0</v>
      </c>
      <c r="L1154" s="11" t="b">
        <f aca="false">FALSE()</f>
        <v>0</v>
      </c>
    </row>
    <row r="1155" customFormat="false" ht="15" hidden="false" customHeight="false" outlineLevel="0" collapsed="false">
      <c r="A1155" s="4" t="s">
        <v>1362</v>
      </c>
      <c r="B1155" s="4" t="s">
        <v>102</v>
      </c>
      <c r="C1155" s="4" t="s">
        <v>205</v>
      </c>
      <c r="D1155" s="4" t="s">
        <v>206</v>
      </c>
      <c r="E1155" s="4" t="n">
        <v>46293.0468287037</v>
      </c>
      <c r="F1155" s="4" t="n">
        <v>15</v>
      </c>
      <c r="G1155" s="4" t="n">
        <v>15</v>
      </c>
      <c r="H1155" s="4" t="n">
        <v>13</v>
      </c>
      <c r="I1155" s="4" t="n">
        <v>2</v>
      </c>
      <c r="J1155" s="4" t="n">
        <v>0</v>
      </c>
      <c r="K1155" s="4" t="n">
        <v>0</v>
      </c>
      <c r="L1155" s="11" t="b">
        <f aca="false">FALSE()</f>
        <v>0</v>
      </c>
    </row>
    <row r="1156" customFormat="false" ht="15" hidden="false" customHeight="false" outlineLevel="0" collapsed="false">
      <c r="A1156" s="4" t="s">
        <v>1363</v>
      </c>
      <c r="B1156" s="4" t="s">
        <v>101</v>
      </c>
      <c r="C1156" s="4" t="s">
        <v>205</v>
      </c>
      <c r="D1156" s="4" t="s">
        <v>206</v>
      </c>
      <c r="E1156" s="4" t="n">
        <v>46293.0869907407</v>
      </c>
      <c r="F1156" s="4" t="n">
        <v>17</v>
      </c>
      <c r="G1156" s="4" t="n">
        <v>17</v>
      </c>
      <c r="H1156" s="4" t="n">
        <v>14</v>
      </c>
      <c r="I1156" s="4" t="n">
        <v>3</v>
      </c>
      <c r="J1156" s="4" t="n">
        <v>0</v>
      </c>
      <c r="K1156" s="4" t="n">
        <v>0</v>
      </c>
      <c r="L1156" s="11" t="b">
        <f aca="false">FALSE()</f>
        <v>0</v>
      </c>
    </row>
    <row r="1157" customFormat="false" ht="15" hidden="false" customHeight="false" outlineLevel="0" collapsed="false">
      <c r="A1157" s="4" t="s">
        <v>1364</v>
      </c>
      <c r="B1157" s="4" t="s">
        <v>103</v>
      </c>
      <c r="C1157" s="4" t="s">
        <v>205</v>
      </c>
      <c r="D1157" s="4" t="s">
        <v>206</v>
      </c>
      <c r="E1157" s="4" t="n">
        <v>46293.1297337963</v>
      </c>
      <c r="F1157" s="4" t="n">
        <v>11</v>
      </c>
      <c r="G1157" s="4" t="n">
        <v>11</v>
      </c>
      <c r="H1157" s="4" t="n">
        <v>8</v>
      </c>
      <c r="I1157" s="4" t="n">
        <v>2</v>
      </c>
      <c r="J1157" s="4" t="n">
        <v>0</v>
      </c>
      <c r="K1157" s="4" t="n">
        <v>1</v>
      </c>
      <c r="L1157" s="11" t="b">
        <f aca="false">FALSE()</f>
        <v>0</v>
      </c>
    </row>
    <row r="1158" customFormat="false" ht="15" hidden="false" customHeight="false" outlineLevel="0" collapsed="false">
      <c r="A1158" s="4" t="s">
        <v>1365</v>
      </c>
      <c r="B1158" s="4" t="s">
        <v>100</v>
      </c>
      <c r="C1158" s="4" t="s">
        <v>205</v>
      </c>
      <c r="D1158" s="4" t="s">
        <v>206</v>
      </c>
      <c r="E1158" s="4" t="n">
        <v>46293.1694675926</v>
      </c>
      <c r="F1158" s="4" t="n">
        <v>15</v>
      </c>
      <c r="G1158" s="4" t="n">
        <v>15</v>
      </c>
      <c r="H1158" s="4" t="n">
        <v>12</v>
      </c>
      <c r="I1158" s="4" t="n">
        <v>3</v>
      </c>
      <c r="J1158" s="4" t="n">
        <v>0</v>
      </c>
      <c r="K1158" s="4" t="n">
        <v>0</v>
      </c>
      <c r="L1158" s="11" t="b">
        <f aca="false">FALSE()</f>
        <v>0</v>
      </c>
    </row>
    <row r="1159" customFormat="false" ht="15" hidden="false" customHeight="false" outlineLevel="0" collapsed="false">
      <c r="A1159" s="4" t="s">
        <v>1366</v>
      </c>
      <c r="B1159" s="4" t="s">
        <v>99</v>
      </c>
      <c r="C1159" s="4" t="s">
        <v>205</v>
      </c>
      <c r="D1159" s="4" t="s">
        <v>206</v>
      </c>
      <c r="E1159" s="4" t="n">
        <v>46293.2148611111</v>
      </c>
      <c r="F1159" s="4" t="n">
        <v>30</v>
      </c>
      <c r="G1159" s="4" t="n">
        <v>30</v>
      </c>
      <c r="H1159" s="4" t="n">
        <v>29</v>
      </c>
      <c r="I1159" s="4" t="n">
        <v>1</v>
      </c>
      <c r="J1159" s="4" t="n">
        <v>0</v>
      </c>
      <c r="K1159" s="4" t="n">
        <v>0</v>
      </c>
      <c r="L1159" s="11" t="b">
        <f aca="false">FALSE()</f>
        <v>0</v>
      </c>
    </row>
    <row r="1160" customFormat="false" ht="15" hidden="false" customHeight="false" outlineLevel="0" collapsed="false">
      <c r="A1160" s="4" t="s">
        <v>1367</v>
      </c>
      <c r="B1160" s="4" t="s">
        <v>101</v>
      </c>
      <c r="C1160" s="4" t="s">
        <v>205</v>
      </c>
      <c r="D1160" s="4" t="s">
        <v>206</v>
      </c>
      <c r="E1160" s="4" t="n">
        <v>46293.2542939815</v>
      </c>
      <c r="F1160" s="4" t="n">
        <v>11</v>
      </c>
      <c r="G1160" s="4" t="n">
        <v>11</v>
      </c>
      <c r="H1160" s="4" t="n">
        <v>9</v>
      </c>
      <c r="I1160" s="4" t="n">
        <v>2</v>
      </c>
      <c r="J1160" s="4" t="n">
        <v>0</v>
      </c>
      <c r="K1160" s="4" t="n">
        <v>0</v>
      </c>
      <c r="L1160" s="11" t="b">
        <f aca="false">FALSE()</f>
        <v>0</v>
      </c>
    </row>
    <row r="1161" customFormat="false" ht="15" hidden="false" customHeight="false" outlineLevel="0" collapsed="false">
      <c r="A1161" s="4" t="s">
        <v>1368</v>
      </c>
      <c r="B1161" s="4" t="s">
        <v>104</v>
      </c>
      <c r="C1161" s="4" t="s">
        <v>205</v>
      </c>
      <c r="D1161" s="4" t="s">
        <v>206</v>
      </c>
      <c r="E1161" s="4" t="n">
        <v>46293.257037037</v>
      </c>
      <c r="F1161" s="4" t="n">
        <v>8</v>
      </c>
      <c r="G1161" s="4" t="n">
        <v>8</v>
      </c>
      <c r="H1161" s="4" t="n">
        <v>7</v>
      </c>
      <c r="I1161" s="4" t="n">
        <v>1</v>
      </c>
      <c r="J1161" s="4" t="n">
        <v>0</v>
      </c>
      <c r="K1161" s="4" t="n">
        <v>0</v>
      </c>
      <c r="L1161" s="11" t="b">
        <f aca="false">TRUE()</f>
        <v>1</v>
      </c>
    </row>
    <row r="1162" customFormat="false" ht="15" hidden="false" customHeight="false" outlineLevel="0" collapsed="false">
      <c r="A1162" s="4" t="s">
        <v>1369</v>
      </c>
      <c r="B1162" s="4" t="s">
        <v>102</v>
      </c>
      <c r="C1162" s="4" t="s">
        <v>205</v>
      </c>
      <c r="D1162" s="4" t="s">
        <v>206</v>
      </c>
      <c r="E1162" s="4" t="n">
        <v>46293.2963541667</v>
      </c>
      <c r="F1162" s="4" t="n">
        <v>8</v>
      </c>
      <c r="G1162" s="4" t="n">
        <v>8</v>
      </c>
      <c r="H1162" s="4" t="n">
        <v>8</v>
      </c>
      <c r="I1162" s="4" t="n">
        <v>0</v>
      </c>
      <c r="J1162" s="4" t="n">
        <v>0</v>
      </c>
      <c r="K1162" s="4" t="n">
        <v>0</v>
      </c>
      <c r="L1162" s="11" t="b">
        <f aca="false">FALSE()</f>
        <v>0</v>
      </c>
    </row>
    <row r="1163" customFormat="false" ht="15" hidden="false" customHeight="false" outlineLevel="0" collapsed="false">
      <c r="A1163" s="4" t="s">
        <v>1370</v>
      </c>
      <c r="B1163" s="4" t="s">
        <v>100</v>
      </c>
      <c r="C1163" s="4" t="s">
        <v>205</v>
      </c>
      <c r="D1163" s="4" t="s">
        <v>206</v>
      </c>
      <c r="E1163" s="4" t="n">
        <v>46293.3363773148</v>
      </c>
      <c r="F1163" s="4" t="n">
        <v>31</v>
      </c>
      <c r="G1163" s="4" t="n">
        <v>31</v>
      </c>
      <c r="H1163" s="4" t="n">
        <v>28</v>
      </c>
      <c r="I1163" s="4" t="n">
        <v>0</v>
      </c>
      <c r="J1163" s="4" t="n">
        <v>3</v>
      </c>
      <c r="K1163" s="4" t="n">
        <v>0</v>
      </c>
      <c r="L1163" s="11" t="b">
        <f aca="false">FALSE()</f>
        <v>0</v>
      </c>
    </row>
    <row r="1164" customFormat="false" ht="15" hidden="false" customHeight="false" outlineLevel="0" collapsed="false">
      <c r="A1164" s="4" t="s">
        <v>1371</v>
      </c>
      <c r="B1164" s="4" t="s">
        <v>103</v>
      </c>
      <c r="C1164" s="4" t="s">
        <v>205</v>
      </c>
      <c r="D1164" s="4" t="s">
        <v>206</v>
      </c>
      <c r="E1164" s="4" t="n">
        <v>46293.3805324074</v>
      </c>
      <c r="F1164" s="4" t="n">
        <v>13</v>
      </c>
      <c r="G1164" s="4" t="n">
        <v>13</v>
      </c>
      <c r="H1164" s="4" t="n">
        <v>10</v>
      </c>
      <c r="I1164" s="4" t="n">
        <v>3</v>
      </c>
      <c r="J1164" s="4" t="n">
        <v>0</v>
      </c>
      <c r="K1164" s="4" t="n">
        <v>0</v>
      </c>
      <c r="L1164" s="11" t="b">
        <f aca="false">FALSE()</f>
        <v>0</v>
      </c>
    </row>
    <row r="1165" customFormat="false" ht="15" hidden="false" customHeight="false" outlineLevel="0" collapsed="false">
      <c r="A1165" s="4" t="s">
        <v>1372</v>
      </c>
      <c r="B1165" s="4" t="s">
        <v>101</v>
      </c>
      <c r="C1165" s="4" t="s">
        <v>205</v>
      </c>
      <c r="D1165" s="4" t="s">
        <v>206</v>
      </c>
      <c r="E1165" s="4" t="n">
        <v>46293.4209027778</v>
      </c>
      <c r="F1165" s="4" t="n">
        <v>35</v>
      </c>
      <c r="G1165" s="4" t="n">
        <v>35</v>
      </c>
      <c r="H1165" s="4" t="n">
        <v>32</v>
      </c>
      <c r="I1165" s="4" t="n">
        <v>3</v>
      </c>
      <c r="J1165" s="4" t="n">
        <v>0</v>
      </c>
      <c r="K1165" s="4" t="n">
        <v>0</v>
      </c>
      <c r="L1165" s="11" t="b">
        <f aca="false">FALSE()</f>
        <v>0</v>
      </c>
    </row>
    <row r="1166" customFormat="false" ht="15" hidden="false" customHeight="false" outlineLevel="0" collapsed="false">
      <c r="A1166" s="4" t="s">
        <v>1373</v>
      </c>
      <c r="B1166" s="4" t="s">
        <v>100</v>
      </c>
      <c r="C1166" s="4" t="s">
        <v>205</v>
      </c>
      <c r="D1166" s="4" t="s">
        <v>206</v>
      </c>
      <c r="E1166" s="4" t="n">
        <v>46293.5031365741</v>
      </c>
      <c r="F1166" s="4" t="n">
        <v>76</v>
      </c>
      <c r="G1166" s="4" t="n">
        <v>76</v>
      </c>
      <c r="H1166" s="4" t="n">
        <v>74</v>
      </c>
      <c r="I1166" s="4" t="n">
        <v>0</v>
      </c>
      <c r="J1166" s="4" t="n">
        <v>2</v>
      </c>
      <c r="K1166" s="4" t="n">
        <v>0</v>
      </c>
      <c r="L1166" s="11" t="b">
        <f aca="false">FALSE()</f>
        <v>0</v>
      </c>
    </row>
    <row r="1167" customFormat="false" ht="15" hidden="false" customHeight="false" outlineLevel="0" collapsed="false">
      <c r="A1167" s="4" t="s">
        <v>1374</v>
      </c>
      <c r="B1167" s="4" t="s">
        <v>102</v>
      </c>
      <c r="C1167" s="4" t="s">
        <v>205</v>
      </c>
      <c r="D1167" s="4" t="s">
        <v>206</v>
      </c>
      <c r="E1167" s="4" t="n">
        <v>46293.546400463</v>
      </c>
      <c r="F1167" s="4" t="n">
        <v>30</v>
      </c>
      <c r="G1167" s="4" t="n">
        <v>30</v>
      </c>
      <c r="H1167" s="4" t="n">
        <v>27</v>
      </c>
      <c r="I1167" s="4" t="n">
        <v>3</v>
      </c>
      <c r="J1167" s="4" t="n">
        <v>0</v>
      </c>
      <c r="K1167" s="4" t="n">
        <v>0</v>
      </c>
      <c r="L1167" s="11" t="b">
        <f aca="false">FALSE()</f>
        <v>0</v>
      </c>
    </row>
    <row r="1168" customFormat="false" ht="15" hidden="false" customHeight="false" outlineLevel="0" collapsed="false">
      <c r="A1168" s="4" t="s">
        <v>1375</v>
      </c>
      <c r="B1168" s="4" t="s">
        <v>101</v>
      </c>
      <c r="C1168" s="4" t="s">
        <v>205</v>
      </c>
      <c r="D1168" s="4" t="s">
        <v>206</v>
      </c>
      <c r="E1168" s="4" t="n">
        <v>46293.5864351852</v>
      </c>
      <c r="F1168" s="4" t="n">
        <v>54</v>
      </c>
      <c r="G1168" s="4" t="n">
        <v>54</v>
      </c>
      <c r="H1168" s="4" t="n">
        <v>48</v>
      </c>
      <c r="I1168" s="4" t="n">
        <v>3</v>
      </c>
      <c r="J1168" s="4" t="n">
        <v>1</v>
      </c>
      <c r="K1168" s="4" t="n">
        <v>2</v>
      </c>
      <c r="L1168" s="11" t="b">
        <f aca="false">FALSE()</f>
        <v>0</v>
      </c>
    </row>
    <row r="1169" customFormat="false" ht="15" hidden="false" customHeight="false" outlineLevel="0" collapsed="false">
      <c r="A1169" s="4" t="s">
        <v>1376</v>
      </c>
      <c r="B1169" s="4" t="s">
        <v>103</v>
      </c>
      <c r="C1169" s="4" t="s">
        <v>205</v>
      </c>
      <c r="D1169" s="4" t="s">
        <v>206</v>
      </c>
      <c r="E1169" s="4" t="n">
        <v>46293.6301967593</v>
      </c>
      <c r="F1169" s="4" t="n">
        <v>34</v>
      </c>
      <c r="G1169" s="4" t="n">
        <v>34</v>
      </c>
      <c r="H1169" s="4" t="n">
        <v>31</v>
      </c>
      <c r="I1169" s="4" t="n">
        <v>3</v>
      </c>
      <c r="J1169" s="4" t="n">
        <v>0</v>
      </c>
      <c r="K1169" s="4" t="n">
        <v>0</v>
      </c>
      <c r="L1169" s="11" t="b">
        <f aca="false">FALSE()</f>
        <v>0</v>
      </c>
    </row>
    <row r="1170" customFormat="false" ht="15" hidden="false" customHeight="false" outlineLevel="0" collapsed="false">
      <c r="A1170" s="4" t="s">
        <v>1377</v>
      </c>
      <c r="B1170" s="4" t="s">
        <v>100</v>
      </c>
      <c r="C1170" s="4" t="s">
        <v>205</v>
      </c>
      <c r="D1170" s="4" t="s">
        <v>206</v>
      </c>
      <c r="E1170" s="4" t="n">
        <v>46293.6697685185</v>
      </c>
      <c r="F1170" s="4" t="n">
        <v>78</v>
      </c>
      <c r="G1170" s="4" t="n">
        <v>78</v>
      </c>
      <c r="H1170" s="4" t="n">
        <v>74</v>
      </c>
      <c r="I1170" s="4" t="n">
        <v>2</v>
      </c>
      <c r="J1170" s="4" t="n">
        <v>1</v>
      </c>
      <c r="K1170" s="4" t="n">
        <v>1</v>
      </c>
      <c r="L1170" s="11" t="b">
        <f aca="false">FALSE()</f>
        <v>0</v>
      </c>
    </row>
    <row r="1171" customFormat="false" ht="15" hidden="false" customHeight="false" outlineLevel="0" collapsed="false">
      <c r="A1171" s="4" t="s">
        <v>1378</v>
      </c>
      <c r="B1171" s="4" t="s">
        <v>101</v>
      </c>
      <c r="C1171" s="4" t="s">
        <v>205</v>
      </c>
      <c r="D1171" s="4" t="s">
        <v>206</v>
      </c>
      <c r="E1171" s="4" t="n">
        <v>46293.7541550926</v>
      </c>
      <c r="F1171" s="4" t="n">
        <v>48</v>
      </c>
      <c r="G1171" s="4" t="n">
        <v>48</v>
      </c>
      <c r="H1171" s="4" t="n">
        <v>43</v>
      </c>
      <c r="I1171" s="4" t="n">
        <v>2</v>
      </c>
      <c r="J1171" s="4" t="n">
        <v>3</v>
      </c>
      <c r="K1171" s="4" t="n">
        <v>0</v>
      </c>
      <c r="L1171" s="11" t="b">
        <f aca="false">FALSE()</f>
        <v>0</v>
      </c>
    </row>
    <row r="1172" customFormat="false" ht="15" hidden="false" customHeight="false" outlineLevel="0" collapsed="false">
      <c r="A1172" s="4" t="s">
        <v>1379</v>
      </c>
      <c r="B1172" s="4" t="s">
        <v>104</v>
      </c>
      <c r="C1172" s="4" t="s">
        <v>205</v>
      </c>
      <c r="D1172" s="4" t="s">
        <v>206</v>
      </c>
      <c r="E1172" s="4" t="n">
        <v>46293.7561342593</v>
      </c>
      <c r="F1172" s="4" t="n">
        <v>22</v>
      </c>
      <c r="G1172" s="4" t="n">
        <v>22</v>
      </c>
      <c r="H1172" s="4" t="n">
        <v>21</v>
      </c>
      <c r="I1172" s="4" t="n">
        <v>1</v>
      </c>
      <c r="J1172" s="4" t="n">
        <v>0</v>
      </c>
      <c r="K1172" s="4" t="n">
        <v>0</v>
      </c>
      <c r="L1172" s="11" t="b">
        <f aca="false">FALSE()</f>
        <v>0</v>
      </c>
    </row>
    <row r="1173" customFormat="false" ht="15" hidden="false" customHeight="false" outlineLevel="0" collapsed="false">
      <c r="A1173" s="4" t="s">
        <v>1380</v>
      </c>
      <c r="B1173" s="4" t="s">
        <v>102</v>
      </c>
      <c r="C1173" s="4" t="s">
        <v>205</v>
      </c>
      <c r="D1173" s="4" t="s">
        <v>206</v>
      </c>
      <c r="E1173" s="4" t="n">
        <v>46293.7958796296</v>
      </c>
      <c r="F1173" s="4" t="n">
        <v>26</v>
      </c>
      <c r="G1173" s="4" t="n">
        <v>26</v>
      </c>
      <c r="H1173" s="4" t="n">
        <v>25</v>
      </c>
      <c r="I1173" s="4" t="n">
        <v>0</v>
      </c>
      <c r="J1173" s="4" t="n">
        <v>1</v>
      </c>
      <c r="K1173" s="4" t="n">
        <v>0</v>
      </c>
      <c r="L1173" s="11" t="b">
        <f aca="false">FALSE()</f>
        <v>0</v>
      </c>
    </row>
    <row r="1174" customFormat="false" ht="15" hidden="false" customHeight="false" outlineLevel="0" collapsed="false">
      <c r="A1174" s="4" t="s">
        <v>1381</v>
      </c>
      <c r="B1174" s="4" t="s">
        <v>100</v>
      </c>
      <c r="C1174" s="4" t="s">
        <v>205</v>
      </c>
      <c r="D1174" s="4" t="s">
        <v>206</v>
      </c>
      <c r="E1174" s="4" t="n">
        <v>46293.8362152778</v>
      </c>
      <c r="F1174" s="4" t="n">
        <v>69</v>
      </c>
      <c r="G1174" s="4" t="n">
        <v>69</v>
      </c>
      <c r="H1174" s="4" t="n">
        <v>68</v>
      </c>
      <c r="I1174" s="4" t="n">
        <v>1</v>
      </c>
      <c r="J1174" s="4" t="n">
        <v>0</v>
      </c>
      <c r="K1174" s="4" t="n">
        <v>0</v>
      </c>
      <c r="L1174" s="11" t="b">
        <f aca="false">FALSE()</f>
        <v>0</v>
      </c>
    </row>
    <row r="1175" customFormat="false" ht="15" hidden="false" customHeight="false" outlineLevel="0" collapsed="false">
      <c r="A1175" s="4" t="s">
        <v>1382</v>
      </c>
      <c r="B1175" s="4" t="s">
        <v>103</v>
      </c>
      <c r="C1175" s="4" t="s">
        <v>205</v>
      </c>
      <c r="D1175" s="4" t="s">
        <v>206</v>
      </c>
      <c r="E1175" s="4" t="n">
        <v>46293.8794907407</v>
      </c>
      <c r="F1175" s="4" t="n">
        <v>24</v>
      </c>
      <c r="G1175" s="4" t="n">
        <v>24</v>
      </c>
      <c r="H1175" s="4" t="n">
        <v>23</v>
      </c>
      <c r="I1175" s="4" t="n">
        <v>1</v>
      </c>
      <c r="J1175" s="4" t="n">
        <v>0</v>
      </c>
      <c r="K1175" s="4" t="n">
        <v>0</v>
      </c>
      <c r="L1175" s="11" t="b">
        <f aca="false">FALSE()</f>
        <v>0</v>
      </c>
    </row>
    <row r="1176" customFormat="false" ht="15" hidden="false" customHeight="false" outlineLevel="0" collapsed="false">
      <c r="A1176" s="4" t="s">
        <v>1383</v>
      </c>
      <c r="B1176" s="4" t="s">
        <v>101</v>
      </c>
      <c r="C1176" s="4" t="s">
        <v>205</v>
      </c>
      <c r="D1176" s="4" t="s">
        <v>206</v>
      </c>
      <c r="E1176" s="4" t="n">
        <v>46293.9202199074</v>
      </c>
      <c r="F1176" s="4" t="n">
        <v>35</v>
      </c>
      <c r="G1176" s="4" t="n">
        <v>35</v>
      </c>
      <c r="H1176" s="4" t="n">
        <v>33</v>
      </c>
      <c r="I1176" s="4" t="n">
        <v>1</v>
      </c>
      <c r="J1176" s="4" t="n">
        <v>1</v>
      </c>
      <c r="K1176" s="4" t="n">
        <v>0</v>
      </c>
      <c r="L1176" s="11" t="b">
        <f aca="false">FALSE()</f>
        <v>0</v>
      </c>
    </row>
    <row r="1177" customFormat="false" ht="15" hidden="false" customHeight="false" outlineLevel="0" collapsed="false">
      <c r="A1177" s="4" t="s">
        <v>1384</v>
      </c>
      <c r="B1177" s="4" t="s">
        <v>100</v>
      </c>
      <c r="C1177" s="4" t="s">
        <v>205</v>
      </c>
      <c r="D1177" s="4" t="s">
        <v>206</v>
      </c>
      <c r="E1177" s="4" t="n">
        <v>46294.0026967593</v>
      </c>
      <c r="F1177" s="4" t="n">
        <v>39</v>
      </c>
      <c r="G1177" s="4" t="n">
        <v>39</v>
      </c>
      <c r="H1177" s="4" t="n">
        <v>39</v>
      </c>
      <c r="I1177" s="4" t="n">
        <v>0</v>
      </c>
      <c r="J1177" s="4" t="n">
        <v>0</v>
      </c>
      <c r="K1177" s="4" t="n">
        <v>0</v>
      </c>
      <c r="L1177" s="11" t="b">
        <f aca="false">FALSE()</f>
        <v>0</v>
      </c>
    </row>
    <row r="1178" customFormat="false" ht="15" hidden="false" customHeight="false" outlineLevel="0" collapsed="false">
      <c r="A1178" s="4" t="s">
        <v>1385</v>
      </c>
      <c r="B1178" s="4" t="s">
        <v>102</v>
      </c>
      <c r="C1178" s="4" t="s">
        <v>205</v>
      </c>
      <c r="D1178" s="4" t="s">
        <v>206</v>
      </c>
      <c r="E1178" s="4" t="n">
        <v>46294.0456944444</v>
      </c>
      <c r="F1178" s="4" t="n">
        <v>17</v>
      </c>
      <c r="G1178" s="4" t="n">
        <v>17</v>
      </c>
      <c r="H1178" s="4" t="n">
        <v>14</v>
      </c>
      <c r="I1178" s="4" t="n">
        <v>3</v>
      </c>
      <c r="J1178" s="4" t="n">
        <v>0</v>
      </c>
      <c r="K1178" s="4" t="n">
        <v>0</v>
      </c>
      <c r="L1178" s="11" t="b">
        <f aca="false">FALSE()</f>
        <v>0</v>
      </c>
    </row>
    <row r="1179" customFormat="false" ht="15" hidden="false" customHeight="false" outlineLevel="0" collapsed="false">
      <c r="A1179" s="4" t="s">
        <v>1386</v>
      </c>
      <c r="B1179" s="4" t="s">
        <v>101</v>
      </c>
      <c r="C1179" s="4" t="s">
        <v>205</v>
      </c>
      <c r="D1179" s="4" t="s">
        <v>206</v>
      </c>
      <c r="E1179" s="4" t="n">
        <v>46294.0877777778</v>
      </c>
      <c r="F1179" s="4" t="n">
        <v>15</v>
      </c>
      <c r="G1179" s="4" t="n">
        <v>15</v>
      </c>
      <c r="H1179" s="4" t="n">
        <v>14</v>
      </c>
      <c r="I1179" s="4" t="n">
        <v>1</v>
      </c>
      <c r="J1179" s="4" t="n">
        <v>0</v>
      </c>
      <c r="K1179" s="4" t="n">
        <v>0</v>
      </c>
      <c r="L1179" s="11" t="b">
        <f aca="false">FALSE()</f>
        <v>0</v>
      </c>
    </row>
    <row r="1180" customFormat="false" ht="15" hidden="false" customHeight="false" outlineLevel="0" collapsed="false">
      <c r="A1180" s="4" t="s">
        <v>1387</v>
      </c>
      <c r="B1180" s="4" t="s">
        <v>103</v>
      </c>
      <c r="C1180" s="4" t="s">
        <v>205</v>
      </c>
      <c r="D1180" s="4" t="s">
        <v>206</v>
      </c>
      <c r="E1180" s="4" t="n">
        <v>46294.1313888889</v>
      </c>
      <c r="F1180" s="4" t="n">
        <v>10</v>
      </c>
      <c r="G1180" s="4" t="n">
        <v>10</v>
      </c>
      <c r="H1180" s="4" t="n">
        <v>9</v>
      </c>
      <c r="I1180" s="4" t="n">
        <v>1</v>
      </c>
      <c r="J1180" s="4" t="n">
        <v>0</v>
      </c>
      <c r="K1180" s="4" t="n">
        <v>0</v>
      </c>
      <c r="L1180" s="11" t="b">
        <f aca="false">FALSE()</f>
        <v>0</v>
      </c>
    </row>
    <row r="1181" customFormat="false" ht="15" hidden="false" customHeight="false" outlineLevel="0" collapsed="false">
      <c r="A1181" s="4" t="s">
        <v>1388</v>
      </c>
      <c r="B1181" s="4" t="s">
        <v>100</v>
      </c>
      <c r="C1181" s="4" t="s">
        <v>205</v>
      </c>
      <c r="D1181" s="4" t="s">
        <v>206</v>
      </c>
      <c r="E1181" s="4" t="n">
        <v>46294.1702314815</v>
      </c>
      <c r="F1181" s="4" t="n">
        <v>18</v>
      </c>
      <c r="G1181" s="4" t="n">
        <v>18</v>
      </c>
      <c r="H1181" s="4" t="n">
        <v>14</v>
      </c>
      <c r="I1181" s="4" t="n">
        <v>3</v>
      </c>
      <c r="J1181" s="4" t="n">
        <v>1</v>
      </c>
      <c r="K1181" s="4" t="n">
        <v>0</v>
      </c>
      <c r="L1181" s="11" t="b">
        <f aca="false">FALSE()</f>
        <v>0</v>
      </c>
    </row>
    <row r="1182" customFormat="false" ht="15" hidden="false" customHeight="false" outlineLevel="0" collapsed="false">
      <c r="A1182" s="4" t="s">
        <v>1389</v>
      </c>
      <c r="B1182" s="4" t="s">
        <v>99</v>
      </c>
      <c r="C1182" s="4" t="s">
        <v>205</v>
      </c>
      <c r="D1182" s="4" t="s">
        <v>206</v>
      </c>
      <c r="E1182" s="4" t="n">
        <v>46294.2135416667</v>
      </c>
      <c r="F1182" s="4" t="n">
        <v>29</v>
      </c>
      <c r="G1182" s="4" t="n">
        <v>29</v>
      </c>
      <c r="H1182" s="4" t="n">
        <v>29</v>
      </c>
      <c r="I1182" s="4" t="n">
        <v>0</v>
      </c>
      <c r="J1182" s="4" t="n">
        <v>0</v>
      </c>
      <c r="K1182" s="4" t="n">
        <v>0</v>
      </c>
      <c r="L1182" s="11" t="b">
        <f aca="false">FALSE()</f>
        <v>0</v>
      </c>
    </row>
    <row r="1183" customFormat="false" ht="15" hidden="false" customHeight="false" outlineLevel="0" collapsed="false">
      <c r="A1183" s="4" t="s">
        <v>1390</v>
      </c>
      <c r="B1183" s="4" t="s">
        <v>101</v>
      </c>
      <c r="C1183" s="4" t="s">
        <v>205</v>
      </c>
      <c r="D1183" s="4" t="s">
        <v>206</v>
      </c>
      <c r="E1183" s="4" t="n">
        <v>46294.2529050926</v>
      </c>
      <c r="F1183" s="4" t="n">
        <v>12</v>
      </c>
      <c r="G1183" s="4" t="n">
        <v>12</v>
      </c>
      <c r="H1183" s="4" t="n">
        <v>10</v>
      </c>
      <c r="I1183" s="4" t="n">
        <v>2</v>
      </c>
      <c r="J1183" s="4" t="n">
        <v>0</v>
      </c>
      <c r="K1183" s="4" t="n">
        <v>0</v>
      </c>
      <c r="L1183" s="11" t="b">
        <f aca="false">FALSE()</f>
        <v>0</v>
      </c>
    </row>
    <row r="1184" customFormat="false" ht="15" hidden="false" customHeight="false" outlineLevel="0" collapsed="false">
      <c r="A1184" s="4" t="s">
        <v>1391</v>
      </c>
      <c r="B1184" s="4" t="s">
        <v>104</v>
      </c>
      <c r="C1184" s="4" t="s">
        <v>205</v>
      </c>
      <c r="D1184" s="4" t="s">
        <v>206</v>
      </c>
      <c r="E1184" s="4" t="n">
        <v>46294.2568171296</v>
      </c>
      <c r="F1184" s="4" t="n">
        <v>12</v>
      </c>
      <c r="G1184" s="4" t="n">
        <v>12</v>
      </c>
      <c r="H1184" s="4" t="n">
        <v>9</v>
      </c>
      <c r="I1184" s="4" t="n">
        <v>2</v>
      </c>
      <c r="J1184" s="4" t="n">
        <v>1</v>
      </c>
      <c r="K1184" s="4" t="n">
        <v>0</v>
      </c>
      <c r="L1184" s="11" t="b">
        <f aca="false">FALSE()</f>
        <v>0</v>
      </c>
    </row>
    <row r="1185" customFormat="false" ht="15" hidden="false" customHeight="false" outlineLevel="0" collapsed="false">
      <c r="A1185" s="4" t="s">
        <v>1392</v>
      </c>
      <c r="B1185" s="4" t="s">
        <v>102</v>
      </c>
      <c r="C1185" s="4" t="s">
        <v>205</v>
      </c>
      <c r="D1185" s="4" t="s">
        <v>206</v>
      </c>
      <c r="E1185" s="4" t="n">
        <v>46294.2956597222</v>
      </c>
      <c r="F1185" s="4" t="n">
        <v>9</v>
      </c>
      <c r="G1185" s="4" t="n">
        <v>9</v>
      </c>
      <c r="H1185" s="4" t="n">
        <v>8</v>
      </c>
      <c r="I1185" s="4" t="n">
        <v>1</v>
      </c>
      <c r="J1185" s="4" t="n">
        <v>0</v>
      </c>
      <c r="K1185" s="4" t="n">
        <v>0</v>
      </c>
      <c r="L1185" s="11" t="b">
        <f aca="false">FALSE()</f>
        <v>0</v>
      </c>
    </row>
    <row r="1186" customFormat="false" ht="15" hidden="false" customHeight="false" outlineLevel="0" collapsed="false">
      <c r="A1186" s="4" t="s">
        <v>1393</v>
      </c>
      <c r="B1186" s="4" t="s">
        <v>100</v>
      </c>
      <c r="C1186" s="4" t="s">
        <v>205</v>
      </c>
      <c r="D1186" s="4" t="s">
        <v>206</v>
      </c>
      <c r="E1186" s="4" t="n">
        <v>46294.3365856482</v>
      </c>
      <c r="F1186" s="4" t="n">
        <v>32</v>
      </c>
      <c r="G1186" s="4" t="n">
        <v>32</v>
      </c>
      <c r="H1186" s="4" t="n">
        <v>32</v>
      </c>
      <c r="I1186" s="4" t="n">
        <v>0</v>
      </c>
      <c r="J1186" s="4" t="n">
        <v>0</v>
      </c>
      <c r="K1186" s="4" t="n">
        <v>0</v>
      </c>
      <c r="L1186" s="11" t="b">
        <f aca="false">FALSE()</f>
        <v>0</v>
      </c>
    </row>
    <row r="1187" customFormat="false" ht="15" hidden="false" customHeight="false" outlineLevel="0" collapsed="false">
      <c r="A1187" s="4" t="s">
        <v>1394</v>
      </c>
      <c r="B1187" s="4" t="s">
        <v>103</v>
      </c>
      <c r="C1187" s="4" t="s">
        <v>205</v>
      </c>
      <c r="D1187" s="4" t="s">
        <v>206</v>
      </c>
      <c r="E1187" s="4" t="n">
        <v>46294.3801273148</v>
      </c>
      <c r="F1187" s="4" t="n">
        <v>17</v>
      </c>
      <c r="G1187" s="4" t="n">
        <v>17</v>
      </c>
      <c r="H1187" s="4" t="n">
        <v>16</v>
      </c>
      <c r="I1187" s="4" t="n">
        <v>1</v>
      </c>
      <c r="J1187" s="4" t="n">
        <v>0</v>
      </c>
      <c r="K1187" s="4" t="n">
        <v>0</v>
      </c>
      <c r="L1187" s="11" t="b">
        <f aca="false">FALSE()</f>
        <v>0</v>
      </c>
    </row>
    <row r="1188" customFormat="false" ht="15" hidden="false" customHeight="false" outlineLevel="0" collapsed="false">
      <c r="A1188" s="4" t="s">
        <v>1395</v>
      </c>
      <c r="B1188" s="4" t="s">
        <v>101</v>
      </c>
      <c r="C1188" s="4" t="s">
        <v>205</v>
      </c>
      <c r="D1188" s="4" t="s">
        <v>206</v>
      </c>
      <c r="E1188" s="4" t="n">
        <v>46294.4205439815</v>
      </c>
      <c r="F1188" s="4" t="n">
        <v>31</v>
      </c>
      <c r="G1188" s="4" t="n">
        <v>31</v>
      </c>
      <c r="H1188" s="4" t="n">
        <v>29</v>
      </c>
      <c r="I1188" s="4" t="n">
        <v>2</v>
      </c>
      <c r="J1188" s="4" t="n">
        <v>0</v>
      </c>
      <c r="K1188" s="4" t="n">
        <v>0</v>
      </c>
      <c r="L1188" s="11" t="b">
        <f aca="false">FALSE()</f>
        <v>0</v>
      </c>
    </row>
    <row r="1189" customFormat="false" ht="15" hidden="false" customHeight="false" outlineLevel="0" collapsed="false">
      <c r="A1189" s="4" t="s">
        <v>1396</v>
      </c>
      <c r="B1189" s="4" t="s">
        <v>100</v>
      </c>
      <c r="C1189" s="4" t="s">
        <v>205</v>
      </c>
      <c r="D1189" s="4" t="s">
        <v>206</v>
      </c>
      <c r="E1189" s="4" t="n">
        <v>46294.5036689815</v>
      </c>
      <c r="F1189" s="4" t="n">
        <v>71</v>
      </c>
      <c r="G1189" s="4" t="n">
        <v>71</v>
      </c>
      <c r="H1189" s="4" t="n">
        <v>70</v>
      </c>
      <c r="I1189" s="4" t="n">
        <v>0</v>
      </c>
      <c r="J1189" s="4" t="n">
        <v>1</v>
      </c>
      <c r="K1189" s="4" t="n">
        <v>0</v>
      </c>
      <c r="L1189" s="11" t="b">
        <f aca="false">FALSE()</f>
        <v>0</v>
      </c>
    </row>
    <row r="1190" customFormat="false" ht="15" hidden="false" customHeight="false" outlineLevel="0" collapsed="false">
      <c r="A1190" s="4" t="s">
        <v>1397</v>
      </c>
      <c r="B1190" s="4" t="s">
        <v>102</v>
      </c>
      <c r="C1190" s="4" t="s">
        <v>205</v>
      </c>
      <c r="D1190" s="4" t="s">
        <v>206</v>
      </c>
      <c r="E1190" s="4" t="n">
        <v>46294.5466666667</v>
      </c>
      <c r="F1190" s="4" t="n">
        <v>23</v>
      </c>
      <c r="G1190" s="4" t="n">
        <v>23</v>
      </c>
      <c r="H1190" s="4" t="n">
        <v>23</v>
      </c>
      <c r="I1190" s="4" t="n">
        <v>0</v>
      </c>
      <c r="J1190" s="4" t="n">
        <v>0</v>
      </c>
      <c r="K1190" s="4" t="n">
        <v>0</v>
      </c>
      <c r="L1190" s="11" t="b">
        <f aca="false">FALSE()</f>
        <v>0</v>
      </c>
    </row>
    <row r="1191" customFormat="false" ht="15" hidden="false" customHeight="false" outlineLevel="0" collapsed="false">
      <c r="A1191" s="4" t="s">
        <v>1398</v>
      </c>
      <c r="B1191" s="4" t="s">
        <v>101</v>
      </c>
      <c r="C1191" s="4" t="s">
        <v>205</v>
      </c>
      <c r="D1191" s="4" t="s">
        <v>206</v>
      </c>
      <c r="E1191" s="4" t="n">
        <v>46294.5869212963</v>
      </c>
      <c r="F1191" s="4" t="n">
        <v>54</v>
      </c>
      <c r="G1191" s="4" t="n">
        <v>54</v>
      </c>
      <c r="H1191" s="4" t="n">
        <v>51</v>
      </c>
      <c r="I1191" s="4" t="n">
        <v>2</v>
      </c>
      <c r="J1191" s="4" t="n">
        <v>0</v>
      </c>
      <c r="K1191" s="4" t="n">
        <v>1</v>
      </c>
      <c r="L1191" s="11" t="b">
        <f aca="false">FALSE()</f>
        <v>0</v>
      </c>
    </row>
    <row r="1192" customFormat="false" ht="15" hidden="false" customHeight="false" outlineLevel="0" collapsed="false">
      <c r="A1192" s="4" t="s">
        <v>1399</v>
      </c>
      <c r="B1192" s="4" t="s">
        <v>103</v>
      </c>
      <c r="C1192" s="4" t="s">
        <v>205</v>
      </c>
      <c r="D1192" s="4" t="s">
        <v>206</v>
      </c>
      <c r="E1192" s="4" t="n">
        <v>46294.6308912037</v>
      </c>
      <c r="F1192" s="4" t="n">
        <v>32</v>
      </c>
      <c r="G1192" s="4" t="n">
        <v>32</v>
      </c>
      <c r="H1192" s="4" t="n">
        <v>28</v>
      </c>
      <c r="I1192" s="4" t="n">
        <v>3</v>
      </c>
      <c r="J1192" s="4" t="n">
        <v>1</v>
      </c>
      <c r="K1192" s="4" t="n">
        <v>0</v>
      </c>
      <c r="L1192" s="11" t="b">
        <f aca="false">FALSE()</f>
        <v>0</v>
      </c>
    </row>
    <row r="1193" customFormat="false" ht="15" hidden="false" customHeight="false" outlineLevel="0" collapsed="false">
      <c r="A1193" s="4" t="s">
        <v>1400</v>
      </c>
      <c r="B1193" s="4" t="s">
        <v>100</v>
      </c>
      <c r="C1193" s="4" t="s">
        <v>205</v>
      </c>
      <c r="D1193" s="4" t="s">
        <v>206</v>
      </c>
      <c r="E1193" s="4" t="n">
        <v>46294.6692361111</v>
      </c>
      <c r="F1193" s="4" t="n">
        <v>79</v>
      </c>
      <c r="G1193" s="4" t="n">
        <v>79</v>
      </c>
      <c r="H1193" s="4" t="n">
        <v>77</v>
      </c>
      <c r="I1193" s="4" t="n">
        <v>1</v>
      </c>
      <c r="J1193" s="4" t="n">
        <v>1</v>
      </c>
      <c r="K1193" s="4" t="n">
        <v>0</v>
      </c>
      <c r="L1193" s="11" t="b">
        <f aca="false">FALSE()</f>
        <v>0</v>
      </c>
    </row>
    <row r="1194" customFormat="false" ht="15" hidden="false" customHeight="false" outlineLevel="0" collapsed="false">
      <c r="A1194" s="4" t="s">
        <v>1401</v>
      </c>
      <c r="B1194" s="4" t="s">
        <v>101</v>
      </c>
      <c r="C1194" s="4" t="s">
        <v>205</v>
      </c>
      <c r="D1194" s="4" t="s">
        <v>206</v>
      </c>
      <c r="E1194" s="4" t="n">
        <v>46294.7534837963</v>
      </c>
      <c r="F1194" s="4" t="n">
        <v>44</v>
      </c>
      <c r="G1194" s="4" t="n">
        <v>44</v>
      </c>
      <c r="H1194" s="4" t="n">
        <v>42</v>
      </c>
      <c r="I1194" s="4" t="n">
        <v>2</v>
      </c>
      <c r="J1194" s="4" t="n">
        <v>0</v>
      </c>
      <c r="K1194" s="4" t="n">
        <v>0</v>
      </c>
      <c r="L1194" s="11" t="b">
        <f aca="false">FALSE()</f>
        <v>0</v>
      </c>
    </row>
    <row r="1195" customFormat="false" ht="15" hidden="false" customHeight="false" outlineLevel="0" collapsed="false">
      <c r="A1195" s="4" t="s">
        <v>1402</v>
      </c>
      <c r="B1195" s="4" t="s">
        <v>104</v>
      </c>
      <c r="C1195" s="4" t="s">
        <v>205</v>
      </c>
      <c r="D1195" s="4" t="s">
        <v>206</v>
      </c>
      <c r="E1195" s="4" t="n">
        <v>46294.7558333333</v>
      </c>
      <c r="F1195" s="4" t="n">
        <v>25</v>
      </c>
      <c r="G1195" s="4" t="n">
        <v>25</v>
      </c>
      <c r="H1195" s="4" t="n">
        <v>23</v>
      </c>
      <c r="I1195" s="4" t="n">
        <v>2</v>
      </c>
      <c r="J1195" s="4" t="n">
        <v>0</v>
      </c>
      <c r="K1195" s="4" t="n">
        <v>0</v>
      </c>
      <c r="L1195" s="11" t="b">
        <f aca="false">FALSE()</f>
        <v>0</v>
      </c>
    </row>
    <row r="1196" customFormat="false" ht="15" hidden="false" customHeight="false" outlineLevel="0" collapsed="false">
      <c r="A1196" s="4" t="s">
        <v>1403</v>
      </c>
      <c r="B1196" s="4" t="s">
        <v>102</v>
      </c>
      <c r="C1196" s="4" t="s">
        <v>205</v>
      </c>
      <c r="D1196" s="4" t="s">
        <v>206</v>
      </c>
      <c r="E1196" s="4" t="n">
        <v>46294.7959837963</v>
      </c>
      <c r="F1196" s="4" t="n">
        <v>27</v>
      </c>
      <c r="G1196" s="4" t="n">
        <v>27</v>
      </c>
      <c r="H1196" s="4" t="n">
        <v>26</v>
      </c>
      <c r="I1196" s="4" t="n">
        <v>1</v>
      </c>
      <c r="J1196" s="4" t="n">
        <v>0</v>
      </c>
      <c r="K1196" s="4" t="n">
        <v>0</v>
      </c>
      <c r="L1196" s="11" t="b">
        <f aca="false">FALSE()</f>
        <v>0</v>
      </c>
    </row>
    <row r="1197" customFormat="false" ht="15" hidden="false" customHeight="false" outlineLevel="0" collapsed="false">
      <c r="A1197" s="4" t="s">
        <v>1404</v>
      </c>
      <c r="B1197" s="4" t="s">
        <v>100</v>
      </c>
      <c r="C1197" s="4" t="s">
        <v>205</v>
      </c>
      <c r="D1197" s="4" t="s">
        <v>206</v>
      </c>
      <c r="E1197" s="4" t="n">
        <v>46294.8360069445</v>
      </c>
      <c r="F1197" s="4" t="n">
        <v>71</v>
      </c>
      <c r="G1197" s="4" t="n">
        <v>71</v>
      </c>
      <c r="H1197" s="4" t="n">
        <v>69</v>
      </c>
      <c r="I1197" s="4" t="n">
        <v>1</v>
      </c>
      <c r="J1197" s="4" t="n">
        <v>1</v>
      </c>
      <c r="K1197" s="4" t="n">
        <v>0</v>
      </c>
      <c r="L1197" s="11" t="b">
        <f aca="false">FALSE()</f>
        <v>0</v>
      </c>
    </row>
    <row r="1198" customFormat="false" ht="15" hidden="false" customHeight="false" outlineLevel="0" collapsed="false">
      <c r="A1198" s="4" t="s">
        <v>1405</v>
      </c>
      <c r="B1198" s="4" t="s">
        <v>103</v>
      </c>
      <c r="C1198" s="4" t="s">
        <v>205</v>
      </c>
      <c r="D1198" s="4" t="s">
        <v>206</v>
      </c>
      <c r="E1198" s="4" t="n">
        <v>46294.8816319444</v>
      </c>
      <c r="F1198" s="4" t="n">
        <v>27</v>
      </c>
      <c r="G1198" s="4" t="n">
        <v>27</v>
      </c>
      <c r="H1198" s="4" t="n">
        <v>27</v>
      </c>
      <c r="I1198" s="4" t="n">
        <v>0</v>
      </c>
      <c r="J1198" s="4" t="n">
        <v>0</v>
      </c>
      <c r="K1198" s="4" t="n">
        <v>0</v>
      </c>
      <c r="L1198" s="11" t="b">
        <f aca="false">FALSE()</f>
        <v>0</v>
      </c>
    </row>
    <row r="1199" customFormat="false" ht="15" hidden="false" customHeight="false" outlineLevel="0" collapsed="false">
      <c r="A1199" s="4" t="s">
        <v>1406</v>
      </c>
      <c r="B1199" s="4" t="s">
        <v>101</v>
      </c>
      <c r="C1199" s="4" t="s">
        <v>205</v>
      </c>
      <c r="D1199" s="4" t="s">
        <v>206</v>
      </c>
      <c r="E1199" s="4" t="n">
        <v>46294.9195138889</v>
      </c>
      <c r="F1199" s="4" t="n">
        <v>39</v>
      </c>
      <c r="G1199" s="4" t="n">
        <v>39</v>
      </c>
      <c r="H1199" s="4" t="n">
        <v>39</v>
      </c>
      <c r="I1199" s="4" t="n">
        <v>0</v>
      </c>
      <c r="J1199" s="4" t="n">
        <v>0</v>
      </c>
      <c r="K1199" s="4" t="n">
        <v>0</v>
      </c>
      <c r="L1199" s="11" t="b">
        <f aca="false">FALSE()</f>
        <v>0</v>
      </c>
    </row>
    <row r="1200" customFormat="false" ht="15" hidden="false" customHeight="false" outlineLevel="0" collapsed="false">
      <c r="A1200" s="4" t="s">
        <v>1407</v>
      </c>
      <c r="B1200" s="4" t="s">
        <v>100</v>
      </c>
      <c r="C1200" s="4" t="s">
        <v>205</v>
      </c>
      <c r="D1200" s="4" t="s">
        <v>206</v>
      </c>
      <c r="E1200" s="4" t="n">
        <v>46295.0023263889</v>
      </c>
      <c r="F1200" s="4" t="n">
        <v>40</v>
      </c>
      <c r="G1200" s="4" t="n">
        <v>40</v>
      </c>
      <c r="H1200" s="4" t="n">
        <v>38</v>
      </c>
      <c r="I1200" s="4" t="n">
        <v>1</v>
      </c>
      <c r="J1200" s="4" t="n">
        <v>1</v>
      </c>
      <c r="K1200" s="4" t="n">
        <v>0</v>
      </c>
      <c r="L1200" s="11" t="b">
        <f aca="false">FALSE()</f>
        <v>0</v>
      </c>
    </row>
    <row r="1201" customFormat="false" ht="15" hidden="false" customHeight="false" outlineLevel="0" collapsed="false">
      <c r="A1201" s="4" t="s">
        <v>1408</v>
      </c>
      <c r="B1201" s="4" t="s">
        <v>102</v>
      </c>
      <c r="C1201" s="4" t="s">
        <v>205</v>
      </c>
      <c r="D1201" s="4" t="s">
        <v>206</v>
      </c>
      <c r="E1201" s="4" t="n">
        <v>46295.0458680556</v>
      </c>
      <c r="F1201" s="4" t="n">
        <v>18</v>
      </c>
      <c r="G1201" s="4" t="n">
        <v>18</v>
      </c>
      <c r="H1201" s="4" t="n">
        <v>17</v>
      </c>
      <c r="I1201" s="4" t="n">
        <v>1</v>
      </c>
      <c r="J1201" s="4" t="n">
        <v>0</v>
      </c>
      <c r="K1201" s="4" t="n">
        <v>0</v>
      </c>
      <c r="L1201" s="11" t="b">
        <f aca="false">FALSE()</f>
        <v>0</v>
      </c>
    </row>
    <row r="1202" customFormat="false" ht="15" hidden="false" customHeight="false" outlineLevel="0" collapsed="false">
      <c r="A1202" s="4" t="s">
        <v>1409</v>
      </c>
      <c r="B1202" s="4" t="s">
        <v>101</v>
      </c>
      <c r="C1202" s="4" t="s">
        <v>205</v>
      </c>
      <c r="D1202" s="4" t="s">
        <v>206</v>
      </c>
      <c r="E1202" s="4" t="n">
        <v>46295.0863773148</v>
      </c>
      <c r="F1202" s="4" t="n">
        <v>15</v>
      </c>
      <c r="G1202" s="4" t="n">
        <v>15</v>
      </c>
      <c r="H1202" s="4" t="n">
        <v>13</v>
      </c>
      <c r="I1202" s="4" t="n">
        <v>2</v>
      </c>
      <c r="J1202" s="4" t="n">
        <v>0</v>
      </c>
      <c r="K1202" s="4" t="n">
        <v>0</v>
      </c>
      <c r="L1202" s="11" t="b">
        <f aca="false">FALSE()</f>
        <v>0</v>
      </c>
    </row>
    <row r="1203" customFormat="false" ht="15" hidden="false" customHeight="false" outlineLevel="0" collapsed="false">
      <c r="A1203" s="4" t="s">
        <v>1410</v>
      </c>
      <c r="B1203" s="4" t="s">
        <v>103</v>
      </c>
      <c r="C1203" s="4" t="s">
        <v>205</v>
      </c>
      <c r="D1203" s="4" t="s">
        <v>206</v>
      </c>
      <c r="E1203" s="4" t="n">
        <v>46295.1293634259</v>
      </c>
      <c r="F1203" s="4" t="n">
        <v>12</v>
      </c>
      <c r="G1203" s="4" t="n">
        <v>12</v>
      </c>
      <c r="H1203" s="4" t="n">
        <v>9</v>
      </c>
      <c r="I1203" s="4" t="n">
        <v>3</v>
      </c>
      <c r="J1203" s="4" t="n">
        <v>0</v>
      </c>
      <c r="K1203" s="4" t="n">
        <v>0</v>
      </c>
      <c r="L1203" s="11" t="b">
        <f aca="false">FALSE()</f>
        <v>0</v>
      </c>
    </row>
    <row r="1204" customFormat="false" ht="15" hidden="false" customHeight="false" outlineLevel="0" collapsed="false">
      <c r="A1204" s="4" t="s">
        <v>1411</v>
      </c>
      <c r="B1204" s="4" t="s">
        <v>100</v>
      </c>
      <c r="C1204" s="4" t="s">
        <v>205</v>
      </c>
      <c r="D1204" s="4" t="s">
        <v>206</v>
      </c>
      <c r="E1204" s="4" t="n">
        <v>46295.1693518519</v>
      </c>
      <c r="F1204" s="4" t="n">
        <v>20</v>
      </c>
      <c r="G1204" s="4" t="n">
        <v>20</v>
      </c>
      <c r="H1204" s="4" t="n">
        <v>17</v>
      </c>
      <c r="I1204" s="4" t="n">
        <v>3</v>
      </c>
      <c r="J1204" s="4" t="n">
        <v>0</v>
      </c>
      <c r="K1204" s="4" t="n">
        <v>0</v>
      </c>
      <c r="L1204" s="11" t="b">
        <f aca="false">FALSE()</f>
        <v>0</v>
      </c>
    </row>
    <row r="1205" customFormat="false" ht="15" hidden="false" customHeight="false" outlineLevel="0" collapsed="false">
      <c r="A1205" s="4" t="s">
        <v>1412</v>
      </c>
      <c r="B1205" s="4" t="s">
        <v>99</v>
      </c>
      <c r="C1205" s="4" t="s">
        <v>205</v>
      </c>
      <c r="D1205" s="4" t="s">
        <v>206</v>
      </c>
      <c r="E1205" s="4" t="n">
        <v>46295.2142939815</v>
      </c>
      <c r="F1205" s="4" t="n">
        <v>32</v>
      </c>
      <c r="G1205" s="4" t="n">
        <v>32</v>
      </c>
      <c r="H1205" s="4" t="n">
        <v>29</v>
      </c>
      <c r="I1205" s="4" t="n">
        <v>3</v>
      </c>
      <c r="J1205" s="4" t="n">
        <v>0</v>
      </c>
      <c r="K1205" s="4" t="n">
        <v>0</v>
      </c>
      <c r="L1205" s="11" t="b">
        <f aca="false">FALSE()</f>
        <v>0</v>
      </c>
    </row>
    <row r="1206" customFormat="false" ht="15" hidden="false" customHeight="false" outlineLevel="0" collapsed="false">
      <c r="A1206" s="4" t="s">
        <v>1413</v>
      </c>
      <c r="B1206" s="4" t="s">
        <v>101</v>
      </c>
      <c r="C1206" s="4" t="s">
        <v>205</v>
      </c>
      <c r="D1206" s="4" t="s">
        <v>206</v>
      </c>
      <c r="E1206" s="4" t="n">
        <v>46295.2531712963</v>
      </c>
      <c r="F1206" s="4" t="n">
        <v>8</v>
      </c>
      <c r="G1206" s="4" t="n">
        <v>8</v>
      </c>
      <c r="H1206" s="4" t="n">
        <v>8</v>
      </c>
      <c r="I1206" s="4" t="n">
        <v>0</v>
      </c>
      <c r="J1206" s="4" t="n">
        <v>0</v>
      </c>
      <c r="K1206" s="4" t="n">
        <v>0</v>
      </c>
      <c r="L1206" s="11" t="b">
        <f aca="false">FALSE()</f>
        <v>0</v>
      </c>
    </row>
    <row r="1207" customFormat="false" ht="15" hidden="false" customHeight="false" outlineLevel="0" collapsed="false">
      <c r="A1207" s="4" t="s">
        <v>1414</v>
      </c>
      <c r="B1207" s="4" t="s">
        <v>104</v>
      </c>
      <c r="C1207" s="4" t="s">
        <v>205</v>
      </c>
      <c r="D1207" s="4" t="s">
        <v>206</v>
      </c>
      <c r="E1207" s="4" t="n">
        <v>46295.2572337963</v>
      </c>
      <c r="F1207" s="4" t="n">
        <v>12</v>
      </c>
      <c r="G1207" s="4" t="n">
        <v>12</v>
      </c>
      <c r="H1207" s="4" t="n">
        <v>12</v>
      </c>
      <c r="I1207" s="4" t="n">
        <v>0</v>
      </c>
      <c r="J1207" s="4" t="n">
        <v>0</v>
      </c>
      <c r="K1207" s="4" t="n">
        <v>0</v>
      </c>
      <c r="L1207" s="11" t="b">
        <f aca="false">FALSE()</f>
        <v>0</v>
      </c>
    </row>
    <row r="1208" customFormat="false" ht="15" hidden="false" customHeight="false" outlineLevel="0" collapsed="false">
      <c r="A1208" s="4" t="s">
        <v>1415</v>
      </c>
      <c r="B1208" s="4" t="s">
        <v>102</v>
      </c>
      <c r="C1208" s="4" t="s">
        <v>205</v>
      </c>
      <c r="D1208" s="4" t="s">
        <v>206</v>
      </c>
      <c r="E1208" s="4" t="n">
        <v>46295.2967708333</v>
      </c>
      <c r="F1208" s="4" t="n">
        <v>8</v>
      </c>
      <c r="G1208" s="4" t="n">
        <v>8</v>
      </c>
      <c r="H1208" s="4" t="n">
        <v>7</v>
      </c>
      <c r="I1208" s="4" t="n">
        <v>1</v>
      </c>
      <c r="J1208" s="4" t="n">
        <v>0</v>
      </c>
      <c r="K1208" s="4" t="n">
        <v>0</v>
      </c>
      <c r="L1208" s="11" t="b">
        <f aca="false">FALSE()</f>
        <v>0</v>
      </c>
    </row>
    <row r="1209" customFormat="false" ht="15" hidden="false" customHeight="false" outlineLevel="0" collapsed="false">
      <c r="A1209" s="4" t="s">
        <v>1416</v>
      </c>
      <c r="B1209" s="4" t="s">
        <v>100</v>
      </c>
      <c r="C1209" s="4" t="s">
        <v>205</v>
      </c>
      <c r="D1209" s="4" t="s">
        <v>206</v>
      </c>
      <c r="E1209" s="4" t="n">
        <v>46295.3362268519</v>
      </c>
      <c r="F1209" s="4" t="n">
        <v>31</v>
      </c>
      <c r="G1209" s="4" t="n">
        <v>31</v>
      </c>
      <c r="H1209" s="4" t="n">
        <v>30</v>
      </c>
      <c r="I1209" s="4" t="n">
        <v>0</v>
      </c>
      <c r="J1209" s="4" t="n">
        <v>1</v>
      </c>
      <c r="K1209" s="4" t="n">
        <v>0</v>
      </c>
      <c r="L1209" s="11" t="b">
        <f aca="false">FALSE()</f>
        <v>0</v>
      </c>
    </row>
    <row r="1210" customFormat="false" ht="15" hidden="false" customHeight="false" outlineLevel="0" collapsed="false">
      <c r="A1210" s="4" t="s">
        <v>1417</v>
      </c>
      <c r="B1210" s="4" t="s">
        <v>103</v>
      </c>
      <c r="C1210" s="4" t="s">
        <v>205</v>
      </c>
      <c r="D1210" s="4" t="s">
        <v>206</v>
      </c>
      <c r="E1210" s="4" t="n">
        <v>46295.3822800926</v>
      </c>
      <c r="F1210" s="4" t="n">
        <v>16</v>
      </c>
      <c r="G1210" s="4" t="n">
        <v>16</v>
      </c>
      <c r="H1210" s="4" t="n">
        <v>14</v>
      </c>
      <c r="I1210" s="4" t="n">
        <v>2</v>
      </c>
      <c r="J1210" s="4" t="n">
        <v>0</v>
      </c>
      <c r="K1210" s="4" t="n">
        <v>0</v>
      </c>
      <c r="L1210" s="11" t="b">
        <f aca="false">FALSE()</f>
        <v>0</v>
      </c>
    </row>
    <row r="1211" customFormat="false" ht="15" hidden="false" customHeight="false" outlineLevel="0" collapsed="false">
      <c r="A1211" s="4" t="s">
        <v>1418</v>
      </c>
      <c r="B1211" s="4" t="s">
        <v>101</v>
      </c>
      <c r="C1211" s="4" t="s">
        <v>205</v>
      </c>
      <c r="D1211" s="4" t="s">
        <v>206</v>
      </c>
      <c r="E1211" s="4" t="n">
        <v>46295.420162037</v>
      </c>
      <c r="F1211" s="4" t="n">
        <v>32</v>
      </c>
      <c r="G1211" s="4" t="n">
        <v>32</v>
      </c>
      <c r="H1211" s="4" t="n">
        <v>32</v>
      </c>
      <c r="I1211" s="4" t="n">
        <v>0</v>
      </c>
      <c r="J1211" s="4" t="n">
        <v>0</v>
      </c>
      <c r="K1211" s="4" t="n">
        <v>0</v>
      </c>
      <c r="L1211" s="11" t="b">
        <f aca="false">FALSE()</f>
        <v>0</v>
      </c>
    </row>
    <row r="1212" customFormat="false" ht="15" hidden="false" customHeight="false" outlineLevel="0" collapsed="false">
      <c r="A1212" s="4" t="s">
        <v>1419</v>
      </c>
      <c r="B1212" s="4" t="s">
        <v>100</v>
      </c>
      <c r="C1212" s="4" t="s">
        <v>205</v>
      </c>
      <c r="D1212" s="4" t="s">
        <v>206</v>
      </c>
      <c r="E1212" s="4" t="n">
        <v>46295.5036805556</v>
      </c>
      <c r="F1212" s="4" t="n">
        <v>80</v>
      </c>
      <c r="G1212" s="4" t="n">
        <v>80</v>
      </c>
      <c r="H1212" s="4" t="n">
        <v>76</v>
      </c>
      <c r="I1212" s="4" t="n">
        <v>1</v>
      </c>
      <c r="J1212" s="4" t="n">
        <v>1</v>
      </c>
      <c r="K1212" s="4" t="n">
        <v>2</v>
      </c>
      <c r="L1212" s="11" t="b">
        <f aca="false">FALSE()</f>
        <v>0</v>
      </c>
    </row>
    <row r="1213" customFormat="false" ht="15" hidden="false" customHeight="false" outlineLevel="0" collapsed="false">
      <c r="A1213" s="4" t="s">
        <v>1420</v>
      </c>
      <c r="B1213" s="4" t="s">
        <v>102</v>
      </c>
      <c r="C1213" s="4" t="s">
        <v>205</v>
      </c>
      <c r="D1213" s="4" t="s">
        <v>206</v>
      </c>
      <c r="E1213" s="4" t="n">
        <v>46295.5458101852</v>
      </c>
      <c r="F1213" s="4" t="n">
        <v>28</v>
      </c>
      <c r="G1213" s="4" t="n">
        <v>28</v>
      </c>
      <c r="H1213" s="4" t="n">
        <v>27</v>
      </c>
      <c r="I1213" s="4" t="n">
        <v>1</v>
      </c>
      <c r="J1213" s="4" t="n">
        <v>0</v>
      </c>
      <c r="K1213" s="4" t="n">
        <v>0</v>
      </c>
      <c r="L1213" s="11" t="b">
        <f aca="false">FALSE()</f>
        <v>0</v>
      </c>
    </row>
    <row r="1214" customFormat="false" ht="15" hidden="false" customHeight="false" outlineLevel="0" collapsed="false">
      <c r="A1214" s="4" t="s">
        <v>1421</v>
      </c>
      <c r="B1214" s="4" t="s">
        <v>101</v>
      </c>
      <c r="C1214" s="4" t="s">
        <v>205</v>
      </c>
      <c r="D1214" s="4" t="s">
        <v>206</v>
      </c>
      <c r="E1214" s="4" t="n">
        <v>46295.5866666667</v>
      </c>
      <c r="F1214" s="4" t="n">
        <v>50</v>
      </c>
      <c r="G1214" s="4" t="n">
        <v>50</v>
      </c>
      <c r="H1214" s="4" t="n">
        <v>48</v>
      </c>
      <c r="I1214" s="4" t="n">
        <v>1</v>
      </c>
      <c r="J1214" s="4" t="n">
        <v>1</v>
      </c>
      <c r="K1214" s="4" t="n">
        <v>0</v>
      </c>
      <c r="L1214" s="11" t="b">
        <f aca="false">FALSE()</f>
        <v>0</v>
      </c>
    </row>
    <row r="1215" customFormat="false" ht="15" hidden="false" customHeight="false" outlineLevel="0" collapsed="false">
      <c r="A1215" s="4" t="s">
        <v>1422</v>
      </c>
      <c r="B1215" s="4" t="s">
        <v>103</v>
      </c>
      <c r="C1215" s="4" t="s">
        <v>205</v>
      </c>
      <c r="D1215" s="4" t="s">
        <v>206</v>
      </c>
      <c r="E1215" s="4" t="n">
        <v>46295.6297916667</v>
      </c>
      <c r="F1215" s="4" t="n">
        <v>34</v>
      </c>
      <c r="G1215" s="4" t="n">
        <v>34</v>
      </c>
      <c r="H1215" s="4" t="n">
        <v>32</v>
      </c>
      <c r="I1215" s="4" t="n">
        <v>2</v>
      </c>
      <c r="J1215" s="4" t="n">
        <v>0</v>
      </c>
      <c r="K1215" s="4" t="n">
        <v>0</v>
      </c>
      <c r="L1215" s="11" t="b">
        <f aca="false">FALSE()</f>
        <v>0</v>
      </c>
    </row>
    <row r="1216" customFormat="false" ht="15" hidden="false" customHeight="false" outlineLevel="0" collapsed="false">
      <c r="A1216" s="4" t="s">
        <v>1423</v>
      </c>
      <c r="B1216" s="4" t="s">
        <v>100</v>
      </c>
      <c r="C1216" s="4" t="s">
        <v>205</v>
      </c>
      <c r="D1216" s="4" t="s">
        <v>206</v>
      </c>
      <c r="E1216" s="4" t="n">
        <v>46295.6695138889</v>
      </c>
      <c r="F1216" s="4" t="n">
        <v>79</v>
      </c>
      <c r="G1216" s="4" t="n">
        <v>79</v>
      </c>
      <c r="H1216" s="4" t="n">
        <v>76</v>
      </c>
      <c r="I1216" s="4" t="n">
        <v>2</v>
      </c>
      <c r="J1216" s="4" t="n">
        <v>1</v>
      </c>
      <c r="K1216" s="4" t="n">
        <v>0</v>
      </c>
      <c r="L1216" s="11" t="b">
        <f aca="false">FALSE()</f>
        <v>0</v>
      </c>
    </row>
    <row r="1217" customFormat="false" ht="15" hidden="false" customHeight="false" outlineLevel="0" collapsed="false">
      <c r="A1217" s="4" t="s">
        <v>1424</v>
      </c>
      <c r="B1217" s="4" t="s">
        <v>101</v>
      </c>
      <c r="C1217" s="4" t="s">
        <v>205</v>
      </c>
      <c r="D1217" s="4" t="s">
        <v>206</v>
      </c>
      <c r="E1217" s="4" t="n">
        <v>46295.7541435185</v>
      </c>
      <c r="F1217" s="4" t="n">
        <v>47</v>
      </c>
      <c r="G1217" s="4" t="n">
        <v>47</v>
      </c>
      <c r="H1217" s="4" t="n">
        <v>45</v>
      </c>
      <c r="I1217" s="4" t="n">
        <v>1</v>
      </c>
      <c r="J1217" s="4" t="n">
        <v>0</v>
      </c>
      <c r="K1217" s="4" t="n">
        <v>1</v>
      </c>
      <c r="L1217" s="11" t="b">
        <f aca="false">FALSE()</f>
        <v>0</v>
      </c>
    </row>
    <row r="1218" customFormat="false" ht="15" hidden="false" customHeight="false" outlineLevel="0" collapsed="false">
      <c r="A1218" s="4" t="s">
        <v>1425</v>
      </c>
      <c r="B1218" s="4" t="s">
        <v>104</v>
      </c>
      <c r="C1218" s="4" t="s">
        <v>205</v>
      </c>
      <c r="D1218" s="4" t="s">
        <v>206</v>
      </c>
      <c r="E1218" s="4" t="n">
        <v>46295.7556481482</v>
      </c>
      <c r="F1218" s="4" t="n">
        <v>22</v>
      </c>
      <c r="G1218" s="4" t="n">
        <v>22</v>
      </c>
      <c r="H1218" s="4" t="n">
        <v>20</v>
      </c>
      <c r="I1218" s="4" t="n">
        <v>2</v>
      </c>
      <c r="J1218" s="4" t="n">
        <v>0</v>
      </c>
      <c r="K1218" s="4" t="n">
        <v>0</v>
      </c>
      <c r="L1218" s="11" t="b">
        <f aca="false">FALSE()</f>
        <v>0</v>
      </c>
    </row>
    <row r="1219" customFormat="false" ht="15" hidden="false" customHeight="false" outlineLevel="0" collapsed="false">
      <c r="A1219" s="4" t="s">
        <v>1426</v>
      </c>
      <c r="B1219" s="4" t="s">
        <v>102</v>
      </c>
      <c r="C1219" s="4" t="s">
        <v>205</v>
      </c>
      <c r="D1219" s="4" t="s">
        <v>206</v>
      </c>
      <c r="E1219" s="4" t="n">
        <v>46295.7965625</v>
      </c>
      <c r="F1219" s="4" t="n">
        <v>32</v>
      </c>
      <c r="G1219" s="4" t="n">
        <v>32</v>
      </c>
      <c r="H1219" s="4" t="n">
        <v>29</v>
      </c>
      <c r="I1219" s="4" t="n">
        <v>3</v>
      </c>
      <c r="J1219" s="4" t="n">
        <v>0</v>
      </c>
      <c r="K1219" s="4" t="n">
        <v>0</v>
      </c>
      <c r="L1219" s="11" t="b">
        <f aca="false">FALSE()</f>
        <v>0</v>
      </c>
    </row>
    <row r="1220" customFormat="false" ht="15" hidden="false" customHeight="false" outlineLevel="0" collapsed="false">
      <c r="A1220" s="4" t="s">
        <v>1427</v>
      </c>
      <c r="B1220" s="4" t="s">
        <v>100</v>
      </c>
      <c r="C1220" s="4" t="s">
        <v>205</v>
      </c>
      <c r="D1220" s="4" t="s">
        <v>206</v>
      </c>
      <c r="E1220" s="4" t="n">
        <v>46295.8362847222</v>
      </c>
      <c r="F1220" s="4" t="n">
        <v>73</v>
      </c>
      <c r="G1220" s="4" t="n">
        <v>73</v>
      </c>
      <c r="H1220" s="4" t="n">
        <v>70</v>
      </c>
      <c r="I1220" s="4" t="n">
        <v>3</v>
      </c>
      <c r="J1220" s="4" t="n">
        <v>0</v>
      </c>
      <c r="K1220" s="4" t="n">
        <v>0</v>
      </c>
      <c r="L1220" s="11" t="b">
        <f aca="false">FALSE()</f>
        <v>0</v>
      </c>
    </row>
    <row r="1221" customFormat="false" ht="15" hidden="false" customHeight="false" outlineLevel="0" collapsed="false">
      <c r="A1221" s="4" t="s">
        <v>1428</v>
      </c>
      <c r="B1221" s="4" t="s">
        <v>103</v>
      </c>
      <c r="C1221" s="4" t="s">
        <v>205</v>
      </c>
      <c r="D1221" s="4" t="s">
        <v>206</v>
      </c>
      <c r="E1221" s="4" t="n">
        <v>46295.8799537037</v>
      </c>
      <c r="F1221" s="4" t="n">
        <v>24</v>
      </c>
      <c r="G1221" s="4" t="n">
        <v>24</v>
      </c>
      <c r="H1221" s="4" t="n">
        <v>21</v>
      </c>
      <c r="I1221" s="4" t="n">
        <v>3</v>
      </c>
      <c r="J1221" s="4" t="n">
        <v>0</v>
      </c>
      <c r="K1221" s="4" t="n">
        <v>0</v>
      </c>
      <c r="L1221" s="11" t="b">
        <f aca="false">FALSE()</f>
        <v>0</v>
      </c>
    </row>
    <row r="1222" customFormat="false" ht="15" hidden="false" customHeight="false" outlineLevel="0" collapsed="false">
      <c r="A1222" s="4" t="s">
        <v>1429</v>
      </c>
      <c r="B1222" s="4" t="s">
        <v>101</v>
      </c>
      <c r="C1222" s="4" t="s">
        <v>205</v>
      </c>
      <c r="D1222" s="4" t="s">
        <v>206</v>
      </c>
      <c r="E1222" s="4" t="n">
        <v>46295.9203587963</v>
      </c>
      <c r="F1222" s="4" t="n">
        <v>39</v>
      </c>
      <c r="G1222" s="4" t="n">
        <v>39</v>
      </c>
      <c r="H1222" s="4" t="n">
        <v>37</v>
      </c>
      <c r="I1222" s="4" t="n">
        <v>2</v>
      </c>
      <c r="J1222" s="4" t="n">
        <v>0</v>
      </c>
      <c r="K1222" s="4" t="n">
        <v>0</v>
      </c>
      <c r="L1222" s="11" t="b">
        <f aca="false">FALSE()</f>
        <v>0</v>
      </c>
    </row>
    <row r="1223" customFormat="false" ht="15" hidden="false" customHeight="false" outlineLevel="0" collapsed="false">
      <c r="A1223" s="4" t="s">
        <v>1430</v>
      </c>
      <c r="B1223" s="4" t="s">
        <v>100</v>
      </c>
      <c r="C1223" s="4" t="s">
        <v>205</v>
      </c>
      <c r="D1223" s="4" t="s">
        <v>206</v>
      </c>
      <c r="E1223" s="4" t="n">
        <v>46296.0029166667</v>
      </c>
      <c r="F1223" s="4" t="n">
        <v>39</v>
      </c>
      <c r="G1223" s="4" t="n">
        <v>39</v>
      </c>
      <c r="H1223" s="4" t="n">
        <v>39</v>
      </c>
      <c r="I1223" s="4" t="n">
        <v>0</v>
      </c>
      <c r="J1223" s="4" t="n">
        <v>0</v>
      </c>
      <c r="K1223" s="4" t="n">
        <v>0</v>
      </c>
      <c r="L1223" s="11" t="b">
        <f aca="false">FALSE()</f>
        <v>0</v>
      </c>
    </row>
    <row r="1224" customFormat="false" ht="15" hidden="false" customHeight="false" outlineLevel="0" collapsed="false">
      <c r="A1224" s="4" t="s">
        <v>1431</v>
      </c>
      <c r="B1224" s="4" t="s">
        <v>102</v>
      </c>
      <c r="C1224" s="4" t="s">
        <v>205</v>
      </c>
      <c r="D1224" s="4" t="s">
        <v>206</v>
      </c>
      <c r="E1224" s="4" t="n">
        <v>46296.0464583333</v>
      </c>
      <c r="F1224" s="4" t="n">
        <v>16</v>
      </c>
      <c r="G1224" s="4" t="n">
        <v>16</v>
      </c>
      <c r="H1224" s="4" t="n">
        <v>13</v>
      </c>
      <c r="I1224" s="4" t="n">
        <v>3</v>
      </c>
      <c r="J1224" s="4" t="n">
        <v>0</v>
      </c>
      <c r="K1224" s="4" t="n">
        <v>0</v>
      </c>
      <c r="L1224" s="11" t="b">
        <f aca="false">FALSE()</f>
        <v>0</v>
      </c>
    </row>
    <row r="1225" customFormat="false" ht="15" hidden="false" customHeight="false" outlineLevel="0" collapsed="false">
      <c r="A1225" s="4" t="s">
        <v>1432</v>
      </c>
      <c r="B1225" s="4" t="s">
        <v>101</v>
      </c>
      <c r="C1225" s="4" t="s">
        <v>205</v>
      </c>
      <c r="D1225" s="4" t="s">
        <v>206</v>
      </c>
      <c r="E1225" s="4" t="n">
        <v>46296.0873032407</v>
      </c>
      <c r="F1225" s="4" t="n">
        <v>15</v>
      </c>
      <c r="G1225" s="4" t="n">
        <v>15</v>
      </c>
      <c r="H1225" s="4" t="n">
        <v>12</v>
      </c>
      <c r="I1225" s="4" t="n">
        <v>3</v>
      </c>
      <c r="J1225" s="4" t="n">
        <v>0</v>
      </c>
      <c r="K1225" s="4" t="n">
        <v>0</v>
      </c>
      <c r="L1225" s="11" t="b">
        <f aca="false">FALSE()</f>
        <v>0</v>
      </c>
    </row>
    <row r="1226" customFormat="false" ht="15" hidden="false" customHeight="false" outlineLevel="0" collapsed="false">
      <c r="A1226" s="4" t="s">
        <v>1433</v>
      </c>
      <c r="B1226" s="4" t="s">
        <v>103</v>
      </c>
      <c r="C1226" s="4" t="s">
        <v>205</v>
      </c>
      <c r="D1226" s="4" t="s">
        <v>206</v>
      </c>
      <c r="E1226" s="4" t="n">
        <v>46296.1296064815</v>
      </c>
      <c r="F1226" s="4" t="n">
        <v>14</v>
      </c>
      <c r="G1226" s="4" t="n">
        <v>14</v>
      </c>
      <c r="H1226" s="4" t="n">
        <v>10</v>
      </c>
      <c r="I1226" s="4" t="n">
        <v>3</v>
      </c>
      <c r="J1226" s="4" t="n">
        <v>0</v>
      </c>
      <c r="K1226" s="4" t="n">
        <v>1</v>
      </c>
      <c r="L1226" s="11" t="b">
        <f aca="false">FALSE()</f>
        <v>0</v>
      </c>
    </row>
    <row r="1227" customFormat="false" ht="15" hidden="false" customHeight="false" outlineLevel="0" collapsed="false">
      <c r="A1227" s="4" t="s">
        <v>1434</v>
      </c>
      <c r="B1227" s="4" t="s">
        <v>100</v>
      </c>
      <c r="C1227" s="4" t="s">
        <v>205</v>
      </c>
      <c r="D1227" s="4" t="s">
        <v>206</v>
      </c>
      <c r="E1227" s="4" t="n">
        <v>46296.1702083333</v>
      </c>
      <c r="F1227" s="4" t="n">
        <v>16</v>
      </c>
      <c r="G1227" s="4" t="n">
        <v>16</v>
      </c>
      <c r="H1227" s="4" t="n">
        <v>14</v>
      </c>
      <c r="I1227" s="4" t="n">
        <v>1</v>
      </c>
      <c r="J1227" s="4" t="n">
        <v>0</v>
      </c>
      <c r="K1227" s="4" t="n">
        <v>1</v>
      </c>
      <c r="L1227" s="11" t="b">
        <f aca="false">FALSE()</f>
        <v>0</v>
      </c>
    </row>
    <row r="1228" customFormat="false" ht="15" hidden="false" customHeight="false" outlineLevel="0" collapsed="false">
      <c r="A1228" s="4" t="s">
        <v>1435</v>
      </c>
      <c r="B1228" s="4" t="s">
        <v>99</v>
      </c>
      <c r="C1228" s="4" t="s">
        <v>205</v>
      </c>
      <c r="D1228" s="4" t="s">
        <v>206</v>
      </c>
      <c r="E1228" s="4" t="n">
        <v>46296.2133449074</v>
      </c>
      <c r="F1228" s="4" t="n">
        <v>34</v>
      </c>
      <c r="G1228" s="4" t="n">
        <v>34</v>
      </c>
      <c r="H1228" s="4" t="n">
        <v>31</v>
      </c>
      <c r="I1228" s="4" t="n">
        <v>3</v>
      </c>
      <c r="J1228" s="4" t="n">
        <v>0</v>
      </c>
      <c r="K1228" s="4" t="n">
        <v>0</v>
      </c>
      <c r="L1228" s="11" t="b">
        <f aca="false">FALSE()</f>
        <v>0</v>
      </c>
    </row>
    <row r="1229" customFormat="false" ht="15" hidden="false" customHeight="false" outlineLevel="0" collapsed="false">
      <c r="A1229" s="4" t="s">
        <v>1436</v>
      </c>
      <c r="B1229" s="4" t="s">
        <v>101</v>
      </c>
      <c r="C1229" s="4" t="s">
        <v>205</v>
      </c>
      <c r="D1229" s="4" t="s">
        <v>206</v>
      </c>
      <c r="E1229" s="4" t="n">
        <v>46296.2534722222</v>
      </c>
      <c r="F1229" s="4" t="n">
        <v>9</v>
      </c>
      <c r="G1229" s="4" t="n">
        <v>9</v>
      </c>
      <c r="H1229" s="4" t="n">
        <v>9</v>
      </c>
      <c r="I1229" s="4" t="n">
        <v>0</v>
      </c>
      <c r="J1229" s="4" t="n">
        <v>0</v>
      </c>
      <c r="K1229" s="4" t="n">
        <v>0</v>
      </c>
      <c r="L1229" s="11" t="b">
        <f aca="false">FALSE()</f>
        <v>0</v>
      </c>
    </row>
    <row r="1230" customFormat="false" ht="15" hidden="false" customHeight="false" outlineLevel="0" collapsed="false">
      <c r="A1230" s="4" t="s">
        <v>1437</v>
      </c>
      <c r="B1230" s="4" t="s">
        <v>104</v>
      </c>
      <c r="C1230" s="4" t="s">
        <v>205</v>
      </c>
      <c r="D1230" s="4" t="s">
        <v>206</v>
      </c>
      <c r="E1230" s="4" t="n">
        <v>46296.2562847222</v>
      </c>
      <c r="F1230" s="4" t="n">
        <v>11</v>
      </c>
      <c r="G1230" s="4" t="n">
        <v>11</v>
      </c>
      <c r="H1230" s="4" t="n">
        <v>11</v>
      </c>
      <c r="I1230" s="4" t="n">
        <v>0</v>
      </c>
      <c r="J1230" s="4" t="n">
        <v>0</v>
      </c>
      <c r="K1230" s="4" t="n">
        <v>0</v>
      </c>
      <c r="L1230" s="11" t="b">
        <f aca="false">FALSE()</f>
        <v>0</v>
      </c>
    </row>
    <row r="1231" customFormat="false" ht="15" hidden="false" customHeight="false" outlineLevel="0" collapsed="false">
      <c r="A1231" s="4" t="s">
        <v>1438</v>
      </c>
      <c r="B1231" s="4" t="s">
        <v>102</v>
      </c>
      <c r="C1231" s="4" t="s">
        <v>205</v>
      </c>
      <c r="D1231" s="4" t="s">
        <v>206</v>
      </c>
      <c r="E1231" s="4" t="n">
        <v>46296.2968055556</v>
      </c>
      <c r="F1231" s="4" t="n">
        <v>7</v>
      </c>
      <c r="G1231" s="4" t="n">
        <v>7</v>
      </c>
      <c r="H1231" s="4" t="n">
        <v>6</v>
      </c>
      <c r="I1231" s="4" t="n">
        <v>1</v>
      </c>
      <c r="J1231" s="4" t="n">
        <v>0</v>
      </c>
      <c r="K1231" s="4" t="n">
        <v>0</v>
      </c>
      <c r="L1231" s="11" t="b">
        <f aca="false">FALSE()</f>
        <v>0</v>
      </c>
    </row>
    <row r="1232" customFormat="false" ht="15" hidden="false" customHeight="false" outlineLevel="0" collapsed="false">
      <c r="A1232" s="4" t="s">
        <v>1439</v>
      </c>
      <c r="B1232" s="4" t="s">
        <v>100</v>
      </c>
      <c r="C1232" s="4" t="s">
        <v>205</v>
      </c>
      <c r="D1232" s="4" t="s">
        <v>206</v>
      </c>
      <c r="E1232" s="4" t="n">
        <v>46296.3356134259</v>
      </c>
      <c r="F1232" s="4" t="n">
        <v>33</v>
      </c>
      <c r="G1232" s="4" t="n">
        <v>33</v>
      </c>
      <c r="H1232" s="4" t="n">
        <v>31</v>
      </c>
      <c r="I1232" s="4" t="n">
        <v>1</v>
      </c>
      <c r="J1232" s="4" t="n">
        <v>1</v>
      </c>
      <c r="K1232" s="4" t="n">
        <v>0</v>
      </c>
      <c r="L1232" s="11" t="b">
        <f aca="false">FALSE()</f>
        <v>0</v>
      </c>
    </row>
    <row r="1233" customFormat="false" ht="15" hidden="false" customHeight="false" outlineLevel="0" collapsed="false">
      <c r="A1233" s="4" t="s">
        <v>1440</v>
      </c>
      <c r="B1233" s="4" t="s">
        <v>103</v>
      </c>
      <c r="C1233" s="4" t="s">
        <v>205</v>
      </c>
      <c r="D1233" s="4" t="s">
        <v>206</v>
      </c>
      <c r="E1233" s="4" t="n">
        <v>46296.3794328704</v>
      </c>
      <c r="F1233" s="4" t="n">
        <v>13</v>
      </c>
      <c r="G1233" s="4" t="n">
        <v>13</v>
      </c>
      <c r="H1233" s="4" t="n">
        <v>12</v>
      </c>
      <c r="I1233" s="4" t="n">
        <v>1</v>
      </c>
      <c r="J1233" s="4" t="n">
        <v>0</v>
      </c>
      <c r="K1233" s="4" t="n">
        <v>0</v>
      </c>
      <c r="L1233" s="11" t="b">
        <f aca="false">FALSE()</f>
        <v>0</v>
      </c>
    </row>
    <row r="1234" customFormat="false" ht="15" hidden="false" customHeight="false" outlineLevel="0" collapsed="false">
      <c r="A1234" s="4" t="s">
        <v>1441</v>
      </c>
      <c r="B1234" s="4" t="s">
        <v>101</v>
      </c>
      <c r="C1234" s="4" t="s">
        <v>205</v>
      </c>
      <c r="D1234" s="4" t="s">
        <v>206</v>
      </c>
      <c r="E1234" s="4" t="n">
        <v>46296.4203703704</v>
      </c>
      <c r="F1234" s="4" t="n">
        <v>38</v>
      </c>
      <c r="G1234" s="4" t="n">
        <v>38</v>
      </c>
      <c r="H1234" s="4" t="n">
        <v>35</v>
      </c>
      <c r="I1234" s="4" t="n">
        <v>3</v>
      </c>
      <c r="J1234" s="4" t="n">
        <v>0</v>
      </c>
      <c r="K1234" s="4" t="n">
        <v>0</v>
      </c>
      <c r="L1234" s="11" t="b">
        <f aca="false">FALSE()</f>
        <v>0</v>
      </c>
    </row>
    <row r="1235" customFormat="false" ht="15" hidden="false" customHeight="false" outlineLevel="0" collapsed="false">
      <c r="A1235" s="4" t="s">
        <v>1442</v>
      </c>
      <c r="B1235" s="4" t="s">
        <v>100</v>
      </c>
      <c r="C1235" s="4" t="s">
        <v>205</v>
      </c>
      <c r="D1235" s="4" t="s">
        <v>206</v>
      </c>
      <c r="E1235" s="4" t="n">
        <v>46296.5029050926</v>
      </c>
      <c r="F1235" s="4" t="n">
        <v>77</v>
      </c>
      <c r="G1235" s="4" t="n">
        <v>77</v>
      </c>
      <c r="H1235" s="4" t="n">
        <v>74</v>
      </c>
      <c r="I1235" s="4" t="n">
        <v>1</v>
      </c>
      <c r="J1235" s="4" t="n">
        <v>0</v>
      </c>
      <c r="K1235" s="4" t="n">
        <v>2</v>
      </c>
      <c r="L1235" s="11" t="b">
        <f aca="false">FALSE()</f>
        <v>0</v>
      </c>
    </row>
    <row r="1236" customFormat="false" ht="15" hidden="false" customHeight="false" outlineLevel="0" collapsed="false">
      <c r="A1236" s="4" t="s">
        <v>1443</v>
      </c>
      <c r="B1236" s="4" t="s">
        <v>102</v>
      </c>
      <c r="C1236" s="4" t="s">
        <v>205</v>
      </c>
      <c r="D1236" s="4" t="s">
        <v>206</v>
      </c>
      <c r="E1236" s="4" t="n">
        <v>46296.5466319445</v>
      </c>
      <c r="F1236" s="4" t="n">
        <v>32</v>
      </c>
      <c r="G1236" s="4" t="n">
        <v>32</v>
      </c>
      <c r="H1236" s="4" t="n">
        <v>29</v>
      </c>
      <c r="I1236" s="4" t="n">
        <v>2</v>
      </c>
      <c r="J1236" s="4" t="n">
        <v>1</v>
      </c>
      <c r="K1236" s="4" t="n">
        <v>0</v>
      </c>
      <c r="L1236" s="11" t="b">
        <f aca="false">TRUE()</f>
        <v>1</v>
      </c>
    </row>
    <row r="1237" customFormat="false" ht="15" hidden="false" customHeight="false" outlineLevel="0" collapsed="false">
      <c r="A1237" s="4" t="s">
        <v>1444</v>
      </c>
      <c r="B1237" s="4" t="s">
        <v>101</v>
      </c>
      <c r="C1237" s="4" t="s">
        <v>205</v>
      </c>
      <c r="D1237" s="4" t="s">
        <v>206</v>
      </c>
      <c r="E1237" s="4" t="n">
        <v>46296.5864930556</v>
      </c>
      <c r="F1237" s="4" t="n">
        <v>52</v>
      </c>
      <c r="G1237" s="4" t="n">
        <v>52</v>
      </c>
      <c r="H1237" s="4" t="n">
        <v>48</v>
      </c>
      <c r="I1237" s="4" t="n">
        <v>3</v>
      </c>
      <c r="J1237" s="4" t="n">
        <v>1</v>
      </c>
      <c r="K1237" s="4" t="n">
        <v>0</v>
      </c>
      <c r="L1237" s="11" t="b">
        <f aca="false">FALSE()</f>
        <v>0</v>
      </c>
    </row>
    <row r="1238" customFormat="false" ht="15" hidden="false" customHeight="false" outlineLevel="0" collapsed="false">
      <c r="A1238" s="4" t="s">
        <v>1445</v>
      </c>
      <c r="B1238" s="4" t="s">
        <v>103</v>
      </c>
      <c r="C1238" s="4" t="s">
        <v>205</v>
      </c>
      <c r="D1238" s="4" t="s">
        <v>206</v>
      </c>
      <c r="E1238" s="4" t="n">
        <v>46296.6295023148</v>
      </c>
      <c r="F1238" s="4" t="n">
        <v>30</v>
      </c>
      <c r="G1238" s="4" t="n">
        <v>30</v>
      </c>
      <c r="H1238" s="4" t="n">
        <v>28</v>
      </c>
      <c r="I1238" s="4" t="n">
        <v>2</v>
      </c>
      <c r="J1238" s="4" t="n">
        <v>0</v>
      </c>
      <c r="K1238" s="4" t="n">
        <v>0</v>
      </c>
      <c r="L1238" s="11" t="b">
        <f aca="false">FALSE()</f>
        <v>0</v>
      </c>
    </row>
    <row r="1239" customFormat="false" ht="15" hidden="false" customHeight="false" outlineLevel="0" collapsed="false">
      <c r="A1239" s="4" t="s">
        <v>1446</v>
      </c>
      <c r="B1239" s="4" t="s">
        <v>100</v>
      </c>
      <c r="C1239" s="4" t="s">
        <v>205</v>
      </c>
      <c r="D1239" s="4" t="s">
        <v>206</v>
      </c>
      <c r="E1239" s="4" t="n">
        <v>46296.6703472222</v>
      </c>
      <c r="F1239" s="4" t="n">
        <v>80</v>
      </c>
      <c r="G1239" s="4" t="n">
        <v>80</v>
      </c>
      <c r="H1239" s="4" t="n">
        <v>79</v>
      </c>
      <c r="I1239" s="4" t="n">
        <v>1</v>
      </c>
      <c r="J1239" s="4" t="n">
        <v>0</v>
      </c>
      <c r="K1239" s="4" t="n">
        <v>0</v>
      </c>
      <c r="L1239" s="11" t="b">
        <f aca="false">FALSE()</f>
        <v>0</v>
      </c>
    </row>
    <row r="1240" customFormat="false" ht="15" hidden="false" customHeight="false" outlineLevel="0" collapsed="false">
      <c r="A1240" s="4" t="s">
        <v>1447</v>
      </c>
      <c r="B1240" s="4" t="s">
        <v>101</v>
      </c>
      <c r="C1240" s="4" t="s">
        <v>205</v>
      </c>
      <c r="D1240" s="4" t="s">
        <v>206</v>
      </c>
      <c r="E1240" s="4" t="n">
        <v>46296.7543865741</v>
      </c>
      <c r="F1240" s="4" t="n">
        <v>48</v>
      </c>
      <c r="G1240" s="4" t="n">
        <v>48</v>
      </c>
      <c r="H1240" s="4" t="n">
        <v>47</v>
      </c>
      <c r="I1240" s="4" t="n">
        <v>1</v>
      </c>
      <c r="J1240" s="4" t="n">
        <v>0</v>
      </c>
      <c r="K1240" s="4" t="n">
        <v>0</v>
      </c>
      <c r="L1240" s="11" t="b">
        <f aca="false">FALSE()</f>
        <v>0</v>
      </c>
    </row>
    <row r="1241" customFormat="false" ht="15" hidden="false" customHeight="false" outlineLevel="0" collapsed="false">
      <c r="A1241" s="4" t="s">
        <v>1448</v>
      </c>
      <c r="B1241" s="4" t="s">
        <v>104</v>
      </c>
      <c r="C1241" s="4" t="s">
        <v>205</v>
      </c>
      <c r="D1241" s="4" t="s">
        <v>206</v>
      </c>
      <c r="E1241" s="4" t="n">
        <v>46296.7571643519</v>
      </c>
      <c r="F1241" s="4" t="n">
        <v>23</v>
      </c>
      <c r="G1241" s="4" t="n">
        <v>23</v>
      </c>
      <c r="H1241" s="4" t="n">
        <v>23</v>
      </c>
      <c r="I1241" s="4" t="n">
        <v>0</v>
      </c>
      <c r="J1241" s="4" t="n">
        <v>0</v>
      </c>
      <c r="K1241" s="4" t="n">
        <v>0</v>
      </c>
      <c r="L1241" s="11" t="b">
        <f aca="false">FALSE()</f>
        <v>0</v>
      </c>
    </row>
    <row r="1242" customFormat="false" ht="15" hidden="false" customHeight="false" outlineLevel="0" collapsed="false">
      <c r="A1242" s="4" t="s">
        <v>1449</v>
      </c>
      <c r="B1242" s="4" t="s">
        <v>102</v>
      </c>
      <c r="C1242" s="4" t="s">
        <v>205</v>
      </c>
      <c r="D1242" s="4" t="s">
        <v>206</v>
      </c>
      <c r="E1242" s="4" t="n">
        <v>46296.7953587963</v>
      </c>
      <c r="F1242" s="4" t="n">
        <v>33</v>
      </c>
      <c r="G1242" s="4" t="n">
        <v>33</v>
      </c>
      <c r="H1242" s="4" t="n">
        <v>29</v>
      </c>
      <c r="I1242" s="4" t="n">
        <v>3</v>
      </c>
      <c r="J1242" s="4" t="n">
        <v>1</v>
      </c>
      <c r="K1242" s="4" t="n">
        <v>0</v>
      </c>
      <c r="L1242" s="11" t="b">
        <f aca="false">TRUE()</f>
        <v>1</v>
      </c>
    </row>
    <row r="1243" customFormat="false" ht="15" hidden="false" customHeight="false" outlineLevel="0" collapsed="false">
      <c r="A1243" s="4" t="s">
        <v>1450</v>
      </c>
      <c r="B1243" s="4" t="s">
        <v>100</v>
      </c>
      <c r="C1243" s="4" t="s">
        <v>205</v>
      </c>
      <c r="D1243" s="4" t="s">
        <v>206</v>
      </c>
      <c r="E1243" s="4" t="n">
        <v>46296.8355555556</v>
      </c>
      <c r="F1243" s="4" t="n">
        <v>74</v>
      </c>
      <c r="G1243" s="4" t="n">
        <v>74</v>
      </c>
      <c r="H1243" s="4" t="n">
        <v>71</v>
      </c>
      <c r="I1243" s="4" t="n">
        <v>3</v>
      </c>
      <c r="J1243" s="4" t="n">
        <v>0</v>
      </c>
      <c r="K1243" s="4" t="n">
        <v>0</v>
      </c>
      <c r="L1243" s="11" t="b">
        <f aca="false">FALSE()</f>
        <v>0</v>
      </c>
    </row>
    <row r="1244" customFormat="false" ht="15" hidden="false" customHeight="false" outlineLevel="0" collapsed="false">
      <c r="A1244" s="4" t="s">
        <v>1451</v>
      </c>
      <c r="B1244" s="4" t="s">
        <v>103</v>
      </c>
      <c r="C1244" s="4" t="s">
        <v>205</v>
      </c>
      <c r="D1244" s="4" t="s">
        <v>206</v>
      </c>
      <c r="E1244" s="4" t="n">
        <v>46296.8793402778</v>
      </c>
      <c r="F1244" s="4" t="n">
        <v>27</v>
      </c>
      <c r="G1244" s="4" t="n">
        <v>27</v>
      </c>
      <c r="H1244" s="4" t="n">
        <v>25</v>
      </c>
      <c r="I1244" s="4" t="n">
        <v>2</v>
      </c>
      <c r="J1244" s="4" t="n">
        <v>0</v>
      </c>
      <c r="K1244" s="4" t="n">
        <v>0</v>
      </c>
      <c r="L1244" s="11" t="b">
        <f aca="false">FALSE()</f>
        <v>0</v>
      </c>
    </row>
    <row r="1245" customFormat="false" ht="15" hidden="false" customHeight="false" outlineLevel="0" collapsed="false">
      <c r="A1245" s="4" t="s">
        <v>1452</v>
      </c>
      <c r="B1245" s="4" t="s">
        <v>101</v>
      </c>
      <c r="C1245" s="4" t="s">
        <v>205</v>
      </c>
      <c r="D1245" s="4" t="s">
        <v>206</v>
      </c>
      <c r="E1245" s="4" t="n">
        <v>46296.9195023148</v>
      </c>
      <c r="F1245" s="4" t="n">
        <v>39</v>
      </c>
      <c r="G1245" s="4" t="n">
        <v>39</v>
      </c>
      <c r="H1245" s="4" t="n">
        <v>36</v>
      </c>
      <c r="I1245" s="4" t="n">
        <v>3</v>
      </c>
      <c r="J1245" s="4" t="n">
        <v>0</v>
      </c>
      <c r="K1245" s="4" t="n">
        <v>0</v>
      </c>
      <c r="L1245" s="11" t="b">
        <f aca="false">FALSE()</f>
        <v>0</v>
      </c>
    </row>
    <row r="1246" customFormat="false" ht="15" hidden="false" customHeight="false" outlineLevel="0" collapsed="false">
      <c r="A1246" s="4" t="s">
        <v>1453</v>
      </c>
      <c r="B1246" s="4" t="s">
        <v>100</v>
      </c>
      <c r="C1246" s="4" t="s">
        <v>205</v>
      </c>
      <c r="D1246" s="4" t="s">
        <v>206</v>
      </c>
      <c r="E1246" s="4" t="n">
        <v>46297.0030208333</v>
      </c>
      <c r="F1246" s="4" t="n">
        <v>42</v>
      </c>
      <c r="G1246" s="4" t="n">
        <v>42</v>
      </c>
      <c r="H1246" s="4" t="n">
        <v>41</v>
      </c>
      <c r="I1246" s="4" t="n">
        <v>1</v>
      </c>
      <c r="J1246" s="4" t="n">
        <v>0</v>
      </c>
      <c r="K1246" s="4" t="n">
        <v>0</v>
      </c>
      <c r="L1246" s="11" t="b">
        <f aca="false">FALSE()</f>
        <v>0</v>
      </c>
    </row>
    <row r="1247" customFormat="false" ht="15" hidden="false" customHeight="false" outlineLevel="0" collapsed="false">
      <c r="A1247" s="4" t="s">
        <v>1454</v>
      </c>
      <c r="B1247" s="4" t="s">
        <v>102</v>
      </c>
      <c r="C1247" s="4" t="s">
        <v>205</v>
      </c>
      <c r="D1247" s="4" t="s">
        <v>206</v>
      </c>
      <c r="E1247" s="4" t="n">
        <v>46297.0459259259</v>
      </c>
      <c r="F1247" s="4" t="n">
        <v>18</v>
      </c>
      <c r="G1247" s="4" t="n">
        <v>18</v>
      </c>
      <c r="H1247" s="4" t="n">
        <v>16</v>
      </c>
      <c r="I1247" s="4" t="n">
        <v>2</v>
      </c>
      <c r="J1247" s="4" t="n">
        <v>0</v>
      </c>
      <c r="K1247" s="4" t="n">
        <v>0</v>
      </c>
      <c r="L1247" s="11" t="b">
        <f aca="false">TRUE()</f>
        <v>1</v>
      </c>
    </row>
    <row r="1248" customFormat="false" ht="15" hidden="false" customHeight="false" outlineLevel="0" collapsed="false">
      <c r="A1248" s="4" t="s">
        <v>1455</v>
      </c>
      <c r="B1248" s="4" t="s">
        <v>101</v>
      </c>
      <c r="C1248" s="4" t="s">
        <v>205</v>
      </c>
      <c r="D1248" s="4" t="s">
        <v>206</v>
      </c>
      <c r="E1248" s="4" t="n">
        <v>46297.087025463</v>
      </c>
      <c r="F1248" s="4" t="n">
        <v>17</v>
      </c>
      <c r="G1248" s="4" t="n">
        <v>17</v>
      </c>
      <c r="H1248" s="4" t="n">
        <v>13</v>
      </c>
      <c r="I1248" s="4" t="n">
        <v>3</v>
      </c>
      <c r="J1248" s="4" t="n">
        <v>0</v>
      </c>
      <c r="K1248" s="4" t="n">
        <v>1</v>
      </c>
      <c r="L1248" s="11" t="b">
        <f aca="false">FALSE()</f>
        <v>0</v>
      </c>
    </row>
    <row r="1249" customFormat="false" ht="15" hidden="false" customHeight="false" outlineLevel="0" collapsed="false">
      <c r="A1249" s="4" t="s">
        <v>1456</v>
      </c>
      <c r="B1249" s="4" t="s">
        <v>103</v>
      </c>
      <c r="C1249" s="4" t="s">
        <v>205</v>
      </c>
      <c r="D1249" s="4" t="s">
        <v>206</v>
      </c>
      <c r="E1249" s="4" t="n">
        <v>46297.1299652778</v>
      </c>
      <c r="F1249" s="4" t="n">
        <v>10</v>
      </c>
      <c r="G1249" s="4" t="n">
        <v>10</v>
      </c>
      <c r="H1249" s="4" t="n">
        <v>9</v>
      </c>
      <c r="I1249" s="4" t="n">
        <v>1</v>
      </c>
      <c r="J1249" s="4" t="n">
        <v>0</v>
      </c>
      <c r="K1249" s="4" t="n">
        <v>0</v>
      </c>
      <c r="L1249" s="11" t="b">
        <f aca="false">FALSE()</f>
        <v>0</v>
      </c>
    </row>
    <row r="1250" customFormat="false" ht="15" hidden="false" customHeight="false" outlineLevel="0" collapsed="false">
      <c r="A1250" s="4" t="s">
        <v>1457</v>
      </c>
      <c r="B1250" s="4" t="s">
        <v>100</v>
      </c>
      <c r="C1250" s="4" t="s">
        <v>205</v>
      </c>
      <c r="D1250" s="4" t="s">
        <v>206</v>
      </c>
      <c r="E1250" s="4" t="n">
        <v>46297.1694791667</v>
      </c>
      <c r="F1250" s="4" t="n">
        <v>16</v>
      </c>
      <c r="G1250" s="4" t="n">
        <v>16</v>
      </c>
      <c r="H1250" s="4" t="n">
        <v>15</v>
      </c>
      <c r="I1250" s="4" t="n">
        <v>1</v>
      </c>
      <c r="J1250" s="4" t="n">
        <v>0</v>
      </c>
      <c r="K1250" s="4" t="n">
        <v>0</v>
      </c>
      <c r="L1250" s="11" t="b">
        <f aca="false">FALSE()</f>
        <v>0</v>
      </c>
    </row>
    <row r="1251" customFormat="false" ht="15" hidden="false" customHeight="false" outlineLevel="0" collapsed="false">
      <c r="A1251" s="4" t="s">
        <v>1458</v>
      </c>
      <c r="B1251" s="4" t="s">
        <v>99</v>
      </c>
      <c r="C1251" s="4" t="s">
        <v>205</v>
      </c>
      <c r="D1251" s="4" t="s">
        <v>206</v>
      </c>
      <c r="E1251" s="4" t="n">
        <v>46297.2146180556</v>
      </c>
      <c r="F1251" s="4" t="n">
        <v>30</v>
      </c>
      <c r="G1251" s="4" t="n">
        <v>30</v>
      </c>
      <c r="H1251" s="4" t="n">
        <v>27</v>
      </c>
      <c r="I1251" s="4" t="n">
        <v>2</v>
      </c>
      <c r="J1251" s="4" t="n">
        <v>1</v>
      </c>
      <c r="K1251" s="4" t="n">
        <v>0</v>
      </c>
      <c r="L1251" s="11" t="b">
        <f aca="false">FALSE()</f>
        <v>0</v>
      </c>
    </row>
    <row r="1252" customFormat="false" ht="15" hidden="false" customHeight="false" outlineLevel="0" collapsed="false">
      <c r="A1252" s="4" t="s">
        <v>1459</v>
      </c>
      <c r="B1252" s="4" t="s">
        <v>101</v>
      </c>
      <c r="C1252" s="4" t="s">
        <v>205</v>
      </c>
      <c r="D1252" s="4" t="s">
        <v>206</v>
      </c>
      <c r="E1252" s="4" t="n">
        <v>46297.2539351852</v>
      </c>
      <c r="F1252" s="4" t="n">
        <v>13</v>
      </c>
      <c r="G1252" s="4" t="n">
        <v>13</v>
      </c>
      <c r="H1252" s="4" t="n">
        <v>10</v>
      </c>
      <c r="I1252" s="4" t="n">
        <v>3</v>
      </c>
      <c r="J1252" s="4" t="n">
        <v>0</v>
      </c>
      <c r="K1252" s="4" t="n">
        <v>0</v>
      </c>
      <c r="L1252" s="11" t="b">
        <f aca="false">FALSE()</f>
        <v>0</v>
      </c>
    </row>
    <row r="1253" customFormat="false" ht="15" hidden="false" customHeight="false" outlineLevel="0" collapsed="false">
      <c r="A1253" s="4" t="s">
        <v>1460</v>
      </c>
      <c r="B1253" s="4" t="s">
        <v>104</v>
      </c>
      <c r="C1253" s="4" t="s">
        <v>205</v>
      </c>
      <c r="D1253" s="4" t="s">
        <v>206</v>
      </c>
      <c r="E1253" s="4" t="n">
        <v>46297.2569212963</v>
      </c>
      <c r="F1253" s="4" t="n">
        <v>12</v>
      </c>
      <c r="G1253" s="4" t="n">
        <v>12</v>
      </c>
      <c r="H1253" s="4" t="n">
        <v>8</v>
      </c>
      <c r="I1253" s="4" t="n">
        <v>3</v>
      </c>
      <c r="J1253" s="4" t="n">
        <v>1</v>
      </c>
      <c r="K1253" s="4" t="n">
        <v>0</v>
      </c>
      <c r="L1253" s="11" t="b">
        <f aca="false">FALSE()</f>
        <v>0</v>
      </c>
    </row>
    <row r="1254" customFormat="false" ht="15" hidden="false" customHeight="false" outlineLevel="0" collapsed="false">
      <c r="A1254" s="4" t="s">
        <v>1461</v>
      </c>
      <c r="B1254" s="4" t="s">
        <v>102</v>
      </c>
      <c r="C1254" s="4" t="s">
        <v>205</v>
      </c>
      <c r="D1254" s="4" t="s">
        <v>206</v>
      </c>
      <c r="E1254" s="4" t="n">
        <v>46297.2957175926</v>
      </c>
      <c r="F1254" s="4" t="n">
        <v>14</v>
      </c>
      <c r="G1254" s="4" t="n">
        <v>14</v>
      </c>
      <c r="H1254" s="4" t="n">
        <v>0</v>
      </c>
      <c r="I1254" s="4" t="n">
        <v>14</v>
      </c>
      <c r="J1254" s="4" t="n">
        <v>0</v>
      </c>
      <c r="K1254" s="4" t="n">
        <v>0</v>
      </c>
      <c r="L1254" s="11" t="b">
        <f aca="false">FALSE()</f>
        <v>0</v>
      </c>
    </row>
    <row r="1255" customFormat="false" ht="15" hidden="false" customHeight="false" outlineLevel="0" collapsed="false">
      <c r="A1255" s="4" t="s">
        <v>1462</v>
      </c>
      <c r="B1255" s="4" t="s">
        <v>100</v>
      </c>
      <c r="C1255" s="4" t="s">
        <v>205</v>
      </c>
      <c r="D1255" s="4" t="s">
        <v>206</v>
      </c>
      <c r="E1255" s="4" t="n">
        <v>46297.3356828704</v>
      </c>
      <c r="F1255" s="4" t="n">
        <v>35</v>
      </c>
      <c r="G1255" s="4" t="n">
        <v>35</v>
      </c>
      <c r="H1255" s="4" t="n">
        <v>30</v>
      </c>
      <c r="I1255" s="4" t="n">
        <v>3</v>
      </c>
      <c r="J1255" s="4" t="n">
        <v>1</v>
      </c>
      <c r="K1255" s="4" t="n">
        <v>1</v>
      </c>
      <c r="L1255" s="11" t="b">
        <f aca="false">FALSE()</f>
        <v>0</v>
      </c>
    </row>
    <row r="1256" customFormat="false" ht="15" hidden="false" customHeight="false" outlineLevel="0" collapsed="false">
      <c r="A1256" s="4" t="s">
        <v>1463</v>
      </c>
      <c r="B1256" s="4" t="s">
        <v>103</v>
      </c>
      <c r="C1256" s="4" t="s">
        <v>205</v>
      </c>
      <c r="D1256" s="4" t="s">
        <v>206</v>
      </c>
      <c r="E1256" s="4" t="n">
        <v>46297.3808449074</v>
      </c>
      <c r="F1256" s="4" t="n">
        <v>13</v>
      </c>
      <c r="G1256" s="4" t="n">
        <v>13</v>
      </c>
      <c r="H1256" s="4" t="n">
        <v>12</v>
      </c>
      <c r="I1256" s="4" t="n">
        <v>1</v>
      </c>
      <c r="J1256" s="4" t="n">
        <v>0</v>
      </c>
      <c r="K1256" s="4" t="n">
        <v>0</v>
      </c>
      <c r="L1256" s="11" t="b">
        <f aca="false">TRUE()</f>
        <v>1</v>
      </c>
    </row>
    <row r="1257" customFormat="false" ht="15" hidden="false" customHeight="false" outlineLevel="0" collapsed="false">
      <c r="A1257" s="4" t="s">
        <v>1464</v>
      </c>
      <c r="B1257" s="4" t="s">
        <v>101</v>
      </c>
      <c r="C1257" s="4" t="s">
        <v>205</v>
      </c>
      <c r="D1257" s="4" t="s">
        <v>206</v>
      </c>
      <c r="E1257" s="4" t="n">
        <v>46297.4204861111</v>
      </c>
      <c r="F1257" s="4" t="n">
        <v>35</v>
      </c>
      <c r="G1257" s="4" t="n">
        <v>35</v>
      </c>
      <c r="H1257" s="4" t="n">
        <v>34</v>
      </c>
      <c r="I1257" s="4" t="n">
        <v>1</v>
      </c>
      <c r="J1257" s="4" t="n">
        <v>0</v>
      </c>
      <c r="K1257" s="4" t="n">
        <v>0</v>
      </c>
      <c r="L1257" s="11" t="b">
        <f aca="false">FALSE()</f>
        <v>0</v>
      </c>
    </row>
    <row r="1258" customFormat="false" ht="15" hidden="false" customHeight="false" outlineLevel="0" collapsed="false">
      <c r="A1258" s="4" t="s">
        <v>1465</v>
      </c>
      <c r="B1258" s="4" t="s">
        <v>100</v>
      </c>
      <c r="C1258" s="4" t="s">
        <v>205</v>
      </c>
      <c r="D1258" s="4" t="s">
        <v>206</v>
      </c>
      <c r="E1258" s="4" t="n">
        <v>46297.5037384259</v>
      </c>
      <c r="F1258" s="4" t="n">
        <v>75</v>
      </c>
      <c r="G1258" s="4" t="n">
        <v>75</v>
      </c>
      <c r="H1258" s="4" t="n">
        <v>70</v>
      </c>
      <c r="I1258" s="4" t="n">
        <v>3</v>
      </c>
      <c r="J1258" s="4" t="n">
        <v>2</v>
      </c>
      <c r="K1258" s="4" t="n">
        <v>0</v>
      </c>
      <c r="L1258" s="11" t="b">
        <f aca="false">FALSE()</f>
        <v>0</v>
      </c>
    </row>
    <row r="1259" customFormat="false" ht="15" hidden="false" customHeight="false" outlineLevel="0" collapsed="false">
      <c r="A1259" s="4" t="s">
        <v>1466</v>
      </c>
      <c r="B1259" s="4" t="s">
        <v>102</v>
      </c>
      <c r="C1259" s="4" t="s">
        <v>205</v>
      </c>
      <c r="D1259" s="4" t="s">
        <v>206</v>
      </c>
      <c r="E1259" s="4" t="n">
        <v>46297.5459953704</v>
      </c>
      <c r="F1259" s="4" t="n">
        <v>14</v>
      </c>
      <c r="G1259" s="4" t="n">
        <v>14</v>
      </c>
      <c r="H1259" s="4" t="n">
        <v>0</v>
      </c>
      <c r="I1259" s="4" t="n">
        <v>14</v>
      </c>
      <c r="J1259" s="4" t="n">
        <v>0</v>
      </c>
      <c r="K1259" s="4" t="n">
        <v>0</v>
      </c>
      <c r="L1259" s="11" t="b">
        <f aca="false">FALSE()</f>
        <v>0</v>
      </c>
    </row>
    <row r="1260" customFormat="false" ht="15" hidden="false" customHeight="false" outlineLevel="0" collapsed="false">
      <c r="A1260" s="4" t="s">
        <v>1467</v>
      </c>
      <c r="B1260" s="4" t="s">
        <v>101</v>
      </c>
      <c r="C1260" s="4" t="s">
        <v>205</v>
      </c>
      <c r="D1260" s="4" t="s">
        <v>206</v>
      </c>
      <c r="E1260" s="4" t="n">
        <v>46297.5867361111</v>
      </c>
      <c r="F1260" s="4" t="n">
        <v>52</v>
      </c>
      <c r="G1260" s="4" t="n">
        <v>52</v>
      </c>
      <c r="H1260" s="4" t="n">
        <v>49</v>
      </c>
      <c r="I1260" s="4" t="n">
        <v>1</v>
      </c>
      <c r="J1260" s="4" t="n">
        <v>2</v>
      </c>
      <c r="K1260" s="4" t="n">
        <v>0</v>
      </c>
      <c r="L1260" s="11" t="b">
        <f aca="false">FALSE()</f>
        <v>0</v>
      </c>
    </row>
    <row r="1261" customFormat="false" ht="15" hidden="false" customHeight="false" outlineLevel="0" collapsed="false">
      <c r="A1261" s="4" t="s">
        <v>1468</v>
      </c>
      <c r="B1261" s="4" t="s">
        <v>103</v>
      </c>
      <c r="C1261" s="4" t="s">
        <v>205</v>
      </c>
      <c r="D1261" s="4" t="s">
        <v>206</v>
      </c>
      <c r="E1261" s="4" t="n">
        <v>46297.6306018519</v>
      </c>
      <c r="F1261" s="4" t="n">
        <v>32</v>
      </c>
      <c r="G1261" s="4" t="n">
        <v>32</v>
      </c>
      <c r="H1261" s="4" t="n">
        <v>29</v>
      </c>
      <c r="I1261" s="4" t="n">
        <v>3</v>
      </c>
      <c r="J1261" s="4" t="n">
        <v>0</v>
      </c>
      <c r="K1261" s="4" t="n">
        <v>0</v>
      </c>
      <c r="L1261" s="11" t="b">
        <f aca="false">FALSE()</f>
        <v>0</v>
      </c>
    </row>
    <row r="1262" customFormat="false" ht="15" hidden="false" customHeight="false" outlineLevel="0" collapsed="false">
      <c r="A1262" s="4" t="s">
        <v>1469</v>
      </c>
      <c r="B1262" s="4" t="s">
        <v>100</v>
      </c>
      <c r="C1262" s="4" t="s">
        <v>205</v>
      </c>
      <c r="D1262" s="4" t="s">
        <v>206</v>
      </c>
      <c r="E1262" s="4" t="n">
        <v>46297.6694328704</v>
      </c>
      <c r="F1262" s="4" t="n">
        <v>79</v>
      </c>
      <c r="G1262" s="4" t="n">
        <v>79</v>
      </c>
      <c r="H1262" s="4" t="n">
        <v>79</v>
      </c>
      <c r="I1262" s="4" t="n">
        <v>0</v>
      </c>
      <c r="J1262" s="4" t="n">
        <v>0</v>
      </c>
      <c r="K1262" s="4" t="n">
        <v>0</v>
      </c>
      <c r="L1262" s="11" t="b">
        <f aca="false">FALSE()</f>
        <v>0</v>
      </c>
    </row>
    <row r="1263" customFormat="false" ht="15" hidden="false" customHeight="false" outlineLevel="0" collapsed="false">
      <c r="A1263" s="4" t="s">
        <v>1470</v>
      </c>
      <c r="B1263" s="4" t="s">
        <v>101</v>
      </c>
      <c r="C1263" s="4" t="s">
        <v>205</v>
      </c>
      <c r="D1263" s="4" t="s">
        <v>206</v>
      </c>
      <c r="E1263" s="4" t="n">
        <v>46297.7544791667</v>
      </c>
      <c r="F1263" s="4" t="n">
        <v>50</v>
      </c>
      <c r="G1263" s="4" t="n">
        <v>50</v>
      </c>
      <c r="H1263" s="4" t="n">
        <v>48</v>
      </c>
      <c r="I1263" s="4" t="n">
        <v>1</v>
      </c>
      <c r="J1263" s="4" t="n">
        <v>1</v>
      </c>
      <c r="K1263" s="4" t="n">
        <v>0</v>
      </c>
      <c r="L1263" s="11" t="b">
        <f aca="false">FALSE()</f>
        <v>0</v>
      </c>
    </row>
    <row r="1264" customFormat="false" ht="15" hidden="false" customHeight="false" outlineLevel="0" collapsed="false">
      <c r="A1264" s="4" t="s">
        <v>1471</v>
      </c>
      <c r="B1264" s="4" t="s">
        <v>104</v>
      </c>
      <c r="C1264" s="4" t="s">
        <v>205</v>
      </c>
      <c r="D1264" s="4" t="s">
        <v>206</v>
      </c>
      <c r="E1264" s="4" t="n">
        <v>46297.7563194444</v>
      </c>
      <c r="F1264" s="4" t="n">
        <v>23</v>
      </c>
      <c r="G1264" s="4" t="n">
        <v>23</v>
      </c>
      <c r="H1264" s="4" t="n">
        <v>22</v>
      </c>
      <c r="I1264" s="4" t="n">
        <v>1</v>
      </c>
      <c r="J1264" s="4" t="n">
        <v>0</v>
      </c>
      <c r="K1264" s="4" t="n">
        <v>0</v>
      </c>
      <c r="L1264" s="11" t="b">
        <f aca="false">FALSE()</f>
        <v>0</v>
      </c>
    </row>
    <row r="1265" customFormat="false" ht="15" hidden="false" customHeight="false" outlineLevel="0" collapsed="false">
      <c r="A1265" s="4" t="s">
        <v>1472</v>
      </c>
      <c r="B1265" s="4" t="s">
        <v>102</v>
      </c>
      <c r="C1265" s="4" t="s">
        <v>205</v>
      </c>
      <c r="D1265" s="4" t="s">
        <v>206</v>
      </c>
      <c r="E1265" s="4" t="n">
        <v>46297.7953935185</v>
      </c>
      <c r="F1265" s="4" t="n">
        <v>14</v>
      </c>
      <c r="G1265" s="4" t="n">
        <v>14</v>
      </c>
      <c r="H1265" s="4" t="n">
        <v>0</v>
      </c>
      <c r="I1265" s="4" t="n">
        <v>14</v>
      </c>
      <c r="J1265" s="4" t="n">
        <v>0</v>
      </c>
      <c r="K1265" s="4" t="n">
        <v>0</v>
      </c>
      <c r="L1265" s="11" t="b">
        <f aca="false">FALSE()</f>
        <v>0</v>
      </c>
    </row>
    <row r="1266" customFormat="false" ht="15" hidden="false" customHeight="false" outlineLevel="0" collapsed="false">
      <c r="A1266" s="4" t="s">
        <v>1473</v>
      </c>
      <c r="B1266" s="4" t="s">
        <v>100</v>
      </c>
      <c r="C1266" s="4" t="s">
        <v>205</v>
      </c>
      <c r="D1266" s="4" t="s">
        <v>206</v>
      </c>
      <c r="E1266" s="4" t="n">
        <v>46297.8367476852</v>
      </c>
      <c r="F1266" s="4" t="n">
        <v>67</v>
      </c>
      <c r="G1266" s="4" t="n">
        <v>67</v>
      </c>
      <c r="H1266" s="4" t="n">
        <v>65</v>
      </c>
      <c r="I1266" s="4" t="n">
        <v>1</v>
      </c>
      <c r="J1266" s="4" t="n">
        <v>1</v>
      </c>
      <c r="K1266" s="4" t="n">
        <v>0</v>
      </c>
      <c r="L1266" s="11" t="b">
        <f aca="false">FALSE()</f>
        <v>0</v>
      </c>
    </row>
    <row r="1267" customFormat="false" ht="15" hidden="false" customHeight="false" outlineLevel="0" collapsed="false">
      <c r="A1267" s="4" t="s">
        <v>1474</v>
      </c>
      <c r="B1267" s="4" t="s">
        <v>103</v>
      </c>
      <c r="C1267" s="4" t="s">
        <v>205</v>
      </c>
      <c r="D1267" s="4" t="s">
        <v>206</v>
      </c>
      <c r="E1267" s="4" t="n">
        <v>46297.8802083333</v>
      </c>
      <c r="F1267" s="4" t="n">
        <v>26</v>
      </c>
      <c r="G1267" s="4" t="n">
        <v>26</v>
      </c>
      <c r="H1267" s="4" t="n">
        <v>22</v>
      </c>
      <c r="I1267" s="4" t="n">
        <v>3</v>
      </c>
      <c r="J1267" s="4" t="n">
        <v>1</v>
      </c>
      <c r="K1267" s="4" t="n">
        <v>0</v>
      </c>
      <c r="L1267" s="11" t="b">
        <f aca="false">FALSE()</f>
        <v>0</v>
      </c>
    </row>
    <row r="1268" customFormat="false" ht="15" hidden="false" customHeight="false" outlineLevel="0" collapsed="false">
      <c r="A1268" s="4" t="s">
        <v>1475</v>
      </c>
      <c r="B1268" s="4" t="s">
        <v>101</v>
      </c>
      <c r="C1268" s="4" t="s">
        <v>205</v>
      </c>
      <c r="D1268" s="4" t="s">
        <v>206</v>
      </c>
      <c r="E1268" s="4" t="n">
        <v>46297.9200810185</v>
      </c>
      <c r="F1268" s="4" t="n">
        <v>40</v>
      </c>
      <c r="G1268" s="4" t="n">
        <v>40</v>
      </c>
      <c r="H1268" s="4" t="n">
        <v>39</v>
      </c>
      <c r="I1268" s="4" t="n">
        <v>1</v>
      </c>
      <c r="J1268" s="4" t="n">
        <v>0</v>
      </c>
      <c r="K1268" s="4" t="n">
        <v>0</v>
      </c>
      <c r="L1268" s="11" t="b">
        <f aca="false">FALSE()</f>
        <v>0</v>
      </c>
    </row>
    <row r="1269" customFormat="false" ht="15" hidden="false" customHeight="false" outlineLevel="0" collapsed="false">
      <c r="A1269" s="4" t="s">
        <v>1476</v>
      </c>
      <c r="B1269" s="4" t="s">
        <v>100</v>
      </c>
      <c r="C1269" s="4" t="s">
        <v>205</v>
      </c>
      <c r="D1269" s="4" t="s">
        <v>206</v>
      </c>
      <c r="E1269" s="4" t="n">
        <v>46298.0032523148</v>
      </c>
      <c r="F1269" s="4" t="n">
        <v>40</v>
      </c>
      <c r="G1269" s="4" t="n">
        <v>40</v>
      </c>
      <c r="H1269" s="4" t="n">
        <v>37</v>
      </c>
      <c r="I1269" s="4" t="n">
        <v>2</v>
      </c>
      <c r="J1269" s="4" t="n">
        <v>0</v>
      </c>
      <c r="K1269" s="4" t="n">
        <v>1</v>
      </c>
      <c r="L1269" s="11" t="b">
        <f aca="false">FALSE()</f>
        <v>0</v>
      </c>
    </row>
    <row r="1270" customFormat="false" ht="15" hidden="false" customHeight="false" outlineLevel="0" collapsed="false">
      <c r="A1270" s="4" t="s">
        <v>1477</v>
      </c>
      <c r="B1270" s="4" t="s">
        <v>102</v>
      </c>
      <c r="C1270" s="4" t="s">
        <v>205</v>
      </c>
      <c r="D1270" s="4" t="s">
        <v>206</v>
      </c>
      <c r="E1270" s="4" t="n">
        <v>46298.045775463</v>
      </c>
      <c r="F1270" s="4" t="n">
        <v>14</v>
      </c>
      <c r="G1270" s="4" t="n">
        <v>14</v>
      </c>
      <c r="H1270" s="4" t="n">
        <v>0</v>
      </c>
      <c r="I1270" s="4" t="n">
        <v>14</v>
      </c>
      <c r="J1270" s="4" t="n">
        <v>0</v>
      </c>
      <c r="K1270" s="4" t="n">
        <v>0</v>
      </c>
      <c r="L1270" s="11" t="b">
        <f aca="false">FALSE()</f>
        <v>0</v>
      </c>
    </row>
    <row r="1271" customFormat="false" ht="15" hidden="false" customHeight="false" outlineLevel="0" collapsed="false">
      <c r="A1271" s="4" t="s">
        <v>1478</v>
      </c>
      <c r="B1271" s="4" t="s">
        <v>101</v>
      </c>
      <c r="C1271" s="4" t="s">
        <v>205</v>
      </c>
      <c r="D1271" s="4" t="s">
        <v>206</v>
      </c>
      <c r="E1271" s="4" t="n">
        <v>46298.0875115741</v>
      </c>
      <c r="F1271" s="4" t="n">
        <v>15</v>
      </c>
      <c r="G1271" s="4" t="n">
        <v>15</v>
      </c>
      <c r="H1271" s="4" t="n">
        <v>12</v>
      </c>
      <c r="I1271" s="4" t="n">
        <v>2</v>
      </c>
      <c r="J1271" s="4" t="n">
        <v>1</v>
      </c>
      <c r="K1271" s="4" t="n">
        <v>0</v>
      </c>
      <c r="L1271" s="11" t="b">
        <f aca="false">FALSE()</f>
        <v>0</v>
      </c>
    </row>
    <row r="1272" customFormat="false" ht="15" hidden="false" customHeight="false" outlineLevel="0" collapsed="false">
      <c r="A1272" s="4" t="s">
        <v>1479</v>
      </c>
      <c r="B1272" s="4" t="s">
        <v>103</v>
      </c>
      <c r="C1272" s="4" t="s">
        <v>205</v>
      </c>
      <c r="D1272" s="4" t="s">
        <v>206</v>
      </c>
      <c r="E1272" s="4" t="n">
        <v>46298.1303240741</v>
      </c>
      <c r="F1272" s="4" t="n">
        <v>10</v>
      </c>
      <c r="G1272" s="4" t="n">
        <v>10</v>
      </c>
      <c r="H1272" s="4" t="n">
        <v>8</v>
      </c>
      <c r="I1272" s="4" t="n">
        <v>2</v>
      </c>
      <c r="J1272" s="4" t="n">
        <v>0</v>
      </c>
      <c r="K1272" s="4" t="n">
        <v>0</v>
      </c>
      <c r="L1272" s="11" t="b">
        <f aca="false">FALSE()</f>
        <v>0</v>
      </c>
    </row>
    <row r="1273" customFormat="false" ht="15" hidden="false" customHeight="false" outlineLevel="0" collapsed="false">
      <c r="A1273" s="4" t="s">
        <v>1480</v>
      </c>
      <c r="B1273" s="4" t="s">
        <v>100</v>
      </c>
      <c r="C1273" s="4" t="s">
        <v>205</v>
      </c>
      <c r="D1273" s="4" t="s">
        <v>206</v>
      </c>
      <c r="E1273" s="4" t="n">
        <v>46298.1699189815</v>
      </c>
      <c r="F1273" s="4" t="n">
        <v>14</v>
      </c>
      <c r="G1273" s="4" t="n">
        <v>14</v>
      </c>
      <c r="H1273" s="4" t="n">
        <v>12</v>
      </c>
      <c r="I1273" s="4" t="n">
        <v>2</v>
      </c>
      <c r="J1273" s="4" t="n">
        <v>0</v>
      </c>
      <c r="K1273" s="4" t="n">
        <v>0</v>
      </c>
      <c r="L1273" s="11" t="b">
        <f aca="false">FALSE()</f>
        <v>0</v>
      </c>
    </row>
    <row r="1274" customFormat="false" ht="15" hidden="false" customHeight="false" outlineLevel="0" collapsed="false">
      <c r="A1274" s="4" t="s">
        <v>1481</v>
      </c>
      <c r="B1274" s="4" t="s">
        <v>99</v>
      </c>
      <c r="C1274" s="4" t="s">
        <v>205</v>
      </c>
      <c r="D1274" s="4" t="s">
        <v>206</v>
      </c>
      <c r="E1274" s="4" t="n">
        <v>46298.2136689815</v>
      </c>
      <c r="F1274" s="4" t="n">
        <v>37</v>
      </c>
      <c r="G1274" s="4" t="n">
        <v>37</v>
      </c>
      <c r="H1274" s="4" t="n">
        <v>34</v>
      </c>
      <c r="I1274" s="4" t="n">
        <v>3</v>
      </c>
      <c r="J1274" s="4" t="n">
        <v>0</v>
      </c>
      <c r="K1274" s="4" t="n">
        <v>0</v>
      </c>
      <c r="L1274" s="11" t="b">
        <f aca="false">FALSE()</f>
        <v>0</v>
      </c>
    </row>
    <row r="1275" customFormat="false" ht="15" hidden="false" customHeight="false" outlineLevel="0" collapsed="false">
      <c r="A1275" s="4" t="s">
        <v>1482</v>
      </c>
      <c r="B1275" s="4" t="s">
        <v>101</v>
      </c>
      <c r="C1275" s="4" t="s">
        <v>205</v>
      </c>
      <c r="D1275" s="4" t="s">
        <v>206</v>
      </c>
      <c r="E1275" s="4" t="n">
        <v>46298.253587963</v>
      </c>
      <c r="F1275" s="4" t="n">
        <v>10</v>
      </c>
      <c r="G1275" s="4" t="n">
        <v>10</v>
      </c>
      <c r="H1275" s="4" t="n">
        <v>8</v>
      </c>
      <c r="I1275" s="4" t="n">
        <v>2</v>
      </c>
      <c r="J1275" s="4" t="n">
        <v>0</v>
      </c>
      <c r="K1275" s="4" t="n">
        <v>0</v>
      </c>
      <c r="L1275" s="11" t="b">
        <f aca="false">FALSE()</f>
        <v>0</v>
      </c>
    </row>
    <row r="1276" customFormat="false" ht="15" hidden="false" customHeight="false" outlineLevel="0" collapsed="false">
      <c r="A1276" s="4" t="s">
        <v>1483</v>
      </c>
      <c r="B1276" s="4" t="s">
        <v>104</v>
      </c>
      <c r="C1276" s="4" t="s">
        <v>205</v>
      </c>
      <c r="D1276" s="4" t="s">
        <v>206</v>
      </c>
      <c r="E1276" s="4" t="n">
        <v>46298.2565393519</v>
      </c>
      <c r="F1276" s="4" t="n">
        <v>11</v>
      </c>
      <c r="G1276" s="4" t="n">
        <v>11</v>
      </c>
      <c r="H1276" s="4" t="n">
        <v>8</v>
      </c>
      <c r="I1276" s="4" t="n">
        <v>3</v>
      </c>
      <c r="J1276" s="4" t="n">
        <v>0</v>
      </c>
      <c r="K1276" s="4" t="n">
        <v>0</v>
      </c>
      <c r="L1276" s="11" t="b">
        <f aca="false">FALSE()</f>
        <v>0</v>
      </c>
    </row>
    <row r="1277" customFormat="false" ht="15" hidden="false" customHeight="false" outlineLevel="0" collapsed="false">
      <c r="A1277" s="4" t="s">
        <v>1484</v>
      </c>
      <c r="B1277" s="4" t="s">
        <v>102</v>
      </c>
      <c r="C1277" s="4" t="s">
        <v>205</v>
      </c>
      <c r="D1277" s="4" t="s">
        <v>206</v>
      </c>
      <c r="E1277" s="4" t="n">
        <v>46298.2957407407</v>
      </c>
      <c r="F1277" s="4" t="n">
        <v>14</v>
      </c>
      <c r="G1277" s="4" t="n">
        <v>14</v>
      </c>
      <c r="H1277" s="4" t="n">
        <v>0</v>
      </c>
      <c r="I1277" s="4" t="n">
        <v>14</v>
      </c>
      <c r="J1277" s="4" t="n">
        <v>0</v>
      </c>
      <c r="K1277" s="4" t="n">
        <v>0</v>
      </c>
      <c r="L1277" s="11" t="b">
        <f aca="false">FALSE()</f>
        <v>0</v>
      </c>
    </row>
    <row r="1278" customFormat="false" ht="15" hidden="false" customHeight="false" outlineLevel="0" collapsed="false">
      <c r="A1278" s="4" t="s">
        <v>1485</v>
      </c>
      <c r="B1278" s="4" t="s">
        <v>100</v>
      </c>
      <c r="C1278" s="4" t="s">
        <v>205</v>
      </c>
      <c r="D1278" s="4" t="s">
        <v>206</v>
      </c>
      <c r="E1278" s="4" t="n">
        <v>46298.3357291667</v>
      </c>
      <c r="F1278" s="4" t="n">
        <v>26</v>
      </c>
      <c r="G1278" s="4" t="n">
        <v>26</v>
      </c>
      <c r="H1278" s="4" t="n">
        <v>25</v>
      </c>
      <c r="I1278" s="4" t="n">
        <v>1</v>
      </c>
      <c r="J1278" s="4" t="n">
        <v>0</v>
      </c>
      <c r="K1278" s="4" t="n">
        <v>0</v>
      </c>
      <c r="L1278" s="11" t="b">
        <f aca="false">FALSE()</f>
        <v>0</v>
      </c>
    </row>
    <row r="1279" customFormat="false" ht="15" hidden="false" customHeight="false" outlineLevel="0" collapsed="false">
      <c r="A1279" s="4" t="s">
        <v>1486</v>
      </c>
      <c r="B1279" s="4" t="s">
        <v>103</v>
      </c>
      <c r="C1279" s="4" t="s">
        <v>205</v>
      </c>
      <c r="D1279" s="4" t="s">
        <v>206</v>
      </c>
      <c r="E1279" s="4" t="n">
        <v>46298.3831018519</v>
      </c>
      <c r="F1279" s="4" t="n">
        <v>13</v>
      </c>
      <c r="G1279" s="4" t="n">
        <v>13</v>
      </c>
      <c r="H1279" s="4" t="n">
        <v>11</v>
      </c>
      <c r="I1279" s="4" t="n">
        <v>1</v>
      </c>
      <c r="J1279" s="4" t="n">
        <v>0</v>
      </c>
      <c r="K1279" s="4" t="n">
        <v>1</v>
      </c>
      <c r="L1279" s="11" t="b">
        <f aca="false">FALSE()</f>
        <v>0</v>
      </c>
    </row>
    <row r="1280" customFormat="false" ht="15" hidden="false" customHeight="false" outlineLevel="0" collapsed="false">
      <c r="A1280" s="4" t="s">
        <v>1487</v>
      </c>
      <c r="B1280" s="4" t="s">
        <v>101</v>
      </c>
      <c r="C1280" s="4" t="s">
        <v>205</v>
      </c>
      <c r="D1280" s="4" t="s">
        <v>206</v>
      </c>
      <c r="E1280" s="4" t="n">
        <v>46298.4199189815</v>
      </c>
      <c r="F1280" s="4" t="n">
        <v>31</v>
      </c>
      <c r="G1280" s="4" t="n">
        <v>31</v>
      </c>
      <c r="H1280" s="4" t="n">
        <v>30</v>
      </c>
      <c r="I1280" s="4" t="n">
        <v>1</v>
      </c>
      <c r="J1280" s="4" t="n">
        <v>0</v>
      </c>
      <c r="K1280" s="4" t="n">
        <v>0</v>
      </c>
      <c r="L1280" s="11" t="b">
        <f aca="false">FALSE()</f>
        <v>0</v>
      </c>
    </row>
    <row r="1281" customFormat="false" ht="15" hidden="false" customHeight="false" outlineLevel="0" collapsed="false">
      <c r="A1281" s="4" t="s">
        <v>1488</v>
      </c>
      <c r="B1281" s="4" t="s">
        <v>100</v>
      </c>
      <c r="C1281" s="4" t="s">
        <v>205</v>
      </c>
      <c r="D1281" s="4" t="s">
        <v>206</v>
      </c>
      <c r="E1281" s="4" t="n">
        <v>46298.5025</v>
      </c>
      <c r="F1281" s="4" t="n">
        <v>58</v>
      </c>
      <c r="G1281" s="4" t="n">
        <v>58</v>
      </c>
      <c r="H1281" s="4" t="n">
        <v>58</v>
      </c>
      <c r="I1281" s="4" t="n">
        <v>0</v>
      </c>
      <c r="J1281" s="4" t="n">
        <v>0</v>
      </c>
      <c r="K1281" s="4" t="n">
        <v>0</v>
      </c>
      <c r="L1281" s="11" t="b">
        <f aca="false">FALSE()</f>
        <v>0</v>
      </c>
    </row>
    <row r="1282" customFormat="false" ht="15" hidden="false" customHeight="false" outlineLevel="0" collapsed="false">
      <c r="A1282" s="4" t="s">
        <v>1489</v>
      </c>
      <c r="B1282" s="4" t="s">
        <v>102</v>
      </c>
      <c r="C1282" s="4" t="s">
        <v>205</v>
      </c>
      <c r="D1282" s="4" t="s">
        <v>206</v>
      </c>
      <c r="E1282" s="4" t="n">
        <v>46298.5452083333</v>
      </c>
      <c r="F1282" s="4" t="n">
        <v>14</v>
      </c>
      <c r="G1282" s="4" t="n">
        <v>14</v>
      </c>
      <c r="H1282" s="4" t="n">
        <v>0</v>
      </c>
      <c r="I1282" s="4" t="n">
        <v>14</v>
      </c>
      <c r="J1282" s="4" t="n">
        <v>0</v>
      </c>
      <c r="K1282" s="4" t="n">
        <v>0</v>
      </c>
      <c r="L1282" s="11" t="b">
        <f aca="false">FALSE()</f>
        <v>0</v>
      </c>
    </row>
    <row r="1283" customFormat="false" ht="15" hidden="false" customHeight="false" outlineLevel="0" collapsed="false">
      <c r="A1283" s="4" t="s">
        <v>1490</v>
      </c>
      <c r="B1283" s="4" t="s">
        <v>101</v>
      </c>
      <c r="C1283" s="4" t="s">
        <v>205</v>
      </c>
      <c r="D1283" s="4" t="s">
        <v>206</v>
      </c>
      <c r="E1283" s="4" t="n">
        <v>46298.5866203704</v>
      </c>
      <c r="F1283" s="4" t="n">
        <v>43</v>
      </c>
      <c r="G1283" s="4" t="n">
        <v>43</v>
      </c>
      <c r="H1283" s="4" t="n">
        <v>40</v>
      </c>
      <c r="I1283" s="4" t="n">
        <v>3</v>
      </c>
      <c r="J1283" s="4" t="n">
        <v>0</v>
      </c>
      <c r="K1283" s="4" t="n">
        <v>0</v>
      </c>
      <c r="L1283" s="11" t="b">
        <f aca="false">FALSE()</f>
        <v>0</v>
      </c>
    </row>
    <row r="1284" customFormat="false" ht="15" hidden="false" customHeight="false" outlineLevel="0" collapsed="false">
      <c r="A1284" s="4" t="s">
        <v>1491</v>
      </c>
      <c r="B1284" s="4" t="s">
        <v>103</v>
      </c>
      <c r="C1284" s="4" t="s">
        <v>205</v>
      </c>
      <c r="D1284" s="4" t="s">
        <v>206</v>
      </c>
      <c r="E1284" s="4" t="n">
        <v>46298.6291782407</v>
      </c>
      <c r="F1284" s="4" t="n">
        <v>21</v>
      </c>
      <c r="G1284" s="4" t="n">
        <v>21</v>
      </c>
      <c r="H1284" s="4" t="n">
        <v>21</v>
      </c>
      <c r="I1284" s="4" t="n">
        <v>0</v>
      </c>
      <c r="J1284" s="4" t="n">
        <v>0</v>
      </c>
      <c r="K1284" s="4" t="n">
        <v>0</v>
      </c>
      <c r="L1284" s="11" t="b">
        <f aca="false">FALSE()</f>
        <v>0</v>
      </c>
    </row>
    <row r="1285" customFormat="false" ht="15" hidden="false" customHeight="false" outlineLevel="0" collapsed="false">
      <c r="A1285" s="4" t="s">
        <v>1492</v>
      </c>
      <c r="B1285" s="4" t="s">
        <v>100</v>
      </c>
      <c r="C1285" s="4" t="s">
        <v>205</v>
      </c>
      <c r="D1285" s="4" t="s">
        <v>206</v>
      </c>
      <c r="E1285" s="4" t="n">
        <v>46298.6704166667</v>
      </c>
      <c r="F1285" s="4" t="n">
        <v>67</v>
      </c>
      <c r="G1285" s="4" t="n">
        <v>67</v>
      </c>
      <c r="H1285" s="4" t="n">
        <v>67</v>
      </c>
      <c r="I1285" s="4" t="n">
        <v>0</v>
      </c>
      <c r="J1285" s="4" t="n">
        <v>0</v>
      </c>
      <c r="K1285" s="4" t="n">
        <v>0</v>
      </c>
      <c r="L1285" s="11" t="b">
        <f aca="false">FALSE()</f>
        <v>0</v>
      </c>
    </row>
    <row r="1286" customFormat="false" ht="15" hidden="false" customHeight="false" outlineLevel="0" collapsed="false">
      <c r="A1286" s="4" t="s">
        <v>1493</v>
      </c>
      <c r="B1286" s="4" t="s">
        <v>101</v>
      </c>
      <c r="C1286" s="4" t="s">
        <v>205</v>
      </c>
      <c r="D1286" s="4" t="s">
        <v>206</v>
      </c>
      <c r="E1286" s="4" t="n">
        <v>46298.7528935185</v>
      </c>
      <c r="F1286" s="4" t="n">
        <v>39</v>
      </c>
      <c r="G1286" s="4" t="n">
        <v>39</v>
      </c>
      <c r="H1286" s="4" t="n">
        <v>37</v>
      </c>
      <c r="I1286" s="4" t="n">
        <v>0</v>
      </c>
      <c r="J1286" s="4" t="n">
        <v>2</v>
      </c>
      <c r="K1286" s="4" t="n">
        <v>0</v>
      </c>
      <c r="L1286" s="11" t="b">
        <f aca="false">FALSE()</f>
        <v>0</v>
      </c>
    </row>
    <row r="1287" customFormat="false" ht="15" hidden="false" customHeight="false" outlineLevel="0" collapsed="false">
      <c r="A1287" s="4" t="s">
        <v>1494</v>
      </c>
      <c r="B1287" s="4" t="s">
        <v>104</v>
      </c>
      <c r="C1287" s="4" t="s">
        <v>205</v>
      </c>
      <c r="D1287" s="4" t="s">
        <v>206</v>
      </c>
      <c r="E1287" s="4" t="n">
        <v>46298.7558333333</v>
      </c>
      <c r="F1287" s="4" t="n">
        <v>20</v>
      </c>
      <c r="G1287" s="4" t="n">
        <v>20</v>
      </c>
      <c r="H1287" s="4" t="n">
        <v>18</v>
      </c>
      <c r="I1287" s="4" t="n">
        <v>2</v>
      </c>
      <c r="J1287" s="4" t="n">
        <v>0</v>
      </c>
      <c r="K1287" s="4" t="n">
        <v>0</v>
      </c>
      <c r="L1287" s="11" t="b">
        <f aca="false">FALSE()</f>
        <v>0</v>
      </c>
    </row>
    <row r="1288" customFormat="false" ht="15" hidden="false" customHeight="false" outlineLevel="0" collapsed="false">
      <c r="A1288" s="4" t="s">
        <v>1495</v>
      </c>
      <c r="B1288" s="4" t="s">
        <v>102</v>
      </c>
      <c r="C1288" s="4" t="s">
        <v>205</v>
      </c>
      <c r="D1288" s="4" t="s">
        <v>206</v>
      </c>
      <c r="E1288" s="4" t="n">
        <v>46298.7967592593</v>
      </c>
      <c r="F1288" s="4" t="n">
        <v>14</v>
      </c>
      <c r="G1288" s="4" t="n">
        <v>14</v>
      </c>
      <c r="H1288" s="4" t="n">
        <v>0</v>
      </c>
      <c r="I1288" s="4" t="n">
        <v>14</v>
      </c>
      <c r="J1288" s="4" t="n">
        <v>0</v>
      </c>
      <c r="K1288" s="4" t="n">
        <v>0</v>
      </c>
      <c r="L1288" s="11" t="b">
        <f aca="false">FALSE()</f>
        <v>0</v>
      </c>
    </row>
    <row r="1289" customFormat="false" ht="15" hidden="false" customHeight="false" outlineLevel="0" collapsed="false">
      <c r="A1289" s="4" t="s">
        <v>1496</v>
      </c>
      <c r="B1289" s="4" t="s">
        <v>100</v>
      </c>
      <c r="C1289" s="4" t="s">
        <v>205</v>
      </c>
      <c r="D1289" s="4" t="s">
        <v>206</v>
      </c>
      <c r="E1289" s="4" t="n">
        <v>46298.835625</v>
      </c>
      <c r="F1289" s="4" t="n">
        <v>61</v>
      </c>
      <c r="G1289" s="4" t="n">
        <v>61</v>
      </c>
      <c r="H1289" s="4" t="n">
        <v>60</v>
      </c>
      <c r="I1289" s="4" t="n">
        <v>1</v>
      </c>
      <c r="J1289" s="4" t="n">
        <v>0</v>
      </c>
      <c r="K1289" s="4" t="n">
        <v>0</v>
      </c>
      <c r="L1289" s="11" t="b">
        <f aca="false">FALSE()</f>
        <v>0</v>
      </c>
    </row>
    <row r="1290" customFormat="false" ht="15" hidden="false" customHeight="false" outlineLevel="0" collapsed="false">
      <c r="A1290" s="4" t="s">
        <v>1497</v>
      </c>
      <c r="B1290" s="4" t="s">
        <v>103</v>
      </c>
      <c r="C1290" s="4" t="s">
        <v>205</v>
      </c>
      <c r="D1290" s="4" t="s">
        <v>206</v>
      </c>
      <c r="E1290" s="4" t="n">
        <v>46298.8797337963</v>
      </c>
      <c r="F1290" s="4" t="n">
        <v>28</v>
      </c>
      <c r="G1290" s="4" t="n">
        <v>28</v>
      </c>
      <c r="H1290" s="4" t="n">
        <v>25</v>
      </c>
      <c r="I1290" s="4" t="n">
        <v>3</v>
      </c>
      <c r="J1290" s="4" t="n">
        <v>0</v>
      </c>
      <c r="K1290" s="4" t="n">
        <v>0</v>
      </c>
      <c r="L1290" s="11" t="b">
        <f aca="false">FALSE()</f>
        <v>0</v>
      </c>
    </row>
    <row r="1291" customFormat="false" ht="15" hidden="false" customHeight="false" outlineLevel="0" collapsed="false">
      <c r="A1291" s="4" t="s">
        <v>1498</v>
      </c>
      <c r="B1291" s="4" t="s">
        <v>101</v>
      </c>
      <c r="C1291" s="4" t="s">
        <v>205</v>
      </c>
      <c r="D1291" s="4" t="s">
        <v>206</v>
      </c>
      <c r="E1291" s="4" t="n">
        <v>46298.9197916667</v>
      </c>
      <c r="F1291" s="4" t="n">
        <v>37</v>
      </c>
      <c r="G1291" s="4" t="n">
        <v>37</v>
      </c>
      <c r="H1291" s="4" t="n">
        <v>33</v>
      </c>
      <c r="I1291" s="4" t="n">
        <v>3</v>
      </c>
      <c r="J1291" s="4" t="n">
        <v>1</v>
      </c>
      <c r="K1291" s="4" t="n">
        <v>0</v>
      </c>
      <c r="L1291" s="11" t="b">
        <f aca="false">FALSE()</f>
        <v>0</v>
      </c>
    </row>
    <row r="1292" customFormat="false" ht="15" hidden="false" customHeight="false" outlineLevel="0" collapsed="false">
      <c r="A1292" s="4" t="s">
        <v>1499</v>
      </c>
      <c r="B1292" s="4" t="s">
        <v>100</v>
      </c>
      <c r="C1292" s="4" t="s">
        <v>205</v>
      </c>
      <c r="D1292" s="4" t="s">
        <v>206</v>
      </c>
      <c r="E1292" s="4" t="n">
        <v>46299.0036689815</v>
      </c>
      <c r="F1292" s="4" t="n">
        <v>34</v>
      </c>
      <c r="G1292" s="4" t="n">
        <v>34</v>
      </c>
      <c r="H1292" s="4" t="n">
        <v>32</v>
      </c>
      <c r="I1292" s="4" t="n">
        <v>1</v>
      </c>
      <c r="J1292" s="4" t="n">
        <v>1</v>
      </c>
      <c r="K1292" s="4" t="n">
        <v>0</v>
      </c>
      <c r="L1292" s="11" t="b">
        <f aca="false">FALSE()</f>
        <v>0</v>
      </c>
    </row>
    <row r="1293" customFormat="false" ht="15" hidden="false" customHeight="false" outlineLevel="0" collapsed="false">
      <c r="A1293" s="4" t="s">
        <v>1500</v>
      </c>
      <c r="B1293" s="4" t="s">
        <v>102</v>
      </c>
      <c r="C1293" s="4" t="s">
        <v>205</v>
      </c>
      <c r="D1293" s="4" t="s">
        <v>206</v>
      </c>
      <c r="E1293" s="4" t="n">
        <v>46299.046412037</v>
      </c>
      <c r="F1293" s="4" t="n">
        <v>14</v>
      </c>
      <c r="G1293" s="4" t="n">
        <v>14</v>
      </c>
      <c r="H1293" s="4" t="n">
        <v>0</v>
      </c>
      <c r="I1293" s="4" t="n">
        <v>14</v>
      </c>
      <c r="J1293" s="4" t="n">
        <v>0</v>
      </c>
      <c r="K1293" s="4" t="n">
        <v>0</v>
      </c>
      <c r="L1293" s="11" t="b">
        <f aca="false">FALSE()</f>
        <v>0</v>
      </c>
    </row>
    <row r="1294" customFormat="false" ht="15" hidden="false" customHeight="false" outlineLevel="0" collapsed="false">
      <c r="A1294" s="4" t="s">
        <v>1501</v>
      </c>
      <c r="B1294" s="4" t="s">
        <v>101</v>
      </c>
      <c r="C1294" s="4" t="s">
        <v>205</v>
      </c>
      <c r="D1294" s="4" t="s">
        <v>206</v>
      </c>
      <c r="E1294" s="4" t="n">
        <v>46299.0875</v>
      </c>
      <c r="F1294" s="4" t="n">
        <v>15</v>
      </c>
      <c r="G1294" s="4" t="n">
        <v>15</v>
      </c>
      <c r="H1294" s="4" t="n">
        <v>13</v>
      </c>
      <c r="I1294" s="4" t="n">
        <v>2</v>
      </c>
      <c r="J1294" s="4" t="n">
        <v>0</v>
      </c>
      <c r="K1294" s="4" t="n">
        <v>0</v>
      </c>
      <c r="L1294" s="11" t="b">
        <f aca="false">FALSE()</f>
        <v>0</v>
      </c>
    </row>
    <row r="1295" customFormat="false" ht="15" hidden="false" customHeight="false" outlineLevel="0" collapsed="false">
      <c r="A1295" s="4" t="s">
        <v>1502</v>
      </c>
      <c r="B1295" s="4" t="s">
        <v>103</v>
      </c>
      <c r="C1295" s="4" t="s">
        <v>205</v>
      </c>
      <c r="D1295" s="4" t="s">
        <v>206</v>
      </c>
      <c r="E1295" s="4" t="n">
        <v>46299.1299652778</v>
      </c>
      <c r="F1295" s="4" t="n">
        <v>12</v>
      </c>
      <c r="G1295" s="4" t="n">
        <v>12</v>
      </c>
      <c r="H1295" s="4" t="n">
        <v>9</v>
      </c>
      <c r="I1295" s="4" t="n">
        <v>2</v>
      </c>
      <c r="J1295" s="4" t="n">
        <v>0</v>
      </c>
      <c r="K1295" s="4" t="n">
        <v>1</v>
      </c>
      <c r="L1295" s="11" t="b">
        <f aca="false">FALSE()</f>
        <v>0</v>
      </c>
    </row>
    <row r="1296" customFormat="false" ht="15" hidden="false" customHeight="false" outlineLevel="0" collapsed="false">
      <c r="A1296" s="4" t="s">
        <v>1503</v>
      </c>
      <c r="B1296" s="4" t="s">
        <v>100</v>
      </c>
      <c r="C1296" s="4" t="s">
        <v>205</v>
      </c>
      <c r="D1296" s="4" t="s">
        <v>206</v>
      </c>
      <c r="E1296" s="4" t="n">
        <v>46299.1690277778</v>
      </c>
      <c r="F1296" s="4" t="n">
        <v>11</v>
      </c>
      <c r="G1296" s="4" t="n">
        <v>11</v>
      </c>
      <c r="H1296" s="4" t="n">
        <v>11</v>
      </c>
      <c r="I1296" s="4" t="n">
        <v>0</v>
      </c>
      <c r="J1296" s="4" t="n">
        <v>0</v>
      </c>
      <c r="K1296" s="4" t="n">
        <v>0</v>
      </c>
      <c r="L1296" s="11" t="b">
        <f aca="false">FALSE()</f>
        <v>0</v>
      </c>
    </row>
    <row r="1297" customFormat="false" ht="15" hidden="false" customHeight="false" outlineLevel="0" collapsed="false">
      <c r="A1297" s="4" t="s">
        <v>1504</v>
      </c>
      <c r="B1297" s="4" t="s">
        <v>99</v>
      </c>
      <c r="C1297" s="4" t="s">
        <v>205</v>
      </c>
      <c r="D1297" s="4" t="s">
        <v>206</v>
      </c>
      <c r="E1297" s="4" t="n">
        <v>46299.2146875</v>
      </c>
      <c r="F1297" s="4" t="n">
        <v>26</v>
      </c>
      <c r="G1297" s="4" t="n">
        <v>26</v>
      </c>
      <c r="H1297" s="4" t="n">
        <v>24</v>
      </c>
      <c r="I1297" s="4" t="n">
        <v>2</v>
      </c>
      <c r="J1297" s="4" t="n">
        <v>0</v>
      </c>
      <c r="K1297" s="4" t="n">
        <v>0</v>
      </c>
      <c r="L1297" s="11" t="b">
        <f aca="false">FALSE()</f>
        <v>0</v>
      </c>
    </row>
    <row r="1298" customFormat="false" ht="15" hidden="false" customHeight="false" outlineLevel="0" collapsed="false">
      <c r="A1298" s="4" t="s">
        <v>1505</v>
      </c>
      <c r="B1298" s="4" t="s">
        <v>101</v>
      </c>
      <c r="C1298" s="4" t="s">
        <v>205</v>
      </c>
      <c r="D1298" s="4" t="s">
        <v>206</v>
      </c>
      <c r="E1298" s="4" t="n">
        <v>46299.2531712963</v>
      </c>
      <c r="F1298" s="4" t="n">
        <v>9</v>
      </c>
      <c r="G1298" s="4" t="n">
        <v>9</v>
      </c>
      <c r="H1298" s="4" t="n">
        <v>8</v>
      </c>
      <c r="I1298" s="4" t="n">
        <v>1</v>
      </c>
      <c r="J1298" s="4" t="n">
        <v>0</v>
      </c>
      <c r="K1298" s="4" t="n">
        <v>0</v>
      </c>
      <c r="L1298" s="11" t="b">
        <f aca="false">FALSE()</f>
        <v>0</v>
      </c>
    </row>
    <row r="1299" customFormat="false" ht="15" hidden="false" customHeight="false" outlineLevel="0" collapsed="false">
      <c r="A1299" s="4" t="s">
        <v>1506</v>
      </c>
      <c r="B1299" s="4" t="s">
        <v>104</v>
      </c>
      <c r="C1299" s="4" t="s">
        <v>205</v>
      </c>
      <c r="D1299" s="4" t="s">
        <v>206</v>
      </c>
      <c r="E1299" s="4" t="n">
        <v>46299.2559490741</v>
      </c>
      <c r="F1299" s="4" t="n">
        <v>8</v>
      </c>
      <c r="G1299" s="4" t="n">
        <v>8</v>
      </c>
      <c r="H1299" s="4" t="n">
        <v>8</v>
      </c>
      <c r="I1299" s="4" t="n">
        <v>0</v>
      </c>
      <c r="J1299" s="4" t="n">
        <v>0</v>
      </c>
      <c r="K1299" s="4" t="n">
        <v>0</v>
      </c>
      <c r="L1299" s="11" t="b">
        <f aca="false">FALSE()</f>
        <v>0</v>
      </c>
    </row>
    <row r="1300" customFormat="false" ht="15" hidden="false" customHeight="false" outlineLevel="0" collapsed="false">
      <c r="A1300" s="4" t="s">
        <v>1507</v>
      </c>
      <c r="B1300" s="4" t="s">
        <v>102</v>
      </c>
      <c r="C1300" s="4" t="s">
        <v>205</v>
      </c>
      <c r="D1300" s="4" t="s">
        <v>206</v>
      </c>
      <c r="E1300" s="4" t="n">
        <v>46299.2955787037</v>
      </c>
      <c r="F1300" s="4" t="n">
        <v>14</v>
      </c>
      <c r="G1300" s="4" t="n">
        <v>14</v>
      </c>
      <c r="H1300" s="4" t="n">
        <v>0</v>
      </c>
      <c r="I1300" s="4" t="n">
        <v>14</v>
      </c>
      <c r="J1300" s="4" t="n">
        <v>0</v>
      </c>
      <c r="K1300" s="4" t="n">
        <v>0</v>
      </c>
      <c r="L1300" s="11" t="b">
        <f aca="false">FALSE()</f>
        <v>0</v>
      </c>
    </row>
    <row r="1301" customFormat="false" ht="15" hidden="false" customHeight="false" outlineLevel="0" collapsed="false">
      <c r="A1301" s="4" t="s">
        <v>1508</v>
      </c>
      <c r="B1301" s="4" t="s">
        <v>100</v>
      </c>
      <c r="C1301" s="4" t="s">
        <v>205</v>
      </c>
      <c r="D1301" s="4" t="s">
        <v>206</v>
      </c>
      <c r="E1301" s="4" t="n">
        <v>46299.3367476852</v>
      </c>
      <c r="F1301" s="4" t="n">
        <v>29</v>
      </c>
      <c r="G1301" s="4" t="n">
        <v>29</v>
      </c>
      <c r="H1301" s="4" t="n">
        <v>27</v>
      </c>
      <c r="I1301" s="4" t="n">
        <v>2</v>
      </c>
      <c r="J1301" s="4" t="n">
        <v>0</v>
      </c>
      <c r="K1301" s="4" t="n">
        <v>0</v>
      </c>
      <c r="L1301" s="11" t="b">
        <f aca="false">FALSE()</f>
        <v>0</v>
      </c>
    </row>
    <row r="1302" customFormat="false" ht="15" hidden="false" customHeight="false" outlineLevel="0" collapsed="false">
      <c r="A1302" s="4" t="s">
        <v>1509</v>
      </c>
      <c r="B1302" s="4" t="s">
        <v>103</v>
      </c>
      <c r="C1302" s="4" t="s">
        <v>205</v>
      </c>
      <c r="D1302" s="4" t="s">
        <v>206</v>
      </c>
      <c r="E1302" s="4" t="n">
        <v>46299.3803125</v>
      </c>
      <c r="F1302" s="4" t="n">
        <v>13</v>
      </c>
      <c r="G1302" s="4" t="n">
        <v>13</v>
      </c>
      <c r="H1302" s="4" t="n">
        <v>10</v>
      </c>
      <c r="I1302" s="4" t="n">
        <v>3</v>
      </c>
      <c r="J1302" s="4" t="n">
        <v>0</v>
      </c>
      <c r="K1302" s="4" t="n">
        <v>0</v>
      </c>
      <c r="L1302" s="11" t="b">
        <f aca="false">FALSE()</f>
        <v>0</v>
      </c>
    </row>
    <row r="1303" customFormat="false" ht="15" hidden="false" customHeight="false" outlineLevel="0" collapsed="false">
      <c r="A1303" s="4" t="s">
        <v>1510</v>
      </c>
      <c r="B1303" s="4" t="s">
        <v>101</v>
      </c>
      <c r="C1303" s="4" t="s">
        <v>205</v>
      </c>
      <c r="D1303" s="4" t="s">
        <v>206</v>
      </c>
      <c r="E1303" s="4" t="n">
        <v>46299.4200578704</v>
      </c>
      <c r="F1303" s="4" t="n">
        <v>31</v>
      </c>
      <c r="G1303" s="4" t="n">
        <v>31</v>
      </c>
      <c r="H1303" s="4" t="n">
        <v>30</v>
      </c>
      <c r="I1303" s="4" t="n">
        <v>1</v>
      </c>
      <c r="J1303" s="4" t="n">
        <v>0</v>
      </c>
      <c r="K1303" s="4" t="n">
        <v>0</v>
      </c>
      <c r="L1303" s="11" t="b">
        <f aca="false">FALSE()</f>
        <v>0</v>
      </c>
    </row>
    <row r="1304" customFormat="false" ht="15" hidden="false" customHeight="false" outlineLevel="0" collapsed="false">
      <c r="A1304" s="4" t="s">
        <v>1511</v>
      </c>
      <c r="B1304" s="4" t="s">
        <v>100</v>
      </c>
      <c r="C1304" s="4" t="s">
        <v>205</v>
      </c>
      <c r="D1304" s="4" t="s">
        <v>206</v>
      </c>
      <c r="E1304" s="4" t="n">
        <v>46299.5034143519</v>
      </c>
      <c r="F1304" s="4" t="n">
        <v>65</v>
      </c>
      <c r="G1304" s="4" t="n">
        <v>65</v>
      </c>
      <c r="H1304" s="4" t="n">
        <v>61</v>
      </c>
      <c r="I1304" s="4" t="n">
        <v>3</v>
      </c>
      <c r="J1304" s="4" t="n">
        <v>0</v>
      </c>
      <c r="K1304" s="4" t="n">
        <v>1</v>
      </c>
      <c r="L1304" s="11" t="b">
        <f aca="false">FALSE()</f>
        <v>0</v>
      </c>
    </row>
    <row r="1305" customFormat="false" ht="15" hidden="false" customHeight="false" outlineLevel="0" collapsed="false">
      <c r="A1305" s="4" t="s">
        <v>1512</v>
      </c>
      <c r="B1305" s="4" t="s">
        <v>102</v>
      </c>
      <c r="C1305" s="4" t="s">
        <v>205</v>
      </c>
      <c r="D1305" s="4" t="s">
        <v>206</v>
      </c>
      <c r="E1305" s="4" t="n">
        <v>46299.5459606482</v>
      </c>
      <c r="F1305" s="4" t="n">
        <v>14</v>
      </c>
      <c r="G1305" s="4" t="n">
        <v>14</v>
      </c>
      <c r="H1305" s="4" t="n">
        <v>0</v>
      </c>
      <c r="I1305" s="4" t="n">
        <v>14</v>
      </c>
      <c r="J1305" s="4" t="n">
        <v>0</v>
      </c>
      <c r="K1305" s="4" t="n">
        <v>0</v>
      </c>
      <c r="L1305" s="11" t="b">
        <f aca="false">FALSE()</f>
        <v>0</v>
      </c>
    </row>
    <row r="1306" customFormat="false" ht="15" hidden="false" customHeight="false" outlineLevel="0" collapsed="false">
      <c r="A1306" s="4" t="s">
        <v>1513</v>
      </c>
      <c r="B1306" s="4" t="s">
        <v>101</v>
      </c>
      <c r="C1306" s="4" t="s">
        <v>205</v>
      </c>
      <c r="D1306" s="4" t="s">
        <v>206</v>
      </c>
      <c r="E1306" s="4" t="n">
        <v>46299.5862152778</v>
      </c>
      <c r="F1306" s="4" t="n">
        <v>42</v>
      </c>
      <c r="G1306" s="4" t="n">
        <v>42</v>
      </c>
      <c r="H1306" s="4" t="n">
        <v>37</v>
      </c>
      <c r="I1306" s="4" t="n">
        <v>2</v>
      </c>
      <c r="J1306" s="4" t="n">
        <v>3</v>
      </c>
      <c r="K1306" s="4" t="n">
        <v>0</v>
      </c>
      <c r="L1306" s="11" t="b">
        <f aca="false">FALSE()</f>
        <v>0</v>
      </c>
    </row>
    <row r="1307" customFormat="false" ht="15" hidden="false" customHeight="false" outlineLevel="0" collapsed="false">
      <c r="A1307" s="4" t="s">
        <v>1514</v>
      </c>
      <c r="B1307" s="4" t="s">
        <v>103</v>
      </c>
      <c r="C1307" s="4" t="s">
        <v>205</v>
      </c>
      <c r="D1307" s="4" t="s">
        <v>206</v>
      </c>
      <c r="E1307" s="4" t="n">
        <v>46299.6305787037</v>
      </c>
      <c r="F1307" s="4" t="n">
        <v>28</v>
      </c>
      <c r="G1307" s="4" t="n">
        <v>28</v>
      </c>
      <c r="H1307" s="4" t="n">
        <v>28</v>
      </c>
      <c r="I1307" s="4" t="n">
        <v>0</v>
      </c>
      <c r="J1307" s="4" t="n">
        <v>0</v>
      </c>
      <c r="K1307" s="4" t="n">
        <v>0</v>
      </c>
      <c r="L1307" s="11" t="b">
        <f aca="false">FALSE()</f>
        <v>0</v>
      </c>
    </row>
    <row r="1308" customFormat="false" ht="15" hidden="false" customHeight="false" outlineLevel="0" collapsed="false">
      <c r="A1308" s="4" t="s">
        <v>1515</v>
      </c>
      <c r="B1308" s="4" t="s">
        <v>100</v>
      </c>
      <c r="C1308" s="4" t="s">
        <v>205</v>
      </c>
      <c r="D1308" s="4" t="s">
        <v>206</v>
      </c>
      <c r="E1308" s="4" t="n">
        <v>46299.6702199074</v>
      </c>
      <c r="F1308" s="4" t="n">
        <v>67</v>
      </c>
      <c r="G1308" s="4" t="n">
        <v>67</v>
      </c>
      <c r="H1308" s="4" t="n">
        <v>64</v>
      </c>
      <c r="I1308" s="4" t="n">
        <v>0</v>
      </c>
      <c r="J1308" s="4" t="n">
        <v>3</v>
      </c>
      <c r="K1308" s="4" t="n">
        <v>0</v>
      </c>
      <c r="L1308" s="11" t="b">
        <f aca="false">FALSE()</f>
        <v>0</v>
      </c>
    </row>
    <row r="1309" customFormat="false" ht="15" hidden="false" customHeight="false" outlineLevel="0" collapsed="false">
      <c r="A1309" s="4" t="s">
        <v>1516</v>
      </c>
      <c r="B1309" s="4" t="s">
        <v>101</v>
      </c>
      <c r="C1309" s="4" t="s">
        <v>205</v>
      </c>
      <c r="D1309" s="4" t="s">
        <v>206</v>
      </c>
      <c r="E1309" s="4" t="n">
        <v>46299.7539351852</v>
      </c>
      <c r="F1309" s="4" t="n">
        <v>43</v>
      </c>
      <c r="G1309" s="4" t="n">
        <v>43</v>
      </c>
      <c r="H1309" s="4" t="n">
        <v>39</v>
      </c>
      <c r="I1309" s="4" t="n">
        <v>3</v>
      </c>
      <c r="J1309" s="4" t="n">
        <v>1</v>
      </c>
      <c r="K1309" s="4" t="n">
        <v>0</v>
      </c>
      <c r="L1309" s="11" t="b">
        <f aca="false">FALSE()</f>
        <v>0</v>
      </c>
    </row>
    <row r="1310" customFormat="false" ht="15" hidden="false" customHeight="false" outlineLevel="0" collapsed="false">
      <c r="A1310" s="4" t="s">
        <v>1517</v>
      </c>
      <c r="B1310" s="4" t="s">
        <v>104</v>
      </c>
      <c r="C1310" s="4" t="s">
        <v>205</v>
      </c>
      <c r="D1310" s="4" t="s">
        <v>206</v>
      </c>
      <c r="E1310" s="4" t="n">
        <v>46299.7557407407</v>
      </c>
      <c r="F1310" s="4" t="n">
        <v>19</v>
      </c>
      <c r="G1310" s="4" t="n">
        <v>19</v>
      </c>
      <c r="H1310" s="4" t="n">
        <v>18</v>
      </c>
      <c r="I1310" s="4" t="n">
        <v>1</v>
      </c>
      <c r="J1310" s="4" t="n">
        <v>0</v>
      </c>
      <c r="K1310" s="4" t="n">
        <v>0</v>
      </c>
      <c r="L1310" s="11" t="b">
        <f aca="false">FALSE()</f>
        <v>0</v>
      </c>
    </row>
    <row r="1311" customFormat="false" ht="15" hidden="false" customHeight="false" outlineLevel="0" collapsed="false">
      <c r="A1311" s="4" t="s">
        <v>1518</v>
      </c>
      <c r="B1311" s="4" t="s">
        <v>102</v>
      </c>
      <c r="C1311" s="4" t="s">
        <v>205</v>
      </c>
      <c r="D1311" s="4" t="s">
        <v>206</v>
      </c>
      <c r="E1311" s="4" t="n">
        <v>46299.7968518519</v>
      </c>
      <c r="F1311" s="4" t="n">
        <v>14</v>
      </c>
      <c r="G1311" s="4" t="n">
        <v>14</v>
      </c>
      <c r="H1311" s="4" t="n">
        <v>0</v>
      </c>
      <c r="I1311" s="4" t="n">
        <v>14</v>
      </c>
      <c r="J1311" s="4" t="n">
        <v>0</v>
      </c>
      <c r="K1311" s="4" t="n">
        <v>0</v>
      </c>
      <c r="L1311" s="11" t="b">
        <f aca="false">TRUE()</f>
        <v>1</v>
      </c>
    </row>
    <row r="1312" customFormat="false" ht="15" hidden="false" customHeight="false" outlineLevel="0" collapsed="false">
      <c r="A1312" s="4" t="s">
        <v>1519</v>
      </c>
      <c r="B1312" s="4" t="s">
        <v>100</v>
      </c>
      <c r="C1312" s="4" t="s">
        <v>205</v>
      </c>
      <c r="D1312" s="4" t="s">
        <v>206</v>
      </c>
      <c r="E1312" s="4" t="n">
        <v>46299.8356944445</v>
      </c>
      <c r="F1312" s="4" t="n">
        <v>59</v>
      </c>
      <c r="G1312" s="4" t="n">
        <v>59</v>
      </c>
      <c r="H1312" s="4" t="n">
        <v>58</v>
      </c>
      <c r="I1312" s="4" t="n">
        <v>1</v>
      </c>
      <c r="J1312" s="4" t="n">
        <v>0</v>
      </c>
      <c r="K1312" s="4" t="n">
        <v>0</v>
      </c>
      <c r="L1312" s="11" t="b">
        <f aca="false">FALSE()</f>
        <v>0</v>
      </c>
    </row>
    <row r="1313" customFormat="false" ht="15" hidden="false" customHeight="false" outlineLevel="0" collapsed="false">
      <c r="A1313" s="4" t="s">
        <v>1520</v>
      </c>
      <c r="B1313" s="4" t="s">
        <v>103</v>
      </c>
      <c r="C1313" s="4" t="s">
        <v>205</v>
      </c>
      <c r="D1313" s="4" t="s">
        <v>206</v>
      </c>
      <c r="E1313" s="4" t="n">
        <v>46299.8802430556</v>
      </c>
      <c r="F1313" s="4" t="n">
        <v>23</v>
      </c>
      <c r="G1313" s="4" t="n">
        <v>23</v>
      </c>
      <c r="H1313" s="4" t="n">
        <v>22</v>
      </c>
      <c r="I1313" s="4" t="n">
        <v>1</v>
      </c>
      <c r="J1313" s="4" t="n">
        <v>0</v>
      </c>
      <c r="K1313" s="4" t="n">
        <v>0</v>
      </c>
      <c r="L1313" s="11" t="b">
        <f aca="false">FALSE()</f>
        <v>0</v>
      </c>
    </row>
    <row r="1314" customFormat="false" ht="15" hidden="false" customHeight="false" outlineLevel="0" collapsed="false">
      <c r="A1314" s="4" t="s">
        <v>1521</v>
      </c>
      <c r="B1314" s="4" t="s">
        <v>101</v>
      </c>
      <c r="C1314" s="4" t="s">
        <v>205</v>
      </c>
      <c r="D1314" s="4" t="s">
        <v>206</v>
      </c>
      <c r="E1314" s="4" t="n">
        <v>46299.9194675926</v>
      </c>
      <c r="F1314" s="4" t="n">
        <v>34</v>
      </c>
      <c r="G1314" s="4" t="n">
        <v>34</v>
      </c>
      <c r="H1314" s="4" t="n">
        <v>31</v>
      </c>
      <c r="I1314" s="4" t="n">
        <v>3</v>
      </c>
      <c r="J1314" s="4" t="n">
        <v>0</v>
      </c>
      <c r="K1314" s="4" t="n">
        <v>0</v>
      </c>
      <c r="L1314" s="11"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22"/>
  </cols>
  <sheetData>
    <row r="1" customFormat="false" ht="17.35" hidden="false" customHeight="false" outlineLevel="0" collapsed="false">
      <c r="A1" s="1" t="s">
        <v>1522</v>
      </c>
    </row>
    <row r="2" customFormat="false" ht="15" hidden="false" customHeight="false" outlineLevel="0" collapsed="false">
      <c r="A2" s="0" t="s">
        <v>1523</v>
      </c>
    </row>
    <row r="3" customFormat="false" ht="28.35" hidden="false" customHeight="false" outlineLevel="0" collapsed="false">
      <c r="A3" s="9" t="s">
        <v>198</v>
      </c>
      <c r="B3" s="9" t="s">
        <v>80</v>
      </c>
      <c r="C3" s="9" t="s">
        <v>1524</v>
      </c>
      <c r="D3" s="9" t="s">
        <v>1525</v>
      </c>
    </row>
    <row r="4" customFormat="false" ht="15" hidden="false" customHeight="false" outlineLevel="0" collapsed="false">
      <c r="A4" s="4" t="s">
        <v>210</v>
      </c>
      <c r="B4" s="4" t="s">
        <v>99</v>
      </c>
      <c r="C4" s="4" t="n">
        <v>46244.2169791667</v>
      </c>
      <c r="D4" s="4" t="n">
        <v>1</v>
      </c>
    </row>
    <row r="5" customFormat="false" ht="15" hidden="false" customHeight="false" outlineLevel="0" collapsed="false">
      <c r="A5" s="4" t="s">
        <v>233</v>
      </c>
      <c r="B5" s="4" t="s">
        <v>99</v>
      </c>
      <c r="C5" s="4" t="n">
        <v>46245.2181712963</v>
      </c>
      <c r="D5" s="4" t="n">
        <v>2</v>
      </c>
    </row>
    <row r="6" customFormat="false" ht="15" hidden="false" customHeight="false" outlineLevel="0" collapsed="false">
      <c r="A6" s="4" t="s">
        <v>256</v>
      </c>
      <c r="B6" s="4" t="s">
        <v>99</v>
      </c>
      <c r="C6" s="4" t="n">
        <v>46246.2171180556</v>
      </c>
      <c r="D6" s="4" t="n">
        <v>3</v>
      </c>
    </row>
    <row r="7" customFormat="false" ht="15" hidden="false" customHeight="false" outlineLevel="0" collapsed="false">
      <c r="A7" s="4" t="s">
        <v>279</v>
      </c>
      <c r="B7" s="4" t="s">
        <v>99</v>
      </c>
      <c r="C7" s="4" t="n">
        <v>46247.2176273148</v>
      </c>
      <c r="D7" s="4" t="n">
        <v>4</v>
      </c>
    </row>
    <row r="8" customFormat="false" ht="15" hidden="false" customHeight="false" outlineLevel="0" collapsed="false">
      <c r="A8" s="4" t="s">
        <v>302</v>
      </c>
      <c r="B8" s="4" t="s">
        <v>99</v>
      </c>
      <c r="C8" s="4" t="n">
        <v>46248.2181828704</v>
      </c>
      <c r="D8" s="4" t="n">
        <v>5</v>
      </c>
    </row>
    <row r="9" customFormat="false" ht="15" hidden="false" customHeight="false" outlineLevel="0" collapsed="false">
      <c r="A9" s="4" t="s">
        <v>325</v>
      </c>
      <c r="B9" s="4" t="s">
        <v>99</v>
      </c>
      <c r="C9" s="4" t="n">
        <v>46249.2202083333</v>
      </c>
      <c r="D9" s="4" t="n">
        <v>6</v>
      </c>
    </row>
    <row r="10" customFormat="false" ht="15" hidden="false" customHeight="false" outlineLevel="0" collapsed="false">
      <c r="A10" s="4" t="s">
        <v>348</v>
      </c>
      <c r="B10" s="4" t="s">
        <v>99</v>
      </c>
      <c r="C10" s="4" t="n">
        <v>46250.2195833333</v>
      </c>
      <c r="D10" s="4" t="n">
        <v>7</v>
      </c>
    </row>
    <row r="11" customFormat="false" ht="15" hidden="false" customHeight="false" outlineLevel="0" collapsed="false">
      <c r="A11" s="4" t="s">
        <v>374</v>
      </c>
      <c r="B11" s="4" t="s">
        <v>99</v>
      </c>
      <c r="C11" s="4" t="n">
        <v>46251.2177893519</v>
      </c>
      <c r="D11" s="4" t="n">
        <v>8</v>
      </c>
    </row>
    <row r="12" customFormat="false" ht="15" hidden="false" customHeight="false" outlineLevel="0" collapsed="false">
      <c r="A12" s="4" t="s">
        <v>397</v>
      </c>
      <c r="B12" s="4" t="s">
        <v>99</v>
      </c>
      <c r="C12" s="4" t="n">
        <v>46252.2194097222</v>
      </c>
      <c r="D12" s="4" t="n">
        <v>9</v>
      </c>
    </row>
    <row r="13" customFormat="false" ht="15" hidden="false" customHeight="false" outlineLevel="0" collapsed="false">
      <c r="A13" s="4" t="s">
        <v>420</v>
      </c>
      <c r="B13" s="4" t="s">
        <v>99</v>
      </c>
      <c r="C13" s="4" t="n">
        <v>46253.2157986111</v>
      </c>
      <c r="D13" s="4" t="n">
        <v>10</v>
      </c>
    </row>
    <row r="14" customFormat="false" ht="15" hidden="false" customHeight="false" outlineLevel="0" collapsed="false">
      <c r="A14" s="4" t="s">
        <v>445</v>
      </c>
      <c r="B14" s="4" t="s">
        <v>99</v>
      </c>
      <c r="C14" s="4" t="n">
        <v>46254.2180671296</v>
      </c>
      <c r="D14" s="4" t="n">
        <v>11</v>
      </c>
    </row>
    <row r="15" customFormat="false" ht="15" hidden="false" customHeight="false" outlineLevel="0" collapsed="false">
      <c r="A15" s="4" t="s">
        <v>468</v>
      </c>
      <c r="B15" s="4" t="s">
        <v>99</v>
      </c>
      <c r="C15" s="4" t="n">
        <v>46255.2162384259</v>
      </c>
      <c r="D15" s="4" t="n">
        <v>12</v>
      </c>
    </row>
    <row r="16" customFormat="false" ht="15" hidden="false" customHeight="false" outlineLevel="0" collapsed="false">
      <c r="A16" s="4" t="s">
        <v>491</v>
      </c>
      <c r="B16" s="4" t="s">
        <v>99</v>
      </c>
      <c r="C16" s="4" t="n">
        <v>46256.2170138889</v>
      </c>
      <c r="D16" s="4" t="n">
        <v>13</v>
      </c>
    </row>
    <row r="17" customFormat="false" ht="15" hidden="false" customHeight="false" outlineLevel="0" collapsed="false">
      <c r="A17" s="4" t="s">
        <v>515</v>
      </c>
      <c r="B17" s="4" t="s">
        <v>99</v>
      </c>
      <c r="C17" s="4" t="n">
        <v>46257.2180902778</v>
      </c>
      <c r="D17" s="4" t="n">
        <v>14</v>
      </c>
    </row>
    <row r="18" customFormat="false" ht="15" hidden="false" customHeight="false" outlineLevel="0" collapsed="false">
      <c r="A18" s="4" t="s">
        <v>538</v>
      </c>
      <c r="B18" s="4" t="s">
        <v>99</v>
      </c>
      <c r="C18" s="4" t="n">
        <v>46258.2162731482</v>
      </c>
      <c r="D18" s="4" t="n">
        <v>15</v>
      </c>
    </row>
    <row r="19" customFormat="false" ht="15" hidden="false" customHeight="false" outlineLevel="0" collapsed="false">
      <c r="A19" s="4" t="s">
        <v>557</v>
      </c>
      <c r="B19" s="4" t="s">
        <v>99</v>
      </c>
      <c r="C19" s="4" t="n">
        <v>46259.0336226852</v>
      </c>
      <c r="D19" s="4" t="n">
        <v>16</v>
      </c>
    </row>
    <row r="20" customFormat="false" ht="15" hidden="false" customHeight="false" outlineLevel="0" collapsed="false">
      <c r="A20" s="4" t="s">
        <v>562</v>
      </c>
      <c r="B20" s="4" t="s">
        <v>99</v>
      </c>
      <c r="C20" s="4" t="n">
        <v>46259.2159837963</v>
      </c>
      <c r="D20" s="4" t="n">
        <v>17</v>
      </c>
    </row>
    <row r="21" customFormat="false" ht="15" hidden="false" customHeight="false" outlineLevel="0" collapsed="false">
      <c r="A21" s="4" t="s">
        <v>586</v>
      </c>
      <c r="B21" s="4" t="s">
        <v>99</v>
      </c>
      <c r="C21" s="4" t="n">
        <v>46260.218587963</v>
      </c>
      <c r="D21" s="4" t="n">
        <v>18</v>
      </c>
    </row>
    <row r="22" customFormat="false" ht="15" hidden="false" customHeight="false" outlineLevel="0" collapsed="false">
      <c r="A22" s="4" t="s">
        <v>609</v>
      </c>
      <c r="B22" s="4" t="s">
        <v>99</v>
      </c>
      <c r="C22" s="4" t="n">
        <v>46261.2164236111</v>
      </c>
      <c r="D22" s="4" t="n">
        <v>19</v>
      </c>
    </row>
    <row r="23" customFormat="false" ht="15" hidden="false" customHeight="false" outlineLevel="0" collapsed="false">
      <c r="A23" s="4" t="s">
        <v>624</v>
      </c>
      <c r="B23" s="4" t="s">
        <v>99</v>
      </c>
      <c r="C23" s="4" t="n">
        <v>46261.8080324074</v>
      </c>
      <c r="D23" s="4" t="n">
        <v>20</v>
      </c>
    </row>
    <row r="24" customFormat="false" ht="15" hidden="false" customHeight="false" outlineLevel="0" collapsed="false">
      <c r="A24" s="4" t="s">
        <v>633</v>
      </c>
      <c r="B24" s="4" t="s">
        <v>99</v>
      </c>
      <c r="C24" s="4" t="n">
        <v>46262.2164351852</v>
      </c>
      <c r="D24" s="4" t="n">
        <v>21</v>
      </c>
    </row>
    <row r="25" customFormat="false" ht="15" hidden="false" customHeight="false" outlineLevel="0" collapsed="false">
      <c r="A25" s="4" t="s">
        <v>656</v>
      </c>
      <c r="B25" s="4" t="s">
        <v>99</v>
      </c>
      <c r="C25" s="4" t="n">
        <v>46263.216875</v>
      </c>
      <c r="D25" s="4" t="n">
        <v>22</v>
      </c>
    </row>
    <row r="26" customFormat="false" ht="15" hidden="false" customHeight="false" outlineLevel="0" collapsed="false">
      <c r="A26" s="4" t="s">
        <v>680</v>
      </c>
      <c r="B26" s="4" t="s">
        <v>99</v>
      </c>
      <c r="C26" s="4" t="n">
        <v>46264.2159837963</v>
      </c>
      <c r="D26" s="4" t="n">
        <v>23</v>
      </c>
    </row>
    <row r="27" customFormat="false" ht="15" hidden="false" customHeight="false" outlineLevel="0" collapsed="false">
      <c r="A27" s="4" t="s">
        <v>705</v>
      </c>
      <c r="B27" s="4" t="s">
        <v>99</v>
      </c>
      <c r="C27" s="4" t="n">
        <v>46265.2174652778</v>
      </c>
      <c r="D27" s="4" t="n">
        <v>24</v>
      </c>
    </row>
    <row r="28" customFormat="false" ht="15" hidden="false" customHeight="false" outlineLevel="0" collapsed="false">
      <c r="A28" s="4" t="s">
        <v>728</v>
      </c>
      <c r="B28" s="4" t="s">
        <v>99</v>
      </c>
      <c r="C28" s="4" t="n">
        <v>46266.220162037</v>
      </c>
      <c r="D28" s="4" t="n">
        <v>25</v>
      </c>
    </row>
    <row r="29" customFormat="false" ht="15" hidden="false" customHeight="false" outlineLevel="0" collapsed="false">
      <c r="A29" s="4" t="s">
        <v>751</v>
      </c>
      <c r="B29" s="4" t="s">
        <v>99</v>
      </c>
      <c r="C29" s="4" t="n">
        <v>46267.2171990741</v>
      </c>
      <c r="D29" s="4" t="n">
        <v>26</v>
      </c>
    </row>
    <row r="30" customFormat="false" ht="15" hidden="false" customHeight="false" outlineLevel="0" collapsed="false">
      <c r="A30" s="4" t="s">
        <v>774</v>
      </c>
      <c r="B30" s="4" t="s">
        <v>99</v>
      </c>
      <c r="C30" s="4" t="n">
        <v>46268.2183912037</v>
      </c>
      <c r="D30" s="4" t="n">
        <v>27</v>
      </c>
    </row>
    <row r="31" customFormat="false" ht="15" hidden="false" customHeight="false" outlineLevel="0" collapsed="false">
      <c r="A31" s="4" t="s">
        <v>797</v>
      </c>
      <c r="B31" s="4" t="s">
        <v>99</v>
      </c>
      <c r="C31" s="4" t="n">
        <v>46269.218599537</v>
      </c>
      <c r="D31" s="4" t="n">
        <v>28</v>
      </c>
    </row>
    <row r="32" customFormat="false" ht="15" hidden="false" customHeight="false" outlineLevel="0" collapsed="false">
      <c r="A32" s="4" t="s">
        <v>816</v>
      </c>
      <c r="B32" s="4" t="s">
        <v>99</v>
      </c>
      <c r="C32" s="4" t="n">
        <v>46269.9481134259</v>
      </c>
      <c r="D32" s="4" t="n">
        <v>29</v>
      </c>
    </row>
    <row r="33" customFormat="false" ht="15" hidden="false" customHeight="false" outlineLevel="0" collapsed="false">
      <c r="A33" s="4" t="s">
        <v>822</v>
      </c>
      <c r="B33" s="4" t="s">
        <v>99</v>
      </c>
      <c r="C33" s="4" t="n">
        <v>46270.215625</v>
      </c>
      <c r="D33" s="4" t="n">
        <v>30</v>
      </c>
    </row>
    <row r="34" customFormat="false" ht="15" hidden="false" customHeight="false" outlineLevel="0" collapsed="false">
      <c r="A34" s="4" t="s">
        <v>845</v>
      </c>
      <c r="B34" s="4" t="s">
        <v>99</v>
      </c>
      <c r="C34" s="4" t="n">
        <v>46271.2173032407</v>
      </c>
      <c r="D34" s="4" t="n">
        <v>31</v>
      </c>
    </row>
    <row r="35" customFormat="false" ht="15" hidden="false" customHeight="false" outlineLevel="0" collapsed="false">
      <c r="A35" s="4" t="s">
        <v>868</v>
      </c>
      <c r="B35" s="4" t="s">
        <v>99</v>
      </c>
      <c r="C35" s="4" t="n">
        <v>46272.2185069445</v>
      </c>
      <c r="D35" s="4" t="n">
        <v>32</v>
      </c>
    </row>
    <row r="36" customFormat="false" ht="15" hidden="false" customHeight="false" outlineLevel="0" collapsed="false">
      <c r="A36" s="4" t="s">
        <v>880</v>
      </c>
      <c r="B36" s="4" t="s">
        <v>99</v>
      </c>
      <c r="C36" s="4" t="n">
        <v>46272.7206597222</v>
      </c>
      <c r="D36" s="4" t="n">
        <v>33</v>
      </c>
    </row>
    <row r="37" customFormat="false" ht="15" hidden="false" customHeight="false" outlineLevel="0" collapsed="false">
      <c r="A37" s="4" t="s">
        <v>893</v>
      </c>
      <c r="B37" s="4" t="s">
        <v>99</v>
      </c>
      <c r="C37" s="4" t="n">
        <v>46273.2163541667</v>
      </c>
      <c r="D37" s="4" t="n">
        <v>34</v>
      </c>
    </row>
    <row r="38" customFormat="false" ht="15" hidden="false" customHeight="false" outlineLevel="0" collapsed="false">
      <c r="A38" s="4" t="s">
        <v>916</v>
      </c>
      <c r="B38" s="4" t="s">
        <v>99</v>
      </c>
      <c r="C38" s="4" t="n">
        <v>46274.216875</v>
      </c>
      <c r="D38" s="4" t="n">
        <v>35</v>
      </c>
    </row>
    <row r="39" customFormat="false" ht="15" hidden="false" customHeight="false" outlineLevel="0" collapsed="false">
      <c r="A39" s="4" t="s">
        <v>940</v>
      </c>
      <c r="B39" s="4" t="s">
        <v>99</v>
      </c>
      <c r="C39" s="4" t="n">
        <v>46275.2182291667</v>
      </c>
      <c r="D39" s="4" t="n">
        <v>36</v>
      </c>
    </row>
    <row r="40" customFormat="false" ht="15" hidden="false" customHeight="false" outlineLevel="0" collapsed="false">
      <c r="A40" s="4" t="s">
        <v>964</v>
      </c>
      <c r="B40" s="4" t="s">
        <v>99</v>
      </c>
      <c r="C40" s="4" t="n">
        <v>46276.219224537</v>
      </c>
      <c r="D40" s="4" t="n">
        <v>37</v>
      </c>
    </row>
    <row r="41" customFormat="false" ht="15" hidden="false" customHeight="false" outlineLevel="0" collapsed="false">
      <c r="A41" s="4" t="s">
        <v>988</v>
      </c>
      <c r="B41" s="4" t="s">
        <v>99</v>
      </c>
      <c r="C41" s="4" t="n">
        <v>46277.2169791667</v>
      </c>
      <c r="D41" s="4" t="n">
        <v>38</v>
      </c>
    </row>
    <row r="42" customFormat="false" ht="15" hidden="false" customHeight="false" outlineLevel="0" collapsed="false">
      <c r="A42" s="4" t="s">
        <v>1011</v>
      </c>
      <c r="B42" s="4" t="s">
        <v>99</v>
      </c>
      <c r="C42" s="4" t="n">
        <v>46278.2162268519</v>
      </c>
      <c r="D42" s="4" t="n">
        <v>39</v>
      </c>
    </row>
    <row r="43" customFormat="false" ht="15" hidden="false" customHeight="false" outlineLevel="0" collapsed="false">
      <c r="A43" s="4" t="s">
        <v>1035</v>
      </c>
      <c r="B43" s="4" t="s">
        <v>99</v>
      </c>
      <c r="C43" s="4" t="n">
        <v>46279.2172569444</v>
      </c>
      <c r="D43" s="4" t="n">
        <v>40</v>
      </c>
    </row>
    <row r="44" customFormat="false" ht="15" hidden="false" customHeight="false" outlineLevel="0" collapsed="false">
      <c r="A44" s="4" t="s">
        <v>1061</v>
      </c>
      <c r="B44" s="4" t="s">
        <v>99</v>
      </c>
      <c r="C44" s="4" t="n">
        <v>46280.21875</v>
      </c>
      <c r="D44" s="4" t="n">
        <v>41</v>
      </c>
    </row>
    <row r="45" customFormat="false" ht="15" hidden="false" customHeight="false" outlineLevel="0" collapsed="false">
      <c r="A45" s="4" t="s">
        <v>1085</v>
      </c>
      <c r="B45" s="4" t="s">
        <v>99</v>
      </c>
      <c r="C45" s="4" t="n">
        <v>46281.2176157407</v>
      </c>
      <c r="D45" s="4" t="n">
        <v>42</v>
      </c>
    </row>
    <row r="46" customFormat="false" ht="15" hidden="false" customHeight="false" outlineLevel="0" collapsed="false">
      <c r="A46" s="4" t="s">
        <v>1108</v>
      </c>
      <c r="B46" s="4" t="s">
        <v>99</v>
      </c>
      <c r="C46" s="4" t="n">
        <v>46282.2179166667</v>
      </c>
      <c r="D46" s="4" t="n">
        <v>43</v>
      </c>
    </row>
    <row r="47" customFormat="false" ht="15" hidden="false" customHeight="false" outlineLevel="0" collapsed="false">
      <c r="A47" s="4" t="s">
        <v>1131</v>
      </c>
      <c r="B47" s="4" t="s">
        <v>99</v>
      </c>
      <c r="C47" s="4" t="n">
        <v>46283.2184953704</v>
      </c>
      <c r="D47" s="4" t="n">
        <v>44</v>
      </c>
    </row>
    <row r="48" customFormat="false" ht="15" hidden="false" customHeight="false" outlineLevel="0" collapsed="false">
      <c r="A48" s="4" t="s">
        <v>1154</v>
      </c>
      <c r="B48" s="4" t="s">
        <v>99</v>
      </c>
      <c r="C48" s="4" t="n">
        <v>46284.2163773148</v>
      </c>
      <c r="D48" s="4" t="n">
        <v>45</v>
      </c>
    </row>
    <row r="49" customFormat="false" ht="15" hidden="false" customHeight="false" outlineLevel="0" collapsed="false">
      <c r="A49" s="4" t="s">
        <v>1177</v>
      </c>
      <c r="B49" s="4" t="s">
        <v>99</v>
      </c>
      <c r="C49" s="4" t="n">
        <v>46285.2178819445</v>
      </c>
      <c r="D49" s="4" t="n">
        <v>46</v>
      </c>
    </row>
    <row r="50" customFormat="false" ht="15" hidden="false" customHeight="false" outlineLevel="0" collapsed="false">
      <c r="A50" s="4" t="s">
        <v>1201</v>
      </c>
      <c r="B50" s="4" t="s">
        <v>99</v>
      </c>
      <c r="C50" s="4" t="n">
        <v>46286.2171296296</v>
      </c>
      <c r="D50" s="4" t="n">
        <v>47</v>
      </c>
    </row>
    <row r="51" customFormat="false" ht="15" hidden="false" customHeight="false" outlineLevel="0" collapsed="false">
      <c r="A51" s="4" t="s">
        <v>1210</v>
      </c>
      <c r="B51" s="4" t="s">
        <v>99</v>
      </c>
      <c r="C51" s="4" t="n">
        <v>46286.5624189815</v>
      </c>
      <c r="D51" s="4" t="n">
        <v>48</v>
      </c>
    </row>
    <row r="52" customFormat="false" ht="15" hidden="false" customHeight="false" outlineLevel="0" collapsed="false">
      <c r="A52" s="4" t="s">
        <v>1225</v>
      </c>
      <c r="B52" s="4" t="s">
        <v>99</v>
      </c>
      <c r="C52" s="4" t="n">
        <v>46287.2188194445</v>
      </c>
      <c r="D52" s="4" t="n">
        <v>49</v>
      </c>
    </row>
    <row r="53" customFormat="false" ht="15" hidden="false" customHeight="false" outlineLevel="0" collapsed="false">
      <c r="A53" s="4" t="s">
        <v>1248</v>
      </c>
      <c r="B53" s="4" t="s">
        <v>99</v>
      </c>
      <c r="C53" s="4" t="n">
        <v>46288.2182175926</v>
      </c>
      <c r="D53" s="4" t="n">
        <v>50</v>
      </c>
    </row>
    <row r="54" customFormat="false" ht="15" hidden="false" customHeight="false" outlineLevel="0" collapsed="false">
      <c r="A54" s="4" t="s">
        <v>1271</v>
      </c>
      <c r="B54" s="4" t="s">
        <v>99</v>
      </c>
      <c r="C54" s="4" t="n">
        <v>46289.2188657407</v>
      </c>
      <c r="D54" s="4" t="n">
        <v>51</v>
      </c>
    </row>
    <row r="55" customFormat="false" ht="15" hidden="false" customHeight="false" outlineLevel="0" collapsed="false">
      <c r="A55" s="4" t="s">
        <v>1295</v>
      </c>
      <c r="B55" s="4" t="s">
        <v>99</v>
      </c>
      <c r="C55" s="4" t="n">
        <v>46290.2180092593</v>
      </c>
      <c r="D55" s="4" t="n">
        <v>52</v>
      </c>
    </row>
    <row r="56" customFormat="false" ht="15" hidden="false" customHeight="false" outlineLevel="0" collapsed="false">
      <c r="A56" s="4" t="s">
        <v>1318</v>
      </c>
      <c r="B56" s="4" t="s">
        <v>99</v>
      </c>
      <c r="C56" s="4" t="n">
        <v>46291.2183564815</v>
      </c>
      <c r="D56" s="4" t="n">
        <v>53</v>
      </c>
    </row>
    <row r="57" customFormat="false" ht="15" hidden="false" customHeight="false" outlineLevel="0" collapsed="false">
      <c r="A57" s="4" t="s">
        <v>1343</v>
      </c>
      <c r="B57" s="4" t="s">
        <v>99</v>
      </c>
      <c r="C57" s="4" t="n">
        <v>46292.2196064815</v>
      </c>
      <c r="D57" s="4" t="n">
        <v>54</v>
      </c>
    </row>
    <row r="58" customFormat="false" ht="15" hidden="false" customHeight="false" outlineLevel="0" collapsed="false">
      <c r="A58" s="4" t="s">
        <v>1366</v>
      </c>
      <c r="B58" s="4" t="s">
        <v>99</v>
      </c>
      <c r="C58" s="4" t="n">
        <v>46293.2185763889</v>
      </c>
      <c r="D58" s="4" t="n">
        <v>55</v>
      </c>
    </row>
    <row r="59" customFormat="false" ht="15" hidden="false" customHeight="false" outlineLevel="0" collapsed="false">
      <c r="A59" s="4" t="s">
        <v>1389</v>
      </c>
      <c r="B59" s="4" t="s">
        <v>99</v>
      </c>
      <c r="C59" s="4" t="n">
        <v>46294.2166782407</v>
      </c>
      <c r="D59" s="4" t="n">
        <v>56</v>
      </c>
    </row>
    <row r="60" customFormat="false" ht="15" hidden="false" customHeight="false" outlineLevel="0" collapsed="false">
      <c r="A60" s="4" t="s">
        <v>1412</v>
      </c>
      <c r="B60" s="4" t="s">
        <v>99</v>
      </c>
      <c r="C60" s="4" t="n">
        <v>46295.2177314815</v>
      </c>
      <c r="D60" s="4" t="n">
        <v>57</v>
      </c>
    </row>
    <row r="61" customFormat="false" ht="15" hidden="false" customHeight="false" outlineLevel="0" collapsed="false">
      <c r="A61" s="4" t="s">
        <v>1435</v>
      </c>
      <c r="B61" s="4" t="s">
        <v>99</v>
      </c>
      <c r="C61" s="4" t="n">
        <v>46296.2179282407</v>
      </c>
      <c r="D61" s="4" t="n">
        <v>58</v>
      </c>
    </row>
    <row r="62" customFormat="false" ht="15" hidden="false" customHeight="false" outlineLevel="0" collapsed="false">
      <c r="A62" s="4" t="s">
        <v>1458</v>
      </c>
      <c r="B62" s="4" t="s">
        <v>99</v>
      </c>
      <c r="C62" s="4" t="n">
        <v>46297.2187037037</v>
      </c>
      <c r="D62" s="4" t="n">
        <v>59</v>
      </c>
    </row>
    <row r="63" customFormat="false" ht="15" hidden="false" customHeight="false" outlineLevel="0" collapsed="false">
      <c r="A63" s="4" t="s">
        <v>1481</v>
      </c>
      <c r="B63" s="4" t="s">
        <v>99</v>
      </c>
      <c r="C63" s="4" t="n">
        <v>46298.2188888889</v>
      </c>
      <c r="D63" s="4" t="n">
        <v>60</v>
      </c>
    </row>
    <row r="64" customFormat="false" ht="15" hidden="false" customHeight="false" outlineLevel="0" collapsed="false">
      <c r="A64" s="4" t="s">
        <v>1504</v>
      </c>
      <c r="B64" s="4" t="s">
        <v>99</v>
      </c>
      <c r="C64" s="4" t="n">
        <v>46299.2167361111</v>
      </c>
      <c r="D64" s="4" t="n">
        <v>61</v>
      </c>
    </row>
    <row r="65" customFormat="false" ht="15" hidden="false" customHeight="false" outlineLevel="0" collapsed="false">
      <c r="A65" s="4" t="s">
        <v>209</v>
      </c>
      <c r="B65" s="4" t="s">
        <v>100</v>
      </c>
      <c r="C65" s="4" t="n">
        <v>46244.1746412037</v>
      </c>
      <c r="D65" s="4" t="n">
        <v>1</v>
      </c>
    </row>
    <row r="66" customFormat="false" ht="15" hidden="false" customHeight="false" outlineLevel="0" collapsed="false">
      <c r="A66" s="4" t="s">
        <v>214</v>
      </c>
      <c r="B66" s="4" t="s">
        <v>100</v>
      </c>
      <c r="C66" s="4" t="n">
        <v>46244.3412847222</v>
      </c>
      <c r="D66" s="4" t="n">
        <v>2</v>
      </c>
    </row>
    <row r="67" customFormat="false" ht="15" hidden="false" customHeight="false" outlineLevel="0" collapsed="false">
      <c r="A67" s="4" t="s">
        <v>217</v>
      </c>
      <c r="B67" s="4" t="s">
        <v>100</v>
      </c>
      <c r="C67" s="4" t="n">
        <v>46244.5063078704</v>
      </c>
      <c r="D67" s="4" t="n">
        <v>3</v>
      </c>
    </row>
    <row r="68" customFormat="false" ht="15" hidden="false" customHeight="false" outlineLevel="0" collapsed="false">
      <c r="A68" s="4" t="s">
        <v>221</v>
      </c>
      <c r="B68" s="4" t="s">
        <v>100</v>
      </c>
      <c r="C68" s="4" t="n">
        <v>46244.6742361111</v>
      </c>
      <c r="D68" s="4" t="n">
        <v>4</v>
      </c>
    </row>
    <row r="69" customFormat="false" ht="15" hidden="false" customHeight="false" outlineLevel="0" collapsed="false">
      <c r="A69" s="4" t="s">
        <v>225</v>
      </c>
      <c r="B69" s="4" t="s">
        <v>100</v>
      </c>
      <c r="C69" s="4" t="n">
        <v>46244.8411342593</v>
      </c>
      <c r="D69" s="4" t="n">
        <v>5</v>
      </c>
    </row>
    <row r="70" customFormat="false" ht="15" hidden="false" customHeight="false" outlineLevel="0" collapsed="false">
      <c r="A70" s="4" t="s">
        <v>228</v>
      </c>
      <c r="B70" s="4" t="s">
        <v>100</v>
      </c>
      <c r="C70" s="4" t="n">
        <v>46245.0084490741</v>
      </c>
      <c r="D70" s="4" t="n">
        <v>6</v>
      </c>
    </row>
    <row r="71" customFormat="false" ht="15" hidden="false" customHeight="false" outlineLevel="0" collapsed="false">
      <c r="A71" s="4" t="s">
        <v>232</v>
      </c>
      <c r="B71" s="4" t="s">
        <v>100</v>
      </c>
      <c r="C71" s="4" t="n">
        <v>46245.1741898148</v>
      </c>
      <c r="D71" s="4" t="n">
        <v>7</v>
      </c>
    </row>
    <row r="72" customFormat="false" ht="15" hidden="false" customHeight="false" outlineLevel="0" collapsed="false">
      <c r="A72" s="4" t="s">
        <v>237</v>
      </c>
      <c r="B72" s="4" t="s">
        <v>100</v>
      </c>
      <c r="C72" s="4" t="n">
        <v>46245.3412268519</v>
      </c>
      <c r="D72" s="4" t="n">
        <v>8</v>
      </c>
    </row>
    <row r="73" customFormat="false" ht="15" hidden="false" customHeight="false" outlineLevel="0" collapsed="false">
      <c r="A73" s="4" t="s">
        <v>240</v>
      </c>
      <c r="B73" s="4" t="s">
        <v>100</v>
      </c>
      <c r="C73" s="4" t="n">
        <v>46245.5072337963</v>
      </c>
      <c r="D73" s="4" t="n">
        <v>9</v>
      </c>
    </row>
    <row r="74" customFormat="false" ht="15" hidden="false" customHeight="false" outlineLevel="0" collapsed="false">
      <c r="A74" s="4" t="s">
        <v>244</v>
      </c>
      <c r="B74" s="4" t="s">
        <v>100</v>
      </c>
      <c r="C74" s="4" t="n">
        <v>46245.673599537</v>
      </c>
      <c r="D74" s="4" t="n">
        <v>10</v>
      </c>
    </row>
    <row r="75" customFormat="false" ht="15" hidden="false" customHeight="false" outlineLevel="0" collapsed="false">
      <c r="A75" s="4" t="s">
        <v>248</v>
      </c>
      <c r="B75" s="4" t="s">
        <v>100</v>
      </c>
      <c r="C75" s="4" t="n">
        <v>46245.8422106481</v>
      </c>
      <c r="D75" s="4" t="n">
        <v>11</v>
      </c>
    </row>
    <row r="76" customFormat="false" ht="15" hidden="false" customHeight="false" outlineLevel="0" collapsed="false">
      <c r="A76" s="4" t="s">
        <v>251</v>
      </c>
      <c r="B76" s="4" t="s">
        <v>100</v>
      </c>
      <c r="C76" s="4" t="n">
        <v>46246.0087037037</v>
      </c>
      <c r="D76" s="4" t="n">
        <v>12</v>
      </c>
    </row>
    <row r="77" customFormat="false" ht="15" hidden="false" customHeight="false" outlineLevel="0" collapsed="false">
      <c r="A77" s="4" t="s">
        <v>255</v>
      </c>
      <c r="B77" s="4" t="s">
        <v>100</v>
      </c>
      <c r="C77" s="4" t="n">
        <v>46246.1713657407</v>
      </c>
      <c r="D77" s="4" t="n">
        <v>13</v>
      </c>
    </row>
    <row r="78" customFormat="false" ht="15" hidden="false" customHeight="false" outlineLevel="0" collapsed="false">
      <c r="A78" s="4" t="s">
        <v>260</v>
      </c>
      <c r="B78" s="4" t="s">
        <v>100</v>
      </c>
      <c r="C78" s="4" t="n">
        <v>46246.3384375</v>
      </c>
      <c r="D78" s="4" t="n">
        <v>14</v>
      </c>
    </row>
    <row r="79" customFormat="false" ht="15" hidden="false" customHeight="false" outlineLevel="0" collapsed="false">
      <c r="A79" s="4" t="s">
        <v>263</v>
      </c>
      <c r="B79" s="4" t="s">
        <v>100</v>
      </c>
      <c r="C79" s="4" t="n">
        <v>46246.5061226852</v>
      </c>
      <c r="D79" s="4" t="n">
        <v>15</v>
      </c>
    </row>
    <row r="80" customFormat="false" ht="15" hidden="false" customHeight="false" outlineLevel="0" collapsed="false">
      <c r="A80" s="4" t="s">
        <v>267</v>
      </c>
      <c r="B80" s="4" t="s">
        <v>100</v>
      </c>
      <c r="C80" s="4" t="n">
        <v>46246.6746875</v>
      </c>
      <c r="D80" s="4" t="n">
        <v>16</v>
      </c>
    </row>
    <row r="81" customFormat="false" ht="15" hidden="false" customHeight="false" outlineLevel="0" collapsed="false">
      <c r="A81" s="4" t="s">
        <v>271</v>
      </c>
      <c r="B81" s="4" t="s">
        <v>100</v>
      </c>
      <c r="C81" s="4" t="n">
        <v>46246.842650463</v>
      </c>
      <c r="D81" s="4" t="n">
        <v>17</v>
      </c>
    </row>
    <row r="82" customFormat="false" ht="15" hidden="false" customHeight="false" outlineLevel="0" collapsed="false">
      <c r="A82" s="4" t="s">
        <v>274</v>
      </c>
      <c r="B82" s="4" t="s">
        <v>100</v>
      </c>
      <c r="C82" s="4" t="n">
        <v>46247.0072800926</v>
      </c>
      <c r="D82" s="4" t="n">
        <v>18</v>
      </c>
    </row>
    <row r="83" customFormat="false" ht="15" hidden="false" customHeight="false" outlineLevel="0" collapsed="false">
      <c r="A83" s="4" t="s">
        <v>278</v>
      </c>
      <c r="B83" s="4" t="s">
        <v>100</v>
      </c>
      <c r="C83" s="4" t="n">
        <v>46247.1741319444</v>
      </c>
      <c r="D83" s="4" t="n">
        <v>19</v>
      </c>
    </row>
    <row r="84" customFormat="false" ht="15" hidden="false" customHeight="false" outlineLevel="0" collapsed="false">
      <c r="A84" s="4" t="s">
        <v>283</v>
      </c>
      <c r="B84" s="4" t="s">
        <v>100</v>
      </c>
      <c r="C84" s="4" t="n">
        <v>46247.3399884259</v>
      </c>
      <c r="D84" s="4" t="n">
        <v>20</v>
      </c>
    </row>
    <row r="85" customFormat="false" ht="15" hidden="false" customHeight="false" outlineLevel="0" collapsed="false">
      <c r="A85" s="4" t="s">
        <v>286</v>
      </c>
      <c r="B85" s="4" t="s">
        <v>100</v>
      </c>
      <c r="C85" s="4" t="n">
        <v>46247.5064236111</v>
      </c>
      <c r="D85" s="4" t="n">
        <v>21</v>
      </c>
    </row>
    <row r="86" customFormat="false" ht="15" hidden="false" customHeight="false" outlineLevel="0" collapsed="false">
      <c r="A86" s="4" t="s">
        <v>290</v>
      </c>
      <c r="B86" s="4" t="s">
        <v>100</v>
      </c>
      <c r="C86" s="4" t="n">
        <v>46247.6751157407</v>
      </c>
      <c r="D86" s="4" t="n">
        <v>22</v>
      </c>
    </row>
    <row r="87" customFormat="false" ht="15" hidden="false" customHeight="false" outlineLevel="0" collapsed="false">
      <c r="A87" s="4" t="s">
        <v>294</v>
      </c>
      <c r="B87" s="4" t="s">
        <v>100</v>
      </c>
      <c r="C87" s="4" t="n">
        <v>46247.8414699074</v>
      </c>
      <c r="D87" s="4" t="n">
        <v>23</v>
      </c>
    </row>
    <row r="88" customFormat="false" ht="15" hidden="false" customHeight="false" outlineLevel="0" collapsed="false">
      <c r="A88" s="4" t="s">
        <v>297</v>
      </c>
      <c r="B88" s="4" t="s">
        <v>100</v>
      </c>
      <c r="C88" s="4" t="n">
        <v>46248.0072685185</v>
      </c>
      <c r="D88" s="4" t="n">
        <v>24</v>
      </c>
    </row>
    <row r="89" customFormat="false" ht="15" hidden="false" customHeight="false" outlineLevel="0" collapsed="false">
      <c r="A89" s="4" t="s">
        <v>301</v>
      </c>
      <c r="B89" s="4" t="s">
        <v>100</v>
      </c>
      <c r="C89" s="4" t="n">
        <v>46248.1729861111</v>
      </c>
      <c r="D89" s="4" t="n">
        <v>25</v>
      </c>
    </row>
    <row r="90" customFormat="false" ht="15" hidden="false" customHeight="false" outlineLevel="0" collapsed="false">
      <c r="A90" s="4" t="s">
        <v>306</v>
      </c>
      <c r="B90" s="4" t="s">
        <v>100</v>
      </c>
      <c r="C90" s="4" t="n">
        <v>46248.3412037037</v>
      </c>
      <c r="D90" s="4" t="n">
        <v>26</v>
      </c>
    </row>
    <row r="91" customFormat="false" ht="15" hidden="false" customHeight="false" outlineLevel="0" collapsed="false">
      <c r="A91" s="4" t="s">
        <v>309</v>
      </c>
      <c r="B91" s="4" t="s">
        <v>100</v>
      </c>
      <c r="C91" s="4" t="n">
        <v>46248.5069444445</v>
      </c>
      <c r="D91" s="4" t="n">
        <v>27</v>
      </c>
    </row>
    <row r="92" customFormat="false" ht="15" hidden="false" customHeight="false" outlineLevel="0" collapsed="false">
      <c r="A92" s="4" t="s">
        <v>313</v>
      </c>
      <c r="B92" s="4" t="s">
        <v>100</v>
      </c>
      <c r="C92" s="4" t="n">
        <v>46248.6731828704</v>
      </c>
      <c r="D92" s="4" t="n">
        <v>28</v>
      </c>
    </row>
    <row r="93" customFormat="false" ht="15" hidden="false" customHeight="false" outlineLevel="0" collapsed="false">
      <c r="A93" s="4" t="s">
        <v>317</v>
      </c>
      <c r="B93" s="4" t="s">
        <v>100</v>
      </c>
      <c r="C93" s="4" t="n">
        <v>46248.8413194444</v>
      </c>
      <c r="D93" s="4" t="n">
        <v>29</v>
      </c>
    </row>
    <row r="94" customFormat="false" ht="15" hidden="false" customHeight="false" outlineLevel="0" collapsed="false">
      <c r="A94" s="4" t="s">
        <v>320</v>
      </c>
      <c r="B94" s="4" t="s">
        <v>100</v>
      </c>
      <c r="C94" s="4" t="n">
        <v>46249.0059722222</v>
      </c>
      <c r="D94" s="4" t="n">
        <v>30</v>
      </c>
    </row>
    <row r="95" customFormat="false" ht="15" hidden="false" customHeight="false" outlineLevel="0" collapsed="false">
      <c r="A95" s="4" t="s">
        <v>324</v>
      </c>
      <c r="B95" s="4" t="s">
        <v>100</v>
      </c>
      <c r="C95" s="4" t="n">
        <v>46249.1735416667</v>
      </c>
      <c r="D95" s="4" t="n">
        <v>31</v>
      </c>
    </row>
    <row r="96" customFormat="false" ht="15" hidden="false" customHeight="false" outlineLevel="0" collapsed="false">
      <c r="A96" s="4" t="s">
        <v>329</v>
      </c>
      <c r="B96" s="4" t="s">
        <v>100</v>
      </c>
      <c r="C96" s="4" t="n">
        <v>46249.3399189815</v>
      </c>
      <c r="D96" s="4" t="n">
        <v>32</v>
      </c>
    </row>
    <row r="97" customFormat="false" ht="15" hidden="false" customHeight="false" outlineLevel="0" collapsed="false">
      <c r="A97" s="4" t="s">
        <v>332</v>
      </c>
      <c r="B97" s="4" t="s">
        <v>100</v>
      </c>
      <c r="C97" s="4" t="n">
        <v>46249.507025463</v>
      </c>
      <c r="D97" s="4" t="n">
        <v>33</v>
      </c>
    </row>
    <row r="98" customFormat="false" ht="15" hidden="false" customHeight="false" outlineLevel="0" collapsed="false">
      <c r="A98" s="4" t="s">
        <v>336</v>
      </c>
      <c r="B98" s="4" t="s">
        <v>100</v>
      </c>
      <c r="C98" s="4" t="n">
        <v>46249.675</v>
      </c>
      <c r="D98" s="4" t="n">
        <v>34</v>
      </c>
    </row>
    <row r="99" customFormat="false" ht="15" hidden="false" customHeight="false" outlineLevel="0" collapsed="false">
      <c r="A99" s="4" t="s">
        <v>340</v>
      </c>
      <c r="B99" s="4" t="s">
        <v>100</v>
      </c>
      <c r="C99" s="4" t="n">
        <v>46249.841712963</v>
      </c>
      <c r="D99" s="4" t="n">
        <v>35</v>
      </c>
    </row>
    <row r="100" customFormat="false" ht="15" hidden="false" customHeight="false" outlineLevel="0" collapsed="false">
      <c r="A100" s="4" t="s">
        <v>343</v>
      </c>
      <c r="B100" s="4" t="s">
        <v>100</v>
      </c>
      <c r="C100" s="4" t="n">
        <v>46250.0083217593</v>
      </c>
      <c r="D100" s="4" t="n">
        <v>36</v>
      </c>
    </row>
    <row r="101" customFormat="false" ht="15" hidden="false" customHeight="false" outlineLevel="0" collapsed="false">
      <c r="A101" s="4" t="s">
        <v>347</v>
      </c>
      <c r="B101" s="4" t="s">
        <v>100</v>
      </c>
      <c r="C101" s="4" t="n">
        <v>46250.1734953704</v>
      </c>
      <c r="D101" s="4" t="n">
        <v>37</v>
      </c>
    </row>
    <row r="102" customFormat="false" ht="15" hidden="false" customHeight="false" outlineLevel="0" collapsed="false">
      <c r="A102" s="4" t="s">
        <v>352</v>
      </c>
      <c r="B102" s="4" t="s">
        <v>100</v>
      </c>
      <c r="C102" s="4" t="n">
        <v>46250.3415972222</v>
      </c>
      <c r="D102" s="4" t="n">
        <v>38</v>
      </c>
    </row>
    <row r="103" customFormat="false" ht="15" hidden="false" customHeight="false" outlineLevel="0" collapsed="false">
      <c r="A103" s="4" t="s">
        <v>355</v>
      </c>
      <c r="B103" s="4" t="s">
        <v>100</v>
      </c>
      <c r="C103" s="4" t="n">
        <v>46250.5072569445</v>
      </c>
      <c r="D103" s="4" t="n">
        <v>39</v>
      </c>
    </row>
    <row r="104" customFormat="false" ht="15" hidden="false" customHeight="false" outlineLevel="0" collapsed="false">
      <c r="A104" s="4" t="s">
        <v>359</v>
      </c>
      <c r="B104" s="4" t="s">
        <v>100</v>
      </c>
      <c r="C104" s="4" t="n">
        <v>46250.6717939815</v>
      </c>
      <c r="D104" s="4" t="n">
        <v>40</v>
      </c>
    </row>
    <row r="105" customFormat="false" ht="15" hidden="false" customHeight="false" outlineLevel="0" collapsed="false">
      <c r="A105" s="4" t="s">
        <v>363</v>
      </c>
      <c r="B105" s="4" t="s">
        <v>100</v>
      </c>
      <c r="C105" s="4" t="n">
        <v>46250.8403009259</v>
      </c>
      <c r="D105" s="4" t="n">
        <v>41</v>
      </c>
    </row>
    <row r="106" customFormat="false" ht="15" hidden="false" customHeight="false" outlineLevel="0" collapsed="false">
      <c r="A106" s="4" t="s">
        <v>366</v>
      </c>
      <c r="B106" s="4" t="s">
        <v>100</v>
      </c>
      <c r="C106" s="4" t="n">
        <v>46251.008599537</v>
      </c>
      <c r="D106" s="4" t="n">
        <v>42</v>
      </c>
    </row>
    <row r="107" customFormat="false" ht="15" hidden="false" customHeight="false" outlineLevel="0" collapsed="false">
      <c r="A107" s="4" t="s">
        <v>372</v>
      </c>
      <c r="B107" s="4" t="s">
        <v>100</v>
      </c>
      <c r="C107" s="4" t="n">
        <v>46251.1892592593</v>
      </c>
      <c r="D107" s="4" t="n">
        <v>43</v>
      </c>
    </row>
    <row r="108" customFormat="false" ht="15" hidden="false" customHeight="false" outlineLevel="0" collapsed="false">
      <c r="A108" s="4" t="s">
        <v>378</v>
      </c>
      <c r="B108" s="4" t="s">
        <v>100</v>
      </c>
      <c r="C108" s="4" t="n">
        <v>46251.3409722222</v>
      </c>
      <c r="D108" s="4" t="n">
        <v>44</v>
      </c>
    </row>
    <row r="109" customFormat="false" ht="15" hidden="false" customHeight="false" outlineLevel="0" collapsed="false">
      <c r="A109" s="4" t="s">
        <v>381</v>
      </c>
      <c r="B109" s="4" t="s">
        <v>100</v>
      </c>
      <c r="C109" s="4" t="n">
        <v>46251.5066898148</v>
      </c>
      <c r="D109" s="4" t="n">
        <v>45</v>
      </c>
    </row>
    <row r="110" customFormat="false" ht="15" hidden="false" customHeight="false" outlineLevel="0" collapsed="false">
      <c r="A110" s="4" t="s">
        <v>385</v>
      </c>
      <c r="B110" s="4" t="s">
        <v>100</v>
      </c>
      <c r="C110" s="4" t="n">
        <v>46251.673287037</v>
      </c>
      <c r="D110" s="4" t="n">
        <v>46</v>
      </c>
    </row>
    <row r="111" customFormat="false" ht="15" hidden="false" customHeight="false" outlineLevel="0" collapsed="false">
      <c r="A111" s="4" t="s">
        <v>389</v>
      </c>
      <c r="B111" s="4" t="s">
        <v>100</v>
      </c>
      <c r="C111" s="4" t="n">
        <v>46251.8397106482</v>
      </c>
      <c r="D111" s="4" t="n">
        <v>47</v>
      </c>
    </row>
    <row r="112" customFormat="false" ht="15" hidden="false" customHeight="false" outlineLevel="0" collapsed="false">
      <c r="A112" s="4" t="s">
        <v>392</v>
      </c>
      <c r="B112" s="4" t="s">
        <v>100</v>
      </c>
      <c r="C112" s="4" t="n">
        <v>46252.0065393519</v>
      </c>
      <c r="D112" s="4" t="n">
        <v>48</v>
      </c>
    </row>
    <row r="113" customFormat="false" ht="15" hidden="false" customHeight="false" outlineLevel="0" collapsed="false">
      <c r="A113" s="4" t="s">
        <v>396</v>
      </c>
      <c r="B113" s="4" t="s">
        <v>100</v>
      </c>
      <c r="C113" s="4" t="n">
        <v>46252.1734143519</v>
      </c>
      <c r="D113" s="4" t="n">
        <v>49</v>
      </c>
    </row>
    <row r="114" customFormat="false" ht="15" hidden="false" customHeight="false" outlineLevel="0" collapsed="false">
      <c r="A114" s="4" t="s">
        <v>401</v>
      </c>
      <c r="B114" s="4" t="s">
        <v>100</v>
      </c>
      <c r="C114" s="4" t="n">
        <v>46252.3406828704</v>
      </c>
      <c r="D114" s="4" t="n">
        <v>50</v>
      </c>
    </row>
    <row r="115" customFormat="false" ht="15" hidden="false" customHeight="false" outlineLevel="0" collapsed="false">
      <c r="A115" s="4" t="s">
        <v>404</v>
      </c>
      <c r="B115" s="4" t="s">
        <v>100</v>
      </c>
      <c r="C115" s="4" t="n">
        <v>46252.506712963</v>
      </c>
      <c r="D115" s="4" t="n">
        <v>51</v>
      </c>
    </row>
    <row r="116" customFormat="false" ht="15" hidden="false" customHeight="false" outlineLevel="0" collapsed="false">
      <c r="A116" s="4" t="s">
        <v>408</v>
      </c>
      <c r="B116" s="4" t="s">
        <v>100</v>
      </c>
      <c r="C116" s="4" t="n">
        <v>46252.6737268519</v>
      </c>
      <c r="D116" s="4" t="n">
        <v>52</v>
      </c>
    </row>
    <row r="117" customFormat="false" ht="15" hidden="false" customHeight="false" outlineLevel="0" collapsed="false">
      <c r="A117" s="4" t="s">
        <v>412</v>
      </c>
      <c r="B117" s="4" t="s">
        <v>100</v>
      </c>
      <c r="C117" s="4" t="n">
        <v>46252.8394907407</v>
      </c>
      <c r="D117" s="4" t="n">
        <v>53</v>
      </c>
    </row>
    <row r="118" customFormat="false" ht="15" hidden="false" customHeight="false" outlineLevel="0" collapsed="false">
      <c r="A118" s="4" t="s">
        <v>415</v>
      </c>
      <c r="B118" s="4" t="s">
        <v>100</v>
      </c>
      <c r="C118" s="4" t="n">
        <v>46253.0071296296</v>
      </c>
      <c r="D118" s="4" t="n">
        <v>54</v>
      </c>
    </row>
    <row r="119" customFormat="false" ht="15" hidden="false" customHeight="false" outlineLevel="0" collapsed="false">
      <c r="A119" s="4" t="s">
        <v>419</v>
      </c>
      <c r="B119" s="4" t="s">
        <v>100</v>
      </c>
      <c r="C119" s="4" t="n">
        <v>46253.1733912037</v>
      </c>
      <c r="D119" s="4" t="n">
        <v>55</v>
      </c>
    </row>
    <row r="120" customFormat="false" ht="15" hidden="false" customHeight="false" outlineLevel="0" collapsed="false">
      <c r="A120" s="4" t="s">
        <v>425</v>
      </c>
      <c r="B120" s="4" t="s">
        <v>100</v>
      </c>
      <c r="C120" s="4" t="n">
        <v>46253.3976388889</v>
      </c>
      <c r="D120" s="4" t="n">
        <v>56</v>
      </c>
    </row>
    <row r="121" customFormat="false" ht="15" hidden="false" customHeight="false" outlineLevel="0" collapsed="false">
      <c r="A121" s="4" t="s">
        <v>429</v>
      </c>
      <c r="B121" s="4" t="s">
        <v>100</v>
      </c>
      <c r="C121" s="4" t="n">
        <v>46253.5072337963</v>
      </c>
      <c r="D121" s="4" t="n">
        <v>57</v>
      </c>
    </row>
    <row r="122" customFormat="false" ht="15" hidden="false" customHeight="false" outlineLevel="0" collapsed="false">
      <c r="A122" s="4" t="s">
        <v>433</v>
      </c>
      <c r="B122" s="4" t="s">
        <v>100</v>
      </c>
      <c r="C122" s="4" t="n">
        <v>46253.675474537</v>
      </c>
      <c r="D122" s="4" t="n">
        <v>58</v>
      </c>
    </row>
    <row r="123" customFormat="false" ht="15" hidden="false" customHeight="false" outlineLevel="0" collapsed="false">
      <c r="A123" s="4" t="s">
        <v>437</v>
      </c>
      <c r="B123" s="4" t="s">
        <v>100</v>
      </c>
      <c r="C123" s="4" t="n">
        <v>46253.8391666667</v>
      </c>
      <c r="D123" s="4" t="n">
        <v>59</v>
      </c>
    </row>
    <row r="124" customFormat="false" ht="15" hidden="false" customHeight="false" outlineLevel="0" collapsed="false">
      <c r="A124" s="4" t="s">
        <v>440</v>
      </c>
      <c r="B124" s="4" t="s">
        <v>100</v>
      </c>
      <c r="C124" s="4" t="n">
        <v>46254.0069791667</v>
      </c>
      <c r="D124" s="4" t="n">
        <v>60</v>
      </c>
    </row>
    <row r="125" customFormat="false" ht="15" hidden="false" customHeight="false" outlineLevel="0" collapsed="false">
      <c r="A125" s="4" t="s">
        <v>444</v>
      </c>
      <c r="B125" s="4" t="s">
        <v>100</v>
      </c>
      <c r="C125" s="4" t="n">
        <v>46254.1728356482</v>
      </c>
      <c r="D125" s="4" t="n">
        <v>61</v>
      </c>
    </row>
    <row r="126" customFormat="false" ht="15" hidden="false" customHeight="false" outlineLevel="0" collapsed="false">
      <c r="A126" s="4" t="s">
        <v>449</v>
      </c>
      <c r="B126" s="4" t="s">
        <v>100</v>
      </c>
      <c r="C126" s="4" t="n">
        <v>46254.34</v>
      </c>
      <c r="D126" s="4" t="n">
        <v>62</v>
      </c>
    </row>
    <row r="127" customFormat="false" ht="15" hidden="false" customHeight="false" outlineLevel="0" collapsed="false">
      <c r="A127" s="4" t="s">
        <v>452</v>
      </c>
      <c r="B127" s="4" t="s">
        <v>100</v>
      </c>
      <c r="C127" s="4" t="n">
        <v>46254.5069212963</v>
      </c>
      <c r="D127" s="4" t="n">
        <v>63</v>
      </c>
    </row>
    <row r="128" customFormat="false" ht="15" hidden="false" customHeight="false" outlineLevel="0" collapsed="false">
      <c r="A128" s="4" t="s">
        <v>456</v>
      </c>
      <c r="B128" s="4" t="s">
        <v>100</v>
      </c>
      <c r="C128" s="4" t="n">
        <v>46254.6742361111</v>
      </c>
      <c r="D128" s="4" t="n">
        <v>64</v>
      </c>
    </row>
    <row r="129" customFormat="false" ht="15" hidden="false" customHeight="false" outlineLevel="0" collapsed="false">
      <c r="A129" s="4" t="s">
        <v>460</v>
      </c>
      <c r="B129" s="4" t="s">
        <v>100</v>
      </c>
      <c r="C129" s="4" t="n">
        <v>46254.839837963</v>
      </c>
      <c r="D129" s="4" t="n">
        <v>65</v>
      </c>
    </row>
    <row r="130" customFormat="false" ht="15" hidden="false" customHeight="false" outlineLevel="0" collapsed="false">
      <c r="A130" s="4" t="s">
        <v>463</v>
      </c>
      <c r="B130" s="4" t="s">
        <v>100</v>
      </c>
      <c r="C130" s="4" t="n">
        <v>46255.0055208333</v>
      </c>
      <c r="D130" s="4" t="n">
        <v>66</v>
      </c>
    </row>
    <row r="131" customFormat="false" ht="15" hidden="false" customHeight="false" outlineLevel="0" collapsed="false">
      <c r="A131" s="4" t="s">
        <v>467</v>
      </c>
      <c r="B131" s="4" t="s">
        <v>100</v>
      </c>
      <c r="C131" s="4" t="n">
        <v>46255.1729166667</v>
      </c>
      <c r="D131" s="4" t="n">
        <v>67</v>
      </c>
    </row>
    <row r="132" customFormat="false" ht="15" hidden="false" customHeight="false" outlineLevel="0" collapsed="false">
      <c r="A132" s="4" t="s">
        <v>472</v>
      </c>
      <c r="B132" s="4" t="s">
        <v>100</v>
      </c>
      <c r="C132" s="4" t="n">
        <v>46255.3406828704</v>
      </c>
      <c r="D132" s="4" t="n">
        <v>68</v>
      </c>
    </row>
    <row r="133" customFormat="false" ht="15" hidden="false" customHeight="false" outlineLevel="0" collapsed="false">
      <c r="A133" s="4" t="s">
        <v>475</v>
      </c>
      <c r="B133" s="4" t="s">
        <v>100</v>
      </c>
      <c r="C133" s="4" t="n">
        <v>46255.5069675926</v>
      </c>
      <c r="D133" s="4" t="n">
        <v>69</v>
      </c>
    </row>
    <row r="134" customFormat="false" ht="15" hidden="false" customHeight="false" outlineLevel="0" collapsed="false">
      <c r="A134" s="4" t="s">
        <v>479</v>
      </c>
      <c r="B134" s="4" t="s">
        <v>100</v>
      </c>
      <c r="C134" s="4" t="n">
        <v>46255.6739930556</v>
      </c>
      <c r="D134" s="4" t="n">
        <v>70</v>
      </c>
    </row>
    <row r="135" customFormat="false" ht="15" hidden="false" customHeight="false" outlineLevel="0" collapsed="false">
      <c r="A135" s="4" t="s">
        <v>483</v>
      </c>
      <c r="B135" s="4" t="s">
        <v>100</v>
      </c>
      <c r="C135" s="4" t="n">
        <v>46255.8391319444</v>
      </c>
      <c r="D135" s="4" t="n">
        <v>71</v>
      </c>
    </row>
    <row r="136" customFormat="false" ht="15" hidden="false" customHeight="false" outlineLevel="0" collapsed="false">
      <c r="A136" s="4" t="s">
        <v>486</v>
      </c>
      <c r="B136" s="4" t="s">
        <v>100</v>
      </c>
      <c r="C136" s="4" t="n">
        <v>46256.0084259259</v>
      </c>
      <c r="D136" s="4" t="n">
        <v>72</v>
      </c>
    </row>
    <row r="137" customFormat="false" ht="15" hidden="false" customHeight="false" outlineLevel="0" collapsed="false">
      <c r="A137" s="4" t="s">
        <v>490</v>
      </c>
      <c r="B137" s="4" t="s">
        <v>100</v>
      </c>
      <c r="C137" s="4" t="n">
        <v>46256.1729861111</v>
      </c>
      <c r="D137" s="4" t="n">
        <v>73</v>
      </c>
    </row>
    <row r="138" customFormat="false" ht="15" hidden="false" customHeight="false" outlineLevel="0" collapsed="false">
      <c r="A138" s="4" t="s">
        <v>496</v>
      </c>
      <c r="B138" s="4" t="s">
        <v>100</v>
      </c>
      <c r="C138" s="4" t="n">
        <v>46256.3418518519</v>
      </c>
      <c r="D138" s="4" t="n">
        <v>74</v>
      </c>
    </row>
    <row r="139" customFormat="false" ht="15" hidden="false" customHeight="false" outlineLevel="0" collapsed="false">
      <c r="A139" s="4" t="s">
        <v>501</v>
      </c>
      <c r="B139" s="4" t="s">
        <v>100</v>
      </c>
      <c r="C139" s="4" t="n">
        <v>46256.6065740741</v>
      </c>
      <c r="D139" s="4" t="n">
        <v>75</v>
      </c>
    </row>
    <row r="140" customFormat="false" ht="15" hidden="false" customHeight="false" outlineLevel="0" collapsed="false">
      <c r="A140" s="4" t="s">
        <v>503</v>
      </c>
      <c r="B140" s="4" t="s">
        <v>100</v>
      </c>
      <c r="C140" s="4" t="n">
        <v>46256.6745023148</v>
      </c>
      <c r="D140" s="4" t="n">
        <v>76</v>
      </c>
    </row>
    <row r="141" customFormat="false" ht="15" hidden="false" customHeight="false" outlineLevel="0" collapsed="false">
      <c r="A141" s="4" t="s">
        <v>507</v>
      </c>
      <c r="B141" s="4" t="s">
        <v>100</v>
      </c>
      <c r="C141" s="4" t="n">
        <v>46256.8410300926</v>
      </c>
      <c r="D141" s="4" t="n">
        <v>77</v>
      </c>
    </row>
    <row r="142" customFormat="false" ht="15" hidden="false" customHeight="false" outlineLevel="0" collapsed="false">
      <c r="A142" s="4" t="s">
        <v>510</v>
      </c>
      <c r="B142" s="4" t="s">
        <v>100</v>
      </c>
      <c r="C142" s="4" t="n">
        <v>46257.0062847222</v>
      </c>
      <c r="D142" s="4" t="n">
        <v>78</v>
      </c>
    </row>
    <row r="143" customFormat="false" ht="15" hidden="false" customHeight="false" outlineLevel="0" collapsed="false">
      <c r="A143" s="4" t="s">
        <v>514</v>
      </c>
      <c r="B143" s="4" t="s">
        <v>100</v>
      </c>
      <c r="C143" s="4" t="n">
        <v>46257.1731365741</v>
      </c>
      <c r="D143" s="4" t="n">
        <v>79</v>
      </c>
    </row>
    <row r="144" customFormat="false" ht="15" hidden="false" customHeight="false" outlineLevel="0" collapsed="false">
      <c r="A144" s="4" t="s">
        <v>519</v>
      </c>
      <c r="B144" s="4" t="s">
        <v>100</v>
      </c>
      <c r="C144" s="4" t="n">
        <v>46257.3393865741</v>
      </c>
      <c r="D144" s="4" t="n">
        <v>80</v>
      </c>
    </row>
    <row r="145" customFormat="false" ht="15" hidden="false" customHeight="false" outlineLevel="0" collapsed="false">
      <c r="A145" s="4" t="s">
        <v>522</v>
      </c>
      <c r="B145" s="4" t="s">
        <v>100</v>
      </c>
      <c r="C145" s="4" t="n">
        <v>46257.5072569445</v>
      </c>
      <c r="D145" s="4" t="n">
        <v>81</v>
      </c>
    </row>
    <row r="146" customFormat="false" ht="15" hidden="false" customHeight="false" outlineLevel="0" collapsed="false">
      <c r="A146" s="4" t="s">
        <v>526</v>
      </c>
      <c r="B146" s="4" t="s">
        <v>100</v>
      </c>
      <c r="C146" s="4" t="n">
        <v>46257.6742824074</v>
      </c>
      <c r="D146" s="4" t="n">
        <v>82</v>
      </c>
    </row>
    <row r="147" customFormat="false" ht="15" hidden="false" customHeight="false" outlineLevel="0" collapsed="false">
      <c r="A147" s="4" t="s">
        <v>530</v>
      </c>
      <c r="B147" s="4" t="s">
        <v>100</v>
      </c>
      <c r="C147" s="4" t="n">
        <v>46257.8418865741</v>
      </c>
      <c r="D147" s="4" t="n">
        <v>83</v>
      </c>
    </row>
    <row r="148" customFormat="false" ht="15" hidden="false" customHeight="false" outlineLevel="0" collapsed="false">
      <c r="A148" s="4" t="s">
        <v>533</v>
      </c>
      <c r="B148" s="4" t="s">
        <v>100</v>
      </c>
      <c r="C148" s="4" t="n">
        <v>46258.0089236111</v>
      </c>
      <c r="D148" s="4" t="n">
        <v>84</v>
      </c>
    </row>
    <row r="149" customFormat="false" ht="15" hidden="false" customHeight="false" outlineLevel="0" collapsed="false">
      <c r="A149" s="4" t="s">
        <v>537</v>
      </c>
      <c r="B149" s="4" t="s">
        <v>100</v>
      </c>
      <c r="C149" s="4" t="n">
        <v>46258.1738078704</v>
      </c>
      <c r="D149" s="4" t="n">
        <v>85</v>
      </c>
    </row>
    <row r="150" customFormat="false" ht="15" hidden="false" customHeight="false" outlineLevel="0" collapsed="false">
      <c r="A150" s="4" t="s">
        <v>542</v>
      </c>
      <c r="B150" s="4" t="s">
        <v>100</v>
      </c>
      <c r="C150" s="4" t="n">
        <v>46258.3422685185</v>
      </c>
      <c r="D150" s="4" t="n">
        <v>86</v>
      </c>
    </row>
    <row r="151" customFormat="false" ht="15" hidden="false" customHeight="false" outlineLevel="0" collapsed="false">
      <c r="A151" s="4" t="s">
        <v>545</v>
      </c>
      <c r="B151" s="4" t="s">
        <v>100</v>
      </c>
      <c r="C151" s="4" t="n">
        <v>46258.5073032407</v>
      </c>
      <c r="D151" s="4" t="n">
        <v>87</v>
      </c>
    </row>
    <row r="152" customFormat="false" ht="15" hidden="false" customHeight="false" outlineLevel="0" collapsed="false">
      <c r="A152" s="4" t="s">
        <v>549</v>
      </c>
      <c r="B152" s="4" t="s">
        <v>100</v>
      </c>
      <c r="C152" s="4" t="n">
        <v>46258.6762037037</v>
      </c>
      <c r="D152" s="4" t="n">
        <v>88</v>
      </c>
    </row>
    <row r="153" customFormat="false" ht="15" hidden="false" customHeight="false" outlineLevel="0" collapsed="false">
      <c r="A153" s="4" t="s">
        <v>553</v>
      </c>
      <c r="B153" s="4" t="s">
        <v>100</v>
      </c>
      <c r="C153" s="4" t="n">
        <v>46258.8415740741</v>
      </c>
      <c r="D153" s="4" t="n">
        <v>89</v>
      </c>
    </row>
    <row r="154" customFormat="false" ht="15" hidden="false" customHeight="false" outlineLevel="0" collapsed="false">
      <c r="A154" s="4" t="s">
        <v>556</v>
      </c>
      <c r="B154" s="4" t="s">
        <v>100</v>
      </c>
      <c r="C154" s="4" t="n">
        <v>46259.0052777778</v>
      </c>
      <c r="D154" s="4" t="n">
        <v>90</v>
      </c>
    </row>
    <row r="155" customFormat="false" ht="15" hidden="false" customHeight="false" outlineLevel="0" collapsed="false">
      <c r="A155" s="4" t="s">
        <v>561</v>
      </c>
      <c r="B155" s="4" t="s">
        <v>100</v>
      </c>
      <c r="C155" s="4" t="n">
        <v>46259.1722916667</v>
      </c>
      <c r="D155" s="4" t="n">
        <v>91</v>
      </c>
    </row>
    <row r="156" customFormat="false" ht="15" hidden="false" customHeight="false" outlineLevel="0" collapsed="false">
      <c r="A156" s="4" t="s">
        <v>566</v>
      </c>
      <c r="B156" s="4" t="s">
        <v>100</v>
      </c>
      <c r="C156" s="4" t="n">
        <v>46259.3384837963</v>
      </c>
      <c r="D156" s="4" t="n">
        <v>92</v>
      </c>
    </row>
    <row r="157" customFormat="false" ht="15" hidden="false" customHeight="false" outlineLevel="0" collapsed="false">
      <c r="A157" s="4" t="s">
        <v>569</v>
      </c>
      <c r="B157" s="4" t="s">
        <v>100</v>
      </c>
      <c r="C157" s="4" t="n">
        <v>46259.5065625</v>
      </c>
      <c r="D157" s="4" t="n">
        <v>93</v>
      </c>
    </row>
    <row r="158" customFormat="false" ht="15" hidden="false" customHeight="false" outlineLevel="0" collapsed="false">
      <c r="A158" s="4" t="s">
        <v>574</v>
      </c>
      <c r="B158" s="4" t="s">
        <v>100</v>
      </c>
      <c r="C158" s="4" t="n">
        <v>46259.6885416667</v>
      </c>
      <c r="D158" s="4" t="n">
        <v>94</v>
      </c>
    </row>
    <row r="159" customFormat="false" ht="15" hidden="false" customHeight="false" outlineLevel="0" collapsed="false">
      <c r="A159" s="4" t="s">
        <v>578</v>
      </c>
      <c r="B159" s="4" t="s">
        <v>100</v>
      </c>
      <c r="C159" s="4" t="n">
        <v>46259.8387962963</v>
      </c>
      <c r="D159" s="4" t="n">
        <v>95</v>
      </c>
    </row>
    <row r="160" customFormat="false" ht="15" hidden="false" customHeight="false" outlineLevel="0" collapsed="false">
      <c r="A160" s="4" t="s">
        <v>581</v>
      </c>
      <c r="B160" s="4" t="s">
        <v>100</v>
      </c>
      <c r="C160" s="4" t="n">
        <v>46260.0066203704</v>
      </c>
      <c r="D160" s="4" t="n">
        <v>96</v>
      </c>
    </row>
    <row r="161" customFormat="false" ht="15" hidden="false" customHeight="false" outlineLevel="0" collapsed="false">
      <c r="A161" s="4" t="s">
        <v>585</v>
      </c>
      <c r="B161" s="4" t="s">
        <v>100</v>
      </c>
      <c r="C161" s="4" t="n">
        <v>46260.1722569445</v>
      </c>
      <c r="D161" s="4" t="n">
        <v>97</v>
      </c>
    </row>
    <row r="162" customFormat="false" ht="15" hidden="false" customHeight="false" outlineLevel="0" collapsed="false">
      <c r="A162" s="4" t="s">
        <v>590</v>
      </c>
      <c r="B162" s="4" t="s">
        <v>100</v>
      </c>
      <c r="C162" s="4" t="n">
        <v>46260.3397337963</v>
      </c>
      <c r="D162" s="4" t="n">
        <v>98</v>
      </c>
    </row>
    <row r="163" customFormat="false" ht="15" hidden="false" customHeight="false" outlineLevel="0" collapsed="false">
      <c r="A163" s="4" t="s">
        <v>593</v>
      </c>
      <c r="B163" s="4" t="s">
        <v>100</v>
      </c>
      <c r="C163" s="4" t="n">
        <v>46260.5070138889</v>
      </c>
      <c r="D163" s="4" t="n">
        <v>99</v>
      </c>
    </row>
    <row r="164" customFormat="false" ht="15" hidden="false" customHeight="false" outlineLevel="0" collapsed="false">
      <c r="A164" s="4" t="s">
        <v>597</v>
      </c>
      <c r="B164" s="4" t="s">
        <v>100</v>
      </c>
      <c r="C164" s="4" t="n">
        <v>46260.673125</v>
      </c>
      <c r="D164" s="4" t="n">
        <v>100</v>
      </c>
    </row>
    <row r="165" customFormat="false" ht="15" hidden="false" customHeight="false" outlineLevel="0" collapsed="false">
      <c r="A165" s="4" t="s">
        <v>601</v>
      </c>
      <c r="B165" s="4" t="s">
        <v>100</v>
      </c>
      <c r="C165" s="4" t="n">
        <v>46260.8419675926</v>
      </c>
      <c r="D165" s="4" t="n">
        <v>101</v>
      </c>
    </row>
    <row r="166" customFormat="false" ht="15" hidden="false" customHeight="false" outlineLevel="0" collapsed="false">
      <c r="A166" s="4" t="s">
        <v>604</v>
      </c>
      <c r="B166" s="4" t="s">
        <v>100</v>
      </c>
      <c r="C166" s="4" t="n">
        <v>46261.008587963</v>
      </c>
      <c r="D166" s="4" t="n">
        <v>102</v>
      </c>
    </row>
    <row r="167" customFormat="false" ht="15" hidden="false" customHeight="false" outlineLevel="0" collapsed="false">
      <c r="A167" s="4" t="s">
        <v>608</v>
      </c>
      <c r="B167" s="4" t="s">
        <v>100</v>
      </c>
      <c r="C167" s="4" t="n">
        <v>46261.1733564815</v>
      </c>
      <c r="D167" s="4" t="n">
        <v>103</v>
      </c>
    </row>
    <row r="168" customFormat="false" ht="15" hidden="false" customHeight="false" outlineLevel="0" collapsed="false">
      <c r="A168" s="4" t="s">
        <v>613</v>
      </c>
      <c r="B168" s="4" t="s">
        <v>100</v>
      </c>
      <c r="C168" s="4" t="n">
        <v>46261.3392939815</v>
      </c>
      <c r="D168" s="4" t="n">
        <v>104</v>
      </c>
    </row>
    <row r="169" customFormat="false" ht="15" hidden="false" customHeight="false" outlineLevel="0" collapsed="false">
      <c r="A169" s="4" t="s">
        <v>616</v>
      </c>
      <c r="B169" s="4" t="s">
        <v>100</v>
      </c>
      <c r="C169" s="4" t="n">
        <v>46261.5061689815</v>
      </c>
      <c r="D169" s="4" t="n">
        <v>105</v>
      </c>
    </row>
    <row r="170" customFormat="false" ht="15" hidden="false" customHeight="false" outlineLevel="0" collapsed="false">
      <c r="A170" s="4" t="s">
        <v>620</v>
      </c>
      <c r="B170" s="4" t="s">
        <v>100</v>
      </c>
      <c r="C170" s="4" t="n">
        <v>46261.6737847222</v>
      </c>
      <c r="D170" s="4" t="n">
        <v>106</v>
      </c>
    </row>
    <row r="171" customFormat="false" ht="15" hidden="false" customHeight="false" outlineLevel="0" collapsed="false">
      <c r="A171" s="4" t="s">
        <v>625</v>
      </c>
      <c r="B171" s="4" t="s">
        <v>100</v>
      </c>
      <c r="C171" s="4" t="n">
        <v>46261.8415046296</v>
      </c>
      <c r="D171" s="4" t="n">
        <v>107</v>
      </c>
    </row>
    <row r="172" customFormat="false" ht="15" hidden="false" customHeight="false" outlineLevel="0" collapsed="false">
      <c r="A172" s="4" t="s">
        <v>628</v>
      </c>
      <c r="B172" s="4" t="s">
        <v>100</v>
      </c>
      <c r="C172" s="4" t="n">
        <v>46262.0076157407</v>
      </c>
      <c r="D172" s="4" t="n">
        <v>108</v>
      </c>
    </row>
    <row r="173" customFormat="false" ht="15" hidden="false" customHeight="false" outlineLevel="0" collapsed="false">
      <c r="A173" s="4" t="s">
        <v>632</v>
      </c>
      <c r="B173" s="4" t="s">
        <v>100</v>
      </c>
      <c r="C173" s="4" t="n">
        <v>46262.1741435185</v>
      </c>
      <c r="D173" s="4" t="n">
        <v>109</v>
      </c>
    </row>
    <row r="174" customFormat="false" ht="15" hidden="false" customHeight="false" outlineLevel="0" collapsed="false">
      <c r="A174" s="4" t="s">
        <v>637</v>
      </c>
      <c r="B174" s="4" t="s">
        <v>100</v>
      </c>
      <c r="C174" s="4" t="n">
        <v>46262.3392476852</v>
      </c>
      <c r="D174" s="4" t="n">
        <v>110</v>
      </c>
    </row>
    <row r="175" customFormat="false" ht="15" hidden="false" customHeight="false" outlineLevel="0" collapsed="false">
      <c r="A175" s="4" t="s">
        <v>640</v>
      </c>
      <c r="B175" s="4" t="s">
        <v>100</v>
      </c>
      <c r="C175" s="4" t="n">
        <v>46262.5082407407</v>
      </c>
      <c r="D175" s="4" t="n">
        <v>111</v>
      </c>
    </row>
    <row r="176" customFormat="false" ht="15" hidden="false" customHeight="false" outlineLevel="0" collapsed="false">
      <c r="A176" s="4" t="s">
        <v>644</v>
      </c>
      <c r="B176" s="4" t="s">
        <v>100</v>
      </c>
      <c r="C176" s="4" t="n">
        <v>46262.6737962963</v>
      </c>
      <c r="D176" s="4" t="n">
        <v>112</v>
      </c>
    </row>
    <row r="177" customFormat="false" ht="15" hidden="false" customHeight="false" outlineLevel="0" collapsed="false">
      <c r="A177" s="4" t="s">
        <v>648</v>
      </c>
      <c r="B177" s="4" t="s">
        <v>100</v>
      </c>
      <c r="C177" s="4" t="n">
        <v>46262.8400925926</v>
      </c>
      <c r="D177" s="4" t="n">
        <v>113</v>
      </c>
    </row>
    <row r="178" customFormat="false" ht="15" hidden="false" customHeight="false" outlineLevel="0" collapsed="false">
      <c r="A178" s="4" t="s">
        <v>651</v>
      </c>
      <c r="B178" s="4" t="s">
        <v>100</v>
      </c>
      <c r="C178" s="4" t="n">
        <v>46263.0075925926</v>
      </c>
      <c r="D178" s="4" t="n">
        <v>114</v>
      </c>
    </row>
    <row r="179" customFormat="false" ht="15" hidden="false" customHeight="false" outlineLevel="0" collapsed="false">
      <c r="A179" s="4" t="s">
        <v>655</v>
      </c>
      <c r="B179" s="4" t="s">
        <v>100</v>
      </c>
      <c r="C179" s="4" t="n">
        <v>46263.1737847222</v>
      </c>
      <c r="D179" s="4" t="n">
        <v>115</v>
      </c>
    </row>
    <row r="180" customFormat="false" ht="15" hidden="false" customHeight="false" outlineLevel="0" collapsed="false">
      <c r="A180" s="4" t="s">
        <v>660</v>
      </c>
      <c r="B180" s="4" t="s">
        <v>100</v>
      </c>
      <c r="C180" s="4" t="n">
        <v>46263.3383912037</v>
      </c>
      <c r="D180" s="4" t="n">
        <v>116</v>
      </c>
    </row>
    <row r="181" customFormat="false" ht="15" hidden="false" customHeight="false" outlineLevel="0" collapsed="false">
      <c r="A181" s="4" t="s">
        <v>664</v>
      </c>
      <c r="B181" s="4" t="s">
        <v>100</v>
      </c>
      <c r="C181" s="4" t="n">
        <v>46263.5068171296</v>
      </c>
      <c r="D181" s="4" t="n">
        <v>117</v>
      </c>
    </row>
    <row r="182" customFormat="false" ht="15" hidden="false" customHeight="false" outlineLevel="0" collapsed="false">
      <c r="A182" s="4" t="s">
        <v>668</v>
      </c>
      <c r="B182" s="4" t="s">
        <v>100</v>
      </c>
      <c r="C182" s="4" t="n">
        <v>46263.6720601852</v>
      </c>
      <c r="D182" s="4" t="n">
        <v>118</v>
      </c>
    </row>
    <row r="183" customFormat="false" ht="15" hidden="false" customHeight="false" outlineLevel="0" collapsed="false">
      <c r="A183" s="4" t="s">
        <v>672</v>
      </c>
      <c r="B183" s="4" t="s">
        <v>100</v>
      </c>
      <c r="C183" s="4" t="n">
        <v>46263.8401967593</v>
      </c>
      <c r="D183" s="4" t="n">
        <v>119</v>
      </c>
    </row>
    <row r="184" customFormat="false" ht="15" hidden="false" customHeight="false" outlineLevel="0" collapsed="false">
      <c r="A184" s="4" t="s">
        <v>675</v>
      </c>
      <c r="B184" s="4" t="s">
        <v>100</v>
      </c>
      <c r="C184" s="4" t="n">
        <v>46264.0065509259</v>
      </c>
      <c r="D184" s="4" t="n">
        <v>120</v>
      </c>
    </row>
    <row r="185" customFormat="false" ht="15" hidden="false" customHeight="false" outlineLevel="0" collapsed="false">
      <c r="A185" s="4" t="s">
        <v>679</v>
      </c>
      <c r="B185" s="4" t="s">
        <v>100</v>
      </c>
      <c r="C185" s="4" t="n">
        <v>46264.1721759259</v>
      </c>
      <c r="D185" s="4" t="n">
        <v>121</v>
      </c>
    </row>
    <row r="186" customFormat="false" ht="15" hidden="false" customHeight="false" outlineLevel="0" collapsed="false">
      <c r="A186" s="4" t="s">
        <v>684</v>
      </c>
      <c r="B186" s="4" t="s">
        <v>100</v>
      </c>
      <c r="C186" s="4" t="n">
        <v>46264.341087963</v>
      </c>
      <c r="D186" s="4" t="n">
        <v>122</v>
      </c>
    </row>
    <row r="187" customFormat="false" ht="15" hidden="false" customHeight="false" outlineLevel="0" collapsed="false">
      <c r="A187" s="4" t="s">
        <v>689</v>
      </c>
      <c r="B187" s="4" t="s">
        <v>100</v>
      </c>
      <c r="C187" s="4" t="n">
        <v>46264.5063888889</v>
      </c>
      <c r="D187" s="4" t="n">
        <v>123</v>
      </c>
    </row>
    <row r="188" customFormat="false" ht="15" hidden="false" customHeight="false" outlineLevel="0" collapsed="false">
      <c r="A188" s="4" t="s">
        <v>693</v>
      </c>
      <c r="B188" s="4" t="s">
        <v>100</v>
      </c>
      <c r="C188" s="4" t="n">
        <v>46264.6721180556</v>
      </c>
      <c r="D188" s="4" t="n">
        <v>124</v>
      </c>
    </row>
    <row r="189" customFormat="false" ht="15" hidden="false" customHeight="false" outlineLevel="0" collapsed="false">
      <c r="A189" s="4" t="s">
        <v>697</v>
      </c>
      <c r="B189" s="4" t="s">
        <v>100</v>
      </c>
      <c r="C189" s="4" t="n">
        <v>46264.8384722222</v>
      </c>
      <c r="D189" s="4" t="n">
        <v>125</v>
      </c>
    </row>
    <row r="190" customFormat="false" ht="15" hidden="false" customHeight="false" outlineLevel="0" collapsed="false">
      <c r="A190" s="4" t="s">
        <v>700</v>
      </c>
      <c r="B190" s="4" t="s">
        <v>100</v>
      </c>
      <c r="C190" s="4" t="n">
        <v>46265.006724537</v>
      </c>
      <c r="D190" s="4" t="n">
        <v>126</v>
      </c>
    </row>
    <row r="191" customFormat="false" ht="15" hidden="false" customHeight="false" outlineLevel="0" collapsed="false">
      <c r="A191" s="4" t="s">
        <v>704</v>
      </c>
      <c r="B191" s="4" t="s">
        <v>100</v>
      </c>
      <c r="C191" s="4" t="n">
        <v>46265.1732291667</v>
      </c>
      <c r="D191" s="4" t="n">
        <v>127</v>
      </c>
    </row>
    <row r="192" customFormat="false" ht="15" hidden="false" customHeight="false" outlineLevel="0" collapsed="false">
      <c r="A192" s="4" t="s">
        <v>709</v>
      </c>
      <c r="B192" s="4" t="s">
        <v>100</v>
      </c>
      <c r="C192" s="4" t="n">
        <v>46265.3396527778</v>
      </c>
      <c r="D192" s="4" t="n">
        <v>128</v>
      </c>
    </row>
    <row r="193" customFormat="false" ht="15" hidden="false" customHeight="false" outlineLevel="0" collapsed="false">
      <c r="A193" s="4" t="s">
        <v>712</v>
      </c>
      <c r="B193" s="4" t="s">
        <v>100</v>
      </c>
      <c r="C193" s="4" t="n">
        <v>46265.5060532407</v>
      </c>
      <c r="D193" s="4" t="n">
        <v>129</v>
      </c>
    </row>
    <row r="194" customFormat="false" ht="15" hidden="false" customHeight="false" outlineLevel="0" collapsed="false">
      <c r="A194" s="4" t="s">
        <v>715</v>
      </c>
      <c r="B194" s="4" t="s">
        <v>100</v>
      </c>
      <c r="C194" s="4" t="n">
        <v>46265.6744907407</v>
      </c>
      <c r="D194" s="4" t="n">
        <v>130</v>
      </c>
    </row>
    <row r="195" customFormat="false" ht="15" hidden="false" customHeight="false" outlineLevel="0" collapsed="false">
      <c r="A195" s="4" t="s">
        <v>720</v>
      </c>
      <c r="B195" s="4" t="s">
        <v>100</v>
      </c>
      <c r="C195" s="4" t="n">
        <v>46265.840462963</v>
      </c>
      <c r="D195" s="4" t="n">
        <v>131</v>
      </c>
    </row>
    <row r="196" customFormat="false" ht="15" hidden="false" customHeight="false" outlineLevel="0" collapsed="false">
      <c r="A196" s="4" t="s">
        <v>723</v>
      </c>
      <c r="B196" s="4" t="s">
        <v>100</v>
      </c>
      <c r="C196" s="4" t="n">
        <v>46266.0071412037</v>
      </c>
      <c r="D196" s="4" t="n">
        <v>132</v>
      </c>
    </row>
    <row r="197" customFormat="false" ht="15" hidden="false" customHeight="false" outlineLevel="0" collapsed="false">
      <c r="A197" s="4" t="s">
        <v>727</v>
      </c>
      <c r="B197" s="4" t="s">
        <v>100</v>
      </c>
      <c r="C197" s="4" t="n">
        <v>46266.1726388889</v>
      </c>
      <c r="D197" s="4" t="n">
        <v>133</v>
      </c>
    </row>
    <row r="198" customFormat="false" ht="15" hidden="false" customHeight="false" outlineLevel="0" collapsed="false">
      <c r="A198" s="4" t="s">
        <v>732</v>
      </c>
      <c r="B198" s="4" t="s">
        <v>100</v>
      </c>
      <c r="C198" s="4" t="n">
        <v>46266.3394097222</v>
      </c>
      <c r="D198" s="4" t="n">
        <v>134</v>
      </c>
    </row>
    <row r="199" customFormat="false" ht="15" hidden="false" customHeight="false" outlineLevel="0" collapsed="false">
      <c r="A199" s="4" t="s">
        <v>735</v>
      </c>
      <c r="B199" s="4" t="s">
        <v>100</v>
      </c>
      <c r="C199" s="4" t="n">
        <v>46266.5085416667</v>
      </c>
      <c r="D199" s="4" t="n">
        <v>135</v>
      </c>
    </row>
    <row r="200" customFormat="false" ht="15" hidden="false" customHeight="false" outlineLevel="0" collapsed="false">
      <c r="A200" s="4" t="s">
        <v>739</v>
      </c>
      <c r="B200" s="4" t="s">
        <v>100</v>
      </c>
      <c r="C200" s="4" t="n">
        <v>46266.6767013889</v>
      </c>
      <c r="D200" s="4" t="n">
        <v>136</v>
      </c>
    </row>
    <row r="201" customFormat="false" ht="15" hidden="false" customHeight="false" outlineLevel="0" collapsed="false">
      <c r="A201" s="4" t="s">
        <v>743</v>
      </c>
      <c r="B201" s="4" t="s">
        <v>100</v>
      </c>
      <c r="C201" s="4" t="n">
        <v>46266.8407407407</v>
      </c>
      <c r="D201" s="4" t="n">
        <v>137</v>
      </c>
    </row>
    <row r="202" customFormat="false" ht="15" hidden="false" customHeight="false" outlineLevel="0" collapsed="false">
      <c r="A202" s="4" t="s">
        <v>746</v>
      </c>
      <c r="B202" s="4" t="s">
        <v>100</v>
      </c>
      <c r="C202" s="4" t="n">
        <v>46267.0073611111</v>
      </c>
      <c r="D202" s="4" t="n">
        <v>138</v>
      </c>
    </row>
    <row r="203" customFormat="false" ht="15" hidden="false" customHeight="false" outlineLevel="0" collapsed="false">
      <c r="A203" s="4" t="s">
        <v>750</v>
      </c>
      <c r="B203" s="4" t="s">
        <v>100</v>
      </c>
      <c r="C203" s="4" t="n">
        <v>46267.1741203704</v>
      </c>
      <c r="D203" s="4" t="n">
        <v>139</v>
      </c>
    </row>
    <row r="204" customFormat="false" ht="15" hidden="false" customHeight="false" outlineLevel="0" collapsed="false">
      <c r="A204" s="4" t="s">
        <v>755</v>
      </c>
      <c r="B204" s="4" t="s">
        <v>100</v>
      </c>
      <c r="C204" s="4" t="n">
        <v>46267.3403125</v>
      </c>
      <c r="D204" s="4" t="n">
        <v>140</v>
      </c>
    </row>
    <row r="205" customFormat="false" ht="15" hidden="false" customHeight="false" outlineLevel="0" collapsed="false">
      <c r="A205" s="4" t="s">
        <v>758</v>
      </c>
      <c r="B205" s="4" t="s">
        <v>100</v>
      </c>
      <c r="C205" s="4" t="n">
        <v>46267.5087037037</v>
      </c>
      <c r="D205" s="4" t="n">
        <v>141</v>
      </c>
    </row>
    <row r="206" customFormat="false" ht="15" hidden="false" customHeight="false" outlineLevel="0" collapsed="false">
      <c r="A206" s="4" t="s">
        <v>762</v>
      </c>
      <c r="B206" s="4" t="s">
        <v>100</v>
      </c>
      <c r="C206" s="4" t="n">
        <v>46267.6735763889</v>
      </c>
      <c r="D206" s="4" t="n">
        <v>142</v>
      </c>
    </row>
    <row r="207" customFormat="false" ht="15" hidden="false" customHeight="false" outlineLevel="0" collapsed="false">
      <c r="A207" s="4" t="s">
        <v>766</v>
      </c>
      <c r="B207" s="4" t="s">
        <v>100</v>
      </c>
      <c r="C207" s="4" t="n">
        <v>46267.8419791667</v>
      </c>
      <c r="D207" s="4" t="n">
        <v>143</v>
      </c>
    </row>
    <row r="208" customFormat="false" ht="15" hidden="false" customHeight="false" outlineLevel="0" collapsed="false">
      <c r="A208" s="4" t="s">
        <v>769</v>
      </c>
      <c r="B208" s="4" t="s">
        <v>100</v>
      </c>
      <c r="C208" s="4" t="n">
        <v>46268.0074884259</v>
      </c>
      <c r="D208" s="4" t="n">
        <v>144</v>
      </c>
    </row>
    <row r="209" customFormat="false" ht="15" hidden="false" customHeight="false" outlineLevel="0" collapsed="false">
      <c r="A209" s="4" t="s">
        <v>773</v>
      </c>
      <c r="B209" s="4" t="s">
        <v>100</v>
      </c>
      <c r="C209" s="4" t="n">
        <v>46268.1722337963</v>
      </c>
      <c r="D209" s="4" t="n">
        <v>145</v>
      </c>
    </row>
    <row r="210" customFormat="false" ht="15" hidden="false" customHeight="false" outlineLevel="0" collapsed="false">
      <c r="A210" s="4" t="s">
        <v>778</v>
      </c>
      <c r="B210" s="4" t="s">
        <v>100</v>
      </c>
      <c r="C210" s="4" t="n">
        <v>46268.3396875</v>
      </c>
      <c r="D210" s="4" t="n">
        <v>146</v>
      </c>
    </row>
    <row r="211" customFormat="false" ht="15" hidden="false" customHeight="false" outlineLevel="0" collapsed="false">
      <c r="A211" s="4" t="s">
        <v>781</v>
      </c>
      <c r="B211" s="4" t="s">
        <v>100</v>
      </c>
      <c r="C211" s="4" t="n">
        <v>46268.5083449074</v>
      </c>
      <c r="D211" s="4" t="n">
        <v>147</v>
      </c>
    </row>
    <row r="212" customFormat="false" ht="15" hidden="false" customHeight="false" outlineLevel="0" collapsed="false">
      <c r="A212" s="4" t="s">
        <v>785</v>
      </c>
      <c r="B212" s="4" t="s">
        <v>100</v>
      </c>
      <c r="C212" s="4" t="n">
        <v>46268.676099537</v>
      </c>
      <c r="D212" s="4" t="n">
        <v>148</v>
      </c>
    </row>
    <row r="213" customFormat="false" ht="15" hidden="false" customHeight="false" outlineLevel="0" collapsed="false">
      <c r="A213" s="4" t="s">
        <v>789</v>
      </c>
      <c r="B213" s="4" t="s">
        <v>100</v>
      </c>
      <c r="C213" s="4" t="n">
        <v>46268.8403472222</v>
      </c>
      <c r="D213" s="4" t="n">
        <v>149</v>
      </c>
    </row>
    <row r="214" customFormat="false" ht="15" hidden="false" customHeight="false" outlineLevel="0" collapsed="false">
      <c r="A214" s="4" t="s">
        <v>792</v>
      </c>
      <c r="B214" s="4" t="s">
        <v>100</v>
      </c>
      <c r="C214" s="4" t="n">
        <v>46269.0078703704</v>
      </c>
      <c r="D214" s="4" t="n">
        <v>150</v>
      </c>
    </row>
    <row r="215" customFormat="false" ht="15" hidden="false" customHeight="false" outlineLevel="0" collapsed="false">
      <c r="A215" s="4" t="s">
        <v>796</v>
      </c>
      <c r="B215" s="4" t="s">
        <v>100</v>
      </c>
      <c r="C215" s="4" t="n">
        <v>46269.1738078704</v>
      </c>
      <c r="D215" s="4" t="n">
        <v>151</v>
      </c>
    </row>
    <row r="216" customFormat="false" ht="15" hidden="false" customHeight="false" outlineLevel="0" collapsed="false">
      <c r="A216" s="4" t="s">
        <v>801</v>
      </c>
      <c r="B216" s="4" t="s">
        <v>100</v>
      </c>
      <c r="C216" s="4" t="n">
        <v>46269.3409837963</v>
      </c>
      <c r="D216" s="4" t="n">
        <v>152</v>
      </c>
    </row>
    <row r="217" customFormat="false" ht="15" hidden="false" customHeight="false" outlineLevel="0" collapsed="false">
      <c r="A217" s="4" t="s">
        <v>805</v>
      </c>
      <c r="B217" s="4" t="s">
        <v>100</v>
      </c>
      <c r="C217" s="4" t="n">
        <v>46269.5246412037</v>
      </c>
      <c r="D217" s="4" t="n">
        <v>153</v>
      </c>
    </row>
    <row r="218" customFormat="false" ht="15" hidden="false" customHeight="false" outlineLevel="0" collapsed="false">
      <c r="A218" s="4" t="s">
        <v>809</v>
      </c>
      <c r="B218" s="4" t="s">
        <v>100</v>
      </c>
      <c r="C218" s="4" t="n">
        <v>46269.6747222222</v>
      </c>
      <c r="D218" s="4" t="n">
        <v>154</v>
      </c>
    </row>
    <row r="219" customFormat="false" ht="15" hidden="false" customHeight="false" outlineLevel="0" collapsed="false">
      <c r="A219" s="4" t="s">
        <v>813</v>
      </c>
      <c r="B219" s="4" t="s">
        <v>100</v>
      </c>
      <c r="C219" s="4" t="n">
        <v>46269.8399768519</v>
      </c>
      <c r="D219" s="4" t="n">
        <v>155</v>
      </c>
    </row>
    <row r="220" customFormat="false" ht="15" hidden="false" customHeight="false" outlineLevel="0" collapsed="false">
      <c r="A220" s="4" t="s">
        <v>817</v>
      </c>
      <c r="B220" s="4" t="s">
        <v>100</v>
      </c>
      <c r="C220" s="4" t="n">
        <v>46270.0084606482</v>
      </c>
      <c r="D220" s="4" t="n">
        <v>156</v>
      </c>
    </row>
    <row r="221" customFormat="false" ht="15" hidden="false" customHeight="false" outlineLevel="0" collapsed="false">
      <c r="A221" s="4" t="s">
        <v>821</v>
      </c>
      <c r="B221" s="4" t="s">
        <v>100</v>
      </c>
      <c r="C221" s="4" t="n">
        <v>46270.1741087963</v>
      </c>
      <c r="D221" s="4" t="n">
        <v>157</v>
      </c>
    </row>
    <row r="222" customFormat="false" ht="15" hidden="false" customHeight="false" outlineLevel="0" collapsed="false">
      <c r="A222" s="4" t="s">
        <v>826</v>
      </c>
      <c r="B222" s="4" t="s">
        <v>100</v>
      </c>
      <c r="C222" s="4" t="n">
        <v>46270.3398611111</v>
      </c>
      <c r="D222" s="4" t="n">
        <v>158</v>
      </c>
    </row>
    <row r="223" customFormat="false" ht="15" hidden="false" customHeight="false" outlineLevel="0" collapsed="false">
      <c r="A223" s="4" t="s">
        <v>829</v>
      </c>
      <c r="B223" s="4" t="s">
        <v>100</v>
      </c>
      <c r="C223" s="4" t="n">
        <v>46270.5082638889</v>
      </c>
      <c r="D223" s="4" t="n">
        <v>159</v>
      </c>
    </row>
    <row r="224" customFormat="false" ht="15" hidden="false" customHeight="false" outlineLevel="0" collapsed="false">
      <c r="A224" s="4" t="s">
        <v>833</v>
      </c>
      <c r="B224" s="4" t="s">
        <v>100</v>
      </c>
      <c r="C224" s="4" t="n">
        <v>46270.6733333333</v>
      </c>
      <c r="D224" s="4" t="n">
        <v>160</v>
      </c>
    </row>
    <row r="225" customFormat="false" ht="15" hidden="false" customHeight="false" outlineLevel="0" collapsed="false">
      <c r="A225" s="4" t="s">
        <v>837</v>
      </c>
      <c r="B225" s="4" t="s">
        <v>100</v>
      </c>
      <c r="C225" s="4" t="n">
        <v>46270.8411805556</v>
      </c>
      <c r="D225" s="4" t="n">
        <v>161</v>
      </c>
    </row>
    <row r="226" customFormat="false" ht="15" hidden="false" customHeight="false" outlineLevel="0" collapsed="false">
      <c r="A226" s="4" t="s">
        <v>840</v>
      </c>
      <c r="B226" s="4" t="s">
        <v>100</v>
      </c>
      <c r="C226" s="4" t="n">
        <v>46271.007650463</v>
      </c>
      <c r="D226" s="4" t="n">
        <v>162</v>
      </c>
    </row>
    <row r="227" customFormat="false" ht="15" hidden="false" customHeight="false" outlineLevel="0" collapsed="false">
      <c r="A227" s="4" t="s">
        <v>844</v>
      </c>
      <c r="B227" s="4" t="s">
        <v>100</v>
      </c>
      <c r="C227" s="4" t="n">
        <v>46271.1709259259</v>
      </c>
      <c r="D227" s="4" t="n">
        <v>163</v>
      </c>
    </row>
    <row r="228" customFormat="false" ht="15" hidden="false" customHeight="false" outlineLevel="0" collapsed="false">
      <c r="A228" s="4" t="s">
        <v>849</v>
      </c>
      <c r="B228" s="4" t="s">
        <v>100</v>
      </c>
      <c r="C228" s="4" t="n">
        <v>46271.3396412037</v>
      </c>
      <c r="D228" s="4" t="n">
        <v>164</v>
      </c>
    </row>
    <row r="229" customFormat="false" ht="15" hidden="false" customHeight="false" outlineLevel="0" collapsed="false">
      <c r="A229" s="4" t="s">
        <v>852</v>
      </c>
      <c r="B229" s="4" t="s">
        <v>100</v>
      </c>
      <c r="C229" s="4" t="n">
        <v>46271.5061689815</v>
      </c>
      <c r="D229" s="4" t="n">
        <v>165</v>
      </c>
    </row>
    <row r="230" customFormat="false" ht="15" hidden="false" customHeight="false" outlineLevel="0" collapsed="false">
      <c r="A230" s="4" t="s">
        <v>856</v>
      </c>
      <c r="B230" s="4" t="s">
        <v>100</v>
      </c>
      <c r="C230" s="4" t="n">
        <v>46271.6740625</v>
      </c>
      <c r="D230" s="4" t="n">
        <v>166</v>
      </c>
    </row>
    <row r="231" customFormat="false" ht="15" hidden="false" customHeight="false" outlineLevel="0" collapsed="false">
      <c r="A231" s="4" t="s">
        <v>860</v>
      </c>
      <c r="B231" s="4" t="s">
        <v>100</v>
      </c>
      <c r="C231" s="4" t="n">
        <v>46271.8397800926</v>
      </c>
      <c r="D231" s="4" t="n">
        <v>167</v>
      </c>
    </row>
    <row r="232" customFormat="false" ht="15" hidden="false" customHeight="false" outlineLevel="0" collapsed="false">
      <c r="A232" s="4" t="s">
        <v>863</v>
      </c>
      <c r="B232" s="4" t="s">
        <v>100</v>
      </c>
      <c r="C232" s="4" t="n">
        <v>46272.0055092593</v>
      </c>
      <c r="D232" s="4" t="n">
        <v>168</v>
      </c>
    </row>
    <row r="233" customFormat="false" ht="15" hidden="false" customHeight="false" outlineLevel="0" collapsed="false">
      <c r="A233" s="4" t="s">
        <v>867</v>
      </c>
      <c r="B233" s="4" t="s">
        <v>100</v>
      </c>
      <c r="C233" s="4" t="n">
        <v>46272.1732523148</v>
      </c>
      <c r="D233" s="4" t="n">
        <v>169</v>
      </c>
    </row>
    <row r="234" customFormat="false" ht="15" hidden="false" customHeight="false" outlineLevel="0" collapsed="false">
      <c r="A234" s="4" t="s">
        <v>872</v>
      </c>
      <c r="B234" s="4" t="s">
        <v>100</v>
      </c>
      <c r="C234" s="4" t="n">
        <v>46272.3390625</v>
      </c>
      <c r="D234" s="4" t="n">
        <v>170</v>
      </c>
    </row>
    <row r="235" customFormat="false" ht="15" hidden="false" customHeight="false" outlineLevel="0" collapsed="false">
      <c r="A235" s="4" t="s">
        <v>875</v>
      </c>
      <c r="B235" s="4" t="s">
        <v>100</v>
      </c>
      <c r="C235" s="4" t="n">
        <v>46272.5078009259</v>
      </c>
      <c r="D235" s="4" t="n">
        <v>171</v>
      </c>
    </row>
    <row r="236" customFormat="false" ht="15" hidden="false" customHeight="false" outlineLevel="0" collapsed="false">
      <c r="A236" s="4" t="s">
        <v>879</v>
      </c>
      <c r="B236" s="4" t="s">
        <v>100</v>
      </c>
      <c r="C236" s="4" t="n">
        <v>46272.6732986111</v>
      </c>
      <c r="D236" s="4" t="n">
        <v>172</v>
      </c>
    </row>
    <row r="237" customFormat="false" ht="15" hidden="false" customHeight="false" outlineLevel="0" collapsed="false">
      <c r="A237" s="4" t="s">
        <v>885</v>
      </c>
      <c r="B237" s="4" t="s">
        <v>100</v>
      </c>
      <c r="C237" s="4" t="n">
        <v>46272.8429282407</v>
      </c>
      <c r="D237" s="4" t="n">
        <v>173</v>
      </c>
    </row>
    <row r="238" customFormat="false" ht="15" hidden="false" customHeight="false" outlineLevel="0" collapsed="false">
      <c r="A238" s="4" t="s">
        <v>888</v>
      </c>
      <c r="B238" s="4" t="s">
        <v>100</v>
      </c>
      <c r="C238" s="4" t="n">
        <v>46273.0069907407</v>
      </c>
      <c r="D238" s="4" t="n">
        <v>174</v>
      </c>
    </row>
    <row r="239" customFormat="false" ht="15" hidden="false" customHeight="false" outlineLevel="0" collapsed="false">
      <c r="A239" s="4" t="s">
        <v>892</v>
      </c>
      <c r="B239" s="4" t="s">
        <v>100</v>
      </c>
      <c r="C239" s="4" t="n">
        <v>46273.1747800926</v>
      </c>
      <c r="D239" s="4" t="n">
        <v>175</v>
      </c>
    </row>
    <row r="240" customFormat="false" ht="15" hidden="false" customHeight="false" outlineLevel="0" collapsed="false">
      <c r="A240" s="4" t="s">
        <v>897</v>
      </c>
      <c r="B240" s="4" t="s">
        <v>100</v>
      </c>
      <c r="C240" s="4" t="n">
        <v>46273.3397222222</v>
      </c>
      <c r="D240" s="4" t="n">
        <v>176</v>
      </c>
    </row>
    <row r="241" customFormat="false" ht="15" hidden="false" customHeight="false" outlineLevel="0" collapsed="false">
      <c r="A241" s="4" t="s">
        <v>900</v>
      </c>
      <c r="B241" s="4" t="s">
        <v>100</v>
      </c>
      <c r="C241" s="4" t="n">
        <v>46273.5073726852</v>
      </c>
      <c r="D241" s="4" t="n">
        <v>177</v>
      </c>
    </row>
    <row r="242" customFormat="false" ht="15" hidden="false" customHeight="false" outlineLevel="0" collapsed="false">
      <c r="A242" s="4" t="s">
        <v>904</v>
      </c>
      <c r="B242" s="4" t="s">
        <v>100</v>
      </c>
      <c r="C242" s="4" t="n">
        <v>46273.6737847222</v>
      </c>
      <c r="D242" s="4" t="n">
        <v>178</v>
      </c>
    </row>
    <row r="243" customFormat="false" ht="15" hidden="false" customHeight="false" outlineLevel="0" collapsed="false">
      <c r="A243" s="4" t="s">
        <v>908</v>
      </c>
      <c r="B243" s="4" t="s">
        <v>100</v>
      </c>
      <c r="C243" s="4" t="n">
        <v>46273.840474537</v>
      </c>
      <c r="D243" s="4" t="n">
        <v>179</v>
      </c>
    </row>
    <row r="244" customFormat="false" ht="15" hidden="false" customHeight="false" outlineLevel="0" collapsed="false">
      <c r="A244" s="4" t="s">
        <v>911</v>
      </c>
      <c r="B244" s="4" t="s">
        <v>100</v>
      </c>
      <c r="C244" s="4" t="n">
        <v>46274.0084722222</v>
      </c>
      <c r="D244" s="4" t="n">
        <v>180</v>
      </c>
    </row>
    <row r="245" customFormat="false" ht="15" hidden="false" customHeight="false" outlineLevel="0" collapsed="false">
      <c r="A245" s="4" t="s">
        <v>915</v>
      </c>
      <c r="B245" s="4" t="s">
        <v>100</v>
      </c>
      <c r="C245" s="4" t="n">
        <v>46274.1730324074</v>
      </c>
      <c r="D245" s="4" t="n">
        <v>181</v>
      </c>
    </row>
    <row r="246" customFormat="false" ht="15" hidden="false" customHeight="false" outlineLevel="0" collapsed="false">
      <c r="A246" s="4" t="s">
        <v>920</v>
      </c>
      <c r="B246" s="4" t="s">
        <v>100</v>
      </c>
      <c r="C246" s="4" t="n">
        <v>46274.3409027778</v>
      </c>
      <c r="D246" s="4" t="n">
        <v>182</v>
      </c>
    </row>
    <row r="247" customFormat="false" ht="15" hidden="false" customHeight="false" outlineLevel="0" collapsed="false">
      <c r="A247" s="4" t="s">
        <v>924</v>
      </c>
      <c r="B247" s="4" t="s">
        <v>100</v>
      </c>
      <c r="C247" s="4" t="n">
        <v>46274.5080324074</v>
      </c>
      <c r="D247" s="4" t="n">
        <v>183</v>
      </c>
    </row>
    <row r="248" customFormat="false" ht="15" hidden="false" customHeight="false" outlineLevel="0" collapsed="false">
      <c r="A248" s="4" t="s">
        <v>928</v>
      </c>
      <c r="B248" s="4" t="s">
        <v>100</v>
      </c>
      <c r="C248" s="4" t="n">
        <v>46274.6738078704</v>
      </c>
      <c r="D248" s="4" t="n">
        <v>184</v>
      </c>
    </row>
    <row r="249" customFormat="false" ht="15" hidden="false" customHeight="false" outlineLevel="0" collapsed="false">
      <c r="A249" s="4" t="s">
        <v>932</v>
      </c>
      <c r="B249" s="4" t="s">
        <v>100</v>
      </c>
      <c r="C249" s="4" t="n">
        <v>46274.8394444444</v>
      </c>
      <c r="D249" s="4" t="n">
        <v>185</v>
      </c>
    </row>
    <row r="250" customFormat="false" ht="15" hidden="false" customHeight="false" outlineLevel="0" collapsed="false">
      <c r="A250" s="4" t="s">
        <v>935</v>
      </c>
      <c r="B250" s="4" t="s">
        <v>100</v>
      </c>
      <c r="C250" s="4" t="n">
        <v>46275.005775463</v>
      </c>
      <c r="D250" s="4" t="n">
        <v>186</v>
      </c>
    </row>
    <row r="251" customFormat="false" ht="15" hidden="false" customHeight="false" outlineLevel="0" collapsed="false">
      <c r="A251" s="4" t="s">
        <v>939</v>
      </c>
      <c r="B251" s="4" t="s">
        <v>100</v>
      </c>
      <c r="C251" s="4" t="n">
        <v>46275.1734837963</v>
      </c>
      <c r="D251" s="4" t="n">
        <v>187</v>
      </c>
    </row>
    <row r="252" customFormat="false" ht="15" hidden="false" customHeight="false" outlineLevel="0" collapsed="false">
      <c r="A252" s="4" t="s">
        <v>944</v>
      </c>
      <c r="B252" s="4" t="s">
        <v>100</v>
      </c>
      <c r="C252" s="4" t="n">
        <v>46275.3392361111</v>
      </c>
      <c r="D252" s="4" t="n">
        <v>188</v>
      </c>
    </row>
    <row r="253" customFormat="false" ht="15" hidden="false" customHeight="false" outlineLevel="0" collapsed="false">
      <c r="A253" s="4" t="s">
        <v>948</v>
      </c>
      <c r="B253" s="4" t="s">
        <v>100</v>
      </c>
      <c r="C253" s="4" t="n">
        <v>46275.507349537</v>
      </c>
      <c r="D253" s="4" t="n">
        <v>189</v>
      </c>
    </row>
    <row r="254" customFormat="false" ht="15" hidden="false" customHeight="false" outlineLevel="0" collapsed="false">
      <c r="A254" s="4" t="s">
        <v>952</v>
      </c>
      <c r="B254" s="4" t="s">
        <v>100</v>
      </c>
      <c r="C254" s="4" t="n">
        <v>46275.6741319444</v>
      </c>
      <c r="D254" s="4" t="n">
        <v>190</v>
      </c>
    </row>
    <row r="255" customFormat="false" ht="15" hidden="false" customHeight="false" outlineLevel="0" collapsed="false">
      <c r="A255" s="4" t="s">
        <v>956</v>
      </c>
      <c r="B255" s="4" t="s">
        <v>100</v>
      </c>
      <c r="C255" s="4" t="n">
        <v>46275.8419444444</v>
      </c>
      <c r="D255" s="4" t="n">
        <v>191</v>
      </c>
    </row>
    <row r="256" customFormat="false" ht="15" hidden="false" customHeight="false" outlineLevel="0" collapsed="false">
      <c r="A256" s="4" t="s">
        <v>959</v>
      </c>
      <c r="B256" s="4" t="s">
        <v>100</v>
      </c>
      <c r="C256" s="4" t="n">
        <v>46276.0081134259</v>
      </c>
      <c r="D256" s="4" t="n">
        <v>192</v>
      </c>
    </row>
    <row r="257" customFormat="false" ht="15" hidden="false" customHeight="false" outlineLevel="0" collapsed="false">
      <c r="A257" s="4" t="s">
        <v>963</v>
      </c>
      <c r="B257" s="4" t="s">
        <v>100</v>
      </c>
      <c r="C257" s="4" t="n">
        <v>46276.1714467593</v>
      </c>
      <c r="D257" s="4" t="n">
        <v>193</v>
      </c>
    </row>
    <row r="258" customFormat="false" ht="15" hidden="false" customHeight="false" outlineLevel="0" collapsed="false">
      <c r="A258" s="4" t="s">
        <v>969</v>
      </c>
      <c r="B258" s="4" t="s">
        <v>100</v>
      </c>
      <c r="C258" s="4" t="n">
        <v>46276.3392939815</v>
      </c>
      <c r="D258" s="4" t="n">
        <v>194</v>
      </c>
    </row>
    <row r="259" customFormat="false" ht="15" hidden="false" customHeight="false" outlineLevel="0" collapsed="false">
      <c r="A259" s="4" t="s">
        <v>972</v>
      </c>
      <c r="B259" s="4" t="s">
        <v>100</v>
      </c>
      <c r="C259" s="4" t="n">
        <v>46276.5094212963</v>
      </c>
      <c r="D259" s="4" t="n">
        <v>195</v>
      </c>
    </row>
    <row r="260" customFormat="false" ht="15" hidden="false" customHeight="false" outlineLevel="0" collapsed="false">
      <c r="A260" s="4" t="s">
        <v>976</v>
      </c>
      <c r="B260" s="4" t="s">
        <v>100</v>
      </c>
      <c r="C260" s="4" t="n">
        <v>46276.676412037</v>
      </c>
      <c r="D260" s="4" t="n">
        <v>196</v>
      </c>
    </row>
    <row r="261" customFormat="false" ht="15" hidden="false" customHeight="false" outlineLevel="0" collapsed="false">
      <c r="A261" s="4" t="s">
        <v>980</v>
      </c>
      <c r="B261" s="4" t="s">
        <v>100</v>
      </c>
      <c r="C261" s="4" t="n">
        <v>46276.8411226852</v>
      </c>
      <c r="D261" s="4" t="n">
        <v>197</v>
      </c>
    </row>
    <row r="262" customFormat="false" ht="15" hidden="false" customHeight="false" outlineLevel="0" collapsed="false">
      <c r="A262" s="4" t="s">
        <v>983</v>
      </c>
      <c r="B262" s="4" t="s">
        <v>100</v>
      </c>
      <c r="C262" s="4" t="n">
        <v>46277.0071875</v>
      </c>
      <c r="D262" s="4" t="n">
        <v>198</v>
      </c>
    </row>
    <row r="263" customFormat="false" ht="15" hidden="false" customHeight="false" outlineLevel="0" collapsed="false">
      <c r="A263" s="4" t="s">
        <v>987</v>
      </c>
      <c r="B263" s="4" t="s">
        <v>100</v>
      </c>
      <c r="C263" s="4" t="n">
        <v>46277.1730902778</v>
      </c>
      <c r="D263" s="4" t="n">
        <v>199</v>
      </c>
    </row>
    <row r="264" customFormat="false" ht="15" hidden="false" customHeight="false" outlineLevel="0" collapsed="false">
      <c r="A264" s="4" t="s">
        <v>992</v>
      </c>
      <c r="B264" s="4" t="s">
        <v>100</v>
      </c>
      <c r="C264" s="4" t="n">
        <v>46277.3413541667</v>
      </c>
      <c r="D264" s="4" t="n">
        <v>200</v>
      </c>
    </row>
    <row r="265" customFormat="false" ht="15" hidden="false" customHeight="false" outlineLevel="0" collapsed="false">
      <c r="A265" s="4" t="s">
        <v>995</v>
      </c>
      <c r="B265" s="4" t="s">
        <v>100</v>
      </c>
      <c r="C265" s="4" t="n">
        <v>46277.5069907407</v>
      </c>
      <c r="D265" s="4" t="n">
        <v>201</v>
      </c>
    </row>
    <row r="266" customFormat="false" ht="15" hidden="false" customHeight="false" outlineLevel="0" collapsed="false">
      <c r="A266" s="4" t="s">
        <v>999</v>
      </c>
      <c r="B266" s="4" t="s">
        <v>100</v>
      </c>
      <c r="C266" s="4" t="n">
        <v>46277.6735532407</v>
      </c>
      <c r="D266" s="4" t="n">
        <v>202</v>
      </c>
    </row>
    <row r="267" customFormat="false" ht="15" hidden="false" customHeight="false" outlineLevel="0" collapsed="false">
      <c r="A267" s="4" t="s">
        <v>1003</v>
      </c>
      <c r="B267" s="4" t="s">
        <v>100</v>
      </c>
      <c r="C267" s="4" t="n">
        <v>46277.8413773148</v>
      </c>
      <c r="D267" s="4" t="n">
        <v>203</v>
      </c>
    </row>
    <row r="268" customFormat="false" ht="15" hidden="false" customHeight="false" outlineLevel="0" collapsed="false">
      <c r="A268" s="4" t="s">
        <v>1006</v>
      </c>
      <c r="B268" s="4" t="s">
        <v>100</v>
      </c>
      <c r="C268" s="4" t="n">
        <v>46278.0074421296</v>
      </c>
      <c r="D268" s="4" t="n">
        <v>204</v>
      </c>
    </row>
    <row r="269" customFormat="false" ht="15" hidden="false" customHeight="false" outlineLevel="0" collapsed="false">
      <c r="A269" s="4" t="s">
        <v>1010</v>
      </c>
      <c r="B269" s="4" t="s">
        <v>100</v>
      </c>
      <c r="C269" s="4" t="n">
        <v>46278.1746527778</v>
      </c>
      <c r="D269" s="4" t="n">
        <v>205</v>
      </c>
    </row>
    <row r="270" customFormat="false" ht="15" hidden="false" customHeight="false" outlineLevel="0" collapsed="false">
      <c r="A270" s="4" t="s">
        <v>1016</v>
      </c>
      <c r="B270" s="4" t="s">
        <v>100</v>
      </c>
      <c r="C270" s="4" t="n">
        <v>46278.3392013889</v>
      </c>
      <c r="D270" s="4" t="n">
        <v>206</v>
      </c>
    </row>
    <row r="271" customFormat="false" ht="15" hidden="false" customHeight="false" outlineLevel="0" collapsed="false">
      <c r="A271" s="4" t="s">
        <v>1019</v>
      </c>
      <c r="B271" s="4" t="s">
        <v>100</v>
      </c>
      <c r="C271" s="4" t="n">
        <v>46278.5067361111</v>
      </c>
      <c r="D271" s="4" t="n">
        <v>207</v>
      </c>
    </row>
    <row r="272" customFormat="false" ht="15" hidden="false" customHeight="false" outlineLevel="0" collapsed="false">
      <c r="A272" s="4" t="s">
        <v>1022</v>
      </c>
      <c r="B272" s="4" t="s">
        <v>100</v>
      </c>
      <c r="C272" s="4" t="n">
        <v>46278.675462963</v>
      </c>
      <c r="D272" s="4" t="n">
        <v>208</v>
      </c>
    </row>
    <row r="273" customFormat="false" ht="15" hidden="false" customHeight="false" outlineLevel="0" collapsed="false">
      <c r="A273" s="4" t="s">
        <v>1027</v>
      </c>
      <c r="B273" s="4" t="s">
        <v>100</v>
      </c>
      <c r="C273" s="4" t="n">
        <v>46278.8408564815</v>
      </c>
      <c r="D273" s="4" t="n">
        <v>209</v>
      </c>
    </row>
    <row r="274" customFormat="false" ht="15" hidden="false" customHeight="false" outlineLevel="0" collapsed="false">
      <c r="A274" s="4" t="s">
        <v>1030</v>
      </c>
      <c r="B274" s="4" t="s">
        <v>100</v>
      </c>
      <c r="C274" s="4" t="n">
        <v>46279.0061921296</v>
      </c>
      <c r="D274" s="4" t="n">
        <v>210</v>
      </c>
    </row>
    <row r="275" customFormat="false" ht="15" hidden="false" customHeight="false" outlineLevel="0" collapsed="false">
      <c r="A275" s="4" t="s">
        <v>1034</v>
      </c>
      <c r="B275" s="4" t="s">
        <v>100</v>
      </c>
      <c r="C275" s="4" t="n">
        <v>46279.1725347222</v>
      </c>
      <c r="D275" s="4" t="n">
        <v>211</v>
      </c>
    </row>
    <row r="276" customFormat="false" ht="15" hidden="false" customHeight="false" outlineLevel="0" collapsed="false">
      <c r="A276" s="4" t="s">
        <v>1039</v>
      </c>
      <c r="B276" s="4" t="s">
        <v>100</v>
      </c>
      <c r="C276" s="4" t="n">
        <v>46279.3381712963</v>
      </c>
      <c r="D276" s="4" t="n">
        <v>212</v>
      </c>
    </row>
    <row r="277" customFormat="false" ht="15" hidden="false" customHeight="false" outlineLevel="0" collapsed="false">
      <c r="A277" s="4" t="s">
        <v>1042</v>
      </c>
      <c r="B277" s="4" t="s">
        <v>100</v>
      </c>
      <c r="C277" s="4" t="n">
        <v>46279.508587963</v>
      </c>
      <c r="D277" s="4" t="n">
        <v>213</v>
      </c>
    </row>
    <row r="278" customFormat="false" ht="15" hidden="false" customHeight="false" outlineLevel="0" collapsed="false">
      <c r="A278" s="4" t="s">
        <v>1046</v>
      </c>
      <c r="B278" s="4" t="s">
        <v>100</v>
      </c>
      <c r="C278" s="4" t="n">
        <v>46279.675474537</v>
      </c>
      <c r="D278" s="4" t="n">
        <v>214</v>
      </c>
    </row>
    <row r="279" customFormat="false" ht="15" hidden="false" customHeight="false" outlineLevel="0" collapsed="false">
      <c r="A279" s="4" t="s">
        <v>1050</v>
      </c>
      <c r="B279" s="4" t="s">
        <v>100</v>
      </c>
      <c r="C279" s="4" t="n">
        <v>46279.8409259259</v>
      </c>
      <c r="D279" s="4" t="n">
        <v>215</v>
      </c>
    </row>
    <row r="280" customFormat="false" ht="15" hidden="false" customHeight="false" outlineLevel="0" collapsed="false">
      <c r="A280" s="4" t="s">
        <v>1053</v>
      </c>
      <c r="B280" s="4" t="s">
        <v>100</v>
      </c>
      <c r="C280" s="4" t="n">
        <v>46280.0078819445</v>
      </c>
      <c r="D280" s="4" t="n">
        <v>216</v>
      </c>
    </row>
    <row r="281" customFormat="false" ht="15" hidden="false" customHeight="false" outlineLevel="0" collapsed="false">
      <c r="A281" s="4" t="s">
        <v>1060</v>
      </c>
      <c r="B281" s="4" t="s">
        <v>100</v>
      </c>
      <c r="C281" s="4" t="n">
        <v>46280.1754050926</v>
      </c>
      <c r="D281" s="4" t="n">
        <v>217</v>
      </c>
    </row>
    <row r="282" customFormat="false" ht="15" hidden="false" customHeight="false" outlineLevel="0" collapsed="false">
      <c r="A282" s="4" t="s">
        <v>1065</v>
      </c>
      <c r="B282" s="4" t="s">
        <v>100</v>
      </c>
      <c r="C282" s="4" t="n">
        <v>46280.3381481482</v>
      </c>
      <c r="D282" s="4" t="n">
        <v>218</v>
      </c>
    </row>
    <row r="283" customFormat="false" ht="15" hidden="false" customHeight="false" outlineLevel="0" collapsed="false">
      <c r="A283" s="4" t="s">
        <v>1068</v>
      </c>
      <c r="B283" s="4" t="s">
        <v>100</v>
      </c>
      <c r="C283" s="4" t="n">
        <v>46280.5074884259</v>
      </c>
      <c r="D283" s="4" t="n">
        <v>219</v>
      </c>
    </row>
    <row r="284" customFormat="false" ht="15" hidden="false" customHeight="false" outlineLevel="0" collapsed="false">
      <c r="A284" s="4" t="s">
        <v>1072</v>
      </c>
      <c r="B284" s="4" t="s">
        <v>100</v>
      </c>
      <c r="C284" s="4" t="n">
        <v>46280.6755439815</v>
      </c>
      <c r="D284" s="4" t="n">
        <v>220</v>
      </c>
    </row>
    <row r="285" customFormat="false" ht="15" hidden="false" customHeight="false" outlineLevel="0" collapsed="false">
      <c r="A285" s="4" t="s">
        <v>1076</v>
      </c>
      <c r="B285" s="4" t="s">
        <v>100</v>
      </c>
      <c r="C285" s="4" t="n">
        <v>46280.8424189815</v>
      </c>
      <c r="D285" s="4" t="n">
        <v>221</v>
      </c>
    </row>
    <row r="286" customFormat="false" ht="15" hidden="false" customHeight="false" outlineLevel="0" collapsed="false">
      <c r="A286" s="4" t="s">
        <v>1079</v>
      </c>
      <c r="B286" s="4" t="s">
        <v>100</v>
      </c>
      <c r="C286" s="4" t="n">
        <v>46281.0087384259</v>
      </c>
      <c r="D286" s="4" t="n">
        <v>222</v>
      </c>
    </row>
    <row r="287" customFormat="false" ht="15" hidden="false" customHeight="false" outlineLevel="0" collapsed="false">
      <c r="A287" s="4" t="s">
        <v>1084</v>
      </c>
      <c r="B287" s="4" t="s">
        <v>100</v>
      </c>
      <c r="C287" s="4" t="n">
        <v>46281.1731018519</v>
      </c>
      <c r="D287" s="4" t="n">
        <v>223</v>
      </c>
    </row>
    <row r="288" customFormat="false" ht="15" hidden="false" customHeight="false" outlineLevel="0" collapsed="false">
      <c r="A288" s="4" t="s">
        <v>1089</v>
      </c>
      <c r="B288" s="4" t="s">
        <v>100</v>
      </c>
      <c r="C288" s="4" t="n">
        <v>46281.3413425926</v>
      </c>
      <c r="D288" s="4" t="n">
        <v>224</v>
      </c>
    </row>
    <row r="289" customFormat="false" ht="15" hidden="false" customHeight="false" outlineLevel="0" collapsed="false">
      <c r="A289" s="4" t="s">
        <v>1092</v>
      </c>
      <c r="B289" s="4" t="s">
        <v>100</v>
      </c>
      <c r="C289" s="4" t="n">
        <v>46281.5068287037</v>
      </c>
      <c r="D289" s="4" t="n">
        <v>225</v>
      </c>
    </row>
    <row r="290" customFormat="false" ht="15" hidden="false" customHeight="false" outlineLevel="0" collapsed="false">
      <c r="A290" s="4" t="s">
        <v>1096</v>
      </c>
      <c r="B290" s="4" t="s">
        <v>100</v>
      </c>
      <c r="C290" s="4" t="n">
        <v>46281.6743402778</v>
      </c>
      <c r="D290" s="4" t="n">
        <v>226</v>
      </c>
    </row>
    <row r="291" customFormat="false" ht="15" hidden="false" customHeight="false" outlineLevel="0" collapsed="false">
      <c r="A291" s="4" t="s">
        <v>1100</v>
      </c>
      <c r="B291" s="4" t="s">
        <v>100</v>
      </c>
      <c r="C291" s="4" t="n">
        <v>46281.8410416667</v>
      </c>
      <c r="D291" s="4" t="n">
        <v>227</v>
      </c>
    </row>
    <row r="292" customFormat="false" ht="15" hidden="false" customHeight="false" outlineLevel="0" collapsed="false">
      <c r="A292" s="4" t="s">
        <v>1103</v>
      </c>
      <c r="B292" s="4" t="s">
        <v>100</v>
      </c>
      <c r="C292" s="4" t="n">
        <v>46282.0055208333</v>
      </c>
      <c r="D292" s="4" t="n">
        <v>228</v>
      </c>
    </row>
    <row r="293" customFormat="false" ht="15" hidden="false" customHeight="false" outlineLevel="0" collapsed="false">
      <c r="A293" s="4" t="s">
        <v>1107</v>
      </c>
      <c r="B293" s="4" t="s">
        <v>100</v>
      </c>
      <c r="C293" s="4" t="n">
        <v>46282.1718518519</v>
      </c>
      <c r="D293" s="4" t="n">
        <v>229</v>
      </c>
    </row>
    <row r="294" customFormat="false" ht="15" hidden="false" customHeight="false" outlineLevel="0" collapsed="false">
      <c r="A294" s="4" t="s">
        <v>1112</v>
      </c>
      <c r="B294" s="4" t="s">
        <v>100</v>
      </c>
      <c r="C294" s="4" t="n">
        <v>46282.3412152778</v>
      </c>
      <c r="D294" s="4" t="n">
        <v>230</v>
      </c>
    </row>
    <row r="295" customFormat="false" ht="15" hidden="false" customHeight="false" outlineLevel="0" collapsed="false">
      <c r="A295" s="4" t="s">
        <v>1115</v>
      </c>
      <c r="B295" s="4" t="s">
        <v>100</v>
      </c>
      <c r="C295" s="4" t="n">
        <v>46282.5086574074</v>
      </c>
      <c r="D295" s="4" t="n">
        <v>231</v>
      </c>
    </row>
    <row r="296" customFormat="false" ht="15" hidden="false" customHeight="false" outlineLevel="0" collapsed="false">
      <c r="A296" s="4" t="s">
        <v>1119</v>
      </c>
      <c r="B296" s="4" t="s">
        <v>100</v>
      </c>
      <c r="C296" s="4" t="n">
        <v>46282.6759027778</v>
      </c>
      <c r="D296" s="4" t="n">
        <v>232</v>
      </c>
    </row>
    <row r="297" customFormat="false" ht="15" hidden="false" customHeight="false" outlineLevel="0" collapsed="false">
      <c r="A297" s="4" t="s">
        <v>1123</v>
      </c>
      <c r="B297" s="4" t="s">
        <v>100</v>
      </c>
      <c r="C297" s="4" t="n">
        <v>46282.8396875</v>
      </c>
      <c r="D297" s="4" t="n">
        <v>233</v>
      </c>
    </row>
    <row r="298" customFormat="false" ht="15" hidden="false" customHeight="false" outlineLevel="0" collapsed="false">
      <c r="A298" s="4" t="s">
        <v>1126</v>
      </c>
      <c r="B298" s="4" t="s">
        <v>100</v>
      </c>
      <c r="C298" s="4" t="n">
        <v>46283.0059259259</v>
      </c>
      <c r="D298" s="4" t="n">
        <v>234</v>
      </c>
    </row>
    <row r="299" customFormat="false" ht="15" hidden="false" customHeight="false" outlineLevel="0" collapsed="false">
      <c r="A299" s="4" t="s">
        <v>1130</v>
      </c>
      <c r="B299" s="4" t="s">
        <v>100</v>
      </c>
      <c r="C299" s="4" t="n">
        <v>46283.1735532407</v>
      </c>
      <c r="D299" s="4" t="n">
        <v>235</v>
      </c>
    </row>
    <row r="300" customFormat="false" ht="15" hidden="false" customHeight="false" outlineLevel="0" collapsed="false">
      <c r="A300" s="4" t="s">
        <v>1135</v>
      </c>
      <c r="B300" s="4" t="s">
        <v>100</v>
      </c>
      <c r="C300" s="4" t="n">
        <v>46283.3400810185</v>
      </c>
      <c r="D300" s="4" t="n">
        <v>236</v>
      </c>
    </row>
    <row r="301" customFormat="false" ht="15" hidden="false" customHeight="false" outlineLevel="0" collapsed="false">
      <c r="A301" s="4" t="s">
        <v>1138</v>
      </c>
      <c r="B301" s="4" t="s">
        <v>100</v>
      </c>
      <c r="C301" s="4" t="n">
        <v>46283.5079861111</v>
      </c>
      <c r="D301" s="4" t="n">
        <v>237</v>
      </c>
    </row>
    <row r="302" customFormat="false" ht="15" hidden="false" customHeight="false" outlineLevel="0" collapsed="false">
      <c r="A302" s="4" t="s">
        <v>1142</v>
      </c>
      <c r="B302" s="4" t="s">
        <v>100</v>
      </c>
      <c r="C302" s="4" t="n">
        <v>46283.6727777778</v>
      </c>
      <c r="D302" s="4" t="n">
        <v>238</v>
      </c>
    </row>
    <row r="303" customFormat="false" ht="15" hidden="false" customHeight="false" outlineLevel="0" collapsed="false">
      <c r="A303" s="4" t="s">
        <v>1146</v>
      </c>
      <c r="B303" s="4" t="s">
        <v>100</v>
      </c>
      <c r="C303" s="4" t="n">
        <v>46283.8425</v>
      </c>
      <c r="D303" s="4" t="n">
        <v>239</v>
      </c>
    </row>
    <row r="304" customFormat="false" ht="15" hidden="false" customHeight="false" outlineLevel="0" collapsed="false">
      <c r="A304" s="4" t="s">
        <v>1149</v>
      </c>
      <c r="B304" s="4" t="s">
        <v>100</v>
      </c>
      <c r="C304" s="4" t="n">
        <v>46284.0080787037</v>
      </c>
      <c r="D304" s="4" t="n">
        <v>240</v>
      </c>
    </row>
    <row r="305" customFormat="false" ht="15" hidden="false" customHeight="false" outlineLevel="0" collapsed="false">
      <c r="A305" s="4" t="s">
        <v>1153</v>
      </c>
      <c r="B305" s="4" t="s">
        <v>100</v>
      </c>
      <c r="C305" s="4" t="n">
        <v>46284.1750462963</v>
      </c>
      <c r="D305" s="4" t="n">
        <v>241</v>
      </c>
    </row>
    <row r="306" customFormat="false" ht="15" hidden="false" customHeight="false" outlineLevel="0" collapsed="false">
      <c r="A306" s="4" t="s">
        <v>1158</v>
      </c>
      <c r="B306" s="4" t="s">
        <v>100</v>
      </c>
      <c r="C306" s="4" t="n">
        <v>46284.3412152778</v>
      </c>
      <c r="D306" s="4" t="n">
        <v>242</v>
      </c>
    </row>
    <row r="307" customFormat="false" ht="15" hidden="false" customHeight="false" outlineLevel="0" collapsed="false">
      <c r="A307" s="4" t="s">
        <v>1161</v>
      </c>
      <c r="B307" s="4" t="s">
        <v>100</v>
      </c>
      <c r="C307" s="4" t="n">
        <v>46284.5072685185</v>
      </c>
      <c r="D307" s="4" t="n">
        <v>243</v>
      </c>
    </row>
    <row r="308" customFormat="false" ht="15" hidden="false" customHeight="false" outlineLevel="0" collapsed="false">
      <c r="A308" s="4" t="s">
        <v>1165</v>
      </c>
      <c r="B308" s="4" t="s">
        <v>100</v>
      </c>
      <c r="C308" s="4" t="n">
        <v>46284.6735300926</v>
      </c>
      <c r="D308" s="4" t="n">
        <v>244</v>
      </c>
    </row>
    <row r="309" customFormat="false" ht="15" hidden="false" customHeight="false" outlineLevel="0" collapsed="false">
      <c r="A309" s="4" t="s">
        <v>1169</v>
      </c>
      <c r="B309" s="4" t="s">
        <v>100</v>
      </c>
      <c r="C309" s="4" t="n">
        <v>46284.840625</v>
      </c>
      <c r="D309" s="4" t="n">
        <v>245</v>
      </c>
    </row>
    <row r="310" customFormat="false" ht="15" hidden="false" customHeight="false" outlineLevel="0" collapsed="false">
      <c r="A310" s="4" t="s">
        <v>1172</v>
      </c>
      <c r="B310" s="4" t="s">
        <v>100</v>
      </c>
      <c r="C310" s="4" t="n">
        <v>46285.0070023148</v>
      </c>
      <c r="D310" s="4" t="n">
        <v>246</v>
      </c>
    </row>
    <row r="311" customFormat="false" ht="15" hidden="false" customHeight="false" outlineLevel="0" collapsed="false">
      <c r="A311" s="4" t="s">
        <v>1176</v>
      </c>
      <c r="B311" s="4" t="s">
        <v>100</v>
      </c>
      <c r="C311" s="4" t="n">
        <v>46285.1722800926</v>
      </c>
      <c r="D311" s="4" t="n">
        <v>247</v>
      </c>
    </row>
    <row r="312" customFormat="false" ht="15" hidden="false" customHeight="false" outlineLevel="0" collapsed="false">
      <c r="A312" s="4" t="s">
        <v>1181</v>
      </c>
      <c r="B312" s="4" t="s">
        <v>100</v>
      </c>
      <c r="C312" s="4" t="n">
        <v>46285.3387268519</v>
      </c>
      <c r="D312" s="4" t="n">
        <v>248</v>
      </c>
    </row>
    <row r="313" customFormat="false" ht="15" hidden="false" customHeight="false" outlineLevel="0" collapsed="false">
      <c r="A313" s="4" t="s">
        <v>1184</v>
      </c>
      <c r="B313" s="4" t="s">
        <v>100</v>
      </c>
      <c r="C313" s="4" t="n">
        <v>46285.5087384259</v>
      </c>
      <c r="D313" s="4" t="n">
        <v>249</v>
      </c>
    </row>
    <row r="314" customFormat="false" ht="15" hidden="false" customHeight="false" outlineLevel="0" collapsed="false">
      <c r="A314" s="4" t="s">
        <v>1189</v>
      </c>
      <c r="B314" s="4" t="s">
        <v>100</v>
      </c>
      <c r="C314" s="4" t="n">
        <v>46285.6727314815</v>
      </c>
      <c r="D314" s="4" t="n">
        <v>250</v>
      </c>
    </row>
    <row r="315" customFormat="false" ht="15" hidden="false" customHeight="false" outlineLevel="0" collapsed="false">
      <c r="A315" s="4" t="s">
        <v>1193</v>
      </c>
      <c r="B315" s="4" t="s">
        <v>100</v>
      </c>
      <c r="C315" s="4" t="n">
        <v>46285.8386805556</v>
      </c>
      <c r="D315" s="4" t="n">
        <v>251</v>
      </c>
    </row>
    <row r="316" customFormat="false" ht="15" hidden="false" customHeight="false" outlineLevel="0" collapsed="false">
      <c r="A316" s="4" t="s">
        <v>1196</v>
      </c>
      <c r="B316" s="4" t="s">
        <v>100</v>
      </c>
      <c r="C316" s="4" t="n">
        <v>46286.0079398148</v>
      </c>
      <c r="D316" s="4" t="n">
        <v>252</v>
      </c>
    </row>
    <row r="317" customFormat="false" ht="15" hidden="false" customHeight="false" outlineLevel="0" collapsed="false">
      <c r="A317" s="4" t="s">
        <v>1200</v>
      </c>
      <c r="B317" s="4" t="s">
        <v>100</v>
      </c>
      <c r="C317" s="4" t="n">
        <v>46286.1729282407</v>
      </c>
      <c r="D317" s="4" t="n">
        <v>253</v>
      </c>
    </row>
    <row r="318" customFormat="false" ht="15" hidden="false" customHeight="false" outlineLevel="0" collapsed="false">
      <c r="A318" s="4" t="s">
        <v>1205</v>
      </c>
      <c r="B318" s="4" t="s">
        <v>100</v>
      </c>
      <c r="C318" s="4" t="n">
        <v>46286.3415856482</v>
      </c>
      <c r="D318" s="4" t="n">
        <v>254</v>
      </c>
    </row>
    <row r="319" customFormat="false" ht="15" hidden="false" customHeight="false" outlineLevel="0" collapsed="false">
      <c r="A319" s="4" t="s">
        <v>1208</v>
      </c>
      <c r="B319" s="4" t="s">
        <v>100</v>
      </c>
      <c r="C319" s="4" t="n">
        <v>46286.5080902778</v>
      </c>
      <c r="D319" s="4" t="n">
        <v>255</v>
      </c>
    </row>
    <row r="320" customFormat="false" ht="15" hidden="false" customHeight="false" outlineLevel="0" collapsed="false">
      <c r="A320" s="4" t="s">
        <v>1213</v>
      </c>
      <c r="B320" s="4" t="s">
        <v>100</v>
      </c>
      <c r="C320" s="4" t="n">
        <v>46286.6742708333</v>
      </c>
      <c r="D320" s="4" t="n">
        <v>256</v>
      </c>
    </row>
    <row r="321" customFormat="false" ht="15" hidden="false" customHeight="false" outlineLevel="0" collapsed="false">
      <c r="A321" s="4" t="s">
        <v>1217</v>
      </c>
      <c r="B321" s="4" t="s">
        <v>100</v>
      </c>
      <c r="C321" s="4" t="n">
        <v>46286.8405902778</v>
      </c>
      <c r="D321" s="4" t="n">
        <v>257</v>
      </c>
    </row>
    <row r="322" customFormat="false" ht="15" hidden="false" customHeight="false" outlineLevel="0" collapsed="false">
      <c r="A322" s="4" t="s">
        <v>1220</v>
      </c>
      <c r="B322" s="4" t="s">
        <v>100</v>
      </c>
      <c r="C322" s="4" t="n">
        <v>46287.0068402778</v>
      </c>
      <c r="D322" s="4" t="n">
        <v>258</v>
      </c>
    </row>
    <row r="323" customFormat="false" ht="15" hidden="false" customHeight="false" outlineLevel="0" collapsed="false">
      <c r="A323" s="4" t="s">
        <v>1224</v>
      </c>
      <c r="B323" s="4" t="s">
        <v>100</v>
      </c>
      <c r="C323" s="4" t="n">
        <v>46287.171412037</v>
      </c>
      <c r="D323" s="4" t="n">
        <v>259</v>
      </c>
    </row>
    <row r="324" customFormat="false" ht="15" hidden="false" customHeight="false" outlineLevel="0" collapsed="false">
      <c r="A324" s="4" t="s">
        <v>1229</v>
      </c>
      <c r="B324" s="4" t="s">
        <v>100</v>
      </c>
      <c r="C324" s="4" t="n">
        <v>46287.3396180556</v>
      </c>
      <c r="D324" s="4" t="n">
        <v>260</v>
      </c>
    </row>
    <row r="325" customFormat="false" ht="15" hidden="false" customHeight="false" outlineLevel="0" collapsed="false">
      <c r="A325" s="4" t="s">
        <v>1232</v>
      </c>
      <c r="B325" s="4" t="s">
        <v>100</v>
      </c>
      <c r="C325" s="4" t="n">
        <v>46287.5085648148</v>
      </c>
      <c r="D325" s="4" t="n">
        <v>261</v>
      </c>
    </row>
    <row r="326" customFormat="false" ht="15" hidden="false" customHeight="false" outlineLevel="0" collapsed="false">
      <c r="A326" s="4" t="s">
        <v>1236</v>
      </c>
      <c r="B326" s="4" t="s">
        <v>100</v>
      </c>
      <c r="C326" s="4" t="n">
        <v>46287.6737962963</v>
      </c>
      <c r="D326" s="4" t="n">
        <v>262</v>
      </c>
    </row>
    <row r="327" customFormat="false" ht="15" hidden="false" customHeight="false" outlineLevel="0" collapsed="false">
      <c r="A327" s="4" t="s">
        <v>1240</v>
      </c>
      <c r="B327" s="4" t="s">
        <v>100</v>
      </c>
      <c r="C327" s="4" t="n">
        <v>46287.8394907407</v>
      </c>
      <c r="D327" s="4" t="n">
        <v>263</v>
      </c>
    </row>
    <row r="328" customFormat="false" ht="15" hidden="false" customHeight="false" outlineLevel="0" collapsed="false">
      <c r="A328" s="4" t="s">
        <v>1243</v>
      </c>
      <c r="B328" s="4" t="s">
        <v>100</v>
      </c>
      <c r="C328" s="4" t="n">
        <v>46288.0065625</v>
      </c>
      <c r="D328" s="4" t="n">
        <v>264</v>
      </c>
    </row>
    <row r="329" customFormat="false" ht="15" hidden="false" customHeight="false" outlineLevel="0" collapsed="false">
      <c r="A329" s="4" t="s">
        <v>1247</v>
      </c>
      <c r="B329" s="4" t="s">
        <v>100</v>
      </c>
      <c r="C329" s="4" t="n">
        <v>46288.1747453704</v>
      </c>
      <c r="D329" s="4" t="n">
        <v>265</v>
      </c>
    </row>
    <row r="330" customFormat="false" ht="15" hidden="false" customHeight="false" outlineLevel="0" collapsed="false">
      <c r="A330" s="4" t="s">
        <v>1252</v>
      </c>
      <c r="B330" s="4" t="s">
        <v>100</v>
      </c>
      <c r="C330" s="4" t="n">
        <v>46288.3398842593</v>
      </c>
      <c r="D330" s="4" t="n">
        <v>266</v>
      </c>
    </row>
    <row r="331" customFormat="false" ht="15" hidden="false" customHeight="false" outlineLevel="0" collapsed="false">
      <c r="A331" s="4" t="s">
        <v>1255</v>
      </c>
      <c r="B331" s="4" t="s">
        <v>100</v>
      </c>
      <c r="C331" s="4" t="n">
        <v>46288.5100231482</v>
      </c>
      <c r="D331" s="4" t="n">
        <v>267</v>
      </c>
    </row>
    <row r="332" customFormat="false" ht="15" hidden="false" customHeight="false" outlineLevel="0" collapsed="false">
      <c r="A332" s="4" t="s">
        <v>1259</v>
      </c>
      <c r="B332" s="4" t="s">
        <v>100</v>
      </c>
      <c r="C332" s="4" t="n">
        <v>46288.6747222222</v>
      </c>
      <c r="D332" s="4" t="n">
        <v>268</v>
      </c>
    </row>
    <row r="333" customFormat="false" ht="15" hidden="false" customHeight="false" outlineLevel="0" collapsed="false">
      <c r="A333" s="4" t="s">
        <v>1263</v>
      </c>
      <c r="B333" s="4" t="s">
        <v>100</v>
      </c>
      <c r="C333" s="4" t="n">
        <v>46288.8401736111</v>
      </c>
      <c r="D333" s="4" t="n">
        <v>269</v>
      </c>
    </row>
    <row r="334" customFormat="false" ht="15" hidden="false" customHeight="false" outlineLevel="0" collapsed="false">
      <c r="A334" s="4" t="s">
        <v>1266</v>
      </c>
      <c r="B334" s="4" t="s">
        <v>100</v>
      </c>
      <c r="C334" s="4" t="n">
        <v>46289.0056481482</v>
      </c>
      <c r="D334" s="4" t="n">
        <v>270</v>
      </c>
    </row>
    <row r="335" customFormat="false" ht="15" hidden="false" customHeight="false" outlineLevel="0" collapsed="false">
      <c r="A335" s="4" t="s">
        <v>1270</v>
      </c>
      <c r="B335" s="4" t="s">
        <v>100</v>
      </c>
      <c r="C335" s="4" t="n">
        <v>46289.1720833333</v>
      </c>
      <c r="D335" s="4" t="n">
        <v>271</v>
      </c>
    </row>
    <row r="336" customFormat="false" ht="15" hidden="false" customHeight="false" outlineLevel="0" collapsed="false">
      <c r="A336" s="4" t="s">
        <v>1276</v>
      </c>
      <c r="B336" s="4" t="s">
        <v>100</v>
      </c>
      <c r="C336" s="4" t="n">
        <v>46289.3390972222</v>
      </c>
      <c r="D336" s="4" t="n">
        <v>272</v>
      </c>
    </row>
    <row r="337" customFormat="false" ht="15" hidden="false" customHeight="false" outlineLevel="0" collapsed="false">
      <c r="A337" s="4" t="s">
        <v>1279</v>
      </c>
      <c r="B337" s="4" t="s">
        <v>100</v>
      </c>
      <c r="C337" s="4" t="n">
        <v>46289.5064930556</v>
      </c>
      <c r="D337" s="4" t="n">
        <v>273</v>
      </c>
    </row>
    <row r="338" customFormat="false" ht="15" hidden="false" customHeight="false" outlineLevel="0" collapsed="false">
      <c r="A338" s="4" t="s">
        <v>1283</v>
      </c>
      <c r="B338" s="4" t="s">
        <v>100</v>
      </c>
      <c r="C338" s="4" t="n">
        <v>46289.6750694444</v>
      </c>
      <c r="D338" s="4" t="n">
        <v>274</v>
      </c>
    </row>
    <row r="339" customFormat="false" ht="15" hidden="false" customHeight="false" outlineLevel="0" collapsed="false">
      <c r="A339" s="4" t="s">
        <v>1287</v>
      </c>
      <c r="B339" s="4" t="s">
        <v>100</v>
      </c>
      <c r="C339" s="4" t="n">
        <v>46289.8426736111</v>
      </c>
      <c r="D339" s="4" t="n">
        <v>275</v>
      </c>
    </row>
    <row r="340" customFormat="false" ht="15" hidden="false" customHeight="false" outlineLevel="0" collapsed="false">
      <c r="A340" s="4" t="s">
        <v>1290</v>
      </c>
      <c r="B340" s="4" t="s">
        <v>100</v>
      </c>
      <c r="C340" s="4" t="n">
        <v>46290.0077546296</v>
      </c>
      <c r="D340" s="4" t="n">
        <v>276</v>
      </c>
    </row>
    <row r="341" customFormat="false" ht="15" hidden="false" customHeight="false" outlineLevel="0" collapsed="false">
      <c r="A341" s="4" t="s">
        <v>1294</v>
      </c>
      <c r="B341" s="4" t="s">
        <v>100</v>
      </c>
      <c r="C341" s="4" t="n">
        <v>46290.1729513889</v>
      </c>
      <c r="D341" s="4" t="n">
        <v>277</v>
      </c>
    </row>
    <row r="342" customFormat="false" ht="15" hidden="false" customHeight="false" outlineLevel="0" collapsed="false">
      <c r="A342" s="4" t="s">
        <v>1299</v>
      </c>
      <c r="B342" s="4" t="s">
        <v>100</v>
      </c>
      <c r="C342" s="4" t="n">
        <v>46290.3403240741</v>
      </c>
      <c r="D342" s="4" t="n">
        <v>278</v>
      </c>
    </row>
    <row r="343" customFormat="false" ht="15" hidden="false" customHeight="false" outlineLevel="0" collapsed="false">
      <c r="A343" s="4" t="s">
        <v>1302</v>
      </c>
      <c r="B343" s="4" t="s">
        <v>100</v>
      </c>
      <c r="C343" s="4" t="n">
        <v>46290.507974537</v>
      </c>
      <c r="D343" s="4" t="n">
        <v>279</v>
      </c>
    </row>
    <row r="344" customFormat="false" ht="15" hidden="false" customHeight="false" outlineLevel="0" collapsed="false">
      <c r="A344" s="4" t="s">
        <v>1306</v>
      </c>
      <c r="B344" s="4" t="s">
        <v>100</v>
      </c>
      <c r="C344" s="4" t="n">
        <v>46290.6730439815</v>
      </c>
      <c r="D344" s="4" t="n">
        <v>280</v>
      </c>
    </row>
    <row r="345" customFormat="false" ht="15" hidden="false" customHeight="false" outlineLevel="0" collapsed="false">
      <c r="A345" s="4" t="s">
        <v>1310</v>
      </c>
      <c r="B345" s="4" t="s">
        <v>100</v>
      </c>
      <c r="C345" s="4" t="n">
        <v>46290.8407291667</v>
      </c>
      <c r="D345" s="4" t="n">
        <v>281</v>
      </c>
    </row>
    <row r="346" customFormat="false" ht="15" hidden="false" customHeight="false" outlineLevel="0" collapsed="false">
      <c r="A346" s="4" t="s">
        <v>1313</v>
      </c>
      <c r="B346" s="4" t="s">
        <v>100</v>
      </c>
      <c r="C346" s="4" t="n">
        <v>46291.0055902778</v>
      </c>
      <c r="D346" s="4" t="n">
        <v>282</v>
      </c>
    </row>
    <row r="347" customFormat="false" ht="15" hidden="false" customHeight="false" outlineLevel="0" collapsed="false">
      <c r="A347" s="4" t="s">
        <v>1317</v>
      </c>
      <c r="B347" s="4" t="s">
        <v>100</v>
      </c>
      <c r="C347" s="4" t="n">
        <v>46291.1751967593</v>
      </c>
      <c r="D347" s="4" t="n">
        <v>283</v>
      </c>
    </row>
    <row r="348" customFormat="false" ht="15" hidden="false" customHeight="false" outlineLevel="0" collapsed="false">
      <c r="A348" s="4" t="s">
        <v>1322</v>
      </c>
      <c r="B348" s="4" t="s">
        <v>100</v>
      </c>
      <c r="C348" s="4" t="n">
        <v>46291.3394444444</v>
      </c>
      <c r="D348" s="4" t="n">
        <v>284</v>
      </c>
    </row>
    <row r="349" customFormat="false" ht="15" hidden="false" customHeight="false" outlineLevel="0" collapsed="false">
      <c r="A349" s="4" t="s">
        <v>1325</v>
      </c>
      <c r="B349" s="4" t="s">
        <v>100</v>
      </c>
      <c r="C349" s="4" t="n">
        <v>46291.5069560185</v>
      </c>
      <c r="D349" s="4" t="n">
        <v>285</v>
      </c>
    </row>
    <row r="350" customFormat="false" ht="15" hidden="false" customHeight="false" outlineLevel="0" collapsed="false">
      <c r="A350" s="4" t="s">
        <v>1331</v>
      </c>
      <c r="B350" s="4" t="s">
        <v>100</v>
      </c>
      <c r="C350" s="4" t="n">
        <v>46291.773287037</v>
      </c>
      <c r="D350" s="4" t="n">
        <v>286</v>
      </c>
    </row>
    <row r="351" customFormat="false" ht="15" hidden="false" customHeight="false" outlineLevel="0" collapsed="false">
      <c r="A351" s="4" t="s">
        <v>1333</v>
      </c>
      <c r="B351" s="4" t="s">
        <v>100</v>
      </c>
      <c r="C351" s="4" t="n">
        <v>46291.8378819445</v>
      </c>
      <c r="D351" s="4" t="n">
        <v>287</v>
      </c>
    </row>
    <row r="352" customFormat="false" ht="15" hidden="false" customHeight="false" outlineLevel="0" collapsed="false">
      <c r="A352" s="4" t="s">
        <v>1337</v>
      </c>
      <c r="B352" s="4" t="s">
        <v>100</v>
      </c>
      <c r="C352" s="4" t="n">
        <v>46292.0071875</v>
      </c>
      <c r="D352" s="4" t="n">
        <v>288</v>
      </c>
    </row>
    <row r="353" customFormat="false" ht="15" hidden="false" customHeight="false" outlineLevel="0" collapsed="false">
      <c r="A353" s="4" t="s">
        <v>1342</v>
      </c>
      <c r="B353" s="4" t="s">
        <v>100</v>
      </c>
      <c r="C353" s="4" t="n">
        <v>46292.1735648148</v>
      </c>
      <c r="D353" s="4" t="n">
        <v>289</v>
      </c>
    </row>
    <row r="354" customFormat="false" ht="15" hidden="false" customHeight="false" outlineLevel="0" collapsed="false">
      <c r="A354" s="4" t="s">
        <v>1347</v>
      </c>
      <c r="B354" s="4" t="s">
        <v>100</v>
      </c>
      <c r="C354" s="4" t="n">
        <v>46292.3389351852</v>
      </c>
      <c r="D354" s="4" t="n">
        <v>290</v>
      </c>
    </row>
    <row r="355" customFormat="false" ht="15" hidden="false" customHeight="false" outlineLevel="0" collapsed="false">
      <c r="A355" s="4" t="s">
        <v>1350</v>
      </c>
      <c r="B355" s="4" t="s">
        <v>100</v>
      </c>
      <c r="C355" s="4" t="n">
        <v>46292.5069907407</v>
      </c>
      <c r="D355" s="4" t="n">
        <v>291</v>
      </c>
    </row>
    <row r="356" customFormat="false" ht="15" hidden="false" customHeight="false" outlineLevel="0" collapsed="false">
      <c r="A356" s="4" t="s">
        <v>1354</v>
      </c>
      <c r="B356" s="4" t="s">
        <v>100</v>
      </c>
      <c r="C356" s="4" t="n">
        <v>46292.6752199074</v>
      </c>
      <c r="D356" s="4" t="n">
        <v>292</v>
      </c>
    </row>
    <row r="357" customFormat="false" ht="15" hidden="false" customHeight="false" outlineLevel="0" collapsed="false">
      <c r="A357" s="4" t="s">
        <v>1358</v>
      </c>
      <c r="B357" s="4" t="s">
        <v>100</v>
      </c>
      <c r="C357" s="4" t="n">
        <v>46292.838912037</v>
      </c>
      <c r="D357" s="4" t="n">
        <v>293</v>
      </c>
    </row>
    <row r="358" customFormat="false" ht="15" hidden="false" customHeight="false" outlineLevel="0" collapsed="false">
      <c r="A358" s="4" t="s">
        <v>1361</v>
      </c>
      <c r="B358" s="4" t="s">
        <v>100</v>
      </c>
      <c r="C358" s="4" t="n">
        <v>46293.0051967593</v>
      </c>
      <c r="D358" s="4" t="n">
        <v>294</v>
      </c>
    </row>
    <row r="359" customFormat="false" ht="15" hidden="false" customHeight="false" outlineLevel="0" collapsed="false">
      <c r="A359" s="4" t="s">
        <v>1365</v>
      </c>
      <c r="B359" s="4" t="s">
        <v>100</v>
      </c>
      <c r="C359" s="4" t="n">
        <v>46293.1737037037</v>
      </c>
      <c r="D359" s="4" t="n">
        <v>295</v>
      </c>
    </row>
    <row r="360" customFormat="false" ht="15" hidden="false" customHeight="false" outlineLevel="0" collapsed="false">
      <c r="A360" s="4" t="s">
        <v>1370</v>
      </c>
      <c r="B360" s="4" t="s">
        <v>100</v>
      </c>
      <c r="C360" s="4" t="n">
        <v>46293.3393865741</v>
      </c>
      <c r="D360" s="4" t="n">
        <v>296</v>
      </c>
    </row>
    <row r="361" customFormat="false" ht="15" hidden="false" customHeight="false" outlineLevel="0" collapsed="false">
      <c r="A361" s="4" t="s">
        <v>1373</v>
      </c>
      <c r="B361" s="4" t="s">
        <v>100</v>
      </c>
      <c r="C361" s="4" t="n">
        <v>46293.5075810185</v>
      </c>
      <c r="D361" s="4" t="n">
        <v>297</v>
      </c>
    </row>
    <row r="362" customFormat="false" ht="15" hidden="false" customHeight="false" outlineLevel="0" collapsed="false">
      <c r="A362" s="4" t="s">
        <v>1377</v>
      </c>
      <c r="B362" s="4" t="s">
        <v>100</v>
      </c>
      <c r="C362" s="4" t="n">
        <v>46293.6733101852</v>
      </c>
      <c r="D362" s="4" t="n">
        <v>298</v>
      </c>
    </row>
    <row r="363" customFormat="false" ht="15" hidden="false" customHeight="false" outlineLevel="0" collapsed="false">
      <c r="A363" s="4" t="s">
        <v>1381</v>
      </c>
      <c r="B363" s="4" t="s">
        <v>100</v>
      </c>
      <c r="C363" s="4" t="n">
        <v>46293.8412615741</v>
      </c>
      <c r="D363" s="4" t="n">
        <v>299</v>
      </c>
    </row>
    <row r="364" customFormat="false" ht="15" hidden="false" customHeight="false" outlineLevel="0" collapsed="false">
      <c r="A364" s="4" t="s">
        <v>1384</v>
      </c>
      <c r="B364" s="4" t="s">
        <v>100</v>
      </c>
      <c r="C364" s="4" t="n">
        <v>46294.0058217593</v>
      </c>
      <c r="D364" s="4" t="n">
        <v>300</v>
      </c>
    </row>
    <row r="365" customFormat="false" ht="15" hidden="false" customHeight="false" outlineLevel="0" collapsed="false">
      <c r="A365" s="4" t="s">
        <v>1388</v>
      </c>
      <c r="B365" s="4" t="s">
        <v>100</v>
      </c>
      <c r="C365" s="4" t="n">
        <v>46294.1734143519</v>
      </c>
      <c r="D365" s="4" t="n">
        <v>301</v>
      </c>
    </row>
    <row r="366" customFormat="false" ht="15" hidden="false" customHeight="false" outlineLevel="0" collapsed="false">
      <c r="A366" s="4" t="s">
        <v>1393</v>
      </c>
      <c r="B366" s="4" t="s">
        <v>100</v>
      </c>
      <c r="C366" s="4" t="n">
        <v>46294.3394097222</v>
      </c>
      <c r="D366" s="4" t="n">
        <v>302</v>
      </c>
    </row>
    <row r="367" customFormat="false" ht="15" hidden="false" customHeight="false" outlineLevel="0" collapsed="false">
      <c r="A367" s="4" t="s">
        <v>1396</v>
      </c>
      <c r="B367" s="4" t="s">
        <v>100</v>
      </c>
      <c r="C367" s="4" t="n">
        <v>46294.5091898148</v>
      </c>
      <c r="D367" s="4" t="n">
        <v>303</v>
      </c>
    </row>
    <row r="368" customFormat="false" ht="15" hidden="false" customHeight="false" outlineLevel="0" collapsed="false">
      <c r="A368" s="4" t="s">
        <v>1400</v>
      </c>
      <c r="B368" s="4" t="s">
        <v>100</v>
      </c>
      <c r="C368" s="4" t="n">
        <v>46294.6740625</v>
      </c>
      <c r="D368" s="4" t="n">
        <v>304</v>
      </c>
    </row>
    <row r="369" customFormat="false" ht="15" hidden="false" customHeight="false" outlineLevel="0" collapsed="false">
      <c r="A369" s="4" t="s">
        <v>1404</v>
      </c>
      <c r="B369" s="4" t="s">
        <v>100</v>
      </c>
      <c r="C369" s="4" t="n">
        <v>46294.8393865741</v>
      </c>
      <c r="D369" s="4" t="n">
        <v>305</v>
      </c>
    </row>
    <row r="370" customFormat="false" ht="15" hidden="false" customHeight="false" outlineLevel="0" collapsed="false">
      <c r="A370" s="4" t="s">
        <v>1407</v>
      </c>
      <c r="B370" s="4" t="s">
        <v>100</v>
      </c>
      <c r="C370" s="4" t="n">
        <v>46295.0054282407</v>
      </c>
      <c r="D370" s="4" t="n">
        <v>306</v>
      </c>
    </row>
    <row r="371" customFormat="false" ht="15" hidden="false" customHeight="false" outlineLevel="0" collapsed="false">
      <c r="A371" s="4" t="s">
        <v>1411</v>
      </c>
      <c r="B371" s="4" t="s">
        <v>100</v>
      </c>
      <c r="C371" s="4" t="n">
        <v>46295.1737615741</v>
      </c>
      <c r="D371" s="4" t="n">
        <v>307</v>
      </c>
    </row>
    <row r="372" customFormat="false" ht="15" hidden="false" customHeight="false" outlineLevel="0" collapsed="false">
      <c r="A372" s="4" t="s">
        <v>1416</v>
      </c>
      <c r="B372" s="4" t="s">
        <v>100</v>
      </c>
      <c r="C372" s="4" t="n">
        <v>46295.3401157407</v>
      </c>
      <c r="D372" s="4" t="n">
        <v>308</v>
      </c>
    </row>
    <row r="373" customFormat="false" ht="15" hidden="false" customHeight="false" outlineLevel="0" collapsed="false">
      <c r="A373" s="4" t="s">
        <v>1419</v>
      </c>
      <c r="B373" s="4" t="s">
        <v>100</v>
      </c>
      <c r="C373" s="4" t="n">
        <v>46295.5082407407</v>
      </c>
      <c r="D373" s="4" t="n">
        <v>309</v>
      </c>
    </row>
    <row r="374" customFormat="false" ht="15" hidden="false" customHeight="false" outlineLevel="0" collapsed="false">
      <c r="A374" s="4" t="s">
        <v>1423</v>
      </c>
      <c r="B374" s="4" t="s">
        <v>100</v>
      </c>
      <c r="C374" s="4" t="n">
        <v>46295.674224537</v>
      </c>
      <c r="D374" s="4" t="n">
        <v>310</v>
      </c>
    </row>
    <row r="375" customFormat="false" ht="15" hidden="false" customHeight="false" outlineLevel="0" collapsed="false">
      <c r="A375" s="4" t="s">
        <v>1427</v>
      </c>
      <c r="B375" s="4" t="s">
        <v>100</v>
      </c>
      <c r="C375" s="4" t="n">
        <v>46295.8402893519</v>
      </c>
      <c r="D375" s="4" t="n">
        <v>311</v>
      </c>
    </row>
    <row r="376" customFormat="false" ht="15" hidden="false" customHeight="false" outlineLevel="0" collapsed="false">
      <c r="A376" s="4" t="s">
        <v>1430</v>
      </c>
      <c r="B376" s="4" t="s">
        <v>100</v>
      </c>
      <c r="C376" s="4" t="n">
        <v>46296.0081944445</v>
      </c>
      <c r="D376" s="4" t="n">
        <v>312</v>
      </c>
    </row>
    <row r="377" customFormat="false" ht="15" hidden="false" customHeight="false" outlineLevel="0" collapsed="false">
      <c r="A377" s="4" t="s">
        <v>1434</v>
      </c>
      <c r="B377" s="4" t="s">
        <v>100</v>
      </c>
      <c r="C377" s="4" t="n">
        <v>46296.174537037</v>
      </c>
      <c r="D377" s="4" t="n">
        <v>313</v>
      </c>
    </row>
    <row r="378" customFormat="false" ht="15" hidden="false" customHeight="false" outlineLevel="0" collapsed="false">
      <c r="A378" s="4" t="s">
        <v>1439</v>
      </c>
      <c r="B378" s="4" t="s">
        <v>100</v>
      </c>
      <c r="C378" s="4" t="n">
        <v>46296.3389699074</v>
      </c>
      <c r="D378" s="4" t="n">
        <v>314</v>
      </c>
    </row>
    <row r="379" customFormat="false" ht="15" hidden="false" customHeight="false" outlineLevel="0" collapsed="false">
      <c r="A379" s="4" t="s">
        <v>1442</v>
      </c>
      <c r="B379" s="4" t="s">
        <v>100</v>
      </c>
      <c r="C379" s="4" t="n">
        <v>46296.5077314815</v>
      </c>
      <c r="D379" s="4" t="n">
        <v>315</v>
      </c>
    </row>
    <row r="380" customFormat="false" ht="15" hidden="false" customHeight="false" outlineLevel="0" collapsed="false">
      <c r="A380" s="4" t="s">
        <v>1446</v>
      </c>
      <c r="B380" s="4" t="s">
        <v>100</v>
      </c>
      <c r="C380" s="4" t="n">
        <v>46296.674224537</v>
      </c>
      <c r="D380" s="4" t="n">
        <v>316</v>
      </c>
    </row>
    <row r="381" customFormat="false" ht="15" hidden="false" customHeight="false" outlineLevel="0" collapsed="false">
      <c r="A381" s="4" t="s">
        <v>1450</v>
      </c>
      <c r="B381" s="4" t="s">
        <v>100</v>
      </c>
      <c r="C381" s="4" t="n">
        <v>46296.8390046296</v>
      </c>
      <c r="D381" s="4" t="n">
        <v>317</v>
      </c>
    </row>
    <row r="382" customFormat="false" ht="15" hidden="false" customHeight="false" outlineLevel="0" collapsed="false">
      <c r="A382" s="4" t="s">
        <v>1453</v>
      </c>
      <c r="B382" s="4" t="s">
        <v>100</v>
      </c>
      <c r="C382" s="4" t="n">
        <v>46297.0068865741</v>
      </c>
      <c r="D382" s="4" t="n">
        <v>318</v>
      </c>
    </row>
    <row r="383" customFormat="false" ht="15" hidden="false" customHeight="false" outlineLevel="0" collapsed="false">
      <c r="A383" s="4" t="s">
        <v>1457</v>
      </c>
      <c r="B383" s="4" t="s">
        <v>100</v>
      </c>
      <c r="C383" s="4" t="n">
        <v>46297.1732407407</v>
      </c>
      <c r="D383" s="4" t="n">
        <v>319</v>
      </c>
    </row>
    <row r="384" customFormat="false" ht="15" hidden="false" customHeight="false" outlineLevel="0" collapsed="false">
      <c r="A384" s="4" t="s">
        <v>1462</v>
      </c>
      <c r="B384" s="4" t="s">
        <v>100</v>
      </c>
      <c r="C384" s="4" t="n">
        <v>46297.3391087963</v>
      </c>
      <c r="D384" s="4" t="n">
        <v>320</v>
      </c>
    </row>
    <row r="385" customFormat="false" ht="15" hidden="false" customHeight="false" outlineLevel="0" collapsed="false">
      <c r="A385" s="4" t="s">
        <v>1465</v>
      </c>
      <c r="B385" s="4" t="s">
        <v>100</v>
      </c>
      <c r="C385" s="4" t="n">
        <v>46297.51</v>
      </c>
      <c r="D385" s="4" t="n">
        <v>321</v>
      </c>
    </row>
    <row r="386" customFormat="false" ht="15" hidden="false" customHeight="false" outlineLevel="0" collapsed="false">
      <c r="A386" s="4" t="s">
        <v>1469</v>
      </c>
      <c r="B386" s="4" t="s">
        <v>100</v>
      </c>
      <c r="C386" s="4" t="n">
        <v>46297.675787037</v>
      </c>
      <c r="D386" s="4" t="n">
        <v>322</v>
      </c>
    </row>
    <row r="387" customFormat="false" ht="15" hidden="false" customHeight="false" outlineLevel="0" collapsed="false">
      <c r="A387" s="4" t="s">
        <v>1473</v>
      </c>
      <c r="B387" s="4" t="s">
        <v>100</v>
      </c>
      <c r="C387" s="4" t="n">
        <v>46297.8420486111</v>
      </c>
      <c r="D387" s="4" t="n">
        <v>323</v>
      </c>
    </row>
    <row r="388" customFormat="false" ht="15" hidden="false" customHeight="false" outlineLevel="0" collapsed="false">
      <c r="A388" s="4" t="s">
        <v>1476</v>
      </c>
      <c r="B388" s="4" t="s">
        <v>100</v>
      </c>
      <c r="C388" s="4" t="n">
        <v>46298.0087962963</v>
      </c>
      <c r="D388" s="4" t="n">
        <v>324</v>
      </c>
    </row>
    <row r="389" customFormat="false" ht="15" hidden="false" customHeight="false" outlineLevel="0" collapsed="false">
      <c r="A389" s="4" t="s">
        <v>1480</v>
      </c>
      <c r="B389" s="4" t="s">
        <v>100</v>
      </c>
      <c r="C389" s="4" t="n">
        <v>46298.1743865741</v>
      </c>
      <c r="D389" s="4" t="n">
        <v>325</v>
      </c>
    </row>
    <row r="390" customFormat="false" ht="15" hidden="false" customHeight="false" outlineLevel="0" collapsed="false">
      <c r="A390" s="4" t="s">
        <v>1485</v>
      </c>
      <c r="B390" s="4" t="s">
        <v>100</v>
      </c>
      <c r="C390" s="4" t="n">
        <v>46298.3385532407</v>
      </c>
      <c r="D390" s="4" t="n">
        <v>326</v>
      </c>
    </row>
    <row r="391" customFormat="false" ht="15" hidden="false" customHeight="false" outlineLevel="0" collapsed="false">
      <c r="A391" s="4" t="s">
        <v>1488</v>
      </c>
      <c r="B391" s="4" t="s">
        <v>100</v>
      </c>
      <c r="C391" s="4" t="n">
        <v>46298.5064930556</v>
      </c>
      <c r="D391" s="4" t="n">
        <v>327</v>
      </c>
    </row>
    <row r="392" customFormat="false" ht="15" hidden="false" customHeight="false" outlineLevel="0" collapsed="false">
      <c r="A392" s="4" t="s">
        <v>1492</v>
      </c>
      <c r="B392" s="4" t="s">
        <v>100</v>
      </c>
      <c r="C392" s="4" t="n">
        <v>46298.6739236111</v>
      </c>
      <c r="D392" s="4" t="n">
        <v>328</v>
      </c>
    </row>
    <row r="393" customFormat="false" ht="15" hidden="false" customHeight="false" outlineLevel="0" collapsed="false">
      <c r="A393" s="4" t="s">
        <v>1496</v>
      </c>
      <c r="B393" s="4" t="s">
        <v>100</v>
      </c>
      <c r="C393" s="4" t="n">
        <v>46298.8413657407</v>
      </c>
      <c r="D393" s="4" t="n">
        <v>329</v>
      </c>
    </row>
    <row r="394" customFormat="false" ht="15" hidden="false" customHeight="false" outlineLevel="0" collapsed="false">
      <c r="A394" s="4" t="s">
        <v>1499</v>
      </c>
      <c r="B394" s="4" t="s">
        <v>100</v>
      </c>
      <c r="C394" s="4" t="n">
        <v>46299.0069444445</v>
      </c>
      <c r="D394" s="4" t="n">
        <v>330</v>
      </c>
    </row>
    <row r="395" customFormat="false" ht="15" hidden="false" customHeight="false" outlineLevel="0" collapsed="false">
      <c r="A395" s="4" t="s">
        <v>1503</v>
      </c>
      <c r="B395" s="4" t="s">
        <v>100</v>
      </c>
      <c r="C395" s="4" t="n">
        <v>46299.1713078704</v>
      </c>
      <c r="D395" s="4" t="n">
        <v>331</v>
      </c>
    </row>
    <row r="396" customFormat="false" ht="15" hidden="false" customHeight="false" outlineLevel="0" collapsed="false">
      <c r="A396" s="4" t="s">
        <v>1508</v>
      </c>
      <c r="B396" s="4" t="s">
        <v>100</v>
      </c>
      <c r="C396" s="4" t="n">
        <v>46299.3407638889</v>
      </c>
      <c r="D396" s="4" t="n">
        <v>332</v>
      </c>
    </row>
    <row r="397" customFormat="false" ht="15" hidden="false" customHeight="false" outlineLevel="0" collapsed="false">
      <c r="A397" s="4" t="s">
        <v>1511</v>
      </c>
      <c r="B397" s="4" t="s">
        <v>100</v>
      </c>
      <c r="C397" s="4" t="n">
        <v>46299.5086689815</v>
      </c>
      <c r="D397" s="4" t="n">
        <v>333</v>
      </c>
    </row>
    <row r="398" customFormat="false" ht="15" hidden="false" customHeight="false" outlineLevel="0" collapsed="false">
      <c r="A398" s="4" t="s">
        <v>1515</v>
      </c>
      <c r="B398" s="4" t="s">
        <v>100</v>
      </c>
      <c r="C398" s="4" t="n">
        <v>46299.6753240741</v>
      </c>
      <c r="D398" s="4" t="n">
        <v>334</v>
      </c>
    </row>
    <row r="399" customFormat="false" ht="15" hidden="false" customHeight="false" outlineLevel="0" collapsed="false">
      <c r="A399" s="4" t="s">
        <v>1519</v>
      </c>
      <c r="B399" s="4" t="s">
        <v>100</v>
      </c>
      <c r="C399" s="4" t="n">
        <v>46299.8392708333</v>
      </c>
      <c r="D399" s="4" t="n">
        <v>335</v>
      </c>
    </row>
    <row r="400" customFormat="false" ht="15" hidden="false" customHeight="false" outlineLevel="0" collapsed="false">
      <c r="A400" s="4" t="s">
        <v>207</v>
      </c>
      <c r="B400" s="4" t="s">
        <v>101</v>
      </c>
      <c r="C400" s="4" t="n">
        <v>46244.0911226852</v>
      </c>
      <c r="D400" s="4" t="n">
        <v>1</v>
      </c>
    </row>
    <row r="401" customFormat="false" ht="15" hidden="false" customHeight="false" outlineLevel="0" collapsed="false">
      <c r="A401" s="4" t="s">
        <v>211</v>
      </c>
      <c r="B401" s="4" t="s">
        <v>101</v>
      </c>
      <c r="C401" s="4" t="n">
        <v>46244.2566782407</v>
      </c>
      <c r="D401" s="4" t="n">
        <v>2</v>
      </c>
    </row>
    <row r="402" customFormat="false" ht="15" hidden="false" customHeight="false" outlineLevel="0" collapsed="false">
      <c r="A402" s="4" t="s">
        <v>216</v>
      </c>
      <c r="B402" s="4" t="s">
        <v>101</v>
      </c>
      <c r="C402" s="4" t="n">
        <v>46244.4228703704</v>
      </c>
      <c r="D402" s="4" t="n">
        <v>3</v>
      </c>
    </row>
    <row r="403" customFormat="false" ht="15" hidden="false" customHeight="false" outlineLevel="0" collapsed="false">
      <c r="A403" s="4" t="s">
        <v>219</v>
      </c>
      <c r="B403" s="4" t="s">
        <v>101</v>
      </c>
      <c r="C403" s="4" t="n">
        <v>46244.5895717593</v>
      </c>
      <c r="D403" s="4" t="n">
        <v>4</v>
      </c>
    </row>
    <row r="404" customFormat="false" ht="15" hidden="false" customHeight="false" outlineLevel="0" collapsed="false">
      <c r="A404" s="4" t="s">
        <v>222</v>
      </c>
      <c r="B404" s="4" t="s">
        <v>101</v>
      </c>
      <c r="C404" s="4" t="n">
        <v>46244.7580208333</v>
      </c>
      <c r="D404" s="4" t="n">
        <v>5</v>
      </c>
    </row>
    <row r="405" customFormat="false" ht="15" hidden="false" customHeight="false" outlineLevel="0" collapsed="false">
      <c r="A405" s="4" t="s">
        <v>227</v>
      </c>
      <c r="B405" s="4" t="s">
        <v>101</v>
      </c>
      <c r="C405" s="4" t="n">
        <v>46244.9246412037</v>
      </c>
      <c r="D405" s="4" t="n">
        <v>6</v>
      </c>
    </row>
    <row r="406" customFormat="false" ht="15" hidden="false" customHeight="false" outlineLevel="0" collapsed="false">
      <c r="A406" s="4" t="s">
        <v>230</v>
      </c>
      <c r="B406" s="4" t="s">
        <v>101</v>
      </c>
      <c r="C406" s="4" t="n">
        <v>46245.0886921296</v>
      </c>
      <c r="D406" s="4" t="n">
        <v>7</v>
      </c>
    </row>
    <row r="407" customFormat="false" ht="15" hidden="false" customHeight="false" outlineLevel="0" collapsed="false">
      <c r="A407" s="4" t="s">
        <v>234</v>
      </c>
      <c r="B407" s="4" t="s">
        <v>101</v>
      </c>
      <c r="C407" s="4" t="n">
        <v>46245.257962963</v>
      </c>
      <c r="D407" s="4" t="n">
        <v>8</v>
      </c>
    </row>
    <row r="408" customFormat="false" ht="15" hidden="false" customHeight="false" outlineLevel="0" collapsed="false">
      <c r="A408" s="4" t="s">
        <v>239</v>
      </c>
      <c r="B408" s="4" t="s">
        <v>101</v>
      </c>
      <c r="C408" s="4" t="n">
        <v>46245.4238425926</v>
      </c>
      <c r="D408" s="4" t="n">
        <v>9</v>
      </c>
    </row>
    <row r="409" customFormat="false" ht="15" hidden="false" customHeight="false" outlineLevel="0" collapsed="false">
      <c r="A409" s="4" t="s">
        <v>242</v>
      </c>
      <c r="B409" s="4" t="s">
        <v>101</v>
      </c>
      <c r="C409" s="4" t="n">
        <v>46245.5918981481</v>
      </c>
      <c r="D409" s="4" t="n">
        <v>10</v>
      </c>
    </row>
    <row r="410" customFormat="false" ht="15" hidden="false" customHeight="false" outlineLevel="0" collapsed="false">
      <c r="A410" s="4" t="s">
        <v>245</v>
      </c>
      <c r="B410" s="4" t="s">
        <v>101</v>
      </c>
      <c r="C410" s="4" t="n">
        <v>46245.7587731482</v>
      </c>
      <c r="D410" s="4" t="n">
        <v>11</v>
      </c>
    </row>
    <row r="411" customFormat="false" ht="15" hidden="false" customHeight="false" outlineLevel="0" collapsed="false">
      <c r="A411" s="4" t="s">
        <v>250</v>
      </c>
      <c r="B411" s="4" t="s">
        <v>101</v>
      </c>
      <c r="C411" s="4" t="n">
        <v>46245.9248032407</v>
      </c>
      <c r="D411" s="4" t="n">
        <v>12</v>
      </c>
    </row>
    <row r="412" customFormat="false" ht="15" hidden="false" customHeight="false" outlineLevel="0" collapsed="false">
      <c r="A412" s="4" t="s">
        <v>253</v>
      </c>
      <c r="B412" s="4" t="s">
        <v>101</v>
      </c>
      <c r="C412" s="4" t="n">
        <v>46246.0895138889</v>
      </c>
      <c r="D412" s="4" t="n">
        <v>13</v>
      </c>
    </row>
    <row r="413" customFormat="false" ht="15" hidden="false" customHeight="false" outlineLevel="0" collapsed="false">
      <c r="A413" s="4" t="s">
        <v>257</v>
      </c>
      <c r="B413" s="4" t="s">
        <v>101</v>
      </c>
      <c r="C413" s="4" t="n">
        <v>46246.2575578704</v>
      </c>
      <c r="D413" s="4" t="n">
        <v>14</v>
      </c>
    </row>
    <row r="414" customFormat="false" ht="15" hidden="false" customHeight="false" outlineLevel="0" collapsed="false">
      <c r="A414" s="4" t="s">
        <v>262</v>
      </c>
      <c r="B414" s="4" t="s">
        <v>101</v>
      </c>
      <c r="C414" s="4" t="n">
        <v>46246.4258796296</v>
      </c>
      <c r="D414" s="4" t="n">
        <v>15</v>
      </c>
    </row>
    <row r="415" customFormat="false" ht="15" hidden="false" customHeight="false" outlineLevel="0" collapsed="false">
      <c r="A415" s="4" t="s">
        <v>265</v>
      </c>
      <c r="B415" s="4" t="s">
        <v>101</v>
      </c>
      <c r="C415" s="4" t="n">
        <v>46246.5904282407</v>
      </c>
      <c r="D415" s="4" t="n">
        <v>16</v>
      </c>
    </row>
    <row r="416" customFormat="false" ht="15" hidden="false" customHeight="false" outlineLevel="0" collapsed="false">
      <c r="A416" s="4" t="s">
        <v>268</v>
      </c>
      <c r="B416" s="4" t="s">
        <v>101</v>
      </c>
      <c r="C416" s="4" t="n">
        <v>46246.7591319445</v>
      </c>
      <c r="D416" s="4" t="n">
        <v>17</v>
      </c>
    </row>
    <row r="417" customFormat="false" ht="15" hidden="false" customHeight="false" outlineLevel="0" collapsed="false">
      <c r="A417" s="4" t="s">
        <v>273</v>
      </c>
      <c r="B417" s="4" t="s">
        <v>101</v>
      </c>
      <c r="C417" s="4" t="n">
        <v>46246.9249421296</v>
      </c>
      <c r="D417" s="4" t="n">
        <v>18</v>
      </c>
    </row>
    <row r="418" customFormat="false" ht="15" hidden="false" customHeight="false" outlineLevel="0" collapsed="false">
      <c r="A418" s="4" t="s">
        <v>276</v>
      </c>
      <c r="B418" s="4" t="s">
        <v>101</v>
      </c>
      <c r="C418" s="4" t="n">
        <v>46247.0902777778</v>
      </c>
      <c r="D418" s="4" t="n">
        <v>19</v>
      </c>
    </row>
    <row r="419" customFormat="false" ht="15" hidden="false" customHeight="false" outlineLevel="0" collapsed="false">
      <c r="A419" s="4" t="s">
        <v>280</v>
      </c>
      <c r="B419" s="4" t="s">
        <v>101</v>
      </c>
      <c r="C419" s="4" t="n">
        <v>46247.2566087963</v>
      </c>
      <c r="D419" s="4" t="n">
        <v>20</v>
      </c>
    </row>
    <row r="420" customFormat="false" ht="15" hidden="false" customHeight="false" outlineLevel="0" collapsed="false">
      <c r="A420" s="4" t="s">
        <v>285</v>
      </c>
      <c r="B420" s="4" t="s">
        <v>101</v>
      </c>
      <c r="C420" s="4" t="n">
        <v>46247.4225578704</v>
      </c>
      <c r="D420" s="4" t="n">
        <v>21</v>
      </c>
    </row>
    <row r="421" customFormat="false" ht="15" hidden="false" customHeight="false" outlineLevel="0" collapsed="false">
      <c r="A421" s="4" t="s">
        <v>288</v>
      </c>
      <c r="B421" s="4" t="s">
        <v>101</v>
      </c>
      <c r="C421" s="4" t="n">
        <v>46247.5922222222</v>
      </c>
      <c r="D421" s="4" t="n">
        <v>22</v>
      </c>
    </row>
    <row r="422" customFormat="false" ht="15" hidden="false" customHeight="false" outlineLevel="0" collapsed="false">
      <c r="A422" s="4" t="s">
        <v>291</v>
      </c>
      <c r="B422" s="4" t="s">
        <v>101</v>
      </c>
      <c r="C422" s="4" t="n">
        <v>46247.7568518519</v>
      </c>
      <c r="D422" s="4" t="n">
        <v>23</v>
      </c>
    </row>
    <row r="423" customFormat="false" ht="15" hidden="false" customHeight="false" outlineLevel="0" collapsed="false">
      <c r="A423" s="4" t="s">
        <v>296</v>
      </c>
      <c r="B423" s="4" t="s">
        <v>101</v>
      </c>
      <c r="C423" s="4" t="n">
        <v>46247.9247106482</v>
      </c>
      <c r="D423" s="4" t="n">
        <v>24</v>
      </c>
    </row>
    <row r="424" customFormat="false" ht="15" hidden="false" customHeight="false" outlineLevel="0" collapsed="false">
      <c r="A424" s="4" t="s">
        <v>299</v>
      </c>
      <c r="B424" s="4" t="s">
        <v>101</v>
      </c>
      <c r="C424" s="4" t="n">
        <v>46248.0896180556</v>
      </c>
      <c r="D424" s="4" t="n">
        <v>25</v>
      </c>
    </row>
    <row r="425" customFormat="false" ht="15" hidden="false" customHeight="false" outlineLevel="0" collapsed="false">
      <c r="A425" s="4" t="s">
        <v>303</v>
      </c>
      <c r="B425" s="4" t="s">
        <v>101</v>
      </c>
      <c r="C425" s="4" t="n">
        <v>46248.257337963</v>
      </c>
      <c r="D425" s="4" t="n">
        <v>26</v>
      </c>
    </row>
    <row r="426" customFormat="false" ht="15" hidden="false" customHeight="false" outlineLevel="0" collapsed="false">
      <c r="A426" s="4" t="s">
        <v>308</v>
      </c>
      <c r="B426" s="4" t="s">
        <v>101</v>
      </c>
      <c r="C426" s="4" t="n">
        <v>46248.424537037</v>
      </c>
      <c r="D426" s="4" t="n">
        <v>27</v>
      </c>
    </row>
    <row r="427" customFormat="false" ht="15" hidden="false" customHeight="false" outlineLevel="0" collapsed="false">
      <c r="A427" s="4" t="s">
        <v>311</v>
      </c>
      <c r="B427" s="4" t="s">
        <v>101</v>
      </c>
      <c r="C427" s="4" t="n">
        <v>46248.5912847222</v>
      </c>
      <c r="D427" s="4" t="n">
        <v>28</v>
      </c>
    </row>
    <row r="428" customFormat="false" ht="15" hidden="false" customHeight="false" outlineLevel="0" collapsed="false">
      <c r="A428" s="4" t="s">
        <v>314</v>
      </c>
      <c r="B428" s="4" t="s">
        <v>101</v>
      </c>
      <c r="C428" s="4" t="n">
        <v>46248.7571875</v>
      </c>
      <c r="D428" s="4" t="n">
        <v>29</v>
      </c>
    </row>
    <row r="429" customFormat="false" ht="15" hidden="false" customHeight="false" outlineLevel="0" collapsed="false">
      <c r="A429" s="4" t="s">
        <v>319</v>
      </c>
      <c r="B429" s="4" t="s">
        <v>101</v>
      </c>
      <c r="C429" s="4" t="n">
        <v>46248.9249074074</v>
      </c>
      <c r="D429" s="4" t="n">
        <v>30</v>
      </c>
    </row>
    <row r="430" customFormat="false" ht="15" hidden="false" customHeight="false" outlineLevel="0" collapsed="false">
      <c r="A430" s="4" t="s">
        <v>322</v>
      </c>
      <c r="B430" s="4" t="s">
        <v>101</v>
      </c>
      <c r="C430" s="4" t="n">
        <v>46249.0900115741</v>
      </c>
      <c r="D430" s="4" t="n">
        <v>31</v>
      </c>
    </row>
    <row r="431" customFormat="false" ht="15" hidden="false" customHeight="false" outlineLevel="0" collapsed="false">
      <c r="A431" s="4" t="s">
        <v>326</v>
      </c>
      <c r="B431" s="4" t="s">
        <v>101</v>
      </c>
      <c r="C431" s="4" t="n">
        <v>46249.257662037</v>
      </c>
      <c r="D431" s="4" t="n">
        <v>32</v>
      </c>
    </row>
    <row r="432" customFormat="false" ht="15" hidden="false" customHeight="false" outlineLevel="0" collapsed="false">
      <c r="A432" s="4" t="s">
        <v>331</v>
      </c>
      <c r="B432" s="4" t="s">
        <v>101</v>
      </c>
      <c r="C432" s="4" t="n">
        <v>46249.4252893519</v>
      </c>
      <c r="D432" s="4" t="n">
        <v>33</v>
      </c>
    </row>
    <row r="433" customFormat="false" ht="15" hidden="false" customHeight="false" outlineLevel="0" collapsed="false">
      <c r="A433" s="4" t="s">
        <v>334</v>
      </c>
      <c r="B433" s="4" t="s">
        <v>101</v>
      </c>
      <c r="C433" s="4" t="n">
        <v>46249.5906597222</v>
      </c>
      <c r="D433" s="4" t="n">
        <v>34</v>
      </c>
    </row>
    <row r="434" customFormat="false" ht="15" hidden="false" customHeight="false" outlineLevel="0" collapsed="false">
      <c r="A434" s="4" t="s">
        <v>337</v>
      </c>
      <c r="B434" s="4" t="s">
        <v>101</v>
      </c>
      <c r="C434" s="4" t="n">
        <v>46249.7573726852</v>
      </c>
      <c r="D434" s="4" t="n">
        <v>35</v>
      </c>
    </row>
    <row r="435" customFormat="false" ht="15" hidden="false" customHeight="false" outlineLevel="0" collapsed="false">
      <c r="A435" s="4" t="s">
        <v>342</v>
      </c>
      <c r="B435" s="4" t="s">
        <v>101</v>
      </c>
      <c r="C435" s="4" t="n">
        <v>46249.9245601852</v>
      </c>
      <c r="D435" s="4" t="n">
        <v>36</v>
      </c>
    </row>
    <row r="436" customFormat="false" ht="15" hidden="false" customHeight="false" outlineLevel="0" collapsed="false">
      <c r="A436" s="4" t="s">
        <v>345</v>
      </c>
      <c r="B436" s="4" t="s">
        <v>101</v>
      </c>
      <c r="C436" s="4" t="n">
        <v>46250.0899305556</v>
      </c>
      <c r="D436" s="4" t="n">
        <v>37</v>
      </c>
    </row>
    <row r="437" customFormat="false" ht="15" hidden="false" customHeight="false" outlineLevel="0" collapsed="false">
      <c r="A437" s="4" t="s">
        <v>349</v>
      </c>
      <c r="B437" s="4" t="s">
        <v>101</v>
      </c>
      <c r="C437" s="4" t="n">
        <v>46250.2576273148</v>
      </c>
      <c r="D437" s="4" t="n">
        <v>38</v>
      </c>
    </row>
    <row r="438" customFormat="false" ht="15" hidden="false" customHeight="false" outlineLevel="0" collapsed="false">
      <c r="A438" s="4" t="s">
        <v>354</v>
      </c>
      <c r="B438" s="4" t="s">
        <v>101</v>
      </c>
      <c r="C438" s="4" t="n">
        <v>46250.4250578704</v>
      </c>
      <c r="D438" s="4" t="n">
        <v>39</v>
      </c>
    </row>
    <row r="439" customFormat="false" ht="15" hidden="false" customHeight="false" outlineLevel="0" collapsed="false">
      <c r="A439" s="4" t="s">
        <v>357</v>
      </c>
      <c r="B439" s="4" t="s">
        <v>101</v>
      </c>
      <c r="C439" s="4" t="n">
        <v>46250.5898611111</v>
      </c>
      <c r="D439" s="4" t="n">
        <v>40</v>
      </c>
    </row>
    <row r="440" customFormat="false" ht="15" hidden="false" customHeight="false" outlineLevel="0" collapsed="false">
      <c r="A440" s="4" t="s">
        <v>360</v>
      </c>
      <c r="B440" s="4" t="s">
        <v>101</v>
      </c>
      <c r="C440" s="4" t="n">
        <v>46250.757337963</v>
      </c>
      <c r="D440" s="4" t="n">
        <v>41</v>
      </c>
    </row>
    <row r="441" customFormat="false" ht="15" hidden="false" customHeight="false" outlineLevel="0" collapsed="false">
      <c r="A441" s="4" t="s">
        <v>365</v>
      </c>
      <c r="B441" s="4" t="s">
        <v>101</v>
      </c>
      <c r="C441" s="4" t="n">
        <v>46250.9245833333</v>
      </c>
      <c r="D441" s="4" t="n">
        <v>42</v>
      </c>
    </row>
    <row r="442" customFormat="false" ht="15" hidden="false" customHeight="false" outlineLevel="0" collapsed="false">
      <c r="A442" s="4" t="s">
        <v>368</v>
      </c>
      <c r="B442" s="4" t="s">
        <v>101</v>
      </c>
      <c r="C442" s="4" t="n">
        <v>46251.0912268519</v>
      </c>
      <c r="D442" s="4" t="n">
        <v>43</v>
      </c>
    </row>
    <row r="443" customFormat="false" ht="15" hidden="false" customHeight="false" outlineLevel="0" collapsed="false">
      <c r="A443" s="4" t="s">
        <v>375</v>
      </c>
      <c r="B443" s="4" t="s">
        <v>101</v>
      </c>
      <c r="C443" s="4" t="n">
        <v>46251.2572800926</v>
      </c>
      <c r="D443" s="4" t="n">
        <v>44</v>
      </c>
    </row>
    <row r="444" customFormat="false" ht="15" hidden="false" customHeight="false" outlineLevel="0" collapsed="false">
      <c r="A444" s="4" t="s">
        <v>380</v>
      </c>
      <c r="B444" s="4" t="s">
        <v>101</v>
      </c>
      <c r="C444" s="4" t="n">
        <v>46251.4236226852</v>
      </c>
      <c r="D444" s="4" t="n">
        <v>45</v>
      </c>
    </row>
    <row r="445" customFormat="false" ht="15" hidden="false" customHeight="false" outlineLevel="0" collapsed="false">
      <c r="A445" s="4" t="s">
        <v>383</v>
      </c>
      <c r="B445" s="4" t="s">
        <v>101</v>
      </c>
      <c r="C445" s="4" t="n">
        <v>46251.592337963</v>
      </c>
      <c r="D445" s="4" t="n">
        <v>46</v>
      </c>
    </row>
    <row r="446" customFormat="false" ht="15" hidden="false" customHeight="false" outlineLevel="0" collapsed="false">
      <c r="A446" s="4" t="s">
        <v>386</v>
      </c>
      <c r="B446" s="4" t="s">
        <v>101</v>
      </c>
      <c r="C446" s="4" t="n">
        <v>46251.7588425926</v>
      </c>
      <c r="D446" s="4" t="n">
        <v>47</v>
      </c>
    </row>
    <row r="447" customFormat="false" ht="15" hidden="false" customHeight="false" outlineLevel="0" collapsed="false">
      <c r="A447" s="4" t="s">
        <v>391</v>
      </c>
      <c r="B447" s="4" t="s">
        <v>101</v>
      </c>
      <c r="C447" s="4" t="n">
        <v>46251.9260648148</v>
      </c>
      <c r="D447" s="4" t="n">
        <v>48</v>
      </c>
    </row>
    <row r="448" customFormat="false" ht="15" hidden="false" customHeight="false" outlineLevel="0" collapsed="false">
      <c r="A448" s="4" t="s">
        <v>394</v>
      </c>
      <c r="B448" s="4" t="s">
        <v>101</v>
      </c>
      <c r="C448" s="4" t="n">
        <v>46252.0910185185</v>
      </c>
      <c r="D448" s="4" t="n">
        <v>49</v>
      </c>
    </row>
    <row r="449" customFormat="false" ht="15" hidden="false" customHeight="false" outlineLevel="0" collapsed="false">
      <c r="A449" s="4" t="s">
        <v>398</v>
      </c>
      <c r="B449" s="4" t="s">
        <v>101</v>
      </c>
      <c r="C449" s="4" t="n">
        <v>46252.2583912037</v>
      </c>
      <c r="D449" s="4" t="n">
        <v>50</v>
      </c>
    </row>
    <row r="450" customFormat="false" ht="15" hidden="false" customHeight="false" outlineLevel="0" collapsed="false">
      <c r="A450" s="4" t="s">
        <v>403</v>
      </c>
      <c r="B450" s="4" t="s">
        <v>101</v>
      </c>
      <c r="C450" s="4" t="n">
        <v>46252.4230555556</v>
      </c>
      <c r="D450" s="4" t="n">
        <v>51</v>
      </c>
    </row>
    <row r="451" customFormat="false" ht="15" hidden="false" customHeight="false" outlineLevel="0" collapsed="false">
      <c r="A451" s="4" t="s">
        <v>406</v>
      </c>
      <c r="B451" s="4" t="s">
        <v>101</v>
      </c>
      <c r="C451" s="4" t="n">
        <v>46252.593125</v>
      </c>
      <c r="D451" s="4" t="n">
        <v>52</v>
      </c>
    </row>
    <row r="452" customFormat="false" ht="15" hidden="false" customHeight="false" outlineLevel="0" collapsed="false">
      <c r="A452" s="4" t="s">
        <v>409</v>
      </c>
      <c r="B452" s="4" t="s">
        <v>101</v>
      </c>
      <c r="C452" s="4" t="n">
        <v>46252.7564583333</v>
      </c>
      <c r="D452" s="4" t="n">
        <v>53</v>
      </c>
    </row>
    <row r="453" customFormat="false" ht="15" hidden="false" customHeight="false" outlineLevel="0" collapsed="false">
      <c r="A453" s="4" t="s">
        <v>414</v>
      </c>
      <c r="B453" s="4" t="s">
        <v>101</v>
      </c>
      <c r="C453" s="4" t="n">
        <v>46252.9245949074</v>
      </c>
      <c r="D453" s="4" t="n">
        <v>54</v>
      </c>
    </row>
    <row r="454" customFormat="false" ht="15" hidden="false" customHeight="false" outlineLevel="0" collapsed="false">
      <c r="A454" s="4" t="s">
        <v>417</v>
      </c>
      <c r="B454" s="4" t="s">
        <v>101</v>
      </c>
      <c r="C454" s="4" t="n">
        <v>46253.089375</v>
      </c>
      <c r="D454" s="4" t="n">
        <v>55</v>
      </c>
    </row>
    <row r="455" customFormat="false" ht="15" hidden="false" customHeight="false" outlineLevel="0" collapsed="false">
      <c r="A455" s="4" t="s">
        <v>421</v>
      </c>
      <c r="B455" s="4" t="s">
        <v>101</v>
      </c>
      <c r="C455" s="4" t="n">
        <v>46253.2579976852</v>
      </c>
      <c r="D455" s="4" t="n">
        <v>56</v>
      </c>
    </row>
    <row r="456" customFormat="false" ht="15" hidden="false" customHeight="false" outlineLevel="0" collapsed="false">
      <c r="A456" s="4" t="s">
        <v>426</v>
      </c>
      <c r="B456" s="4" t="s">
        <v>101</v>
      </c>
      <c r="C456" s="4" t="n">
        <v>46253.4242824074</v>
      </c>
      <c r="D456" s="4" t="n">
        <v>57</v>
      </c>
    </row>
    <row r="457" customFormat="false" ht="15" hidden="false" customHeight="false" outlineLevel="0" collapsed="false">
      <c r="A457" s="4" t="s">
        <v>431</v>
      </c>
      <c r="B457" s="4" t="s">
        <v>101</v>
      </c>
      <c r="C457" s="4" t="n">
        <v>46253.5915277778</v>
      </c>
      <c r="D457" s="4" t="n">
        <v>58</v>
      </c>
    </row>
    <row r="458" customFormat="false" ht="15" hidden="false" customHeight="false" outlineLevel="0" collapsed="false">
      <c r="A458" s="4" t="s">
        <v>434</v>
      </c>
      <c r="B458" s="4" t="s">
        <v>101</v>
      </c>
      <c r="C458" s="4" t="n">
        <v>46253.7571180556</v>
      </c>
      <c r="D458" s="4" t="n">
        <v>59</v>
      </c>
    </row>
    <row r="459" customFormat="false" ht="15" hidden="false" customHeight="false" outlineLevel="0" collapsed="false">
      <c r="A459" s="4" t="s">
        <v>439</v>
      </c>
      <c r="B459" s="4" t="s">
        <v>101</v>
      </c>
      <c r="C459" s="4" t="n">
        <v>46253.9257291667</v>
      </c>
      <c r="D459" s="4" t="n">
        <v>60</v>
      </c>
    </row>
    <row r="460" customFormat="false" ht="15" hidden="false" customHeight="false" outlineLevel="0" collapsed="false">
      <c r="A460" s="4" t="s">
        <v>442</v>
      </c>
      <c r="B460" s="4" t="s">
        <v>101</v>
      </c>
      <c r="C460" s="4" t="n">
        <v>46254.0917476852</v>
      </c>
      <c r="D460" s="4" t="n">
        <v>61</v>
      </c>
    </row>
    <row r="461" customFormat="false" ht="15" hidden="false" customHeight="false" outlineLevel="0" collapsed="false">
      <c r="A461" s="4" t="s">
        <v>446</v>
      </c>
      <c r="B461" s="4" t="s">
        <v>101</v>
      </c>
      <c r="C461" s="4" t="n">
        <v>46254.255462963</v>
      </c>
      <c r="D461" s="4" t="n">
        <v>62</v>
      </c>
    </row>
    <row r="462" customFormat="false" ht="15" hidden="false" customHeight="false" outlineLevel="0" collapsed="false">
      <c r="A462" s="4" t="s">
        <v>451</v>
      </c>
      <c r="B462" s="4" t="s">
        <v>101</v>
      </c>
      <c r="C462" s="4" t="n">
        <v>46254.4231134259</v>
      </c>
      <c r="D462" s="4" t="n">
        <v>63</v>
      </c>
    </row>
    <row r="463" customFormat="false" ht="15" hidden="false" customHeight="false" outlineLevel="0" collapsed="false">
      <c r="A463" s="4" t="s">
        <v>454</v>
      </c>
      <c r="B463" s="4" t="s">
        <v>101</v>
      </c>
      <c r="C463" s="4" t="n">
        <v>46254.5900694444</v>
      </c>
      <c r="D463" s="4" t="n">
        <v>64</v>
      </c>
    </row>
    <row r="464" customFormat="false" ht="15" hidden="false" customHeight="false" outlineLevel="0" collapsed="false">
      <c r="A464" s="4" t="s">
        <v>457</v>
      </c>
      <c r="B464" s="4" t="s">
        <v>101</v>
      </c>
      <c r="C464" s="4" t="n">
        <v>46254.7573842593</v>
      </c>
      <c r="D464" s="4" t="n">
        <v>65</v>
      </c>
    </row>
    <row r="465" customFormat="false" ht="15" hidden="false" customHeight="false" outlineLevel="0" collapsed="false">
      <c r="A465" s="4" t="s">
        <v>462</v>
      </c>
      <c r="B465" s="4" t="s">
        <v>101</v>
      </c>
      <c r="C465" s="4" t="n">
        <v>46254.9235532407</v>
      </c>
      <c r="D465" s="4" t="n">
        <v>66</v>
      </c>
    </row>
    <row r="466" customFormat="false" ht="15" hidden="false" customHeight="false" outlineLevel="0" collapsed="false">
      <c r="A466" s="4" t="s">
        <v>465</v>
      </c>
      <c r="B466" s="4" t="s">
        <v>101</v>
      </c>
      <c r="C466" s="4" t="n">
        <v>46255.0910532407</v>
      </c>
      <c r="D466" s="4" t="n">
        <v>67</v>
      </c>
    </row>
    <row r="467" customFormat="false" ht="15" hidden="false" customHeight="false" outlineLevel="0" collapsed="false">
      <c r="A467" s="4" t="s">
        <v>469</v>
      </c>
      <c r="B467" s="4" t="s">
        <v>101</v>
      </c>
      <c r="C467" s="4" t="n">
        <v>46255.2552893519</v>
      </c>
      <c r="D467" s="4" t="n">
        <v>68</v>
      </c>
    </row>
    <row r="468" customFormat="false" ht="15" hidden="false" customHeight="false" outlineLevel="0" collapsed="false">
      <c r="A468" s="4" t="s">
        <v>474</v>
      </c>
      <c r="B468" s="4" t="s">
        <v>101</v>
      </c>
      <c r="C468" s="4" t="n">
        <v>46255.4222106482</v>
      </c>
      <c r="D468" s="4" t="n">
        <v>69</v>
      </c>
    </row>
    <row r="469" customFormat="false" ht="15" hidden="false" customHeight="false" outlineLevel="0" collapsed="false">
      <c r="A469" s="4" t="s">
        <v>477</v>
      </c>
      <c r="B469" s="4" t="s">
        <v>101</v>
      </c>
      <c r="C469" s="4" t="n">
        <v>46255.5919791667</v>
      </c>
      <c r="D469" s="4" t="n">
        <v>70</v>
      </c>
    </row>
    <row r="470" customFormat="false" ht="15" hidden="false" customHeight="false" outlineLevel="0" collapsed="false">
      <c r="A470" s="4" t="s">
        <v>480</v>
      </c>
      <c r="B470" s="4" t="s">
        <v>101</v>
      </c>
      <c r="C470" s="4" t="n">
        <v>46255.7564351852</v>
      </c>
      <c r="D470" s="4" t="n">
        <v>71</v>
      </c>
    </row>
    <row r="471" customFormat="false" ht="15" hidden="false" customHeight="false" outlineLevel="0" collapsed="false">
      <c r="A471" s="4" t="s">
        <v>485</v>
      </c>
      <c r="B471" s="4" t="s">
        <v>101</v>
      </c>
      <c r="C471" s="4" t="n">
        <v>46255.9225</v>
      </c>
      <c r="D471" s="4" t="n">
        <v>72</v>
      </c>
    </row>
    <row r="472" customFormat="false" ht="15" hidden="false" customHeight="false" outlineLevel="0" collapsed="false">
      <c r="A472" s="4" t="s">
        <v>488</v>
      </c>
      <c r="B472" s="4" t="s">
        <v>101</v>
      </c>
      <c r="C472" s="4" t="n">
        <v>46256.0899189815</v>
      </c>
      <c r="D472" s="4" t="n">
        <v>73</v>
      </c>
    </row>
    <row r="473" customFormat="false" ht="15" hidden="false" customHeight="false" outlineLevel="0" collapsed="false">
      <c r="A473" s="4" t="s">
        <v>493</v>
      </c>
      <c r="B473" s="4" t="s">
        <v>101</v>
      </c>
      <c r="C473" s="4" t="n">
        <v>46256.2573611111</v>
      </c>
      <c r="D473" s="4" t="n">
        <v>74</v>
      </c>
    </row>
    <row r="474" customFormat="false" ht="15" hidden="false" customHeight="false" outlineLevel="0" collapsed="false">
      <c r="A474" s="4" t="s">
        <v>498</v>
      </c>
      <c r="B474" s="4" t="s">
        <v>101</v>
      </c>
      <c r="C474" s="4" t="n">
        <v>46256.4247916667</v>
      </c>
      <c r="D474" s="4" t="n">
        <v>75</v>
      </c>
    </row>
    <row r="475" customFormat="false" ht="15" hidden="false" customHeight="false" outlineLevel="0" collapsed="false">
      <c r="A475" s="4" t="s">
        <v>500</v>
      </c>
      <c r="B475" s="4" t="s">
        <v>101</v>
      </c>
      <c r="C475" s="4" t="n">
        <v>46256.5922569444</v>
      </c>
      <c r="D475" s="4" t="n">
        <v>76</v>
      </c>
    </row>
    <row r="476" customFormat="false" ht="15" hidden="false" customHeight="false" outlineLevel="0" collapsed="false">
      <c r="A476" s="4" t="s">
        <v>504</v>
      </c>
      <c r="B476" s="4" t="s">
        <v>101</v>
      </c>
      <c r="C476" s="4" t="n">
        <v>46256.756724537</v>
      </c>
      <c r="D476" s="4" t="n">
        <v>77</v>
      </c>
    </row>
    <row r="477" customFormat="false" ht="15" hidden="false" customHeight="false" outlineLevel="0" collapsed="false">
      <c r="A477" s="4" t="s">
        <v>509</v>
      </c>
      <c r="B477" s="4" t="s">
        <v>101</v>
      </c>
      <c r="C477" s="4" t="n">
        <v>46256.9238194445</v>
      </c>
      <c r="D477" s="4" t="n">
        <v>78</v>
      </c>
    </row>
    <row r="478" customFormat="false" ht="15" hidden="false" customHeight="false" outlineLevel="0" collapsed="false">
      <c r="A478" s="4" t="s">
        <v>512</v>
      </c>
      <c r="B478" s="4" t="s">
        <v>101</v>
      </c>
      <c r="C478" s="4" t="n">
        <v>46257.092337963</v>
      </c>
      <c r="D478" s="4" t="n">
        <v>79</v>
      </c>
    </row>
    <row r="479" customFormat="false" ht="15" hidden="false" customHeight="false" outlineLevel="0" collapsed="false">
      <c r="A479" s="4" t="s">
        <v>516</v>
      </c>
      <c r="B479" s="4" t="s">
        <v>101</v>
      </c>
      <c r="C479" s="4" t="n">
        <v>46257.2579282407</v>
      </c>
      <c r="D479" s="4" t="n">
        <v>80</v>
      </c>
    </row>
    <row r="480" customFormat="false" ht="15" hidden="false" customHeight="false" outlineLevel="0" collapsed="false">
      <c r="A480" s="4" t="s">
        <v>521</v>
      </c>
      <c r="B480" s="4" t="s">
        <v>101</v>
      </c>
      <c r="C480" s="4" t="n">
        <v>46257.4231134259</v>
      </c>
      <c r="D480" s="4" t="n">
        <v>81</v>
      </c>
    </row>
    <row r="481" customFormat="false" ht="15" hidden="false" customHeight="false" outlineLevel="0" collapsed="false">
      <c r="A481" s="4" t="s">
        <v>524</v>
      </c>
      <c r="B481" s="4" t="s">
        <v>101</v>
      </c>
      <c r="C481" s="4" t="n">
        <v>46257.5907986111</v>
      </c>
      <c r="D481" s="4" t="n">
        <v>82</v>
      </c>
    </row>
    <row r="482" customFormat="false" ht="15" hidden="false" customHeight="false" outlineLevel="0" collapsed="false">
      <c r="A482" s="4" t="s">
        <v>527</v>
      </c>
      <c r="B482" s="4" t="s">
        <v>101</v>
      </c>
      <c r="C482" s="4" t="n">
        <v>46257.7591666667</v>
      </c>
      <c r="D482" s="4" t="n">
        <v>83</v>
      </c>
    </row>
    <row r="483" customFormat="false" ht="15" hidden="false" customHeight="false" outlineLevel="0" collapsed="false">
      <c r="A483" s="4" t="s">
        <v>532</v>
      </c>
      <c r="B483" s="4" t="s">
        <v>101</v>
      </c>
      <c r="C483" s="4" t="n">
        <v>46257.9238657407</v>
      </c>
      <c r="D483" s="4" t="n">
        <v>84</v>
      </c>
    </row>
    <row r="484" customFormat="false" ht="15" hidden="false" customHeight="false" outlineLevel="0" collapsed="false">
      <c r="A484" s="4" t="s">
        <v>535</v>
      </c>
      <c r="B484" s="4" t="s">
        <v>101</v>
      </c>
      <c r="C484" s="4" t="n">
        <v>46258.08875</v>
      </c>
      <c r="D484" s="4" t="n">
        <v>85</v>
      </c>
    </row>
    <row r="485" customFormat="false" ht="15" hidden="false" customHeight="false" outlineLevel="0" collapsed="false">
      <c r="A485" s="4" t="s">
        <v>539</v>
      </c>
      <c r="B485" s="4" t="s">
        <v>101</v>
      </c>
      <c r="C485" s="4" t="n">
        <v>46258.2584953704</v>
      </c>
      <c r="D485" s="4" t="n">
        <v>86</v>
      </c>
    </row>
    <row r="486" customFormat="false" ht="15" hidden="false" customHeight="false" outlineLevel="0" collapsed="false">
      <c r="A486" s="4" t="s">
        <v>544</v>
      </c>
      <c r="B486" s="4" t="s">
        <v>101</v>
      </c>
      <c r="C486" s="4" t="n">
        <v>46258.4227083333</v>
      </c>
      <c r="D486" s="4" t="n">
        <v>87</v>
      </c>
    </row>
    <row r="487" customFormat="false" ht="15" hidden="false" customHeight="false" outlineLevel="0" collapsed="false">
      <c r="A487" s="4" t="s">
        <v>547</v>
      </c>
      <c r="B487" s="4" t="s">
        <v>101</v>
      </c>
      <c r="C487" s="4" t="n">
        <v>46258.5895833333</v>
      </c>
      <c r="D487" s="4" t="n">
        <v>88</v>
      </c>
    </row>
    <row r="488" customFormat="false" ht="15" hidden="false" customHeight="false" outlineLevel="0" collapsed="false">
      <c r="A488" s="4" t="s">
        <v>550</v>
      </c>
      <c r="B488" s="4" t="s">
        <v>101</v>
      </c>
      <c r="C488" s="4" t="n">
        <v>46258.7574652778</v>
      </c>
      <c r="D488" s="4" t="n">
        <v>89</v>
      </c>
    </row>
    <row r="489" customFormat="false" ht="15" hidden="false" customHeight="false" outlineLevel="0" collapsed="false">
      <c r="A489" s="4" t="s">
        <v>555</v>
      </c>
      <c r="B489" s="4" t="s">
        <v>101</v>
      </c>
      <c r="C489" s="4" t="n">
        <v>46258.926400463</v>
      </c>
      <c r="D489" s="4" t="n">
        <v>90</v>
      </c>
    </row>
    <row r="490" customFormat="false" ht="15" hidden="false" customHeight="false" outlineLevel="0" collapsed="false">
      <c r="A490" s="4" t="s">
        <v>559</v>
      </c>
      <c r="B490" s="4" t="s">
        <v>101</v>
      </c>
      <c r="C490" s="4" t="n">
        <v>46259.0897800926</v>
      </c>
      <c r="D490" s="4" t="n">
        <v>91</v>
      </c>
    </row>
    <row r="491" customFormat="false" ht="15" hidden="false" customHeight="false" outlineLevel="0" collapsed="false">
      <c r="A491" s="4" t="s">
        <v>563</v>
      </c>
      <c r="B491" s="4" t="s">
        <v>101</v>
      </c>
      <c r="C491" s="4" t="n">
        <v>46259.2552662037</v>
      </c>
      <c r="D491" s="4" t="n">
        <v>92</v>
      </c>
    </row>
    <row r="492" customFormat="false" ht="15" hidden="false" customHeight="false" outlineLevel="0" collapsed="false">
      <c r="A492" s="4" t="s">
        <v>568</v>
      </c>
      <c r="B492" s="4" t="s">
        <v>101</v>
      </c>
      <c r="C492" s="4" t="n">
        <v>46259.4228703704</v>
      </c>
      <c r="D492" s="4" t="n">
        <v>93</v>
      </c>
    </row>
    <row r="493" customFormat="false" ht="15" hidden="false" customHeight="false" outlineLevel="0" collapsed="false">
      <c r="A493" s="4" t="s">
        <v>571</v>
      </c>
      <c r="B493" s="4" t="s">
        <v>101</v>
      </c>
      <c r="C493" s="4" t="n">
        <v>46259.5911689815</v>
      </c>
      <c r="D493" s="4" t="n">
        <v>94</v>
      </c>
    </row>
    <row r="494" customFormat="false" ht="15" hidden="false" customHeight="false" outlineLevel="0" collapsed="false">
      <c r="A494" s="4" t="s">
        <v>575</v>
      </c>
      <c r="B494" s="4" t="s">
        <v>101</v>
      </c>
      <c r="C494" s="4" t="n">
        <v>46259.7575810185</v>
      </c>
      <c r="D494" s="4" t="n">
        <v>95</v>
      </c>
    </row>
    <row r="495" customFormat="false" ht="15" hidden="false" customHeight="false" outlineLevel="0" collapsed="false">
      <c r="A495" s="4" t="s">
        <v>580</v>
      </c>
      <c r="B495" s="4" t="s">
        <v>101</v>
      </c>
      <c r="C495" s="4" t="n">
        <v>46259.9244097222</v>
      </c>
      <c r="D495" s="4" t="n">
        <v>96</v>
      </c>
    </row>
    <row r="496" customFormat="false" ht="15" hidden="false" customHeight="false" outlineLevel="0" collapsed="false">
      <c r="A496" s="4" t="s">
        <v>583</v>
      </c>
      <c r="B496" s="4" t="s">
        <v>101</v>
      </c>
      <c r="C496" s="4" t="n">
        <v>46260.0913541667</v>
      </c>
      <c r="D496" s="4" t="n">
        <v>97</v>
      </c>
    </row>
    <row r="497" customFormat="false" ht="15" hidden="false" customHeight="false" outlineLevel="0" collapsed="false">
      <c r="A497" s="4" t="s">
        <v>587</v>
      </c>
      <c r="B497" s="4" t="s">
        <v>101</v>
      </c>
      <c r="C497" s="4" t="n">
        <v>46260.2584606482</v>
      </c>
      <c r="D497" s="4" t="n">
        <v>98</v>
      </c>
    </row>
    <row r="498" customFormat="false" ht="15" hidden="false" customHeight="false" outlineLevel="0" collapsed="false">
      <c r="A498" s="4" t="s">
        <v>592</v>
      </c>
      <c r="B498" s="4" t="s">
        <v>101</v>
      </c>
      <c r="C498" s="4" t="n">
        <v>46260.4260763889</v>
      </c>
      <c r="D498" s="4" t="n">
        <v>99</v>
      </c>
    </row>
    <row r="499" customFormat="false" ht="15" hidden="false" customHeight="false" outlineLevel="0" collapsed="false">
      <c r="A499" s="4" t="s">
        <v>595</v>
      </c>
      <c r="B499" s="4" t="s">
        <v>101</v>
      </c>
      <c r="C499" s="4" t="n">
        <v>46260.5897685185</v>
      </c>
      <c r="D499" s="4" t="n">
        <v>100</v>
      </c>
    </row>
    <row r="500" customFormat="false" ht="15" hidden="false" customHeight="false" outlineLevel="0" collapsed="false">
      <c r="A500" s="4" t="s">
        <v>598</v>
      </c>
      <c r="B500" s="4" t="s">
        <v>101</v>
      </c>
      <c r="C500" s="4" t="n">
        <v>46260.7560185185</v>
      </c>
      <c r="D500" s="4" t="n">
        <v>101</v>
      </c>
    </row>
    <row r="501" customFormat="false" ht="15" hidden="false" customHeight="false" outlineLevel="0" collapsed="false">
      <c r="A501" s="4" t="s">
        <v>603</v>
      </c>
      <c r="B501" s="4" t="s">
        <v>101</v>
      </c>
      <c r="C501" s="4" t="n">
        <v>46260.9227199074</v>
      </c>
      <c r="D501" s="4" t="n">
        <v>102</v>
      </c>
    </row>
    <row r="502" customFormat="false" ht="15" hidden="false" customHeight="false" outlineLevel="0" collapsed="false">
      <c r="A502" s="4" t="s">
        <v>606</v>
      </c>
      <c r="B502" s="4" t="s">
        <v>101</v>
      </c>
      <c r="C502" s="4" t="n">
        <v>46261.0895833333</v>
      </c>
      <c r="D502" s="4" t="n">
        <v>103</v>
      </c>
    </row>
    <row r="503" customFormat="false" ht="15" hidden="false" customHeight="false" outlineLevel="0" collapsed="false">
      <c r="A503" s="4" t="s">
        <v>610</v>
      </c>
      <c r="B503" s="4" t="s">
        <v>101</v>
      </c>
      <c r="C503" s="4" t="n">
        <v>46261.2580092593</v>
      </c>
      <c r="D503" s="4" t="n">
        <v>104</v>
      </c>
    </row>
    <row r="504" customFormat="false" ht="15" hidden="false" customHeight="false" outlineLevel="0" collapsed="false">
      <c r="A504" s="4" t="s">
        <v>615</v>
      </c>
      <c r="B504" s="4" t="s">
        <v>101</v>
      </c>
      <c r="C504" s="4" t="n">
        <v>46261.4234375</v>
      </c>
      <c r="D504" s="4" t="n">
        <v>105</v>
      </c>
    </row>
    <row r="505" customFormat="false" ht="15" hidden="false" customHeight="false" outlineLevel="0" collapsed="false">
      <c r="A505" s="4" t="s">
        <v>618</v>
      </c>
      <c r="B505" s="4" t="s">
        <v>101</v>
      </c>
      <c r="C505" s="4" t="n">
        <v>46261.5911921296</v>
      </c>
      <c r="D505" s="4" t="n">
        <v>106</v>
      </c>
    </row>
    <row r="506" customFormat="false" ht="15" hidden="false" customHeight="false" outlineLevel="0" collapsed="false">
      <c r="A506" s="4" t="s">
        <v>621</v>
      </c>
      <c r="B506" s="4" t="s">
        <v>101</v>
      </c>
      <c r="C506" s="4" t="n">
        <v>46261.7583217593</v>
      </c>
      <c r="D506" s="4" t="n">
        <v>107</v>
      </c>
    </row>
    <row r="507" customFormat="false" ht="15" hidden="false" customHeight="false" outlineLevel="0" collapsed="false">
      <c r="A507" s="4" t="s">
        <v>627</v>
      </c>
      <c r="B507" s="4" t="s">
        <v>101</v>
      </c>
      <c r="C507" s="4" t="n">
        <v>46261.9230092593</v>
      </c>
      <c r="D507" s="4" t="n">
        <v>108</v>
      </c>
    </row>
    <row r="508" customFormat="false" ht="15" hidden="false" customHeight="false" outlineLevel="0" collapsed="false">
      <c r="A508" s="4" t="s">
        <v>630</v>
      </c>
      <c r="B508" s="4" t="s">
        <v>101</v>
      </c>
      <c r="C508" s="4" t="n">
        <v>46262.0895601852</v>
      </c>
      <c r="D508" s="4" t="n">
        <v>109</v>
      </c>
    </row>
    <row r="509" customFormat="false" ht="15" hidden="false" customHeight="false" outlineLevel="0" collapsed="false">
      <c r="A509" s="4" t="s">
        <v>634</v>
      </c>
      <c r="B509" s="4" t="s">
        <v>101</v>
      </c>
      <c r="C509" s="4" t="n">
        <v>46262.2567013889</v>
      </c>
      <c r="D509" s="4" t="n">
        <v>110</v>
      </c>
    </row>
    <row r="510" customFormat="false" ht="15" hidden="false" customHeight="false" outlineLevel="0" collapsed="false">
      <c r="A510" s="4" t="s">
        <v>639</v>
      </c>
      <c r="B510" s="4" t="s">
        <v>101</v>
      </c>
      <c r="C510" s="4" t="n">
        <v>46262.4225925926</v>
      </c>
      <c r="D510" s="4" t="n">
        <v>111</v>
      </c>
    </row>
    <row r="511" customFormat="false" ht="15" hidden="false" customHeight="false" outlineLevel="0" collapsed="false">
      <c r="A511" s="4" t="s">
        <v>642</v>
      </c>
      <c r="B511" s="4" t="s">
        <v>101</v>
      </c>
      <c r="C511" s="4" t="n">
        <v>46262.5915393519</v>
      </c>
      <c r="D511" s="4" t="n">
        <v>112</v>
      </c>
    </row>
    <row r="512" customFormat="false" ht="15" hidden="false" customHeight="false" outlineLevel="0" collapsed="false">
      <c r="A512" s="4" t="s">
        <v>645</v>
      </c>
      <c r="B512" s="4" t="s">
        <v>101</v>
      </c>
      <c r="C512" s="4" t="n">
        <v>46262.7566319444</v>
      </c>
      <c r="D512" s="4" t="n">
        <v>113</v>
      </c>
    </row>
    <row r="513" customFormat="false" ht="15" hidden="false" customHeight="false" outlineLevel="0" collapsed="false">
      <c r="A513" s="4" t="s">
        <v>650</v>
      </c>
      <c r="B513" s="4" t="s">
        <v>101</v>
      </c>
      <c r="C513" s="4" t="n">
        <v>46262.9253472222</v>
      </c>
      <c r="D513" s="4" t="n">
        <v>114</v>
      </c>
    </row>
    <row r="514" customFormat="false" ht="15" hidden="false" customHeight="false" outlineLevel="0" collapsed="false">
      <c r="A514" s="4" t="s">
        <v>653</v>
      </c>
      <c r="B514" s="4" t="s">
        <v>101</v>
      </c>
      <c r="C514" s="4" t="n">
        <v>46263.0920717593</v>
      </c>
      <c r="D514" s="4" t="n">
        <v>115</v>
      </c>
    </row>
    <row r="515" customFormat="false" ht="15" hidden="false" customHeight="false" outlineLevel="0" collapsed="false">
      <c r="A515" s="4" t="s">
        <v>657</v>
      </c>
      <c r="B515" s="4" t="s">
        <v>101</v>
      </c>
      <c r="C515" s="4" t="n">
        <v>46263.2582291667</v>
      </c>
      <c r="D515" s="4" t="n">
        <v>116</v>
      </c>
    </row>
    <row r="516" customFormat="false" ht="15" hidden="false" customHeight="false" outlineLevel="0" collapsed="false">
      <c r="A516" s="4" t="s">
        <v>663</v>
      </c>
      <c r="B516" s="4" t="s">
        <v>101</v>
      </c>
      <c r="C516" s="4" t="n">
        <v>46263.4224652778</v>
      </c>
      <c r="D516" s="4" t="n">
        <v>117</v>
      </c>
    </row>
    <row r="517" customFormat="false" ht="15" hidden="false" customHeight="false" outlineLevel="0" collapsed="false">
      <c r="A517" s="4" t="s">
        <v>666</v>
      </c>
      <c r="B517" s="4" t="s">
        <v>101</v>
      </c>
      <c r="C517" s="4" t="n">
        <v>46263.5924421296</v>
      </c>
      <c r="D517" s="4" t="n">
        <v>118</v>
      </c>
    </row>
    <row r="518" customFormat="false" ht="15" hidden="false" customHeight="false" outlineLevel="0" collapsed="false">
      <c r="A518" s="4" t="s">
        <v>669</v>
      </c>
      <c r="B518" s="4" t="s">
        <v>101</v>
      </c>
      <c r="C518" s="4" t="n">
        <v>46263.7557986111</v>
      </c>
      <c r="D518" s="4" t="n">
        <v>119</v>
      </c>
    </row>
    <row r="519" customFormat="false" ht="15" hidden="false" customHeight="false" outlineLevel="0" collapsed="false">
      <c r="A519" s="4" t="s">
        <v>674</v>
      </c>
      <c r="B519" s="4" t="s">
        <v>101</v>
      </c>
      <c r="C519" s="4" t="n">
        <v>46263.9251967593</v>
      </c>
      <c r="D519" s="4" t="n">
        <v>120</v>
      </c>
    </row>
    <row r="520" customFormat="false" ht="15" hidden="false" customHeight="false" outlineLevel="0" collapsed="false">
      <c r="A520" s="4" t="s">
        <v>677</v>
      </c>
      <c r="B520" s="4" t="s">
        <v>101</v>
      </c>
      <c r="C520" s="4" t="n">
        <v>46264.0918981481</v>
      </c>
      <c r="D520" s="4" t="n">
        <v>121</v>
      </c>
    </row>
    <row r="521" customFormat="false" ht="15" hidden="false" customHeight="false" outlineLevel="0" collapsed="false">
      <c r="A521" s="4" t="s">
        <v>681</v>
      </c>
      <c r="B521" s="4" t="s">
        <v>101</v>
      </c>
      <c r="C521" s="4" t="n">
        <v>46264.2548148148</v>
      </c>
      <c r="D521" s="4" t="n">
        <v>122</v>
      </c>
    </row>
    <row r="522" customFormat="false" ht="15" hidden="false" customHeight="false" outlineLevel="0" collapsed="false">
      <c r="A522" s="4" t="s">
        <v>686</v>
      </c>
      <c r="B522" s="4" t="s">
        <v>101</v>
      </c>
      <c r="C522" s="4" t="n">
        <v>46264.4224537037</v>
      </c>
      <c r="D522" s="4" t="n">
        <v>123</v>
      </c>
    </row>
    <row r="523" customFormat="false" ht="15" hidden="false" customHeight="false" outlineLevel="0" collapsed="false">
      <c r="A523" s="4" t="s">
        <v>691</v>
      </c>
      <c r="B523" s="4" t="s">
        <v>101</v>
      </c>
      <c r="C523" s="4" t="n">
        <v>46264.5907407407</v>
      </c>
      <c r="D523" s="4" t="n">
        <v>124</v>
      </c>
    </row>
    <row r="524" customFormat="false" ht="15" hidden="false" customHeight="false" outlineLevel="0" collapsed="false">
      <c r="A524" s="4" t="s">
        <v>694</v>
      </c>
      <c r="B524" s="4" t="s">
        <v>101</v>
      </c>
      <c r="C524" s="4" t="n">
        <v>46264.7567708333</v>
      </c>
      <c r="D524" s="4" t="n">
        <v>125</v>
      </c>
    </row>
    <row r="525" customFormat="false" ht="15" hidden="false" customHeight="false" outlineLevel="0" collapsed="false">
      <c r="A525" s="4" t="s">
        <v>699</v>
      </c>
      <c r="B525" s="4" t="s">
        <v>101</v>
      </c>
      <c r="C525" s="4" t="n">
        <v>46264.9240972222</v>
      </c>
      <c r="D525" s="4" t="n">
        <v>126</v>
      </c>
    </row>
    <row r="526" customFormat="false" ht="15" hidden="false" customHeight="false" outlineLevel="0" collapsed="false">
      <c r="A526" s="4" t="s">
        <v>702</v>
      </c>
      <c r="B526" s="4" t="s">
        <v>101</v>
      </c>
      <c r="C526" s="4" t="n">
        <v>46265.0900347222</v>
      </c>
      <c r="D526" s="4" t="n">
        <v>127</v>
      </c>
    </row>
    <row r="527" customFormat="false" ht="15" hidden="false" customHeight="false" outlineLevel="0" collapsed="false">
      <c r="A527" s="4" t="s">
        <v>706</v>
      </c>
      <c r="B527" s="4" t="s">
        <v>101</v>
      </c>
      <c r="C527" s="4" t="n">
        <v>46265.2556134259</v>
      </c>
      <c r="D527" s="4" t="n">
        <v>128</v>
      </c>
    </row>
    <row r="528" customFormat="false" ht="15" hidden="false" customHeight="false" outlineLevel="0" collapsed="false">
      <c r="A528" s="4" t="s">
        <v>711</v>
      </c>
      <c r="B528" s="4" t="s">
        <v>101</v>
      </c>
      <c r="C528" s="4" t="n">
        <v>46265.4250578704</v>
      </c>
      <c r="D528" s="4" t="n">
        <v>129</v>
      </c>
    </row>
    <row r="529" customFormat="false" ht="15" hidden="false" customHeight="false" outlineLevel="0" collapsed="false">
      <c r="A529" s="4" t="s">
        <v>716</v>
      </c>
      <c r="B529" s="4" t="s">
        <v>101</v>
      </c>
      <c r="C529" s="4" t="n">
        <v>46265.6903240741</v>
      </c>
      <c r="D529" s="4" t="n">
        <v>130</v>
      </c>
    </row>
    <row r="530" customFormat="false" ht="15" hidden="false" customHeight="false" outlineLevel="0" collapsed="false">
      <c r="A530" s="4" t="s">
        <v>717</v>
      </c>
      <c r="B530" s="4" t="s">
        <v>101</v>
      </c>
      <c r="C530" s="4" t="n">
        <v>46265.7571527778</v>
      </c>
      <c r="D530" s="4" t="n">
        <v>131</v>
      </c>
    </row>
    <row r="531" customFormat="false" ht="15" hidden="false" customHeight="false" outlineLevel="0" collapsed="false">
      <c r="A531" s="4" t="s">
        <v>722</v>
      </c>
      <c r="B531" s="4" t="s">
        <v>101</v>
      </c>
      <c r="C531" s="4" t="n">
        <v>46265.9237847222</v>
      </c>
      <c r="D531" s="4" t="n">
        <v>132</v>
      </c>
    </row>
    <row r="532" customFormat="false" ht="15" hidden="false" customHeight="false" outlineLevel="0" collapsed="false">
      <c r="A532" s="4" t="s">
        <v>725</v>
      </c>
      <c r="B532" s="4" t="s">
        <v>101</v>
      </c>
      <c r="C532" s="4" t="n">
        <v>46266.0903240741</v>
      </c>
      <c r="D532" s="4" t="n">
        <v>133</v>
      </c>
    </row>
    <row r="533" customFormat="false" ht="15" hidden="false" customHeight="false" outlineLevel="0" collapsed="false">
      <c r="A533" s="4" t="s">
        <v>729</v>
      </c>
      <c r="B533" s="4" t="s">
        <v>101</v>
      </c>
      <c r="C533" s="4" t="n">
        <v>46266.2576273148</v>
      </c>
      <c r="D533" s="4" t="n">
        <v>134</v>
      </c>
    </row>
    <row r="534" customFormat="false" ht="15" hidden="false" customHeight="false" outlineLevel="0" collapsed="false">
      <c r="A534" s="4" t="s">
        <v>734</v>
      </c>
      <c r="B534" s="4" t="s">
        <v>101</v>
      </c>
      <c r="C534" s="4" t="n">
        <v>46266.4235185185</v>
      </c>
      <c r="D534" s="4" t="n">
        <v>135</v>
      </c>
    </row>
    <row r="535" customFormat="false" ht="15" hidden="false" customHeight="false" outlineLevel="0" collapsed="false">
      <c r="A535" s="4" t="s">
        <v>737</v>
      </c>
      <c r="B535" s="4" t="s">
        <v>101</v>
      </c>
      <c r="C535" s="4" t="n">
        <v>46266.5913310185</v>
      </c>
      <c r="D535" s="4" t="n">
        <v>136</v>
      </c>
    </row>
    <row r="536" customFormat="false" ht="15" hidden="false" customHeight="false" outlineLevel="0" collapsed="false">
      <c r="A536" s="4" t="s">
        <v>740</v>
      </c>
      <c r="B536" s="4" t="s">
        <v>101</v>
      </c>
      <c r="C536" s="4" t="n">
        <v>46266.7574305556</v>
      </c>
      <c r="D536" s="4" t="n">
        <v>137</v>
      </c>
    </row>
    <row r="537" customFormat="false" ht="15" hidden="false" customHeight="false" outlineLevel="0" collapsed="false">
      <c r="A537" s="4" t="s">
        <v>745</v>
      </c>
      <c r="B537" s="4" t="s">
        <v>101</v>
      </c>
      <c r="C537" s="4" t="n">
        <v>46266.9237268519</v>
      </c>
      <c r="D537" s="4" t="n">
        <v>138</v>
      </c>
    </row>
    <row r="538" customFormat="false" ht="15" hidden="false" customHeight="false" outlineLevel="0" collapsed="false">
      <c r="A538" s="4" t="s">
        <v>748</v>
      </c>
      <c r="B538" s="4" t="s">
        <v>101</v>
      </c>
      <c r="C538" s="4" t="n">
        <v>46267.0893981482</v>
      </c>
      <c r="D538" s="4" t="n">
        <v>139</v>
      </c>
    </row>
    <row r="539" customFormat="false" ht="15" hidden="false" customHeight="false" outlineLevel="0" collapsed="false">
      <c r="A539" s="4" t="s">
        <v>752</v>
      </c>
      <c r="B539" s="4" t="s">
        <v>101</v>
      </c>
      <c r="C539" s="4" t="n">
        <v>46267.2582407407</v>
      </c>
      <c r="D539" s="4" t="n">
        <v>140</v>
      </c>
    </row>
    <row r="540" customFormat="false" ht="15" hidden="false" customHeight="false" outlineLevel="0" collapsed="false">
      <c r="A540" s="4" t="s">
        <v>757</v>
      </c>
      <c r="B540" s="4" t="s">
        <v>101</v>
      </c>
      <c r="C540" s="4" t="n">
        <v>46267.424375</v>
      </c>
      <c r="D540" s="4" t="n">
        <v>141</v>
      </c>
    </row>
    <row r="541" customFormat="false" ht="15" hidden="false" customHeight="false" outlineLevel="0" collapsed="false">
      <c r="A541" s="4" t="s">
        <v>760</v>
      </c>
      <c r="B541" s="4" t="s">
        <v>101</v>
      </c>
      <c r="C541" s="4" t="n">
        <v>46267.5929166667</v>
      </c>
      <c r="D541" s="4" t="n">
        <v>142</v>
      </c>
    </row>
    <row r="542" customFormat="false" ht="15" hidden="false" customHeight="false" outlineLevel="0" collapsed="false">
      <c r="A542" s="4" t="s">
        <v>763</v>
      </c>
      <c r="B542" s="4" t="s">
        <v>101</v>
      </c>
      <c r="C542" s="4" t="n">
        <v>46267.7583564815</v>
      </c>
      <c r="D542" s="4" t="n">
        <v>143</v>
      </c>
    </row>
    <row r="543" customFormat="false" ht="15" hidden="false" customHeight="false" outlineLevel="0" collapsed="false">
      <c r="A543" s="4" t="s">
        <v>768</v>
      </c>
      <c r="B543" s="4" t="s">
        <v>101</v>
      </c>
      <c r="C543" s="4" t="n">
        <v>46267.9253009259</v>
      </c>
      <c r="D543" s="4" t="n">
        <v>144</v>
      </c>
    </row>
    <row r="544" customFormat="false" ht="15" hidden="false" customHeight="false" outlineLevel="0" collapsed="false">
      <c r="A544" s="4" t="s">
        <v>771</v>
      </c>
      <c r="B544" s="4" t="s">
        <v>101</v>
      </c>
      <c r="C544" s="4" t="n">
        <v>46268.0904861111</v>
      </c>
      <c r="D544" s="4" t="n">
        <v>145</v>
      </c>
    </row>
    <row r="545" customFormat="false" ht="15" hidden="false" customHeight="false" outlineLevel="0" collapsed="false">
      <c r="A545" s="4" t="s">
        <v>775</v>
      </c>
      <c r="B545" s="4" t="s">
        <v>101</v>
      </c>
      <c r="C545" s="4" t="n">
        <v>46268.2547337963</v>
      </c>
      <c r="D545" s="4" t="n">
        <v>146</v>
      </c>
    </row>
    <row r="546" customFormat="false" ht="15" hidden="false" customHeight="false" outlineLevel="0" collapsed="false">
      <c r="A546" s="4" t="s">
        <v>780</v>
      </c>
      <c r="B546" s="4" t="s">
        <v>101</v>
      </c>
      <c r="C546" s="4" t="n">
        <v>46268.4227199074</v>
      </c>
      <c r="D546" s="4" t="n">
        <v>147</v>
      </c>
    </row>
    <row r="547" customFormat="false" ht="15" hidden="false" customHeight="false" outlineLevel="0" collapsed="false">
      <c r="A547" s="4" t="s">
        <v>783</v>
      </c>
      <c r="B547" s="4" t="s">
        <v>101</v>
      </c>
      <c r="C547" s="4" t="n">
        <v>46268.5903935185</v>
      </c>
      <c r="D547" s="4" t="n">
        <v>148</v>
      </c>
    </row>
    <row r="548" customFormat="false" ht="15" hidden="false" customHeight="false" outlineLevel="0" collapsed="false">
      <c r="A548" s="4" t="s">
        <v>786</v>
      </c>
      <c r="B548" s="4" t="s">
        <v>101</v>
      </c>
      <c r="C548" s="4" t="n">
        <v>46268.7575578704</v>
      </c>
      <c r="D548" s="4" t="n">
        <v>149</v>
      </c>
    </row>
    <row r="549" customFormat="false" ht="15" hidden="false" customHeight="false" outlineLevel="0" collapsed="false">
      <c r="A549" s="4" t="s">
        <v>791</v>
      </c>
      <c r="B549" s="4" t="s">
        <v>101</v>
      </c>
      <c r="C549" s="4" t="n">
        <v>46268.9248958333</v>
      </c>
      <c r="D549" s="4" t="n">
        <v>150</v>
      </c>
    </row>
    <row r="550" customFormat="false" ht="15" hidden="false" customHeight="false" outlineLevel="0" collapsed="false">
      <c r="A550" s="4" t="s">
        <v>794</v>
      </c>
      <c r="B550" s="4" t="s">
        <v>101</v>
      </c>
      <c r="C550" s="4" t="n">
        <v>46269.0904166667</v>
      </c>
      <c r="D550" s="4" t="n">
        <v>151</v>
      </c>
    </row>
    <row r="551" customFormat="false" ht="15" hidden="false" customHeight="false" outlineLevel="0" collapsed="false">
      <c r="A551" s="4" t="s">
        <v>798</v>
      </c>
      <c r="B551" s="4" t="s">
        <v>101</v>
      </c>
      <c r="C551" s="4" t="n">
        <v>46269.2586458333</v>
      </c>
      <c r="D551" s="4" t="n">
        <v>152</v>
      </c>
    </row>
    <row r="552" customFormat="false" ht="15" hidden="false" customHeight="false" outlineLevel="0" collapsed="false">
      <c r="A552" s="4" t="s">
        <v>803</v>
      </c>
      <c r="B552" s="4" t="s">
        <v>101</v>
      </c>
      <c r="C552" s="4" t="n">
        <v>46269.4240162037</v>
      </c>
      <c r="D552" s="4" t="n">
        <v>153</v>
      </c>
    </row>
    <row r="553" customFormat="false" ht="15" hidden="false" customHeight="false" outlineLevel="0" collapsed="false">
      <c r="A553" s="4" t="s">
        <v>807</v>
      </c>
      <c r="B553" s="4" t="s">
        <v>101</v>
      </c>
      <c r="C553" s="4" t="n">
        <v>46269.5903009259</v>
      </c>
      <c r="D553" s="4" t="n">
        <v>154</v>
      </c>
    </row>
    <row r="554" customFormat="false" ht="15" hidden="false" customHeight="false" outlineLevel="0" collapsed="false">
      <c r="A554" s="4" t="s">
        <v>810</v>
      </c>
      <c r="B554" s="4" t="s">
        <v>101</v>
      </c>
      <c r="C554" s="4" t="n">
        <v>46269.7563310185</v>
      </c>
      <c r="D554" s="4" t="n">
        <v>155</v>
      </c>
    </row>
    <row r="555" customFormat="false" ht="15" hidden="false" customHeight="false" outlineLevel="0" collapsed="false">
      <c r="A555" s="4" t="s">
        <v>815</v>
      </c>
      <c r="B555" s="4" t="s">
        <v>101</v>
      </c>
      <c r="C555" s="4" t="n">
        <v>46269.9221527778</v>
      </c>
      <c r="D555" s="4" t="n">
        <v>156</v>
      </c>
    </row>
    <row r="556" customFormat="false" ht="15" hidden="false" customHeight="false" outlineLevel="0" collapsed="false">
      <c r="A556" s="4" t="s">
        <v>819</v>
      </c>
      <c r="B556" s="4" t="s">
        <v>101</v>
      </c>
      <c r="C556" s="4" t="n">
        <v>46270.0904976852</v>
      </c>
      <c r="D556" s="4" t="n">
        <v>157</v>
      </c>
    </row>
    <row r="557" customFormat="false" ht="15" hidden="false" customHeight="false" outlineLevel="0" collapsed="false">
      <c r="A557" s="4" t="s">
        <v>823</v>
      </c>
      <c r="B557" s="4" t="s">
        <v>101</v>
      </c>
      <c r="C557" s="4" t="n">
        <v>46270.2565277778</v>
      </c>
      <c r="D557" s="4" t="n">
        <v>158</v>
      </c>
    </row>
    <row r="558" customFormat="false" ht="15" hidden="false" customHeight="false" outlineLevel="0" collapsed="false">
      <c r="A558" s="4" t="s">
        <v>828</v>
      </c>
      <c r="B558" s="4" t="s">
        <v>101</v>
      </c>
      <c r="C558" s="4" t="n">
        <v>46270.422662037</v>
      </c>
      <c r="D558" s="4" t="n">
        <v>159</v>
      </c>
    </row>
    <row r="559" customFormat="false" ht="15" hidden="false" customHeight="false" outlineLevel="0" collapsed="false">
      <c r="A559" s="4" t="s">
        <v>831</v>
      </c>
      <c r="B559" s="4" t="s">
        <v>101</v>
      </c>
      <c r="C559" s="4" t="n">
        <v>46270.5927199074</v>
      </c>
      <c r="D559" s="4" t="n">
        <v>160</v>
      </c>
    </row>
    <row r="560" customFormat="false" ht="15" hidden="false" customHeight="false" outlineLevel="0" collapsed="false">
      <c r="A560" s="4" t="s">
        <v>834</v>
      </c>
      <c r="B560" s="4" t="s">
        <v>101</v>
      </c>
      <c r="C560" s="4" t="n">
        <v>46270.758125</v>
      </c>
      <c r="D560" s="4" t="n">
        <v>161</v>
      </c>
    </row>
    <row r="561" customFormat="false" ht="15" hidden="false" customHeight="false" outlineLevel="0" collapsed="false">
      <c r="A561" s="4" t="s">
        <v>839</v>
      </c>
      <c r="B561" s="4" t="s">
        <v>101</v>
      </c>
      <c r="C561" s="4" t="n">
        <v>46270.9234490741</v>
      </c>
      <c r="D561" s="4" t="n">
        <v>162</v>
      </c>
    </row>
    <row r="562" customFormat="false" ht="15" hidden="false" customHeight="false" outlineLevel="0" collapsed="false">
      <c r="A562" s="4" t="s">
        <v>842</v>
      </c>
      <c r="B562" s="4" t="s">
        <v>101</v>
      </c>
      <c r="C562" s="4" t="n">
        <v>46271.0891666667</v>
      </c>
      <c r="D562" s="4" t="n">
        <v>163</v>
      </c>
    </row>
    <row r="563" customFormat="false" ht="15" hidden="false" customHeight="false" outlineLevel="0" collapsed="false">
      <c r="A563" s="4" t="s">
        <v>846</v>
      </c>
      <c r="B563" s="4" t="s">
        <v>101</v>
      </c>
      <c r="C563" s="4" t="n">
        <v>46271.257650463</v>
      </c>
      <c r="D563" s="4" t="n">
        <v>164</v>
      </c>
    </row>
    <row r="564" customFormat="false" ht="15" hidden="false" customHeight="false" outlineLevel="0" collapsed="false">
      <c r="A564" s="4" t="s">
        <v>851</v>
      </c>
      <c r="B564" s="4" t="s">
        <v>101</v>
      </c>
      <c r="C564" s="4" t="n">
        <v>46271.4237847222</v>
      </c>
      <c r="D564" s="4" t="n">
        <v>165</v>
      </c>
    </row>
    <row r="565" customFormat="false" ht="15" hidden="false" customHeight="false" outlineLevel="0" collapsed="false">
      <c r="A565" s="4" t="s">
        <v>854</v>
      </c>
      <c r="B565" s="4" t="s">
        <v>101</v>
      </c>
      <c r="C565" s="4" t="n">
        <v>46271.5926736111</v>
      </c>
      <c r="D565" s="4" t="n">
        <v>166</v>
      </c>
    </row>
    <row r="566" customFormat="false" ht="15" hidden="false" customHeight="false" outlineLevel="0" collapsed="false">
      <c r="A566" s="4" t="s">
        <v>857</v>
      </c>
      <c r="B566" s="4" t="s">
        <v>101</v>
      </c>
      <c r="C566" s="4" t="n">
        <v>46271.7583912037</v>
      </c>
      <c r="D566" s="4" t="n">
        <v>167</v>
      </c>
    </row>
    <row r="567" customFormat="false" ht="15" hidden="false" customHeight="false" outlineLevel="0" collapsed="false">
      <c r="A567" s="4" t="s">
        <v>862</v>
      </c>
      <c r="B567" s="4" t="s">
        <v>101</v>
      </c>
      <c r="C567" s="4" t="n">
        <v>46271.9241319444</v>
      </c>
      <c r="D567" s="4" t="n">
        <v>168</v>
      </c>
    </row>
    <row r="568" customFormat="false" ht="15" hidden="false" customHeight="false" outlineLevel="0" collapsed="false">
      <c r="A568" s="4" t="s">
        <v>865</v>
      </c>
      <c r="B568" s="4" t="s">
        <v>101</v>
      </c>
      <c r="C568" s="4" t="n">
        <v>46272.0897800926</v>
      </c>
      <c r="D568" s="4" t="n">
        <v>169</v>
      </c>
    </row>
    <row r="569" customFormat="false" ht="15" hidden="false" customHeight="false" outlineLevel="0" collapsed="false">
      <c r="A569" s="4" t="s">
        <v>869</v>
      </c>
      <c r="B569" s="4" t="s">
        <v>101</v>
      </c>
      <c r="C569" s="4" t="n">
        <v>46272.2587268519</v>
      </c>
      <c r="D569" s="4" t="n">
        <v>170</v>
      </c>
    </row>
    <row r="570" customFormat="false" ht="15" hidden="false" customHeight="false" outlineLevel="0" collapsed="false">
      <c r="A570" s="4" t="s">
        <v>874</v>
      </c>
      <c r="B570" s="4" t="s">
        <v>101</v>
      </c>
      <c r="C570" s="4" t="n">
        <v>46272.4248958333</v>
      </c>
      <c r="D570" s="4" t="n">
        <v>171</v>
      </c>
    </row>
    <row r="571" customFormat="false" ht="15" hidden="false" customHeight="false" outlineLevel="0" collapsed="false">
      <c r="A571" s="4" t="s">
        <v>877</v>
      </c>
      <c r="B571" s="4" t="s">
        <v>101</v>
      </c>
      <c r="C571" s="4" t="n">
        <v>46272.5892592593</v>
      </c>
      <c r="D571" s="4" t="n">
        <v>172</v>
      </c>
    </row>
    <row r="572" customFormat="false" ht="15" hidden="false" customHeight="false" outlineLevel="0" collapsed="false">
      <c r="A572" s="4" t="s">
        <v>881</v>
      </c>
      <c r="B572" s="4" t="s">
        <v>101</v>
      </c>
      <c r="C572" s="4" t="n">
        <v>46272.7559259259</v>
      </c>
      <c r="D572" s="4" t="n">
        <v>173</v>
      </c>
    </row>
    <row r="573" customFormat="false" ht="15" hidden="false" customHeight="false" outlineLevel="0" collapsed="false">
      <c r="A573" s="4" t="s">
        <v>887</v>
      </c>
      <c r="B573" s="4" t="s">
        <v>101</v>
      </c>
      <c r="C573" s="4" t="n">
        <v>46272.9235300926</v>
      </c>
      <c r="D573" s="4" t="n">
        <v>174</v>
      </c>
    </row>
    <row r="574" customFormat="false" ht="15" hidden="false" customHeight="false" outlineLevel="0" collapsed="false">
      <c r="A574" s="4" t="s">
        <v>890</v>
      </c>
      <c r="B574" s="4" t="s">
        <v>101</v>
      </c>
      <c r="C574" s="4" t="n">
        <v>46273.0921875</v>
      </c>
      <c r="D574" s="4" t="n">
        <v>175</v>
      </c>
    </row>
    <row r="575" customFormat="false" ht="15" hidden="false" customHeight="false" outlineLevel="0" collapsed="false">
      <c r="A575" s="4" t="s">
        <v>894</v>
      </c>
      <c r="B575" s="4" t="s">
        <v>101</v>
      </c>
      <c r="C575" s="4" t="n">
        <v>46273.2547453704</v>
      </c>
      <c r="D575" s="4" t="n">
        <v>176</v>
      </c>
    </row>
    <row r="576" customFormat="false" ht="15" hidden="false" customHeight="false" outlineLevel="0" collapsed="false">
      <c r="A576" s="4" t="s">
        <v>899</v>
      </c>
      <c r="B576" s="4" t="s">
        <v>101</v>
      </c>
      <c r="C576" s="4" t="n">
        <v>46273.4247222222</v>
      </c>
      <c r="D576" s="4" t="n">
        <v>177</v>
      </c>
    </row>
    <row r="577" customFormat="false" ht="15" hidden="false" customHeight="false" outlineLevel="0" collapsed="false">
      <c r="A577" s="4" t="s">
        <v>902</v>
      </c>
      <c r="B577" s="4" t="s">
        <v>101</v>
      </c>
      <c r="C577" s="4" t="n">
        <v>46273.5897337963</v>
      </c>
      <c r="D577" s="4" t="n">
        <v>178</v>
      </c>
    </row>
    <row r="578" customFormat="false" ht="15" hidden="false" customHeight="false" outlineLevel="0" collapsed="false">
      <c r="A578" s="4" t="s">
        <v>905</v>
      </c>
      <c r="B578" s="4" t="s">
        <v>101</v>
      </c>
      <c r="C578" s="4" t="n">
        <v>46273.7594560185</v>
      </c>
      <c r="D578" s="4" t="n">
        <v>179</v>
      </c>
    </row>
    <row r="579" customFormat="false" ht="15" hidden="false" customHeight="false" outlineLevel="0" collapsed="false">
      <c r="A579" s="4" t="s">
        <v>910</v>
      </c>
      <c r="B579" s="4" t="s">
        <v>101</v>
      </c>
      <c r="C579" s="4" t="n">
        <v>46273.9244097222</v>
      </c>
      <c r="D579" s="4" t="n">
        <v>180</v>
      </c>
    </row>
    <row r="580" customFormat="false" ht="15" hidden="false" customHeight="false" outlineLevel="0" collapsed="false">
      <c r="A580" s="4" t="s">
        <v>913</v>
      </c>
      <c r="B580" s="4" t="s">
        <v>101</v>
      </c>
      <c r="C580" s="4" t="n">
        <v>46274.0903240741</v>
      </c>
      <c r="D580" s="4" t="n">
        <v>181</v>
      </c>
    </row>
    <row r="581" customFormat="false" ht="15" hidden="false" customHeight="false" outlineLevel="0" collapsed="false">
      <c r="A581" s="4" t="s">
        <v>917</v>
      </c>
      <c r="B581" s="4" t="s">
        <v>101</v>
      </c>
      <c r="C581" s="4" t="n">
        <v>46274.2555208333</v>
      </c>
      <c r="D581" s="4" t="n">
        <v>182</v>
      </c>
    </row>
    <row r="582" customFormat="false" ht="15" hidden="false" customHeight="false" outlineLevel="0" collapsed="false">
      <c r="A582" s="4" t="s">
        <v>923</v>
      </c>
      <c r="B582" s="4" t="s">
        <v>101</v>
      </c>
      <c r="C582" s="4" t="n">
        <v>46274.4415856482</v>
      </c>
      <c r="D582" s="4" t="n">
        <v>183</v>
      </c>
    </row>
    <row r="583" customFormat="false" ht="15" hidden="false" customHeight="false" outlineLevel="0" collapsed="false">
      <c r="A583" s="4" t="s">
        <v>926</v>
      </c>
      <c r="B583" s="4" t="s">
        <v>101</v>
      </c>
      <c r="C583" s="4" t="n">
        <v>46274.5923263889</v>
      </c>
      <c r="D583" s="4" t="n">
        <v>184</v>
      </c>
    </row>
    <row r="584" customFormat="false" ht="15" hidden="false" customHeight="false" outlineLevel="0" collapsed="false">
      <c r="A584" s="4" t="s">
        <v>929</v>
      </c>
      <c r="B584" s="4" t="s">
        <v>101</v>
      </c>
      <c r="C584" s="4" t="n">
        <v>46274.7569328704</v>
      </c>
      <c r="D584" s="4" t="n">
        <v>185</v>
      </c>
    </row>
    <row r="585" customFormat="false" ht="15" hidden="false" customHeight="false" outlineLevel="0" collapsed="false">
      <c r="A585" s="4" t="s">
        <v>934</v>
      </c>
      <c r="B585" s="4" t="s">
        <v>101</v>
      </c>
      <c r="C585" s="4" t="n">
        <v>46274.9255902778</v>
      </c>
      <c r="D585" s="4" t="n">
        <v>186</v>
      </c>
    </row>
    <row r="586" customFormat="false" ht="15" hidden="false" customHeight="false" outlineLevel="0" collapsed="false">
      <c r="A586" s="4" t="s">
        <v>937</v>
      </c>
      <c r="B586" s="4" t="s">
        <v>101</v>
      </c>
      <c r="C586" s="4" t="n">
        <v>46275.09</v>
      </c>
      <c r="D586" s="4" t="n">
        <v>187</v>
      </c>
    </row>
    <row r="587" customFormat="false" ht="15" hidden="false" customHeight="false" outlineLevel="0" collapsed="false">
      <c r="A587" s="4" t="s">
        <v>941</v>
      </c>
      <c r="B587" s="4" t="s">
        <v>101</v>
      </c>
      <c r="C587" s="4" t="n">
        <v>46275.2560416667</v>
      </c>
      <c r="D587" s="4" t="n">
        <v>188</v>
      </c>
    </row>
    <row r="588" customFormat="false" ht="15" hidden="false" customHeight="false" outlineLevel="0" collapsed="false">
      <c r="A588" s="4" t="s">
        <v>946</v>
      </c>
      <c r="B588" s="4" t="s">
        <v>101</v>
      </c>
      <c r="C588" s="4" t="n">
        <v>46275.4251736111</v>
      </c>
      <c r="D588" s="4" t="n">
        <v>189</v>
      </c>
    </row>
    <row r="589" customFormat="false" ht="15" hidden="false" customHeight="false" outlineLevel="0" collapsed="false">
      <c r="A589" s="4" t="s">
        <v>950</v>
      </c>
      <c r="B589" s="4" t="s">
        <v>101</v>
      </c>
      <c r="C589" s="4" t="n">
        <v>46275.5933796296</v>
      </c>
      <c r="D589" s="4" t="n">
        <v>190</v>
      </c>
    </row>
    <row r="590" customFormat="false" ht="15" hidden="false" customHeight="false" outlineLevel="0" collapsed="false">
      <c r="A590" s="4" t="s">
        <v>953</v>
      </c>
      <c r="B590" s="4" t="s">
        <v>101</v>
      </c>
      <c r="C590" s="4" t="n">
        <v>46275.7585532407</v>
      </c>
      <c r="D590" s="4" t="n">
        <v>191</v>
      </c>
    </row>
    <row r="591" customFormat="false" ht="15" hidden="false" customHeight="false" outlineLevel="0" collapsed="false">
      <c r="A591" s="4" t="s">
        <v>958</v>
      </c>
      <c r="B591" s="4" t="s">
        <v>101</v>
      </c>
      <c r="C591" s="4" t="n">
        <v>46275.9256712963</v>
      </c>
      <c r="D591" s="4" t="n">
        <v>192</v>
      </c>
    </row>
    <row r="592" customFormat="false" ht="15" hidden="false" customHeight="false" outlineLevel="0" collapsed="false">
      <c r="A592" s="4" t="s">
        <v>961</v>
      </c>
      <c r="B592" s="4" t="s">
        <v>101</v>
      </c>
      <c r="C592" s="4" t="n">
        <v>46276.091400463</v>
      </c>
      <c r="D592" s="4" t="n">
        <v>193</v>
      </c>
    </row>
    <row r="593" customFormat="false" ht="15" hidden="false" customHeight="false" outlineLevel="0" collapsed="false">
      <c r="A593" s="4" t="s">
        <v>965</v>
      </c>
      <c r="B593" s="4" t="s">
        <v>101</v>
      </c>
      <c r="C593" s="4" t="n">
        <v>46276.2561574074</v>
      </c>
      <c r="D593" s="4" t="n">
        <v>194</v>
      </c>
    </row>
    <row r="594" customFormat="false" ht="15" hidden="false" customHeight="false" outlineLevel="0" collapsed="false">
      <c r="A594" s="4" t="s">
        <v>971</v>
      </c>
      <c r="B594" s="4" t="s">
        <v>101</v>
      </c>
      <c r="C594" s="4" t="n">
        <v>46276.4237152778</v>
      </c>
      <c r="D594" s="4" t="n">
        <v>195</v>
      </c>
    </row>
    <row r="595" customFormat="false" ht="15" hidden="false" customHeight="false" outlineLevel="0" collapsed="false">
      <c r="A595" s="4" t="s">
        <v>974</v>
      </c>
      <c r="B595" s="4" t="s">
        <v>101</v>
      </c>
      <c r="C595" s="4" t="n">
        <v>46276.5910532407</v>
      </c>
      <c r="D595" s="4" t="n">
        <v>196</v>
      </c>
    </row>
    <row r="596" customFormat="false" ht="15" hidden="false" customHeight="false" outlineLevel="0" collapsed="false">
      <c r="A596" s="4" t="s">
        <v>977</v>
      </c>
      <c r="B596" s="4" t="s">
        <v>101</v>
      </c>
      <c r="C596" s="4" t="n">
        <v>46276.757337963</v>
      </c>
      <c r="D596" s="4" t="n">
        <v>197</v>
      </c>
    </row>
    <row r="597" customFormat="false" ht="15" hidden="false" customHeight="false" outlineLevel="0" collapsed="false">
      <c r="A597" s="4" t="s">
        <v>982</v>
      </c>
      <c r="B597" s="4" t="s">
        <v>101</v>
      </c>
      <c r="C597" s="4" t="n">
        <v>46276.9250578704</v>
      </c>
      <c r="D597" s="4" t="n">
        <v>198</v>
      </c>
    </row>
    <row r="598" customFormat="false" ht="15" hidden="false" customHeight="false" outlineLevel="0" collapsed="false">
      <c r="A598" s="4" t="s">
        <v>985</v>
      </c>
      <c r="B598" s="4" t="s">
        <v>101</v>
      </c>
      <c r="C598" s="4" t="n">
        <v>46277.0886458333</v>
      </c>
      <c r="D598" s="4" t="n">
        <v>199</v>
      </c>
    </row>
    <row r="599" customFormat="false" ht="15" hidden="false" customHeight="false" outlineLevel="0" collapsed="false">
      <c r="A599" s="4" t="s">
        <v>989</v>
      </c>
      <c r="B599" s="4" t="s">
        <v>101</v>
      </c>
      <c r="C599" s="4" t="n">
        <v>46277.2564699074</v>
      </c>
      <c r="D599" s="4" t="n">
        <v>200</v>
      </c>
    </row>
    <row r="600" customFormat="false" ht="15" hidden="false" customHeight="false" outlineLevel="0" collapsed="false">
      <c r="A600" s="4" t="s">
        <v>994</v>
      </c>
      <c r="B600" s="4" t="s">
        <v>101</v>
      </c>
      <c r="C600" s="4" t="n">
        <v>46277.4259027778</v>
      </c>
      <c r="D600" s="4" t="n">
        <v>201</v>
      </c>
    </row>
    <row r="601" customFormat="false" ht="15" hidden="false" customHeight="false" outlineLevel="0" collapsed="false">
      <c r="A601" s="4" t="s">
        <v>997</v>
      </c>
      <c r="B601" s="4" t="s">
        <v>101</v>
      </c>
      <c r="C601" s="4" t="n">
        <v>46277.5901967593</v>
      </c>
      <c r="D601" s="4" t="n">
        <v>202</v>
      </c>
    </row>
    <row r="602" customFormat="false" ht="15" hidden="false" customHeight="false" outlineLevel="0" collapsed="false">
      <c r="A602" s="4" t="s">
        <v>1000</v>
      </c>
      <c r="B602" s="4" t="s">
        <v>101</v>
      </c>
      <c r="C602" s="4" t="n">
        <v>46277.7569907407</v>
      </c>
      <c r="D602" s="4" t="n">
        <v>203</v>
      </c>
    </row>
    <row r="603" customFormat="false" ht="15" hidden="false" customHeight="false" outlineLevel="0" collapsed="false">
      <c r="A603" s="4" t="s">
        <v>1005</v>
      </c>
      <c r="B603" s="4" t="s">
        <v>101</v>
      </c>
      <c r="C603" s="4" t="n">
        <v>46277.9242939815</v>
      </c>
      <c r="D603" s="4" t="n">
        <v>204</v>
      </c>
    </row>
    <row r="604" customFormat="false" ht="15" hidden="false" customHeight="false" outlineLevel="0" collapsed="false">
      <c r="A604" s="4" t="s">
        <v>1008</v>
      </c>
      <c r="B604" s="4" t="s">
        <v>101</v>
      </c>
      <c r="C604" s="4" t="n">
        <v>46278.0912268519</v>
      </c>
      <c r="D604" s="4" t="n">
        <v>205</v>
      </c>
    </row>
    <row r="605" customFormat="false" ht="15" hidden="false" customHeight="false" outlineLevel="0" collapsed="false">
      <c r="A605" s="4" t="s">
        <v>1012</v>
      </c>
      <c r="B605" s="4" t="s">
        <v>101</v>
      </c>
      <c r="C605" s="4" t="n">
        <v>46278.2567592593</v>
      </c>
      <c r="D605" s="4" t="n">
        <v>206</v>
      </c>
    </row>
    <row r="606" customFormat="false" ht="15" hidden="false" customHeight="false" outlineLevel="0" collapsed="false">
      <c r="A606" s="4" t="s">
        <v>1018</v>
      </c>
      <c r="B606" s="4" t="s">
        <v>101</v>
      </c>
      <c r="C606" s="4" t="n">
        <v>46278.4232175926</v>
      </c>
      <c r="D606" s="4" t="n">
        <v>207</v>
      </c>
    </row>
    <row r="607" customFormat="false" ht="15" hidden="false" customHeight="false" outlineLevel="0" collapsed="false">
      <c r="A607" s="4" t="s">
        <v>1023</v>
      </c>
      <c r="B607" s="4" t="s">
        <v>101</v>
      </c>
      <c r="C607" s="4" t="n">
        <v>46278.6883449074</v>
      </c>
      <c r="D607" s="4" t="n">
        <v>208</v>
      </c>
    </row>
    <row r="608" customFormat="false" ht="15" hidden="false" customHeight="false" outlineLevel="0" collapsed="false">
      <c r="A608" s="4" t="s">
        <v>1024</v>
      </c>
      <c r="B608" s="4" t="s">
        <v>101</v>
      </c>
      <c r="C608" s="4" t="n">
        <v>46278.7582523148</v>
      </c>
      <c r="D608" s="4" t="n">
        <v>209</v>
      </c>
    </row>
    <row r="609" customFormat="false" ht="15" hidden="false" customHeight="false" outlineLevel="0" collapsed="false">
      <c r="A609" s="4" t="s">
        <v>1029</v>
      </c>
      <c r="B609" s="4" t="s">
        <v>101</v>
      </c>
      <c r="C609" s="4" t="n">
        <v>46278.9246527778</v>
      </c>
      <c r="D609" s="4" t="n">
        <v>210</v>
      </c>
    </row>
    <row r="610" customFormat="false" ht="15" hidden="false" customHeight="false" outlineLevel="0" collapsed="false">
      <c r="A610" s="4" t="s">
        <v>1032</v>
      </c>
      <c r="B610" s="4" t="s">
        <v>101</v>
      </c>
      <c r="C610" s="4" t="n">
        <v>46279.0888310185</v>
      </c>
      <c r="D610" s="4" t="n">
        <v>211</v>
      </c>
    </row>
    <row r="611" customFormat="false" ht="15" hidden="false" customHeight="false" outlineLevel="0" collapsed="false">
      <c r="A611" s="4" t="s">
        <v>1036</v>
      </c>
      <c r="B611" s="4" t="s">
        <v>101</v>
      </c>
      <c r="C611" s="4" t="n">
        <v>46279.2547916667</v>
      </c>
      <c r="D611" s="4" t="n">
        <v>212</v>
      </c>
    </row>
    <row r="612" customFormat="false" ht="15" hidden="false" customHeight="false" outlineLevel="0" collapsed="false">
      <c r="A612" s="4" t="s">
        <v>1041</v>
      </c>
      <c r="B612" s="4" t="s">
        <v>101</v>
      </c>
      <c r="C612" s="4" t="n">
        <v>46279.424224537</v>
      </c>
      <c r="D612" s="4" t="n">
        <v>213</v>
      </c>
    </row>
    <row r="613" customFormat="false" ht="15" hidden="false" customHeight="false" outlineLevel="0" collapsed="false">
      <c r="A613" s="4" t="s">
        <v>1044</v>
      </c>
      <c r="B613" s="4" t="s">
        <v>101</v>
      </c>
      <c r="C613" s="4" t="n">
        <v>46279.5897685185</v>
      </c>
      <c r="D613" s="4" t="n">
        <v>214</v>
      </c>
    </row>
    <row r="614" customFormat="false" ht="15" hidden="false" customHeight="false" outlineLevel="0" collapsed="false">
      <c r="A614" s="4" t="s">
        <v>1047</v>
      </c>
      <c r="B614" s="4" t="s">
        <v>101</v>
      </c>
      <c r="C614" s="4" t="n">
        <v>46279.7593171296</v>
      </c>
      <c r="D614" s="4" t="n">
        <v>215</v>
      </c>
    </row>
    <row r="615" customFormat="false" ht="15" hidden="false" customHeight="false" outlineLevel="0" collapsed="false">
      <c r="A615" s="4" t="s">
        <v>1052</v>
      </c>
      <c r="B615" s="4" t="s">
        <v>101</v>
      </c>
      <c r="C615" s="4" t="n">
        <v>46279.9243981482</v>
      </c>
      <c r="D615" s="4" t="n">
        <v>216</v>
      </c>
    </row>
    <row r="616" customFormat="false" ht="15" hidden="false" customHeight="false" outlineLevel="0" collapsed="false">
      <c r="A616" s="4" t="s">
        <v>1057</v>
      </c>
      <c r="B616" s="4" t="s">
        <v>101</v>
      </c>
      <c r="C616" s="4" t="n">
        <v>46280.1158796296</v>
      </c>
      <c r="D616" s="4" t="n">
        <v>217</v>
      </c>
    </row>
    <row r="617" customFormat="false" ht="15" hidden="false" customHeight="false" outlineLevel="0" collapsed="false">
      <c r="A617" s="4" t="s">
        <v>1062</v>
      </c>
      <c r="B617" s="4" t="s">
        <v>101</v>
      </c>
      <c r="C617" s="4" t="n">
        <v>46280.257650463</v>
      </c>
      <c r="D617" s="4" t="n">
        <v>218</v>
      </c>
    </row>
    <row r="618" customFormat="false" ht="15" hidden="false" customHeight="false" outlineLevel="0" collapsed="false">
      <c r="A618" s="4" t="s">
        <v>1067</v>
      </c>
      <c r="B618" s="4" t="s">
        <v>101</v>
      </c>
      <c r="C618" s="4" t="n">
        <v>46280.4239236111</v>
      </c>
      <c r="D618" s="4" t="n">
        <v>219</v>
      </c>
    </row>
    <row r="619" customFormat="false" ht="15" hidden="false" customHeight="false" outlineLevel="0" collapsed="false">
      <c r="A619" s="4" t="s">
        <v>1070</v>
      </c>
      <c r="B619" s="4" t="s">
        <v>101</v>
      </c>
      <c r="C619" s="4" t="n">
        <v>46280.590775463</v>
      </c>
      <c r="D619" s="4" t="n">
        <v>220</v>
      </c>
    </row>
    <row r="620" customFormat="false" ht="15" hidden="false" customHeight="false" outlineLevel="0" collapsed="false">
      <c r="A620" s="4" t="s">
        <v>1073</v>
      </c>
      <c r="B620" s="4" t="s">
        <v>101</v>
      </c>
      <c r="C620" s="4" t="n">
        <v>46280.7589583333</v>
      </c>
      <c r="D620" s="4" t="n">
        <v>221</v>
      </c>
    </row>
    <row r="621" customFormat="false" ht="15" hidden="false" customHeight="false" outlineLevel="0" collapsed="false">
      <c r="A621" s="4" t="s">
        <v>1078</v>
      </c>
      <c r="B621" s="4" t="s">
        <v>101</v>
      </c>
      <c r="C621" s="4" t="n">
        <v>46280.9246296296</v>
      </c>
      <c r="D621" s="4" t="n">
        <v>222</v>
      </c>
    </row>
    <row r="622" customFormat="false" ht="15" hidden="false" customHeight="false" outlineLevel="0" collapsed="false">
      <c r="A622" s="4" t="s">
        <v>1082</v>
      </c>
      <c r="B622" s="4" t="s">
        <v>101</v>
      </c>
      <c r="C622" s="4" t="n">
        <v>46281.090787037</v>
      </c>
      <c r="D622" s="4" t="n">
        <v>223</v>
      </c>
    </row>
    <row r="623" customFormat="false" ht="15" hidden="false" customHeight="false" outlineLevel="0" collapsed="false">
      <c r="A623" s="4" t="s">
        <v>1086</v>
      </c>
      <c r="B623" s="4" t="s">
        <v>101</v>
      </c>
      <c r="C623" s="4" t="n">
        <v>46281.2566087963</v>
      </c>
      <c r="D623" s="4" t="n">
        <v>224</v>
      </c>
    </row>
    <row r="624" customFormat="false" ht="15" hidden="false" customHeight="false" outlineLevel="0" collapsed="false">
      <c r="A624" s="4" t="s">
        <v>1091</v>
      </c>
      <c r="B624" s="4" t="s">
        <v>101</v>
      </c>
      <c r="C624" s="4" t="n">
        <v>46281.4257638889</v>
      </c>
      <c r="D624" s="4" t="n">
        <v>225</v>
      </c>
    </row>
    <row r="625" customFormat="false" ht="15" hidden="false" customHeight="false" outlineLevel="0" collapsed="false">
      <c r="A625" s="4" t="s">
        <v>1094</v>
      </c>
      <c r="B625" s="4" t="s">
        <v>101</v>
      </c>
      <c r="C625" s="4" t="n">
        <v>46281.5915856482</v>
      </c>
      <c r="D625" s="4" t="n">
        <v>226</v>
      </c>
    </row>
    <row r="626" customFormat="false" ht="15" hidden="false" customHeight="false" outlineLevel="0" collapsed="false">
      <c r="A626" s="4" t="s">
        <v>1097</v>
      </c>
      <c r="B626" s="4" t="s">
        <v>101</v>
      </c>
      <c r="C626" s="4" t="n">
        <v>46281.7570833333</v>
      </c>
      <c r="D626" s="4" t="n">
        <v>227</v>
      </c>
    </row>
    <row r="627" customFormat="false" ht="15" hidden="false" customHeight="false" outlineLevel="0" collapsed="false">
      <c r="A627" s="4" t="s">
        <v>1102</v>
      </c>
      <c r="B627" s="4" t="s">
        <v>101</v>
      </c>
      <c r="C627" s="4" t="n">
        <v>46281.9219328704</v>
      </c>
      <c r="D627" s="4" t="n">
        <v>228</v>
      </c>
    </row>
    <row r="628" customFormat="false" ht="15" hidden="false" customHeight="false" outlineLevel="0" collapsed="false">
      <c r="A628" s="4" t="s">
        <v>1105</v>
      </c>
      <c r="B628" s="4" t="s">
        <v>101</v>
      </c>
      <c r="C628" s="4" t="n">
        <v>46282.0910763889</v>
      </c>
      <c r="D628" s="4" t="n">
        <v>229</v>
      </c>
    </row>
    <row r="629" customFormat="false" ht="15" hidden="false" customHeight="false" outlineLevel="0" collapsed="false">
      <c r="A629" s="4" t="s">
        <v>1109</v>
      </c>
      <c r="B629" s="4" t="s">
        <v>101</v>
      </c>
      <c r="C629" s="4" t="n">
        <v>46282.2590277778</v>
      </c>
      <c r="D629" s="4" t="n">
        <v>230</v>
      </c>
    </row>
    <row r="630" customFormat="false" ht="15" hidden="false" customHeight="false" outlineLevel="0" collapsed="false">
      <c r="A630" s="4" t="s">
        <v>1114</v>
      </c>
      <c r="B630" s="4" t="s">
        <v>101</v>
      </c>
      <c r="C630" s="4" t="n">
        <v>46282.4244560185</v>
      </c>
      <c r="D630" s="4" t="n">
        <v>231</v>
      </c>
    </row>
    <row r="631" customFormat="false" ht="15" hidden="false" customHeight="false" outlineLevel="0" collapsed="false">
      <c r="A631" s="4" t="s">
        <v>1117</v>
      </c>
      <c r="B631" s="4" t="s">
        <v>101</v>
      </c>
      <c r="C631" s="4" t="n">
        <v>46282.5902893519</v>
      </c>
      <c r="D631" s="4" t="n">
        <v>232</v>
      </c>
    </row>
    <row r="632" customFormat="false" ht="15" hidden="false" customHeight="false" outlineLevel="0" collapsed="false">
      <c r="A632" s="4" t="s">
        <v>1120</v>
      </c>
      <c r="B632" s="4" t="s">
        <v>101</v>
      </c>
      <c r="C632" s="4" t="n">
        <v>46282.7559143519</v>
      </c>
      <c r="D632" s="4" t="n">
        <v>233</v>
      </c>
    </row>
    <row r="633" customFormat="false" ht="15" hidden="false" customHeight="false" outlineLevel="0" collapsed="false">
      <c r="A633" s="4" t="s">
        <v>1125</v>
      </c>
      <c r="B633" s="4" t="s">
        <v>101</v>
      </c>
      <c r="C633" s="4" t="n">
        <v>46282.9232638889</v>
      </c>
      <c r="D633" s="4" t="n">
        <v>234</v>
      </c>
    </row>
    <row r="634" customFormat="false" ht="15" hidden="false" customHeight="false" outlineLevel="0" collapsed="false">
      <c r="A634" s="4" t="s">
        <v>1128</v>
      </c>
      <c r="B634" s="4" t="s">
        <v>101</v>
      </c>
      <c r="C634" s="4" t="n">
        <v>46283.0902662037</v>
      </c>
      <c r="D634" s="4" t="n">
        <v>235</v>
      </c>
    </row>
    <row r="635" customFormat="false" ht="15" hidden="false" customHeight="false" outlineLevel="0" collapsed="false">
      <c r="A635" s="4" t="s">
        <v>1132</v>
      </c>
      <c r="B635" s="4" t="s">
        <v>101</v>
      </c>
      <c r="C635" s="4" t="n">
        <v>46283.2558912037</v>
      </c>
      <c r="D635" s="4" t="n">
        <v>236</v>
      </c>
    </row>
    <row r="636" customFormat="false" ht="15" hidden="false" customHeight="false" outlineLevel="0" collapsed="false">
      <c r="A636" s="4" t="s">
        <v>1137</v>
      </c>
      <c r="B636" s="4" t="s">
        <v>101</v>
      </c>
      <c r="C636" s="4" t="n">
        <v>46283.4242361111</v>
      </c>
      <c r="D636" s="4" t="n">
        <v>237</v>
      </c>
    </row>
    <row r="637" customFormat="false" ht="15" hidden="false" customHeight="false" outlineLevel="0" collapsed="false">
      <c r="A637" s="4" t="s">
        <v>1140</v>
      </c>
      <c r="B637" s="4" t="s">
        <v>101</v>
      </c>
      <c r="C637" s="4" t="n">
        <v>46283.5907986111</v>
      </c>
      <c r="D637" s="4" t="n">
        <v>238</v>
      </c>
    </row>
    <row r="638" customFormat="false" ht="15" hidden="false" customHeight="false" outlineLevel="0" collapsed="false">
      <c r="A638" s="4" t="s">
        <v>1143</v>
      </c>
      <c r="B638" s="4" t="s">
        <v>101</v>
      </c>
      <c r="C638" s="4" t="n">
        <v>46283.7567361111</v>
      </c>
      <c r="D638" s="4" t="n">
        <v>239</v>
      </c>
    </row>
    <row r="639" customFormat="false" ht="15" hidden="false" customHeight="false" outlineLevel="0" collapsed="false">
      <c r="A639" s="4" t="s">
        <v>1148</v>
      </c>
      <c r="B639" s="4" t="s">
        <v>101</v>
      </c>
      <c r="C639" s="4" t="n">
        <v>46283.9228125</v>
      </c>
      <c r="D639" s="4" t="n">
        <v>240</v>
      </c>
    </row>
    <row r="640" customFormat="false" ht="15" hidden="false" customHeight="false" outlineLevel="0" collapsed="false">
      <c r="A640" s="4" t="s">
        <v>1151</v>
      </c>
      <c r="B640" s="4" t="s">
        <v>101</v>
      </c>
      <c r="C640" s="4" t="n">
        <v>46284.0898148148</v>
      </c>
      <c r="D640" s="4" t="n">
        <v>241</v>
      </c>
    </row>
    <row r="641" customFormat="false" ht="15" hidden="false" customHeight="false" outlineLevel="0" collapsed="false">
      <c r="A641" s="4" t="s">
        <v>1155</v>
      </c>
      <c r="B641" s="4" t="s">
        <v>101</v>
      </c>
      <c r="C641" s="4" t="n">
        <v>46284.2549189815</v>
      </c>
      <c r="D641" s="4" t="n">
        <v>242</v>
      </c>
    </row>
    <row r="642" customFormat="false" ht="15" hidden="false" customHeight="false" outlineLevel="0" collapsed="false">
      <c r="A642" s="4" t="s">
        <v>1160</v>
      </c>
      <c r="B642" s="4" t="s">
        <v>101</v>
      </c>
      <c r="C642" s="4" t="n">
        <v>46284.4252314815</v>
      </c>
      <c r="D642" s="4" t="n">
        <v>243</v>
      </c>
    </row>
    <row r="643" customFormat="false" ht="15" hidden="false" customHeight="false" outlineLevel="0" collapsed="false">
      <c r="A643" s="4" t="s">
        <v>1163</v>
      </c>
      <c r="B643" s="4" t="s">
        <v>101</v>
      </c>
      <c r="C643" s="4" t="n">
        <v>46284.591400463</v>
      </c>
      <c r="D643" s="4" t="n">
        <v>244</v>
      </c>
    </row>
    <row r="644" customFormat="false" ht="15" hidden="false" customHeight="false" outlineLevel="0" collapsed="false">
      <c r="A644" s="4" t="s">
        <v>1166</v>
      </c>
      <c r="B644" s="4" t="s">
        <v>101</v>
      </c>
      <c r="C644" s="4" t="n">
        <v>46284.7563194444</v>
      </c>
      <c r="D644" s="4" t="n">
        <v>245</v>
      </c>
    </row>
    <row r="645" customFormat="false" ht="15" hidden="false" customHeight="false" outlineLevel="0" collapsed="false">
      <c r="A645" s="4" t="s">
        <v>1171</v>
      </c>
      <c r="B645" s="4" t="s">
        <v>101</v>
      </c>
      <c r="C645" s="4" t="n">
        <v>46284.9234259259</v>
      </c>
      <c r="D645" s="4" t="n">
        <v>246</v>
      </c>
    </row>
    <row r="646" customFormat="false" ht="15" hidden="false" customHeight="false" outlineLevel="0" collapsed="false">
      <c r="A646" s="4" t="s">
        <v>1174</v>
      </c>
      <c r="B646" s="4" t="s">
        <v>101</v>
      </c>
      <c r="C646" s="4" t="n">
        <v>46285.09</v>
      </c>
      <c r="D646" s="4" t="n">
        <v>247</v>
      </c>
    </row>
    <row r="647" customFormat="false" ht="15" hidden="false" customHeight="false" outlineLevel="0" collapsed="false">
      <c r="A647" s="4" t="s">
        <v>1178</v>
      </c>
      <c r="B647" s="4" t="s">
        <v>101</v>
      </c>
      <c r="C647" s="4" t="n">
        <v>46285.2575115741</v>
      </c>
      <c r="D647" s="4" t="n">
        <v>248</v>
      </c>
    </row>
    <row r="648" customFormat="false" ht="15" hidden="false" customHeight="false" outlineLevel="0" collapsed="false">
      <c r="A648" s="4" t="s">
        <v>1183</v>
      </c>
      <c r="B648" s="4" t="s">
        <v>101</v>
      </c>
      <c r="C648" s="4" t="n">
        <v>46285.4225</v>
      </c>
      <c r="D648" s="4" t="n">
        <v>249</v>
      </c>
    </row>
    <row r="649" customFormat="false" ht="15" hidden="false" customHeight="false" outlineLevel="0" collapsed="false">
      <c r="A649" s="4" t="s">
        <v>1187</v>
      </c>
      <c r="B649" s="4" t="s">
        <v>101</v>
      </c>
      <c r="C649" s="4" t="n">
        <v>46285.5917013889</v>
      </c>
      <c r="D649" s="4" t="n">
        <v>250</v>
      </c>
    </row>
    <row r="650" customFormat="false" ht="15" hidden="false" customHeight="false" outlineLevel="0" collapsed="false">
      <c r="A650" s="4" t="s">
        <v>1190</v>
      </c>
      <c r="B650" s="4" t="s">
        <v>101</v>
      </c>
      <c r="C650" s="4" t="n">
        <v>46285.7594212963</v>
      </c>
      <c r="D650" s="4" t="n">
        <v>251</v>
      </c>
    </row>
    <row r="651" customFormat="false" ht="15" hidden="false" customHeight="false" outlineLevel="0" collapsed="false">
      <c r="A651" s="4" t="s">
        <v>1195</v>
      </c>
      <c r="B651" s="4" t="s">
        <v>101</v>
      </c>
      <c r="C651" s="4" t="n">
        <v>46285.923900463</v>
      </c>
      <c r="D651" s="4" t="n">
        <v>252</v>
      </c>
    </row>
    <row r="652" customFormat="false" ht="15" hidden="false" customHeight="false" outlineLevel="0" collapsed="false">
      <c r="A652" s="4" t="s">
        <v>1198</v>
      </c>
      <c r="B652" s="4" t="s">
        <v>101</v>
      </c>
      <c r="C652" s="4" t="n">
        <v>46286.0890509259</v>
      </c>
      <c r="D652" s="4" t="n">
        <v>253</v>
      </c>
    </row>
    <row r="653" customFormat="false" ht="15" hidden="false" customHeight="false" outlineLevel="0" collapsed="false">
      <c r="A653" s="4" t="s">
        <v>1202</v>
      </c>
      <c r="B653" s="4" t="s">
        <v>101</v>
      </c>
      <c r="C653" s="4" t="n">
        <v>46286.2589236111</v>
      </c>
      <c r="D653" s="4" t="n">
        <v>254</v>
      </c>
    </row>
    <row r="654" customFormat="false" ht="15" hidden="false" customHeight="false" outlineLevel="0" collapsed="false">
      <c r="A654" s="4" t="s">
        <v>1207</v>
      </c>
      <c r="B654" s="4" t="s">
        <v>101</v>
      </c>
      <c r="C654" s="4" t="n">
        <v>46286.4238773148</v>
      </c>
      <c r="D654" s="4" t="n">
        <v>255</v>
      </c>
    </row>
    <row r="655" customFormat="false" ht="15" hidden="false" customHeight="false" outlineLevel="0" collapsed="false">
      <c r="A655" s="4" t="s">
        <v>1211</v>
      </c>
      <c r="B655" s="4" t="s">
        <v>101</v>
      </c>
      <c r="C655" s="4" t="n">
        <v>46286.5902662037</v>
      </c>
      <c r="D655" s="4" t="n">
        <v>256</v>
      </c>
    </row>
    <row r="656" customFormat="false" ht="15" hidden="false" customHeight="false" outlineLevel="0" collapsed="false">
      <c r="A656" s="4" t="s">
        <v>1214</v>
      </c>
      <c r="B656" s="4" t="s">
        <v>101</v>
      </c>
      <c r="C656" s="4" t="n">
        <v>46286.7578009259</v>
      </c>
      <c r="D656" s="4" t="n">
        <v>257</v>
      </c>
    </row>
    <row r="657" customFormat="false" ht="15" hidden="false" customHeight="false" outlineLevel="0" collapsed="false">
      <c r="A657" s="4" t="s">
        <v>1219</v>
      </c>
      <c r="B657" s="4" t="s">
        <v>101</v>
      </c>
      <c r="C657" s="4" t="n">
        <v>46286.9243287037</v>
      </c>
      <c r="D657" s="4" t="n">
        <v>258</v>
      </c>
    </row>
    <row r="658" customFormat="false" ht="15" hidden="false" customHeight="false" outlineLevel="0" collapsed="false">
      <c r="A658" s="4" t="s">
        <v>1222</v>
      </c>
      <c r="B658" s="4" t="s">
        <v>101</v>
      </c>
      <c r="C658" s="4" t="n">
        <v>46287.0893287037</v>
      </c>
      <c r="D658" s="4" t="n">
        <v>259</v>
      </c>
    </row>
    <row r="659" customFormat="false" ht="15" hidden="false" customHeight="false" outlineLevel="0" collapsed="false">
      <c r="A659" s="4" t="s">
        <v>1226</v>
      </c>
      <c r="B659" s="4" t="s">
        <v>101</v>
      </c>
      <c r="C659" s="4" t="n">
        <v>46287.2549074074</v>
      </c>
      <c r="D659" s="4" t="n">
        <v>260</v>
      </c>
    </row>
    <row r="660" customFormat="false" ht="15" hidden="false" customHeight="false" outlineLevel="0" collapsed="false">
      <c r="A660" s="4" t="s">
        <v>1231</v>
      </c>
      <c r="B660" s="4" t="s">
        <v>101</v>
      </c>
      <c r="C660" s="4" t="n">
        <v>46287.4237152778</v>
      </c>
      <c r="D660" s="4" t="n">
        <v>261</v>
      </c>
    </row>
    <row r="661" customFormat="false" ht="15" hidden="false" customHeight="false" outlineLevel="0" collapsed="false">
      <c r="A661" s="4" t="s">
        <v>1234</v>
      </c>
      <c r="B661" s="4" t="s">
        <v>101</v>
      </c>
      <c r="C661" s="4" t="n">
        <v>46287.5903125</v>
      </c>
      <c r="D661" s="4" t="n">
        <v>262</v>
      </c>
    </row>
    <row r="662" customFormat="false" ht="15" hidden="false" customHeight="false" outlineLevel="0" collapsed="false">
      <c r="A662" s="4" t="s">
        <v>1237</v>
      </c>
      <c r="B662" s="4" t="s">
        <v>101</v>
      </c>
      <c r="C662" s="4" t="n">
        <v>46287.7586574074</v>
      </c>
      <c r="D662" s="4" t="n">
        <v>263</v>
      </c>
    </row>
    <row r="663" customFormat="false" ht="15" hidden="false" customHeight="false" outlineLevel="0" collapsed="false">
      <c r="A663" s="4" t="s">
        <v>1242</v>
      </c>
      <c r="B663" s="4" t="s">
        <v>101</v>
      </c>
      <c r="C663" s="4" t="n">
        <v>46287.921875</v>
      </c>
      <c r="D663" s="4" t="n">
        <v>264</v>
      </c>
    </row>
    <row r="664" customFormat="false" ht="15" hidden="false" customHeight="false" outlineLevel="0" collapsed="false">
      <c r="A664" s="4" t="s">
        <v>1245</v>
      </c>
      <c r="B664" s="4" t="s">
        <v>101</v>
      </c>
      <c r="C664" s="4" t="n">
        <v>46288.0903009259</v>
      </c>
      <c r="D664" s="4" t="n">
        <v>265</v>
      </c>
    </row>
    <row r="665" customFormat="false" ht="15" hidden="false" customHeight="false" outlineLevel="0" collapsed="false">
      <c r="A665" s="4" t="s">
        <v>1249</v>
      </c>
      <c r="B665" s="4" t="s">
        <v>101</v>
      </c>
      <c r="C665" s="4" t="n">
        <v>46288.2586921296</v>
      </c>
      <c r="D665" s="4" t="n">
        <v>266</v>
      </c>
    </row>
    <row r="666" customFormat="false" ht="15" hidden="false" customHeight="false" outlineLevel="0" collapsed="false">
      <c r="A666" s="4" t="s">
        <v>1254</v>
      </c>
      <c r="B666" s="4" t="s">
        <v>101</v>
      </c>
      <c r="C666" s="4" t="n">
        <v>46288.4246412037</v>
      </c>
      <c r="D666" s="4" t="n">
        <v>267</v>
      </c>
    </row>
    <row r="667" customFormat="false" ht="15" hidden="false" customHeight="false" outlineLevel="0" collapsed="false">
      <c r="A667" s="4" t="s">
        <v>1257</v>
      </c>
      <c r="B667" s="4" t="s">
        <v>101</v>
      </c>
      <c r="C667" s="4" t="n">
        <v>46288.5906828704</v>
      </c>
      <c r="D667" s="4" t="n">
        <v>268</v>
      </c>
    </row>
    <row r="668" customFormat="false" ht="15" hidden="false" customHeight="false" outlineLevel="0" collapsed="false">
      <c r="A668" s="4" t="s">
        <v>1260</v>
      </c>
      <c r="B668" s="4" t="s">
        <v>101</v>
      </c>
      <c r="C668" s="4" t="n">
        <v>46288.7594675926</v>
      </c>
      <c r="D668" s="4" t="n">
        <v>269</v>
      </c>
    </row>
    <row r="669" customFormat="false" ht="15" hidden="false" customHeight="false" outlineLevel="0" collapsed="false">
      <c r="A669" s="4" t="s">
        <v>1265</v>
      </c>
      <c r="B669" s="4" t="s">
        <v>101</v>
      </c>
      <c r="C669" s="4" t="n">
        <v>46288.9259027778</v>
      </c>
      <c r="D669" s="4" t="n">
        <v>270</v>
      </c>
    </row>
    <row r="670" customFormat="false" ht="15" hidden="false" customHeight="false" outlineLevel="0" collapsed="false">
      <c r="A670" s="4" t="s">
        <v>1268</v>
      </c>
      <c r="B670" s="4" t="s">
        <v>101</v>
      </c>
      <c r="C670" s="4" t="n">
        <v>46289.0896875</v>
      </c>
      <c r="D670" s="4" t="n">
        <v>271</v>
      </c>
    </row>
    <row r="671" customFormat="false" ht="15" hidden="false" customHeight="false" outlineLevel="0" collapsed="false">
      <c r="A671" s="4" t="s">
        <v>1272</v>
      </c>
      <c r="B671" s="4" t="s">
        <v>101</v>
      </c>
      <c r="C671" s="4" t="n">
        <v>46289.2569097222</v>
      </c>
      <c r="D671" s="4" t="n">
        <v>272</v>
      </c>
    </row>
    <row r="672" customFormat="false" ht="15" hidden="false" customHeight="false" outlineLevel="0" collapsed="false">
      <c r="A672" s="4" t="s">
        <v>1278</v>
      </c>
      <c r="B672" s="4" t="s">
        <v>101</v>
      </c>
      <c r="C672" s="4" t="n">
        <v>46289.4244328704</v>
      </c>
      <c r="D672" s="4" t="n">
        <v>273</v>
      </c>
    </row>
    <row r="673" customFormat="false" ht="15" hidden="false" customHeight="false" outlineLevel="0" collapsed="false">
      <c r="A673" s="4" t="s">
        <v>1281</v>
      </c>
      <c r="B673" s="4" t="s">
        <v>101</v>
      </c>
      <c r="C673" s="4" t="n">
        <v>46289.5914467593</v>
      </c>
      <c r="D673" s="4" t="n">
        <v>274</v>
      </c>
    </row>
    <row r="674" customFormat="false" ht="15" hidden="false" customHeight="false" outlineLevel="0" collapsed="false">
      <c r="A674" s="4" t="s">
        <v>1284</v>
      </c>
      <c r="B674" s="4" t="s">
        <v>101</v>
      </c>
      <c r="C674" s="4" t="n">
        <v>46289.7563773148</v>
      </c>
      <c r="D674" s="4" t="n">
        <v>275</v>
      </c>
    </row>
    <row r="675" customFormat="false" ht="15" hidden="false" customHeight="false" outlineLevel="0" collapsed="false">
      <c r="A675" s="4" t="s">
        <v>1289</v>
      </c>
      <c r="B675" s="4" t="s">
        <v>101</v>
      </c>
      <c r="C675" s="4" t="n">
        <v>46289.9220601852</v>
      </c>
      <c r="D675" s="4" t="n">
        <v>276</v>
      </c>
    </row>
    <row r="676" customFormat="false" ht="15" hidden="false" customHeight="false" outlineLevel="0" collapsed="false">
      <c r="A676" s="4" t="s">
        <v>1292</v>
      </c>
      <c r="B676" s="4" t="s">
        <v>101</v>
      </c>
      <c r="C676" s="4" t="n">
        <v>46290.091099537</v>
      </c>
      <c r="D676" s="4" t="n">
        <v>277</v>
      </c>
    </row>
    <row r="677" customFormat="false" ht="15" hidden="false" customHeight="false" outlineLevel="0" collapsed="false">
      <c r="A677" s="4" t="s">
        <v>1296</v>
      </c>
      <c r="B677" s="4" t="s">
        <v>101</v>
      </c>
      <c r="C677" s="4" t="n">
        <v>46290.2565046296</v>
      </c>
      <c r="D677" s="4" t="n">
        <v>278</v>
      </c>
    </row>
    <row r="678" customFormat="false" ht="15" hidden="false" customHeight="false" outlineLevel="0" collapsed="false">
      <c r="A678" s="4" t="s">
        <v>1301</v>
      </c>
      <c r="B678" s="4" t="s">
        <v>101</v>
      </c>
      <c r="C678" s="4" t="n">
        <v>46290.4231828704</v>
      </c>
      <c r="D678" s="4" t="n">
        <v>279</v>
      </c>
    </row>
    <row r="679" customFormat="false" ht="15" hidden="false" customHeight="false" outlineLevel="0" collapsed="false">
      <c r="A679" s="4" t="s">
        <v>1304</v>
      </c>
      <c r="B679" s="4" t="s">
        <v>101</v>
      </c>
      <c r="C679" s="4" t="n">
        <v>46290.5930092593</v>
      </c>
      <c r="D679" s="4" t="n">
        <v>280</v>
      </c>
    </row>
    <row r="680" customFormat="false" ht="15" hidden="false" customHeight="false" outlineLevel="0" collapsed="false">
      <c r="A680" s="4" t="s">
        <v>1307</v>
      </c>
      <c r="B680" s="4" t="s">
        <v>101</v>
      </c>
      <c r="C680" s="4" t="n">
        <v>46290.7560185185</v>
      </c>
      <c r="D680" s="4" t="n">
        <v>281</v>
      </c>
    </row>
    <row r="681" customFormat="false" ht="15" hidden="false" customHeight="false" outlineLevel="0" collapsed="false">
      <c r="A681" s="4" t="s">
        <v>1312</v>
      </c>
      <c r="B681" s="4" t="s">
        <v>101</v>
      </c>
      <c r="C681" s="4" t="n">
        <v>46290.9246180556</v>
      </c>
      <c r="D681" s="4" t="n">
        <v>282</v>
      </c>
    </row>
    <row r="682" customFormat="false" ht="15" hidden="false" customHeight="false" outlineLevel="0" collapsed="false">
      <c r="A682" s="4" t="s">
        <v>1315</v>
      </c>
      <c r="B682" s="4" t="s">
        <v>101</v>
      </c>
      <c r="C682" s="4" t="n">
        <v>46291.0899421296</v>
      </c>
      <c r="D682" s="4" t="n">
        <v>283</v>
      </c>
    </row>
    <row r="683" customFormat="false" ht="15" hidden="false" customHeight="false" outlineLevel="0" collapsed="false">
      <c r="A683" s="4" t="s">
        <v>1319</v>
      </c>
      <c r="B683" s="4" t="s">
        <v>101</v>
      </c>
      <c r="C683" s="4" t="n">
        <v>46291.2563657407</v>
      </c>
      <c r="D683" s="4" t="n">
        <v>284</v>
      </c>
    </row>
    <row r="684" customFormat="false" ht="15" hidden="false" customHeight="false" outlineLevel="0" collapsed="false">
      <c r="A684" s="4" t="s">
        <v>1324</v>
      </c>
      <c r="B684" s="4" t="s">
        <v>101</v>
      </c>
      <c r="C684" s="4" t="n">
        <v>46291.4253819444</v>
      </c>
      <c r="D684" s="4" t="n">
        <v>285</v>
      </c>
    </row>
    <row r="685" customFormat="false" ht="15" hidden="false" customHeight="false" outlineLevel="0" collapsed="false">
      <c r="A685" s="4" t="s">
        <v>1327</v>
      </c>
      <c r="B685" s="4" t="s">
        <v>101</v>
      </c>
      <c r="C685" s="4" t="n">
        <v>46291.5896180556</v>
      </c>
      <c r="D685" s="4" t="n">
        <v>286</v>
      </c>
    </row>
    <row r="686" customFormat="false" ht="15" hidden="false" customHeight="false" outlineLevel="0" collapsed="false">
      <c r="A686" s="4" t="s">
        <v>1329</v>
      </c>
      <c r="B686" s="4" t="s">
        <v>101</v>
      </c>
      <c r="C686" s="4" t="n">
        <v>46291.7568287037</v>
      </c>
      <c r="D686" s="4" t="n">
        <v>287</v>
      </c>
    </row>
    <row r="687" customFormat="false" ht="15" hidden="false" customHeight="false" outlineLevel="0" collapsed="false">
      <c r="A687" s="4" t="s">
        <v>1335</v>
      </c>
      <c r="B687" s="4" t="s">
        <v>101</v>
      </c>
      <c r="C687" s="4" t="n">
        <v>46291.9239814815</v>
      </c>
      <c r="D687" s="4" t="n">
        <v>288</v>
      </c>
    </row>
    <row r="688" customFormat="false" ht="15" hidden="false" customHeight="false" outlineLevel="0" collapsed="false">
      <c r="A688" s="4" t="s">
        <v>1340</v>
      </c>
      <c r="B688" s="4" t="s">
        <v>101</v>
      </c>
      <c r="C688" s="4" t="n">
        <v>46292.0924074074</v>
      </c>
      <c r="D688" s="4" t="n">
        <v>289</v>
      </c>
    </row>
    <row r="689" customFormat="false" ht="15" hidden="false" customHeight="false" outlineLevel="0" collapsed="false">
      <c r="A689" s="4" t="s">
        <v>1344</v>
      </c>
      <c r="B689" s="4" t="s">
        <v>101</v>
      </c>
      <c r="C689" s="4" t="n">
        <v>46292.2583333333</v>
      </c>
      <c r="D689" s="4" t="n">
        <v>290</v>
      </c>
    </row>
    <row r="690" customFormat="false" ht="15" hidden="false" customHeight="false" outlineLevel="0" collapsed="false">
      <c r="A690" s="4" t="s">
        <v>1349</v>
      </c>
      <c r="B690" s="4" t="s">
        <v>101</v>
      </c>
      <c r="C690" s="4" t="n">
        <v>46292.422349537</v>
      </c>
      <c r="D690" s="4" t="n">
        <v>291</v>
      </c>
    </row>
    <row r="691" customFormat="false" ht="15" hidden="false" customHeight="false" outlineLevel="0" collapsed="false">
      <c r="A691" s="4" t="s">
        <v>1352</v>
      </c>
      <c r="B691" s="4" t="s">
        <v>101</v>
      </c>
      <c r="C691" s="4" t="n">
        <v>46292.5918634259</v>
      </c>
      <c r="D691" s="4" t="n">
        <v>292</v>
      </c>
    </row>
    <row r="692" customFormat="false" ht="15" hidden="false" customHeight="false" outlineLevel="0" collapsed="false">
      <c r="A692" s="4" t="s">
        <v>1355</v>
      </c>
      <c r="B692" s="4" t="s">
        <v>101</v>
      </c>
      <c r="C692" s="4" t="n">
        <v>46292.7581481482</v>
      </c>
      <c r="D692" s="4" t="n">
        <v>293</v>
      </c>
    </row>
    <row r="693" customFormat="false" ht="15" hidden="false" customHeight="false" outlineLevel="0" collapsed="false">
      <c r="A693" s="4" t="s">
        <v>1360</v>
      </c>
      <c r="B693" s="4" t="s">
        <v>101</v>
      </c>
      <c r="C693" s="4" t="n">
        <v>46292.9223842593</v>
      </c>
      <c r="D693" s="4" t="n">
        <v>294</v>
      </c>
    </row>
    <row r="694" customFormat="false" ht="15" hidden="false" customHeight="false" outlineLevel="0" collapsed="false">
      <c r="A694" s="4" t="s">
        <v>1363</v>
      </c>
      <c r="B694" s="4" t="s">
        <v>101</v>
      </c>
      <c r="C694" s="4" t="n">
        <v>46293.0896759259</v>
      </c>
      <c r="D694" s="4" t="n">
        <v>295</v>
      </c>
    </row>
    <row r="695" customFormat="false" ht="15" hidden="false" customHeight="false" outlineLevel="0" collapsed="false">
      <c r="A695" s="4" t="s">
        <v>1367</v>
      </c>
      <c r="B695" s="4" t="s">
        <v>101</v>
      </c>
      <c r="C695" s="4" t="n">
        <v>46293.2591319445</v>
      </c>
      <c r="D695" s="4" t="n">
        <v>296</v>
      </c>
    </row>
    <row r="696" customFormat="false" ht="15" hidden="false" customHeight="false" outlineLevel="0" collapsed="false">
      <c r="A696" s="4" t="s">
        <v>1372</v>
      </c>
      <c r="B696" s="4" t="s">
        <v>101</v>
      </c>
      <c r="C696" s="4" t="n">
        <v>46293.4245138889</v>
      </c>
      <c r="D696" s="4" t="n">
        <v>297</v>
      </c>
    </row>
    <row r="697" customFormat="false" ht="15" hidden="false" customHeight="false" outlineLevel="0" collapsed="false">
      <c r="A697" s="4" t="s">
        <v>1375</v>
      </c>
      <c r="B697" s="4" t="s">
        <v>101</v>
      </c>
      <c r="C697" s="4" t="n">
        <v>46293.5922222222</v>
      </c>
      <c r="D697" s="4" t="n">
        <v>298</v>
      </c>
    </row>
    <row r="698" customFormat="false" ht="15" hidden="false" customHeight="false" outlineLevel="0" collapsed="false">
      <c r="A698" s="4" t="s">
        <v>1378</v>
      </c>
      <c r="B698" s="4" t="s">
        <v>101</v>
      </c>
      <c r="C698" s="4" t="n">
        <v>46293.7583912037</v>
      </c>
      <c r="D698" s="4" t="n">
        <v>299</v>
      </c>
    </row>
    <row r="699" customFormat="false" ht="15" hidden="false" customHeight="false" outlineLevel="0" collapsed="false">
      <c r="A699" s="4" t="s">
        <v>1383</v>
      </c>
      <c r="B699" s="4" t="s">
        <v>101</v>
      </c>
      <c r="C699" s="4" t="n">
        <v>46293.9227430556</v>
      </c>
      <c r="D699" s="4" t="n">
        <v>300</v>
      </c>
    </row>
    <row r="700" customFormat="false" ht="15" hidden="false" customHeight="false" outlineLevel="0" collapsed="false">
      <c r="A700" s="4" t="s">
        <v>1386</v>
      </c>
      <c r="B700" s="4" t="s">
        <v>101</v>
      </c>
      <c r="C700" s="4" t="n">
        <v>46294.0900347222</v>
      </c>
      <c r="D700" s="4" t="n">
        <v>301</v>
      </c>
    </row>
    <row r="701" customFormat="false" ht="15" hidden="false" customHeight="false" outlineLevel="0" collapsed="false">
      <c r="A701" s="4" t="s">
        <v>1390</v>
      </c>
      <c r="B701" s="4" t="s">
        <v>101</v>
      </c>
      <c r="C701" s="4" t="n">
        <v>46294.2564699074</v>
      </c>
      <c r="D701" s="4" t="n">
        <v>302</v>
      </c>
    </row>
    <row r="702" customFormat="false" ht="15" hidden="false" customHeight="false" outlineLevel="0" collapsed="false">
      <c r="A702" s="4" t="s">
        <v>1395</v>
      </c>
      <c r="B702" s="4" t="s">
        <v>101</v>
      </c>
      <c r="C702" s="4" t="n">
        <v>46294.4252777778</v>
      </c>
      <c r="D702" s="4" t="n">
        <v>303</v>
      </c>
    </row>
    <row r="703" customFormat="false" ht="15" hidden="false" customHeight="false" outlineLevel="0" collapsed="false">
      <c r="A703" s="4" t="s">
        <v>1398</v>
      </c>
      <c r="B703" s="4" t="s">
        <v>101</v>
      </c>
      <c r="C703" s="4" t="n">
        <v>46294.5906944444</v>
      </c>
      <c r="D703" s="4" t="n">
        <v>304</v>
      </c>
    </row>
    <row r="704" customFormat="false" ht="15" hidden="false" customHeight="false" outlineLevel="0" collapsed="false">
      <c r="A704" s="4" t="s">
        <v>1401</v>
      </c>
      <c r="B704" s="4" t="s">
        <v>101</v>
      </c>
      <c r="C704" s="4" t="n">
        <v>46294.7568518519</v>
      </c>
      <c r="D704" s="4" t="n">
        <v>305</v>
      </c>
    </row>
    <row r="705" customFormat="false" ht="15" hidden="false" customHeight="false" outlineLevel="0" collapsed="false">
      <c r="A705" s="4" t="s">
        <v>1406</v>
      </c>
      <c r="B705" s="4" t="s">
        <v>101</v>
      </c>
      <c r="C705" s="4" t="n">
        <v>46294.9247106482</v>
      </c>
      <c r="D705" s="4" t="n">
        <v>306</v>
      </c>
    </row>
    <row r="706" customFormat="false" ht="15" hidden="false" customHeight="false" outlineLevel="0" collapsed="false">
      <c r="A706" s="4" t="s">
        <v>1409</v>
      </c>
      <c r="B706" s="4" t="s">
        <v>101</v>
      </c>
      <c r="C706" s="4" t="n">
        <v>46295.0882407407</v>
      </c>
      <c r="D706" s="4" t="n">
        <v>307</v>
      </c>
    </row>
    <row r="707" customFormat="false" ht="15" hidden="false" customHeight="false" outlineLevel="0" collapsed="false">
      <c r="A707" s="4" t="s">
        <v>1413</v>
      </c>
      <c r="B707" s="4" t="s">
        <v>101</v>
      </c>
      <c r="C707" s="4" t="n">
        <v>46295.2560416667</v>
      </c>
      <c r="D707" s="4" t="n">
        <v>308</v>
      </c>
    </row>
    <row r="708" customFormat="false" ht="15" hidden="false" customHeight="false" outlineLevel="0" collapsed="false">
      <c r="A708" s="4" t="s">
        <v>1418</v>
      </c>
      <c r="B708" s="4" t="s">
        <v>101</v>
      </c>
      <c r="C708" s="4" t="n">
        <v>46295.4228819445</v>
      </c>
      <c r="D708" s="4" t="n">
        <v>309</v>
      </c>
    </row>
    <row r="709" customFormat="false" ht="15" hidden="false" customHeight="false" outlineLevel="0" collapsed="false">
      <c r="A709" s="4" t="s">
        <v>1421</v>
      </c>
      <c r="B709" s="4" t="s">
        <v>101</v>
      </c>
      <c r="C709" s="4" t="n">
        <v>46295.5913657407</v>
      </c>
      <c r="D709" s="4" t="n">
        <v>310</v>
      </c>
    </row>
    <row r="710" customFormat="false" ht="15" hidden="false" customHeight="false" outlineLevel="0" collapsed="false">
      <c r="A710" s="4" t="s">
        <v>1424</v>
      </c>
      <c r="B710" s="4" t="s">
        <v>101</v>
      </c>
      <c r="C710" s="4" t="n">
        <v>46295.7566319444</v>
      </c>
      <c r="D710" s="4" t="n">
        <v>311</v>
      </c>
    </row>
    <row r="711" customFormat="false" ht="15" hidden="false" customHeight="false" outlineLevel="0" collapsed="false">
      <c r="A711" s="4" t="s">
        <v>1429</v>
      </c>
      <c r="B711" s="4" t="s">
        <v>101</v>
      </c>
      <c r="C711" s="4" t="n">
        <v>46295.9241898148</v>
      </c>
      <c r="D711" s="4" t="n">
        <v>312</v>
      </c>
    </row>
    <row r="712" customFormat="false" ht="15" hidden="false" customHeight="false" outlineLevel="0" collapsed="false">
      <c r="A712" s="4" t="s">
        <v>1432</v>
      </c>
      <c r="B712" s="4" t="s">
        <v>101</v>
      </c>
      <c r="C712" s="4" t="n">
        <v>46296.0918055556</v>
      </c>
      <c r="D712" s="4" t="n">
        <v>313</v>
      </c>
    </row>
    <row r="713" customFormat="false" ht="15" hidden="false" customHeight="false" outlineLevel="0" collapsed="false">
      <c r="A713" s="4" t="s">
        <v>1436</v>
      </c>
      <c r="B713" s="4" t="s">
        <v>101</v>
      </c>
      <c r="C713" s="4" t="n">
        <v>46296.257662037</v>
      </c>
      <c r="D713" s="4" t="n">
        <v>314</v>
      </c>
    </row>
    <row r="714" customFormat="false" ht="15" hidden="false" customHeight="false" outlineLevel="0" collapsed="false">
      <c r="A714" s="4" t="s">
        <v>1441</v>
      </c>
      <c r="B714" s="4" t="s">
        <v>101</v>
      </c>
      <c r="C714" s="4" t="n">
        <v>46296.425462963</v>
      </c>
      <c r="D714" s="4" t="n">
        <v>315</v>
      </c>
    </row>
    <row r="715" customFormat="false" ht="15" hidden="false" customHeight="false" outlineLevel="0" collapsed="false">
      <c r="A715" s="4" t="s">
        <v>1444</v>
      </c>
      <c r="B715" s="4" t="s">
        <v>101</v>
      </c>
      <c r="C715" s="4" t="n">
        <v>46296.5918865741</v>
      </c>
      <c r="D715" s="4" t="n">
        <v>316</v>
      </c>
    </row>
    <row r="716" customFormat="false" ht="15" hidden="false" customHeight="false" outlineLevel="0" collapsed="false">
      <c r="A716" s="4" t="s">
        <v>1447</v>
      </c>
      <c r="B716" s="4" t="s">
        <v>101</v>
      </c>
      <c r="C716" s="4" t="n">
        <v>46296.7594328704</v>
      </c>
      <c r="D716" s="4" t="n">
        <v>317</v>
      </c>
    </row>
    <row r="717" customFormat="false" ht="15" hidden="false" customHeight="false" outlineLevel="0" collapsed="false">
      <c r="A717" s="4" t="s">
        <v>1452</v>
      </c>
      <c r="B717" s="4" t="s">
        <v>101</v>
      </c>
      <c r="C717" s="4" t="n">
        <v>46296.9234953704</v>
      </c>
      <c r="D717" s="4" t="n">
        <v>318</v>
      </c>
    </row>
    <row r="718" customFormat="false" ht="15" hidden="false" customHeight="false" outlineLevel="0" collapsed="false">
      <c r="A718" s="4" t="s">
        <v>1455</v>
      </c>
      <c r="B718" s="4" t="s">
        <v>101</v>
      </c>
      <c r="C718" s="4" t="n">
        <v>46297.0896412037</v>
      </c>
      <c r="D718" s="4" t="n">
        <v>319</v>
      </c>
    </row>
    <row r="719" customFormat="false" ht="15" hidden="false" customHeight="false" outlineLevel="0" collapsed="false">
      <c r="A719" s="4" t="s">
        <v>1459</v>
      </c>
      <c r="B719" s="4" t="s">
        <v>101</v>
      </c>
      <c r="C719" s="4" t="n">
        <v>46297.2585416667</v>
      </c>
      <c r="D719" s="4" t="n">
        <v>320</v>
      </c>
    </row>
    <row r="720" customFormat="false" ht="15" hidden="false" customHeight="false" outlineLevel="0" collapsed="false">
      <c r="A720" s="4" t="s">
        <v>1464</v>
      </c>
      <c r="B720" s="4" t="s">
        <v>101</v>
      </c>
      <c r="C720" s="4" t="n">
        <v>46297.4237615741</v>
      </c>
      <c r="D720" s="4" t="n">
        <v>321</v>
      </c>
    </row>
    <row r="721" customFormat="false" ht="15" hidden="false" customHeight="false" outlineLevel="0" collapsed="false">
      <c r="A721" s="4" t="s">
        <v>1467</v>
      </c>
      <c r="B721" s="4" t="s">
        <v>101</v>
      </c>
      <c r="C721" s="4" t="n">
        <v>46297.5897222222</v>
      </c>
      <c r="D721" s="4" t="n">
        <v>322</v>
      </c>
    </row>
    <row r="722" customFormat="false" ht="15" hidden="false" customHeight="false" outlineLevel="0" collapsed="false">
      <c r="A722" s="4" t="s">
        <v>1470</v>
      </c>
      <c r="B722" s="4" t="s">
        <v>101</v>
      </c>
      <c r="C722" s="4" t="n">
        <v>46297.7590509259</v>
      </c>
      <c r="D722" s="4" t="n">
        <v>323</v>
      </c>
    </row>
    <row r="723" customFormat="false" ht="15" hidden="false" customHeight="false" outlineLevel="0" collapsed="false">
      <c r="A723" s="4" t="s">
        <v>1475</v>
      </c>
      <c r="B723" s="4" t="s">
        <v>101</v>
      </c>
      <c r="C723" s="4" t="n">
        <v>46297.9240625</v>
      </c>
      <c r="D723" s="4" t="n">
        <v>324</v>
      </c>
    </row>
    <row r="724" customFormat="false" ht="15" hidden="false" customHeight="false" outlineLevel="0" collapsed="false">
      <c r="A724" s="4" t="s">
        <v>1478</v>
      </c>
      <c r="B724" s="4" t="s">
        <v>101</v>
      </c>
      <c r="C724" s="4" t="n">
        <v>46298.0900462963</v>
      </c>
      <c r="D724" s="4" t="n">
        <v>325</v>
      </c>
    </row>
    <row r="725" customFormat="false" ht="15" hidden="false" customHeight="false" outlineLevel="0" collapsed="false">
      <c r="A725" s="4" t="s">
        <v>1482</v>
      </c>
      <c r="B725" s="4" t="s">
        <v>101</v>
      </c>
      <c r="C725" s="4" t="n">
        <v>46298.2568981482</v>
      </c>
      <c r="D725" s="4" t="n">
        <v>326</v>
      </c>
    </row>
    <row r="726" customFormat="false" ht="15" hidden="false" customHeight="false" outlineLevel="0" collapsed="false">
      <c r="A726" s="4" t="s">
        <v>1487</v>
      </c>
      <c r="B726" s="4" t="s">
        <v>101</v>
      </c>
      <c r="C726" s="4" t="n">
        <v>46298.4233796296</v>
      </c>
      <c r="D726" s="4" t="n">
        <v>327</v>
      </c>
    </row>
    <row r="727" customFormat="false" ht="15" hidden="false" customHeight="false" outlineLevel="0" collapsed="false">
      <c r="A727" s="4" t="s">
        <v>1490</v>
      </c>
      <c r="B727" s="4" t="s">
        <v>101</v>
      </c>
      <c r="C727" s="4" t="n">
        <v>46298.5917361111</v>
      </c>
      <c r="D727" s="4" t="n">
        <v>328</v>
      </c>
    </row>
    <row r="728" customFormat="false" ht="15" hidden="false" customHeight="false" outlineLevel="0" collapsed="false">
      <c r="A728" s="4" t="s">
        <v>1493</v>
      </c>
      <c r="B728" s="4" t="s">
        <v>101</v>
      </c>
      <c r="C728" s="4" t="n">
        <v>46298.7583101852</v>
      </c>
      <c r="D728" s="4" t="n">
        <v>329</v>
      </c>
    </row>
    <row r="729" customFormat="false" ht="15" hidden="false" customHeight="false" outlineLevel="0" collapsed="false">
      <c r="A729" s="4" t="s">
        <v>1498</v>
      </c>
      <c r="B729" s="4" t="s">
        <v>101</v>
      </c>
      <c r="C729" s="4" t="n">
        <v>46298.9225</v>
      </c>
      <c r="D729" s="4" t="n">
        <v>330</v>
      </c>
    </row>
    <row r="730" customFormat="false" ht="15" hidden="false" customHeight="false" outlineLevel="0" collapsed="false">
      <c r="A730" s="4" t="s">
        <v>1501</v>
      </c>
      <c r="B730" s="4" t="s">
        <v>101</v>
      </c>
      <c r="C730" s="4" t="n">
        <v>46299.0923611111</v>
      </c>
      <c r="D730" s="4" t="n">
        <v>331</v>
      </c>
    </row>
    <row r="731" customFormat="false" ht="15" hidden="false" customHeight="false" outlineLevel="0" collapsed="false">
      <c r="A731" s="4" t="s">
        <v>1505</v>
      </c>
      <c r="B731" s="4" t="s">
        <v>101</v>
      </c>
      <c r="C731" s="4" t="n">
        <v>46299.2563773148</v>
      </c>
      <c r="D731" s="4" t="n">
        <v>332</v>
      </c>
    </row>
    <row r="732" customFormat="false" ht="15" hidden="false" customHeight="false" outlineLevel="0" collapsed="false">
      <c r="A732" s="4" t="s">
        <v>1510</v>
      </c>
      <c r="B732" s="4" t="s">
        <v>101</v>
      </c>
      <c r="C732" s="4" t="n">
        <v>46299.4252546296</v>
      </c>
      <c r="D732" s="4" t="n">
        <v>333</v>
      </c>
    </row>
    <row r="733" customFormat="false" ht="15" hidden="false" customHeight="false" outlineLevel="0" collapsed="false">
      <c r="A733" s="4" t="s">
        <v>1513</v>
      </c>
      <c r="B733" s="4" t="s">
        <v>101</v>
      </c>
      <c r="C733" s="4" t="n">
        <v>46299.5909375</v>
      </c>
      <c r="D733" s="4" t="n">
        <v>334</v>
      </c>
    </row>
    <row r="734" customFormat="false" ht="15" hidden="false" customHeight="false" outlineLevel="0" collapsed="false">
      <c r="A734" s="4" t="s">
        <v>1516</v>
      </c>
      <c r="B734" s="4" t="s">
        <v>101</v>
      </c>
      <c r="C734" s="4" t="n">
        <v>46299.7576736111</v>
      </c>
      <c r="D734" s="4" t="n">
        <v>335</v>
      </c>
    </row>
    <row r="735" customFormat="false" ht="15" hidden="false" customHeight="false" outlineLevel="0" collapsed="false">
      <c r="A735" s="4" t="s">
        <v>1521</v>
      </c>
      <c r="B735" s="4" t="s">
        <v>101</v>
      </c>
      <c r="C735" s="4" t="n">
        <v>46299.9231712963</v>
      </c>
      <c r="D735" s="4" t="n">
        <v>336</v>
      </c>
    </row>
    <row r="736" customFormat="false" ht="15" hidden="false" customHeight="false" outlineLevel="0" collapsed="false">
      <c r="A736" s="4" t="s">
        <v>204</v>
      </c>
      <c r="B736" s="4" t="s">
        <v>102</v>
      </c>
      <c r="C736" s="4" t="n">
        <v>46244.0495486111</v>
      </c>
      <c r="D736" s="4" t="n">
        <v>1</v>
      </c>
    </row>
    <row r="737" customFormat="false" ht="15" hidden="false" customHeight="false" outlineLevel="0" collapsed="false">
      <c r="A737" s="4" t="s">
        <v>213</v>
      </c>
      <c r="B737" s="4" t="s">
        <v>102</v>
      </c>
      <c r="C737" s="4" t="n">
        <v>46244.2992824074</v>
      </c>
      <c r="D737" s="4" t="n">
        <v>2</v>
      </c>
    </row>
    <row r="738" customFormat="false" ht="15" hidden="false" customHeight="false" outlineLevel="0" collapsed="false">
      <c r="A738" s="4" t="s">
        <v>218</v>
      </c>
      <c r="B738" s="4" t="s">
        <v>102</v>
      </c>
      <c r="C738" s="4" t="n">
        <v>46244.5517708333</v>
      </c>
      <c r="D738" s="4" t="n">
        <v>3</v>
      </c>
    </row>
    <row r="739" customFormat="false" ht="15" hidden="false" customHeight="false" outlineLevel="0" collapsed="false">
      <c r="A739" s="4" t="s">
        <v>224</v>
      </c>
      <c r="B739" s="4" t="s">
        <v>102</v>
      </c>
      <c r="C739" s="4" t="n">
        <v>46244.7979050926</v>
      </c>
      <c r="D739" s="4" t="n">
        <v>4</v>
      </c>
    </row>
    <row r="740" customFormat="false" ht="15" hidden="false" customHeight="false" outlineLevel="0" collapsed="false">
      <c r="A740" s="4" t="s">
        <v>229</v>
      </c>
      <c r="B740" s="4" t="s">
        <v>102</v>
      </c>
      <c r="C740" s="4" t="n">
        <v>46245.0492708333</v>
      </c>
      <c r="D740" s="4" t="n">
        <v>5</v>
      </c>
    </row>
    <row r="741" customFormat="false" ht="15" hidden="false" customHeight="false" outlineLevel="0" collapsed="false">
      <c r="A741" s="4" t="s">
        <v>236</v>
      </c>
      <c r="B741" s="4" t="s">
        <v>102</v>
      </c>
      <c r="C741" s="4" t="n">
        <v>46245.3001851852</v>
      </c>
      <c r="D741" s="4" t="n">
        <v>6</v>
      </c>
    </row>
    <row r="742" customFormat="false" ht="15" hidden="false" customHeight="false" outlineLevel="0" collapsed="false">
      <c r="A742" s="4" t="s">
        <v>241</v>
      </c>
      <c r="B742" s="4" t="s">
        <v>102</v>
      </c>
      <c r="C742" s="4" t="n">
        <v>46245.5501388889</v>
      </c>
      <c r="D742" s="4" t="n">
        <v>7</v>
      </c>
    </row>
    <row r="743" customFormat="false" ht="15" hidden="false" customHeight="false" outlineLevel="0" collapsed="false">
      <c r="A743" s="4" t="s">
        <v>247</v>
      </c>
      <c r="B743" s="4" t="s">
        <v>102</v>
      </c>
      <c r="C743" s="4" t="n">
        <v>46245.7995833333</v>
      </c>
      <c r="D743" s="4" t="n">
        <v>8</v>
      </c>
    </row>
    <row r="744" customFormat="false" ht="15" hidden="false" customHeight="false" outlineLevel="0" collapsed="false">
      <c r="A744" s="4" t="s">
        <v>252</v>
      </c>
      <c r="B744" s="4" t="s">
        <v>102</v>
      </c>
      <c r="C744" s="4" t="n">
        <v>46246.0492592593</v>
      </c>
      <c r="D744" s="4" t="n">
        <v>9</v>
      </c>
    </row>
    <row r="745" customFormat="false" ht="15" hidden="false" customHeight="false" outlineLevel="0" collapsed="false">
      <c r="A745" s="4" t="s">
        <v>259</v>
      </c>
      <c r="B745" s="4" t="s">
        <v>102</v>
      </c>
      <c r="C745" s="4" t="n">
        <v>46246.2984375</v>
      </c>
      <c r="D745" s="4" t="n">
        <v>10</v>
      </c>
    </row>
    <row r="746" customFormat="false" ht="15" hidden="false" customHeight="false" outlineLevel="0" collapsed="false">
      <c r="A746" s="4" t="s">
        <v>264</v>
      </c>
      <c r="B746" s="4" t="s">
        <v>102</v>
      </c>
      <c r="C746" s="4" t="n">
        <v>46246.5494444444</v>
      </c>
      <c r="D746" s="4" t="n">
        <v>11</v>
      </c>
    </row>
    <row r="747" customFormat="false" ht="15" hidden="false" customHeight="false" outlineLevel="0" collapsed="false">
      <c r="A747" s="4" t="s">
        <v>270</v>
      </c>
      <c r="B747" s="4" t="s">
        <v>102</v>
      </c>
      <c r="C747" s="4" t="n">
        <v>46246.8006365741</v>
      </c>
      <c r="D747" s="4" t="n">
        <v>12</v>
      </c>
    </row>
    <row r="748" customFormat="false" ht="15" hidden="false" customHeight="false" outlineLevel="0" collapsed="false">
      <c r="A748" s="4" t="s">
        <v>275</v>
      </c>
      <c r="B748" s="4" t="s">
        <v>102</v>
      </c>
      <c r="C748" s="4" t="n">
        <v>46247.0503935185</v>
      </c>
      <c r="D748" s="4" t="n">
        <v>13</v>
      </c>
    </row>
    <row r="749" customFormat="false" ht="15" hidden="false" customHeight="false" outlineLevel="0" collapsed="false">
      <c r="A749" s="4" t="s">
        <v>282</v>
      </c>
      <c r="B749" s="4" t="s">
        <v>102</v>
      </c>
      <c r="C749" s="4" t="n">
        <v>46247.2990509259</v>
      </c>
      <c r="D749" s="4" t="n">
        <v>14</v>
      </c>
    </row>
    <row r="750" customFormat="false" ht="15" hidden="false" customHeight="false" outlineLevel="0" collapsed="false">
      <c r="A750" s="4" t="s">
        <v>287</v>
      </c>
      <c r="B750" s="4" t="s">
        <v>102</v>
      </c>
      <c r="C750" s="4" t="n">
        <v>46247.5513194444</v>
      </c>
      <c r="D750" s="4" t="n">
        <v>15</v>
      </c>
    </row>
    <row r="751" customFormat="false" ht="15" hidden="false" customHeight="false" outlineLevel="0" collapsed="false">
      <c r="A751" s="4" t="s">
        <v>293</v>
      </c>
      <c r="B751" s="4" t="s">
        <v>102</v>
      </c>
      <c r="C751" s="4" t="n">
        <v>46247.7991782407</v>
      </c>
      <c r="D751" s="4" t="n">
        <v>16</v>
      </c>
    </row>
    <row r="752" customFormat="false" ht="15" hidden="false" customHeight="false" outlineLevel="0" collapsed="false">
      <c r="A752" s="4" t="s">
        <v>298</v>
      </c>
      <c r="B752" s="4" t="s">
        <v>102</v>
      </c>
      <c r="C752" s="4" t="n">
        <v>46248.0497106482</v>
      </c>
      <c r="D752" s="4" t="n">
        <v>17</v>
      </c>
    </row>
    <row r="753" customFormat="false" ht="15" hidden="false" customHeight="false" outlineLevel="0" collapsed="false">
      <c r="A753" s="4" t="s">
        <v>305</v>
      </c>
      <c r="B753" s="4" t="s">
        <v>102</v>
      </c>
      <c r="C753" s="4" t="n">
        <v>46248.2998842593</v>
      </c>
      <c r="D753" s="4" t="n">
        <v>18</v>
      </c>
    </row>
    <row r="754" customFormat="false" ht="15" hidden="false" customHeight="false" outlineLevel="0" collapsed="false">
      <c r="A754" s="4" t="s">
        <v>310</v>
      </c>
      <c r="B754" s="4" t="s">
        <v>102</v>
      </c>
      <c r="C754" s="4" t="n">
        <v>46248.5504976852</v>
      </c>
      <c r="D754" s="4" t="n">
        <v>19</v>
      </c>
    </row>
    <row r="755" customFormat="false" ht="15" hidden="false" customHeight="false" outlineLevel="0" collapsed="false">
      <c r="A755" s="4" t="s">
        <v>316</v>
      </c>
      <c r="B755" s="4" t="s">
        <v>102</v>
      </c>
      <c r="C755" s="4" t="n">
        <v>46248.8000810185</v>
      </c>
      <c r="D755" s="4" t="n">
        <v>20</v>
      </c>
    </row>
    <row r="756" customFormat="false" ht="15" hidden="false" customHeight="false" outlineLevel="0" collapsed="false">
      <c r="A756" s="4" t="s">
        <v>321</v>
      </c>
      <c r="B756" s="4" t="s">
        <v>102</v>
      </c>
      <c r="C756" s="4" t="n">
        <v>46249.0481481482</v>
      </c>
      <c r="D756" s="4" t="n">
        <v>21</v>
      </c>
    </row>
    <row r="757" customFormat="false" ht="15" hidden="false" customHeight="false" outlineLevel="0" collapsed="false">
      <c r="A757" s="4" t="s">
        <v>328</v>
      </c>
      <c r="B757" s="4" t="s">
        <v>102</v>
      </c>
      <c r="C757" s="4" t="n">
        <v>46249.2992592593</v>
      </c>
      <c r="D757" s="4" t="n">
        <v>22</v>
      </c>
    </row>
    <row r="758" customFormat="false" ht="15" hidden="false" customHeight="false" outlineLevel="0" collapsed="false">
      <c r="A758" s="4" t="s">
        <v>333</v>
      </c>
      <c r="B758" s="4" t="s">
        <v>102</v>
      </c>
      <c r="C758" s="4" t="n">
        <v>46249.5504166667</v>
      </c>
      <c r="D758" s="4" t="n">
        <v>23</v>
      </c>
    </row>
    <row r="759" customFormat="false" ht="15" hidden="false" customHeight="false" outlineLevel="0" collapsed="false">
      <c r="A759" s="4" t="s">
        <v>339</v>
      </c>
      <c r="B759" s="4" t="s">
        <v>102</v>
      </c>
      <c r="C759" s="4" t="n">
        <v>46249.7990162037</v>
      </c>
      <c r="D759" s="4" t="n">
        <v>24</v>
      </c>
    </row>
    <row r="760" customFormat="false" ht="15" hidden="false" customHeight="false" outlineLevel="0" collapsed="false">
      <c r="A760" s="4" t="s">
        <v>344</v>
      </c>
      <c r="B760" s="4" t="s">
        <v>102</v>
      </c>
      <c r="C760" s="4" t="n">
        <v>46250.0504282407</v>
      </c>
      <c r="D760" s="4" t="n">
        <v>25</v>
      </c>
    </row>
    <row r="761" customFormat="false" ht="15" hidden="false" customHeight="false" outlineLevel="0" collapsed="false">
      <c r="A761" s="4" t="s">
        <v>351</v>
      </c>
      <c r="B761" s="4" t="s">
        <v>102</v>
      </c>
      <c r="C761" s="4" t="n">
        <v>46250.3005787037</v>
      </c>
      <c r="D761" s="4" t="n">
        <v>26</v>
      </c>
    </row>
    <row r="762" customFormat="false" ht="15" hidden="false" customHeight="false" outlineLevel="0" collapsed="false">
      <c r="A762" s="4" t="s">
        <v>356</v>
      </c>
      <c r="B762" s="4" t="s">
        <v>102</v>
      </c>
      <c r="C762" s="4" t="n">
        <v>46250.5500810185</v>
      </c>
      <c r="D762" s="4" t="n">
        <v>27</v>
      </c>
    </row>
    <row r="763" customFormat="false" ht="15" hidden="false" customHeight="false" outlineLevel="0" collapsed="false">
      <c r="A763" s="4" t="s">
        <v>362</v>
      </c>
      <c r="B763" s="4" t="s">
        <v>102</v>
      </c>
      <c r="C763" s="4" t="n">
        <v>46250.7983217593</v>
      </c>
      <c r="D763" s="4" t="n">
        <v>28</v>
      </c>
    </row>
    <row r="764" customFormat="false" ht="15" hidden="false" customHeight="false" outlineLevel="0" collapsed="false">
      <c r="A764" s="4" t="s">
        <v>367</v>
      </c>
      <c r="B764" s="4" t="s">
        <v>102</v>
      </c>
      <c r="C764" s="4" t="n">
        <v>46251.0480555556</v>
      </c>
      <c r="D764" s="4" t="n">
        <v>29</v>
      </c>
    </row>
    <row r="765" customFormat="false" ht="15" hidden="false" customHeight="false" outlineLevel="0" collapsed="false">
      <c r="A765" s="4" t="s">
        <v>377</v>
      </c>
      <c r="B765" s="4" t="s">
        <v>102</v>
      </c>
      <c r="C765" s="4" t="n">
        <v>46251.3010532407</v>
      </c>
      <c r="D765" s="4" t="n">
        <v>30</v>
      </c>
    </row>
    <row r="766" customFormat="false" ht="15" hidden="false" customHeight="false" outlineLevel="0" collapsed="false">
      <c r="A766" s="4" t="s">
        <v>382</v>
      </c>
      <c r="B766" s="4" t="s">
        <v>102</v>
      </c>
      <c r="C766" s="4" t="n">
        <v>46251.5504513889</v>
      </c>
      <c r="D766" s="4" t="n">
        <v>31</v>
      </c>
    </row>
    <row r="767" customFormat="false" ht="15" hidden="false" customHeight="false" outlineLevel="0" collapsed="false">
      <c r="A767" s="4" t="s">
        <v>388</v>
      </c>
      <c r="B767" s="4" t="s">
        <v>102</v>
      </c>
      <c r="C767" s="4" t="n">
        <v>46251.800162037</v>
      </c>
      <c r="D767" s="4" t="n">
        <v>32</v>
      </c>
    </row>
    <row r="768" customFormat="false" ht="15" hidden="false" customHeight="false" outlineLevel="0" collapsed="false">
      <c r="A768" s="4" t="s">
        <v>393</v>
      </c>
      <c r="B768" s="4" t="s">
        <v>102</v>
      </c>
      <c r="C768" s="4" t="n">
        <v>46252.0502893519</v>
      </c>
      <c r="D768" s="4" t="n">
        <v>33</v>
      </c>
    </row>
    <row r="769" customFormat="false" ht="15" hidden="false" customHeight="false" outlineLevel="0" collapsed="false">
      <c r="A769" s="4" t="s">
        <v>400</v>
      </c>
      <c r="B769" s="4" t="s">
        <v>102</v>
      </c>
      <c r="C769" s="4" t="n">
        <v>46252.2989814815</v>
      </c>
      <c r="D769" s="4" t="n">
        <v>34</v>
      </c>
    </row>
    <row r="770" customFormat="false" ht="15" hidden="false" customHeight="false" outlineLevel="0" collapsed="false">
      <c r="A770" s="4" t="s">
        <v>405</v>
      </c>
      <c r="B770" s="4" t="s">
        <v>102</v>
      </c>
      <c r="C770" s="4" t="n">
        <v>46252.5500462963</v>
      </c>
      <c r="D770" s="4" t="n">
        <v>35</v>
      </c>
    </row>
    <row r="771" customFormat="false" ht="15" hidden="false" customHeight="false" outlineLevel="0" collapsed="false">
      <c r="A771" s="4" t="s">
        <v>411</v>
      </c>
      <c r="B771" s="4" t="s">
        <v>102</v>
      </c>
      <c r="C771" s="4" t="n">
        <v>46252.7993402778</v>
      </c>
      <c r="D771" s="4" t="n">
        <v>36</v>
      </c>
    </row>
    <row r="772" customFormat="false" ht="15" hidden="false" customHeight="false" outlineLevel="0" collapsed="false">
      <c r="A772" s="4" t="s">
        <v>416</v>
      </c>
      <c r="B772" s="4" t="s">
        <v>102</v>
      </c>
      <c r="C772" s="4" t="n">
        <v>46253.0488078704</v>
      </c>
      <c r="D772" s="4" t="n">
        <v>37</v>
      </c>
    </row>
    <row r="773" customFormat="false" ht="15" hidden="false" customHeight="false" outlineLevel="0" collapsed="false">
      <c r="A773" s="4" t="s">
        <v>423</v>
      </c>
      <c r="B773" s="4" t="s">
        <v>102</v>
      </c>
      <c r="C773" s="4" t="n">
        <v>46253.299212963</v>
      </c>
      <c r="D773" s="4" t="n">
        <v>38</v>
      </c>
    </row>
    <row r="774" customFormat="false" ht="15" hidden="false" customHeight="false" outlineLevel="0" collapsed="false">
      <c r="A774" s="4" t="s">
        <v>430</v>
      </c>
      <c r="B774" s="4" t="s">
        <v>102</v>
      </c>
      <c r="C774" s="4" t="n">
        <v>46253.5510069444</v>
      </c>
      <c r="D774" s="4" t="n">
        <v>39</v>
      </c>
    </row>
    <row r="775" customFormat="false" ht="15" hidden="false" customHeight="false" outlineLevel="0" collapsed="false">
      <c r="A775" s="4" t="s">
        <v>436</v>
      </c>
      <c r="B775" s="4" t="s">
        <v>102</v>
      </c>
      <c r="C775" s="4" t="n">
        <v>46253.8013194444</v>
      </c>
      <c r="D775" s="4" t="n">
        <v>40</v>
      </c>
    </row>
    <row r="776" customFormat="false" ht="15" hidden="false" customHeight="false" outlineLevel="0" collapsed="false">
      <c r="A776" s="4" t="s">
        <v>441</v>
      </c>
      <c r="B776" s="4" t="s">
        <v>102</v>
      </c>
      <c r="C776" s="4" t="n">
        <v>46254.0487152778</v>
      </c>
      <c r="D776" s="4" t="n">
        <v>41</v>
      </c>
    </row>
    <row r="777" customFormat="false" ht="15" hidden="false" customHeight="false" outlineLevel="0" collapsed="false">
      <c r="A777" s="4" t="s">
        <v>448</v>
      </c>
      <c r="B777" s="4" t="s">
        <v>102</v>
      </c>
      <c r="C777" s="4" t="n">
        <v>46254.3002083333</v>
      </c>
      <c r="D777" s="4" t="n">
        <v>42</v>
      </c>
    </row>
    <row r="778" customFormat="false" ht="15" hidden="false" customHeight="false" outlineLevel="0" collapsed="false">
      <c r="A778" s="4" t="s">
        <v>453</v>
      </c>
      <c r="B778" s="4" t="s">
        <v>102</v>
      </c>
      <c r="C778" s="4" t="n">
        <v>46254.5509375</v>
      </c>
      <c r="D778" s="4" t="n">
        <v>43</v>
      </c>
    </row>
    <row r="779" customFormat="false" ht="15" hidden="false" customHeight="false" outlineLevel="0" collapsed="false">
      <c r="A779" s="4" t="s">
        <v>459</v>
      </c>
      <c r="B779" s="4" t="s">
        <v>102</v>
      </c>
      <c r="C779" s="4" t="n">
        <v>46254.7987731482</v>
      </c>
      <c r="D779" s="4" t="n">
        <v>44</v>
      </c>
    </row>
    <row r="780" customFormat="false" ht="15" hidden="false" customHeight="false" outlineLevel="0" collapsed="false">
      <c r="A780" s="4" t="s">
        <v>464</v>
      </c>
      <c r="B780" s="4" t="s">
        <v>102</v>
      </c>
      <c r="C780" s="4" t="n">
        <v>46255.0477430556</v>
      </c>
      <c r="D780" s="4" t="n">
        <v>45</v>
      </c>
    </row>
    <row r="781" customFormat="false" ht="15" hidden="false" customHeight="false" outlineLevel="0" collapsed="false">
      <c r="A781" s="4" t="s">
        <v>471</v>
      </c>
      <c r="B781" s="4" t="s">
        <v>102</v>
      </c>
      <c r="C781" s="4" t="n">
        <v>46255.2983796296</v>
      </c>
      <c r="D781" s="4" t="n">
        <v>46</v>
      </c>
    </row>
    <row r="782" customFormat="false" ht="15" hidden="false" customHeight="false" outlineLevel="0" collapsed="false">
      <c r="A782" s="4" t="s">
        <v>476</v>
      </c>
      <c r="B782" s="4" t="s">
        <v>102</v>
      </c>
      <c r="C782" s="4" t="n">
        <v>46255.5499305556</v>
      </c>
      <c r="D782" s="4" t="n">
        <v>47</v>
      </c>
    </row>
    <row r="783" customFormat="false" ht="15" hidden="false" customHeight="false" outlineLevel="0" collapsed="false">
      <c r="A783" s="4" t="s">
        <v>482</v>
      </c>
      <c r="B783" s="4" t="s">
        <v>102</v>
      </c>
      <c r="C783" s="4" t="n">
        <v>46255.7984490741</v>
      </c>
      <c r="D783" s="4" t="n">
        <v>48</v>
      </c>
    </row>
    <row r="784" customFormat="false" ht="15" hidden="false" customHeight="false" outlineLevel="0" collapsed="false">
      <c r="A784" s="4" t="s">
        <v>487</v>
      </c>
      <c r="B784" s="4" t="s">
        <v>102</v>
      </c>
      <c r="C784" s="4" t="n">
        <v>46256.048587963</v>
      </c>
      <c r="D784" s="4" t="n">
        <v>49</v>
      </c>
    </row>
    <row r="785" customFormat="false" ht="15" hidden="false" customHeight="false" outlineLevel="0" collapsed="false">
      <c r="A785" s="4" t="s">
        <v>495</v>
      </c>
      <c r="B785" s="4" t="s">
        <v>102</v>
      </c>
      <c r="C785" s="4" t="n">
        <v>46256.2990740741</v>
      </c>
      <c r="D785" s="4" t="n">
        <v>50</v>
      </c>
    </row>
    <row r="786" customFormat="false" ht="15" hidden="false" customHeight="false" outlineLevel="0" collapsed="false">
      <c r="A786" s="4" t="s">
        <v>499</v>
      </c>
      <c r="B786" s="4" t="s">
        <v>102</v>
      </c>
      <c r="C786" s="4" t="n">
        <v>46256.5501273148</v>
      </c>
      <c r="D786" s="4" t="n">
        <v>51</v>
      </c>
    </row>
    <row r="787" customFormat="false" ht="15" hidden="false" customHeight="false" outlineLevel="0" collapsed="false">
      <c r="A787" s="4" t="s">
        <v>506</v>
      </c>
      <c r="B787" s="4" t="s">
        <v>102</v>
      </c>
      <c r="C787" s="4" t="n">
        <v>46256.8007060185</v>
      </c>
      <c r="D787" s="4" t="n">
        <v>52</v>
      </c>
    </row>
    <row r="788" customFormat="false" ht="15" hidden="false" customHeight="false" outlineLevel="0" collapsed="false">
      <c r="A788" s="4" t="s">
        <v>511</v>
      </c>
      <c r="B788" s="4" t="s">
        <v>102</v>
      </c>
      <c r="C788" s="4" t="n">
        <v>46257.0515393519</v>
      </c>
      <c r="D788" s="4" t="n">
        <v>53</v>
      </c>
    </row>
    <row r="789" customFormat="false" ht="15" hidden="false" customHeight="false" outlineLevel="0" collapsed="false">
      <c r="A789" s="4" t="s">
        <v>518</v>
      </c>
      <c r="B789" s="4" t="s">
        <v>102</v>
      </c>
      <c r="C789" s="4" t="n">
        <v>46257.2989930556</v>
      </c>
      <c r="D789" s="4" t="n">
        <v>54</v>
      </c>
    </row>
    <row r="790" customFormat="false" ht="15" hidden="false" customHeight="false" outlineLevel="0" collapsed="false">
      <c r="A790" s="4" t="s">
        <v>523</v>
      </c>
      <c r="B790" s="4" t="s">
        <v>102</v>
      </c>
      <c r="C790" s="4" t="n">
        <v>46257.5483449074</v>
      </c>
      <c r="D790" s="4" t="n">
        <v>55</v>
      </c>
    </row>
    <row r="791" customFormat="false" ht="15" hidden="false" customHeight="false" outlineLevel="0" collapsed="false">
      <c r="A791" s="4" t="s">
        <v>529</v>
      </c>
      <c r="B791" s="4" t="s">
        <v>102</v>
      </c>
      <c r="C791" s="4" t="n">
        <v>46257.8010185185</v>
      </c>
      <c r="D791" s="4" t="n">
        <v>56</v>
      </c>
    </row>
    <row r="792" customFormat="false" ht="15" hidden="false" customHeight="false" outlineLevel="0" collapsed="false">
      <c r="A792" s="4" t="s">
        <v>534</v>
      </c>
      <c r="B792" s="4" t="s">
        <v>102</v>
      </c>
      <c r="C792" s="4" t="n">
        <v>46258.0481712963</v>
      </c>
      <c r="D792" s="4" t="n">
        <v>57</v>
      </c>
    </row>
    <row r="793" customFormat="false" ht="15" hidden="false" customHeight="false" outlineLevel="0" collapsed="false">
      <c r="A793" s="4" t="s">
        <v>541</v>
      </c>
      <c r="B793" s="4" t="s">
        <v>102</v>
      </c>
      <c r="C793" s="4" t="n">
        <v>46258.2977430556</v>
      </c>
      <c r="D793" s="4" t="n">
        <v>58</v>
      </c>
    </row>
    <row r="794" customFormat="false" ht="15" hidden="false" customHeight="false" outlineLevel="0" collapsed="false">
      <c r="A794" s="4" t="s">
        <v>546</v>
      </c>
      <c r="B794" s="4" t="s">
        <v>102</v>
      </c>
      <c r="C794" s="4" t="n">
        <v>46258.5485532407</v>
      </c>
      <c r="D794" s="4" t="n">
        <v>59</v>
      </c>
    </row>
    <row r="795" customFormat="false" ht="15" hidden="false" customHeight="false" outlineLevel="0" collapsed="false">
      <c r="A795" s="4" t="s">
        <v>552</v>
      </c>
      <c r="B795" s="4" t="s">
        <v>102</v>
      </c>
      <c r="C795" s="4" t="n">
        <v>46258.7990740741</v>
      </c>
      <c r="D795" s="4" t="n">
        <v>60</v>
      </c>
    </row>
    <row r="796" customFormat="false" ht="15" hidden="false" customHeight="false" outlineLevel="0" collapsed="false">
      <c r="A796" s="4" t="s">
        <v>558</v>
      </c>
      <c r="B796" s="4" t="s">
        <v>102</v>
      </c>
      <c r="C796" s="4" t="n">
        <v>46259.0496875</v>
      </c>
      <c r="D796" s="4" t="n">
        <v>61</v>
      </c>
    </row>
    <row r="797" customFormat="false" ht="15" hidden="false" customHeight="false" outlineLevel="0" collapsed="false">
      <c r="A797" s="4" t="s">
        <v>565</v>
      </c>
      <c r="B797" s="4" t="s">
        <v>102</v>
      </c>
      <c r="C797" s="4" t="n">
        <v>46259.2992476852</v>
      </c>
      <c r="D797" s="4" t="n">
        <v>62</v>
      </c>
    </row>
    <row r="798" customFormat="false" ht="15" hidden="false" customHeight="false" outlineLevel="0" collapsed="false">
      <c r="A798" s="4" t="s">
        <v>570</v>
      </c>
      <c r="B798" s="4" t="s">
        <v>102</v>
      </c>
      <c r="C798" s="4" t="n">
        <v>46259.5486574074</v>
      </c>
      <c r="D798" s="4" t="n">
        <v>63</v>
      </c>
    </row>
    <row r="799" customFormat="false" ht="15" hidden="false" customHeight="false" outlineLevel="0" collapsed="false">
      <c r="A799" s="4" t="s">
        <v>577</v>
      </c>
      <c r="B799" s="4" t="s">
        <v>102</v>
      </c>
      <c r="C799" s="4" t="n">
        <v>46259.7996180556</v>
      </c>
      <c r="D799" s="4" t="n">
        <v>64</v>
      </c>
    </row>
    <row r="800" customFormat="false" ht="15" hidden="false" customHeight="false" outlineLevel="0" collapsed="false">
      <c r="A800" s="4" t="s">
        <v>582</v>
      </c>
      <c r="B800" s="4" t="s">
        <v>102</v>
      </c>
      <c r="C800" s="4" t="n">
        <v>46260.0496412037</v>
      </c>
      <c r="D800" s="4" t="n">
        <v>65</v>
      </c>
    </row>
    <row r="801" customFormat="false" ht="15" hidden="false" customHeight="false" outlineLevel="0" collapsed="false">
      <c r="A801" s="4" t="s">
        <v>589</v>
      </c>
      <c r="B801" s="4" t="s">
        <v>102</v>
      </c>
      <c r="C801" s="4" t="n">
        <v>46260.3002546296</v>
      </c>
      <c r="D801" s="4" t="n">
        <v>66</v>
      </c>
    </row>
    <row r="802" customFormat="false" ht="15" hidden="false" customHeight="false" outlineLevel="0" collapsed="false">
      <c r="A802" s="4" t="s">
        <v>594</v>
      </c>
      <c r="B802" s="4" t="s">
        <v>102</v>
      </c>
      <c r="C802" s="4" t="n">
        <v>46260.5503125</v>
      </c>
      <c r="D802" s="4" t="n">
        <v>67</v>
      </c>
    </row>
    <row r="803" customFormat="false" ht="15" hidden="false" customHeight="false" outlineLevel="0" collapsed="false">
      <c r="A803" s="4" t="s">
        <v>600</v>
      </c>
      <c r="B803" s="4" t="s">
        <v>102</v>
      </c>
      <c r="C803" s="4" t="n">
        <v>46260.8005208333</v>
      </c>
      <c r="D803" s="4" t="n">
        <v>68</v>
      </c>
    </row>
    <row r="804" customFormat="false" ht="15" hidden="false" customHeight="false" outlineLevel="0" collapsed="false">
      <c r="A804" s="4" t="s">
        <v>605</v>
      </c>
      <c r="B804" s="4" t="s">
        <v>102</v>
      </c>
      <c r="C804" s="4" t="n">
        <v>46261.0500578704</v>
      </c>
      <c r="D804" s="4" t="n">
        <v>69</v>
      </c>
    </row>
    <row r="805" customFormat="false" ht="15" hidden="false" customHeight="false" outlineLevel="0" collapsed="false">
      <c r="A805" s="4" t="s">
        <v>612</v>
      </c>
      <c r="B805" s="4" t="s">
        <v>102</v>
      </c>
      <c r="C805" s="4" t="n">
        <v>46261.2985532407</v>
      </c>
      <c r="D805" s="4" t="n">
        <v>70</v>
      </c>
    </row>
    <row r="806" customFormat="false" ht="15" hidden="false" customHeight="false" outlineLevel="0" collapsed="false">
      <c r="A806" s="4" t="s">
        <v>617</v>
      </c>
      <c r="B806" s="4" t="s">
        <v>102</v>
      </c>
      <c r="C806" s="4" t="n">
        <v>46261.5493634259</v>
      </c>
      <c r="D806" s="4" t="n">
        <v>71</v>
      </c>
    </row>
    <row r="807" customFormat="false" ht="15" hidden="false" customHeight="false" outlineLevel="0" collapsed="false">
      <c r="A807" s="4" t="s">
        <v>623</v>
      </c>
      <c r="B807" s="4" t="s">
        <v>102</v>
      </c>
      <c r="C807" s="4" t="n">
        <v>46261.7989930556</v>
      </c>
      <c r="D807" s="4" t="n">
        <v>72</v>
      </c>
    </row>
    <row r="808" customFormat="false" ht="15" hidden="false" customHeight="false" outlineLevel="0" collapsed="false">
      <c r="A808" s="4" t="s">
        <v>629</v>
      </c>
      <c r="B808" s="4" t="s">
        <v>102</v>
      </c>
      <c r="C808" s="4" t="n">
        <v>46262.049849537</v>
      </c>
      <c r="D808" s="4" t="n">
        <v>73</v>
      </c>
    </row>
    <row r="809" customFormat="false" ht="15" hidden="false" customHeight="false" outlineLevel="0" collapsed="false">
      <c r="A809" s="4" t="s">
        <v>636</v>
      </c>
      <c r="B809" s="4" t="s">
        <v>102</v>
      </c>
      <c r="C809" s="4" t="n">
        <v>46262.2996875</v>
      </c>
      <c r="D809" s="4" t="n">
        <v>74</v>
      </c>
    </row>
    <row r="810" customFormat="false" ht="15" hidden="false" customHeight="false" outlineLevel="0" collapsed="false">
      <c r="A810" s="4" t="s">
        <v>641</v>
      </c>
      <c r="B810" s="4" t="s">
        <v>102</v>
      </c>
      <c r="C810" s="4" t="n">
        <v>46262.5487152778</v>
      </c>
      <c r="D810" s="4" t="n">
        <v>75</v>
      </c>
    </row>
    <row r="811" customFormat="false" ht="15" hidden="false" customHeight="false" outlineLevel="0" collapsed="false">
      <c r="A811" s="4" t="s">
        <v>647</v>
      </c>
      <c r="B811" s="4" t="s">
        <v>102</v>
      </c>
      <c r="C811" s="4" t="n">
        <v>46262.8003703704</v>
      </c>
      <c r="D811" s="4" t="n">
        <v>76</v>
      </c>
    </row>
    <row r="812" customFormat="false" ht="15" hidden="false" customHeight="false" outlineLevel="0" collapsed="false">
      <c r="A812" s="4" t="s">
        <v>652</v>
      </c>
      <c r="B812" s="4" t="s">
        <v>102</v>
      </c>
      <c r="C812" s="4" t="n">
        <v>46263.0485416667</v>
      </c>
      <c r="D812" s="4" t="n">
        <v>77</v>
      </c>
    </row>
    <row r="813" customFormat="false" ht="15" hidden="false" customHeight="false" outlineLevel="0" collapsed="false">
      <c r="A813" s="4" t="s">
        <v>659</v>
      </c>
      <c r="B813" s="4" t="s">
        <v>102</v>
      </c>
      <c r="C813" s="4" t="n">
        <v>46263.2973611111</v>
      </c>
      <c r="D813" s="4" t="n">
        <v>78</v>
      </c>
    </row>
    <row r="814" customFormat="false" ht="15" hidden="false" customHeight="false" outlineLevel="0" collapsed="false">
      <c r="A814" s="4" t="s">
        <v>665</v>
      </c>
      <c r="B814" s="4" t="s">
        <v>102</v>
      </c>
      <c r="C814" s="4" t="n">
        <v>46263.5492476852</v>
      </c>
      <c r="D814" s="4" t="n">
        <v>79</v>
      </c>
    </row>
    <row r="815" customFormat="false" ht="15" hidden="false" customHeight="false" outlineLevel="0" collapsed="false">
      <c r="A815" s="4" t="s">
        <v>671</v>
      </c>
      <c r="B815" s="4" t="s">
        <v>102</v>
      </c>
      <c r="C815" s="4" t="n">
        <v>46263.7999421296</v>
      </c>
      <c r="D815" s="4" t="n">
        <v>80</v>
      </c>
    </row>
    <row r="816" customFormat="false" ht="15" hidden="false" customHeight="false" outlineLevel="0" collapsed="false">
      <c r="A816" s="4" t="s">
        <v>676</v>
      </c>
      <c r="B816" s="4" t="s">
        <v>102</v>
      </c>
      <c r="C816" s="4" t="n">
        <v>46264.0498032407</v>
      </c>
      <c r="D816" s="4" t="n">
        <v>81</v>
      </c>
    </row>
    <row r="817" customFormat="false" ht="15" hidden="false" customHeight="false" outlineLevel="0" collapsed="false">
      <c r="A817" s="4" t="s">
        <v>683</v>
      </c>
      <c r="B817" s="4" t="s">
        <v>102</v>
      </c>
      <c r="C817" s="4" t="n">
        <v>46264.3007407407</v>
      </c>
      <c r="D817" s="4" t="n">
        <v>82</v>
      </c>
    </row>
    <row r="818" customFormat="false" ht="15" hidden="false" customHeight="false" outlineLevel="0" collapsed="false">
      <c r="A818" s="4" t="s">
        <v>687</v>
      </c>
      <c r="B818" s="4" t="s">
        <v>102</v>
      </c>
      <c r="C818" s="4" t="n">
        <v>46264.4448958333</v>
      </c>
      <c r="D818" s="4" t="n">
        <v>83</v>
      </c>
    </row>
    <row r="819" customFormat="false" ht="15" hidden="false" customHeight="false" outlineLevel="0" collapsed="false">
      <c r="A819" s="4" t="s">
        <v>688</v>
      </c>
      <c r="B819" s="4" t="s">
        <v>102</v>
      </c>
      <c r="C819" s="4" t="n">
        <v>46264.4643981482</v>
      </c>
      <c r="D819" s="4" t="n">
        <v>84</v>
      </c>
    </row>
    <row r="820" customFormat="false" ht="15" hidden="false" customHeight="false" outlineLevel="0" collapsed="false">
      <c r="A820" s="4" t="s">
        <v>690</v>
      </c>
      <c r="B820" s="4" t="s">
        <v>102</v>
      </c>
      <c r="C820" s="4" t="n">
        <v>46264.5483449074</v>
      </c>
      <c r="D820" s="4" t="n">
        <v>85</v>
      </c>
    </row>
    <row r="821" customFormat="false" ht="15" hidden="false" customHeight="false" outlineLevel="0" collapsed="false">
      <c r="A821" s="4" t="s">
        <v>696</v>
      </c>
      <c r="B821" s="4" t="s">
        <v>102</v>
      </c>
      <c r="C821" s="4" t="n">
        <v>46264.7992592593</v>
      </c>
      <c r="D821" s="4" t="n">
        <v>86</v>
      </c>
    </row>
    <row r="822" customFormat="false" ht="15" hidden="false" customHeight="false" outlineLevel="0" collapsed="false">
      <c r="A822" s="4" t="s">
        <v>701</v>
      </c>
      <c r="B822" s="4" t="s">
        <v>102</v>
      </c>
      <c r="C822" s="4" t="n">
        <v>46265.0489236111</v>
      </c>
      <c r="D822" s="4" t="n">
        <v>87</v>
      </c>
    </row>
    <row r="823" customFormat="false" ht="15" hidden="false" customHeight="false" outlineLevel="0" collapsed="false">
      <c r="A823" s="4" t="s">
        <v>708</v>
      </c>
      <c r="B823" s="4" t="s">
        <v>102</v>
      </c>
      <c r="C823" s="4" t="n">
        <v>46265.2993171296</v>
      </c>
      <c r="D823" s="4" t="n">
        <v>88</v>
      </c>
    </row>
    <row r="824" customFormat="false" ht="15" hidden="false" customHeight="false" outlineLevel="0" collapsed="false">
      <c r="A824" s="4" t="s">
        <v>713</v>
      </c>
      <c r="B824" s="4" t="s">
        <v>102</v>
      </c>
      <c r="C824" s="4" t="n">
        <v>46265.5502662037</v>
      </c>
      <c r="D824" s="4" t="n">
        <v>89</v>
      </c>
    </row>
    <row r="825" customFormat="false" ht="15" hidden="false" customHeight="false" outlineLevel="0" collapsed="false">
      <c r="A825" s="4" t="s">
        <v>719</v>
      </c>
      <c r="B825" s="4" t="s">
        <v>102</v>
      </c>
      <c r="C825" s="4" t="n">
        <v>46265.7990162037</v>
      </c>
      <c r="D825" s="4" t="n">
        <v>90</v>
      </c>
    </row>
    <row r="826" customFormat="false" ht="15" hidden="false" customHeight="false" outlineLevel="0" collapsed="false">
      <c r="A826" s="4" t="s">
        <v>724</v>
      </c>
      <c r="B826" s="4" t="s">
        <v>102</v>
      </c>
      <c r="C826" s="4" t="n">
        <v>46266.0480439815</v>
      </c>
      <c r="D826" s="4" t="n">
        <v>91</v>
      </c>
    </row>
    <row r="827" customFormat="false" ht="15" hidden="false" customHeight="false" outlineLevel="0" collapsed="false">
      <c r="A827" s="4" t="s">
        <v>731</v>
      </c>
      <c r="B827" s="4" t="s">
        <v>102</v>
      </c>
      <c r="C827" s="4" t="n">
        <v>46266.297962963</v>
      </c>
      <c r="D827" s="4" t="n">
        <v>92</v>
      </c>
    </row>
    <row r="828" customFormat="false" ht="15" hidden="false" customHeight="false" outlineLevel="0" collapsed="false">
      <c r="A828" s="4" t="s">
        <v>736</v>
      </c>
      <c r="B828" s="4" t="s">
        <v>102</v>
      </c>
      <c r="C828" s="4" t="n">
        <v>46266.5500810185</v>
      </c>
      <c r="D828" s="4" t="n">
        <v>93</v>
      </c>
    </row>
    <row r="829" customFormat="false" ht="15" hidden="false" customHeight="false" outlineLevel="0" collapsed="false">
      <c r="A829" s="4" t="s">
        <v>742</v>
      </c>
      <c r="B829" s="4" t="s">
        <v>102</v>
      </c>
      <c r="C829" s="4" t="n">
        <v>46266.8008564815</v>
      </c>
      <c r="D829" s="4" t="n">
        <v>94</v>
      </c>
    </row>
    <row r="830" customFormat="false" ht="15" hidden="false" customHeight="false" outlineLevel="0" collapsed="false">
      <c r="A830" s="4" t="s">
        <v>747</v>
      </c>
      <c r="B830" s="4" t="s">
        <v>102</v>
      </c>
      <c r="C830" s="4" t="n">
        <v>46267.0484953704</v>
      </c>
      <c r="D830" s="4" t="n">
        <v>95</v>
      </c>
    </row>
    <row r="831" customFormat="false" ht="15" hidden="false" customHeight="false" outlineLevel="0" collapsed="false">
      <c r="A831" s="4" t="s">
        <v>754</v>
      </c>
      <c r="B831" s="4" t="s">
        <v>102</v>
      </c>
      <c r="C831" s="4" t="n">
        <v>46267.2974305556</v>
      </c>
      <c r="D831" s="4" t="n">
        <v>96</v>
      </c>
    </row>
    <row r="832" customFormat="false" ht="15" hidden="false" customHeight="false" outlineLevel="0" collapsed="false">
      <c r="A832" s="4" t="s">
        <v>759</v>
      </c>
      <c r="B832" s="4" t="s">
        <v>102</v>
      </c>
      <c r="C832" s="4" t="n">
        <v>46267.5485763889</v>
      </c>
      <c r="D832" s="4" t="n">
        <v>97</v>
      </c>
    </row>
    <row r="833" customFormat="false" ht="15" hidden="false" customHeight="false" outlineLevel="0" collapsed="false">
      <c r="A833" s="4" t="s">
        <v>765</v>
      </c>
      <c r="B833" s="4" t="s">
        <v>102</v>
      </c>
      <c r="C833" s="4" t="n">
        <v>46267.7990740741</v>
      </c>
      <c r="D833" s="4" t="n">
        <v>98</v>
      </c>
    </row>
    <row r="834" customFormat="false" ht="15" hidden="false" customHeight="false" outlineLevel="0" collapsed="false">
      <c r="A834" s="4" t="s">
        <v>770</v>
      </c>
      <c r="B834" s="4" t="s">
        <v>102</v>
      </c>
      <c r="C834" s="4" t="n">
        <v>46268.0503356482</v>
      </c>
      <c r="D834" s="4" t="n">
        <v>99</v>
      </c>
    </row>
    <row r="835" customFormat="false" ht="15" hidden="false" customHeight="false" outlineLevel="0" collapsed="false">
      <c r="A835" s="4" t="s">
        <v>777</v>
      </c>
      <c r="B835" s="4" t="s">
        <v>102</v>
      </c>
      <c r="C835" s="4" t="n">
        <v>46268.2993634259</v>
      </c>
      <c r="D835" s="4" t="n">
        <v>100</v>
      </c>
    </row>
    <row r="836" customFormat="false" ht="15" hidden="false" customHeight="false" outlineLevel="0" collapsed="false">
      <c r="A836" s="4" t="s">
        <v>782</v>
      </c>
      <c r="B836" s="4" t="s">
        <v>102</v>
      </c>
      <c r="C836" s="4" t="n">
        <v>46268.5513310185</v>
      </c>
      <c r="D836" s="4" t="n">
        <v>101</v>
      </c>
    </row>
    <row r="837" customFormat="false" ht="15" hidden="false" customHeight="false" outlineLevel="0" collapsed="false">
      <c r="A837" s="4" t="s">
        <v>788</v>
      </c>
      <c r="B837" s="4" t="s">
        <v>102</v>
      </c>
      <c r="C837" s="4" t="n">
        <v>46268.8004282407</v>
      </c>
      <c r="D837" s="4" t="n">
        <v>102</v>
      </c>
    </row>
    <row r="838" customFormat="false" ht="15" hidden="false" customHeight="false" outlineLevel="0" collapsed="false">
      <c r="A838" s="4" t="s">
        <v>793</v>
      </c>
      <c r="B838" s="4" t="s">
        <v>102</v>
      </c>
      <c r="C838" s="4" t="n">
        <v>46269.0481481482</v>
      </c>
      <c r="D838" s="4" t="n">
        <v>103</v>
      </c>
    </row>
    <row r="839" customFormat="false" ht="15" hidden="false" customHeight="false" outlineLevel="0" collapsed="false">
      <c r="A839" s="4" t="s">
        <v>800</v>
      </c>
      <c r="B839" s="4" t="s">
        <v>102</v>
      </c>
      <c r="C839" s="4" t="n">
        <v>46269.2975925926</v>
      </c>
      <c r="D839" s="4" t="n">
        <v>104</v>
      </c>
    </row>
    <row r="840" customFormat="false" ht="15" hidden="false" customHeight="false" outlineLevel="0" collapsed="false">
      <c r="A840" s="4" t="s">
        <v>806</v>
      </c>
      <c r="B840" s="4" t="s">
        <v>102</v>
      </c>
      <c r="C840" s="4" t="n">
        <v>46269.5508101852</v>
      </c>
      <c r="D840" s="4" t="n">
        <v>105</v>
      </c>
    </row>
    <row r="841" customFormat="false" ht="15" hidden="false" customHeight="false" outlineLevel="0" collapsed="false">
      <c r="A841" s="4" t="s">
        <v>812</v>
      </c>
      <c r="B841" s="4" t="s">
        <v>102</v>
      </c>
      <c r="C841" s="4" t="n">
        <v>46269.7994212963</v>
      </c>
      <c r="D841" s="4" t="n">
        <v>106</v>
      </c>
    </row>
    <row r="842" customFormat="false" ht="15" hidden="false" customHeight="false" outlineLevel="0" collapsed="false">
      <c r="A842" s="4" t="s">
        <v>818</v>
      </c>
      <c r="B842" s="4" t="s">
        <v>102</v>
      </c>
      <c r="C842" s="4" t="n">
        <v>46270.047037037</v>
      </c>
      <c r="D842" s="4" t="n">
        <v>107</v>
      </c>
    </row>
    <row r="843" customFormat="false" ht="15" hidden="false" customHeight="false" outlineLevel="0" collapsed="false">
      <c r="A843" s="4" t="s">
        <v>825</v>
      </c>
      <c r="B843" s="4" t="s">
        <v>102</v>
      </c>
      <c r="C843" s="4" t="n">
        <v>46270.298599537</v>
      </c>
      <c r="D843" s="4" t="n">
        <v>108</v>
      </c>
    </row>
    <row r="844" customFormat="false" ht="15" hidden="false" customHeight="false" outlineLevel="0" collapsed="false">
      <c r="A844" s="4" t="s">
        <v>830</v>
      </c>
      <c r="B844" s="4" t="s">
        <v>102</v>
      </c>
      <c r="C844" s="4" t="n">
        <v>46270.5498726852</v>
      </c>
      <c r="D844" s="4" t="n">
        <v>109</v>
      </c>
    </row>
    <row r="845" customFormat="false" ht="15" hidden="false" customHeight="false" outlineLevel="0" collapsed="false">
      <c r="A845" s="4" t="s">
        <v>836</v>
      </c>
      <c r="B845" s="4" t="s">
        <v>102</v>
      </c>
      <c r="C845" s="4" t="n">
        <v>46270.7985185185</v>
      </c>
      <c r="D845" s="4" t="n">
        <v>110</v>
      </c>
    </row>
    <row r="846" customFormat="false" ht="15" hidden="false" customHeight="false" outlineLevel="0" collapsed="false">
      <c r="A846" s="4" t="s">
        <v>841</v>
      </c>
      <c r="B846" s="4" t="s">
        <v>102</v>
      </c>
      <c r="C846" s="4" t="n">
        <v>46271.0498032407</v>
      </c>
      <c r="D846" s="4" t="n">
        <v>111</v>
      </c>
    </row>
    <row r="847" customFormat="false" ht="15" hidden="false" customHeight="false" outlineLevel="0" collapsed="false">
      <c r="A847" s="4" t="s">
        <v>848</v>
      </c>
      <c r="B847" s="4" t="s">
        <v>102</v>
      </c>
      <c r="C847" s="4" t="n">
        <v>46271.2993055556</v>
      </c>
      <c r="D847" s="4" t="n">
        <v>112</v>
      </c>
    </row>
    <row r="848" customFormat="false" ht="15" hidden="false" customHeight="false" outlineLevel="0" collapsed="false">
      <c r="A848" s="4" t="s">
        <v>853</v>
      </c>
      <c r="B848" s="4" t="s">
        <v>102</v>
      </c>
      <c r="C848" s="4" t="n">
        <v>46271.5491203704</v>
      </c>
      <c r="D848" s="4" t="n">
        <v>113</v>
      </c>
    </row>
    <row r="849" customFormat="false" ht="15" hidden="false" customHeight="false" outlineLevel="0" collapsed="false">
      <c r="A849" s="4" t="s">
        <v>859</v>
      </c>
      <c r="B849" s="4" t="s">
        <v>102</v>
      </c>
      <c r="C849" s="4" t="n">
        <v>46271.7989699074</v>
      </c>
      <c r="D849" s="4" t="n">
        <v>114</v>
      </c>
    </row>
    <row r="850" customFormat="false" ht="15" hidden="false" customHeight="false" outlineLevel="0" collapsed="false">
      <c r="A850" s="4" t="s">
        <v>864</v>
      </c>
      <c r="B850" s="4" t="s">
        <v>102</v>
      </c>
      <c r="C850" s="4" t="n">
        <v>46272.0484375</v>
      </c>
      <c r="D850" s="4" t="n">
        <v>115</v>
      </c>
    </row>
    <row r="851" customFormat="false" ht="15" hidden="false" customHeight="false" outlineLevel="0" collapsed="false">
      <c r="A851" s="4" t="s">
        <v>871</v>
      </c>
      <c r="B851" s="4" t="s">
        <v>102</v>
      </c>
      <c r="C851" s="4" t="n">
        <v>46272.2987152778</v>
      </c>
      <c r="D851" s="4" t="n">
        <v>116</v>
      </c>
    </row>
    <row r="852" customFormat="false" ht="15" hidden="false" customHeight="false" outlineLevel="0" collapsed="false">
      <c r="A852" s="4" t="s">
        <v>876</v>
      </c>
      <c r="B852" s="4" t="s">
        <v>102</v>
      </c>
      <c r="C852" s="4" t="n">
        <v>46272.549525463</v>
      </c>
      <c r="D852" s="4" t="n">
        <v>117</v>
      </c>
    </row>
    <row r="853" customFormat="false" ht="15" hidden="false" customHeight="false" outlineLevel="0" collapsed="false">
      <c r="A853" s="4" t="s">
        <v>884</v>
      </c>
      <c r="B853" s="4" t="s">
        <v>102</v>
      </c>
      <c r="C853" s="4" t="n">
        <v>46272.8142824074</v>
      </c>
      <c r="D853" s="4" t="n">
        <v>118</v>
      </c>
    </row>
    <row r="854" customFormat="false" ht="15" hidden="false" customHeight="false" outlineLevel="0" collapsed="false">
      <c r="A854" s="4" t="s">
        <v>889</v>
      </c>
      <c r="B854" s="4" t="s">
        <v>102</v>
      </c>
      <c r="C854" s="4" t="n">
        <v>46273.0509837963</v>
      </c>
      <c r="D854" s="4" t="n">
        <v>119</v>
      </c>
    </row>
    <row r="855" customFormat="false" ht="15" hidden="false" customHeight="false" outlineLevel="0" collapsed="false">
      <c r="A855" s="4" t="s">
        <v>896</v>
      </c>
      <c r="B855" s="4" t="s">
        <v>102</v>
      </c>
      <c r="C855" s="4" t="n">
        <v>46273.2977199074</v>
      </c>
      <c r="D855" s="4" t="n">
        <v>120</v>
      </c>
    </row>
    <row r="856" customFormat="false" ht="15" hidden="false" customHeight="false" outlineLevel="0" collapsed="false">
      <c r="A856" s="4" t="s">
        <v>901</v>
      </c>
      <c r="B856" s="4" t="s">
        <v>102</v>
      </c>
      <c r="C856" s="4" t="n">
        <v>46273.5504398148</v>
      </c>
      <c r="D856" s="4" t="n">
        <v>121</v>
      </c>
    </row>
    <row r="857" customFormat="false" ht="15" hidden="false" customHeight="false" outlineLevel="0" collapsed="false">
      <c r="A857" s="4" t="s">
        <v>907</v>
      </c>
      <c r="B857" s="4" t="s">
        <v>102</v>
      </c>
      <c r="C857" s="4" t="n">
        <v>46273.7977430556</v>
      </c>
      <c r="D857" s="4" t="n">
        <v>122</v>
      </c>
    </row>
    <row r="858" customFormat="false" ht="15" hidden="false" customHeight="false" outlineLevel="0" collapsed="false">
      <c r="A858" s="4" t="s">
        <v>912</v>
      </c>
      <c r="B858" s="4" t="s">
        <v>102</v>
      </c>
      <c r="C858" s="4" t="n">
        <v>46274.0479050926</v>
      </c>
      <c r="D858" s="4" t="n">
        <v>123</v>
      </c>
    </row>
    <row r="859" customFormat="false" ht="15" hidden="false" customHeight="false" outlineLevel="0" collapsed="false">
      <c r="A859" s="4" t="s">
        <v>919</v>
      </c>
      <c r="B859" s="4" t="s">
        <v>102</v>
      </c>
      <c r="C859" s="4" t="n">
        <v>46274.2985416667</v>
      </c>
      <c r="D859" s="4" t="n">
        <v>124</v>
      </c>
    </row>
    <row r="860" customFormat="false" ht="15" hidden="false" customHeight="false" outlineLevel="0" collapsed="false">
      <c r="A860" s="4" t="s">
        <v>925</v>
      </c>
      <c r="B860" s="4" t="s">
        <v>102</v>
      </c>
      <c r="C860" s="4" t="n">
        <v>46274.5499074074</v>
      </c>
      <c r="D860" s="4" t="n">
        <v>125</v>
      </c>
    </row>
    <row r="861" customFormat="false" ht="15" hidden="false" customHeight="false" outlineLevel="0" collapsed="false">
      <c r="A861" s="4" t="s">
        <v>931</v>
      </c>
      <c r="B861" s="4" t="s">
        <v>102</v>
      </c>
      <c r="C861" s="4" t="n">
        <v>46274.8006828704</v>
      </c>
      <c r="D861" s="4" t="n">
        <v>126</v>
      </c>
    </row>
    <row r="862" customFormat="false" ht="15" hidden="false" customHeight="false" outlineLevel="0" collapsed="false">
      <c r="A862" s="4" t="s">
        <v>936</v>
      </c>
      <c r="B862" s="4" t="s">
        <v>102</v>
      </c>
      <c r="C862" s="4" t="n">
        <v>46275.0480671296</v>
      </c>
      <c r="D862" s="4" t="n">
        <v>127</v>
      </c>
    </row>
    <row r="863" customFormat="false" ht="15" hidden="false" customHeight="false" outlineLevel="0" collapsed="false">
      <c r="A863" s="4" t="s">
        <v>943</v>
      </c>
      <c r="B863" s="4" t="s">
        <v>102</v>
      </c>
      <c r="C863" s="4" t="n">
        <v>46275.3006481482</v>
      </c>
      <c r="D863" s="4" t="n">
        <v>128</v>
      </c>
    </row>
    <row r="864" customFormat="false" ht="15" hidden="false" customHeight="false" outlineLevel="0" collapsed="false">
      <c r="A864" s="4" t="s">
        <v>949</v>
      </c>
      <c r="B864" s="4" t="s">
        <v>102</v>
      </c>
      <c r="C864" s="4" t="n">
        <v>46275.5489930556</v>
      </c>
      <c r="D864" s="4" t="n">
        <v>129</v>
      </c>
    </row>
    <row r="865" customFormat="false" ht="15" hidden="false" customHeight="false" outlineLevel="0" collapsed="false">
      <c r="A865" s="4" t="s">
        <v>955</v>
      </c>
      <c r="B865" s="4" t="s">
        <v>102</v>
      </c>
      <c r="C865" s="4" t="n">
        <v>46275.7983912037</v>
      </c>
      <c r="D865" s="4" t="n">
        <v>130</v>
      </c>
    </row>
    <row r="866" customFormat="false" ht="15" hidden="false" customHeight="false" outlineLevel="0" collapsed="false">
      <c r="A866" s="4" t="s">
        <v>960</v>
      </c>
      <c r="B866" s="4" t="s">
        <v>102</v>
      </c>
      <c r="C866" s="4" t="n">
        <v>46276.0502430556</v>
      </c>
      <c r="D866" s="4" t="n">
        <v>131</v>
      </c>
    </row>
    <row r="867" customFormat="false" ht="15" hidden="false" customHeight="false" outlineLevel="0" collapsed="false">
      <c r="A867" s="4" t="s">
        <v>968</v>
      </c>
      <c r="B867" s="4" t="s">
        <v>102</v>
      </c>
      <c r="C867" s="4" t="n">
        <v>46276.3142939815</v>
      </c>
      <c r="D867" s="4" t="n">
        <v>132</v>
      </c>
    </row>
    <row r="868" customFormat="false" ht="15" hidden="false" customHeight="false" outlineLevel="0" collapsed="false">
      <c r="A868" s="4" t="s">
        <v>973</v>
      </c>
      <c r="B868" s="4" t="s">
        <v>102</v>
      </c>
      <c r="C868" s="4" t="n">
        <v>46276.5475578704</v>
      </c>
      <c r="D868" s="4" t="n">
        <v>133</v>
      </c>
    </row>
    <row r="869" customFormat="false" ht="15" hidden="false" customHeight="false" outlineLevel="0" collapsed="false">
      <c r="A869" s="4" t="s">
        <v>979</v>
      </c>
      <c r="B869" s="4" t="s">
        <v>102</v>
      </c>
      <c r="C869" s="4" t="n">
        <v>46276.8000115741</v>
      </c>
      <c r="D869" s="4" t="n">
        <v>134</v>
      </c>
    </row>
    <row r="870" customFormat="false" ht="15" hidden="false" customHeight="false" outlineLevel="0" collapsed="false">
      <c r="A870" s="4" t="s">
        <v>984</v>
      </c>
      <c r="B870" s="4" t="s">
        <v>102</v>
      </c>
      <c r="C870" s="4" t="n">
        <v>46277.0488888889</v>
      </c>
      <c r="D870" s="4" t="n">
        <v>135</v>
      </c>
    </row>
    <row r="871" customFormat="false" ht="15" hidden="false" customHeight="false" outlineLevel="0" collapsed="false">
      <c r="A871" s="4" t="s">
        <v>991</v>
      </c>
      <c r="B871" s="4" t="s">
        <v>102</v>
      </c>
      <c r="C871" s="4" t="n">
        <v>46277.2972453704</v>
      </c>
      <c r="D871" s="4" t="n">
        <v>136</v>
      </c>
    </row>
    <row r="872" customFormat="false" ht="15" hidden="false" customHeight="false" outlineLevel="0" collapsed="false">
      <c r="A872" s="4" t="s">
        <v>996</v>
      </c>
      <c r="B872" s="4" t="s">
        <v>102</v>
      </c>
      <c r="C872" s="4" t="n">
        <v>46277.5488425926</v>
      </c>
      <c r="D872" s="4" t="n">
        <v>137</v>
      </c>
    </row>
    <row r="873" customFormat="false" ht="15" hidden="false" customHeight="false" outlineLevel="0" collapsed="false">
      <c r="A873" s="4" t="s">
        <v>1002</v>
      </c>
      <c r="B873" s="4" t="s">
        <v>102</v>
      </c>
      <c r="C873" s="4" t="n">
        <v>46277.8006828704</v>
      </c>
      <c r="D873" s="4" t="n">
        <v>138</v>
      </c>
    </row>
    <row r="874" customFormat="false" ht="15" hidden="false" customHeight="false" outlineLevel="0" collapsed="false">
      <c r="A874" s="4" t="s">
        <v>1007</v>
      </c>
      <c r="B874" s="4" t="s">
        <v>102</v>
      </c>
      <c r="C874" s="4" t="n">
        <v>46278.0503240741</v>
      </c>
      <c r="D874" s="4" t="n">
        <v>139</v>
      </c>
    </row>
    <row r="875" customFormat="false" ht="15" hidden="false" customHeight="false" outlineLevel="0" collapsed="false">
      <c r="A875" s="4" t="s">
        <v>1015</v>
      </c>
      <c r="B875" s="4" t="s">
        <v>102</v>
      </c>
      <c r="C875" s="4" t="n">
        <v>46278.3005671296</v>
      </c>
      <c r="D875" s="4" t="n">
        <v>140</v>
      </c>
    </row>
    <row r="876" customFormat="false" ht="15" hidden="false" customHeight="false" outlineLevel="0" collapsed="false">
      <c r="A876" s="4" t="s">
        <v>1020</v>
      </c>
      <c r="B876" s="4" t="s">
        <v>102</v>
      </c>
      <c r="C876" s="4" t="n">
        <v>46278.5495717593</v>
      </c>
      <c r="D876" s="4" t="n">
        <v>141</v>
      </c>
    </row>
    <row r="877" customFormat="false" ht="15" hidden="false" customHeight="false" outlineLevel="0" collapsed="false">
      <c r="A877" s="4" t="s">
        <v>1026</v>
      </c>
      <c r="B877" s="4" t="s">
        <v>102</v>
      </c>
      <c r="C877" s="4" t="n">
        <v>46278.799537037</v>
      </c>
      <c r="D877" s="4" t="n">
        <v>142</v>
      </c>
    </row>
    <row r="878" customFormat="false" ht="15" hidden="false" customHeight="false" outlineLevel="0" collapsed="false">
      <c r="A878" s="4" t="s">
        <v>1031</v>
      </c>
      <c r="B878" s="4" t="s">
        <v>102</v>
      </c>
      <c r="C878" s="4" t="n">
        <v>46279.0499189815</v>
      </c>
      <c r="D878" s="4" t="n">
        <v>143</v>
      </c>
    </row>
    <row r="879" customFormat="false" ht="15" hidden="false" customHeight="false" outlineLevel="0" collapsed="false">
      <c r="A879" s="4" t="s">
        <v>1038</v>
      </c>
      <c r="B879" s="4" t="s">
        <v>102</v>
      </c>
      <c r="C879" s="4" t="n">
        <v>46279.2987037037</v>
      </c>
      <c r="D879" s="4" t="n">
        <v>144</v>
      </c>
    </row>
    <row r="880" customFormat="false" ht="15" hidden="false" customHeight="false" outlineLevel="0" collapsed="false">
      <c r="A880" s="4" t="s">
        <v>1043</v>
      </c>
      <c r="B880" s="4" t="s">
        <v>102</v>
      </c>
      <c r="C880" s="4" t="n">
        <v>46279.5505439815</v>
      </c>
      <c r="D880" s="4" t="n">
        <v>145</v>
      </c>
    </row>
    <row r="881" customFormat="false" ht="15" hidden="false" customHeight="false" outlineLevel="0" collapsed="false">
      <c r="A881" s="4" t="s">
        <v>1049</v>
      </c>
      <c r="B881" s="4" t="s">
        <v>102</v>
      </c>
      <c r="C881" s="4" t="n">
        <v>46279.8</v>
      </c>
      <c r="D881" s="4" t="n">
        <v>146</v>
      </c>
    </row>
    <row r="882" customFormat="false" ht="15" hidden="false" customHeight="false" outlineLevel="0" collapsed="false">
      <c r="A882" s="4" t="s">
        <v>1054</v>
      </c>
      <c r="B882" s="4" t="s">
        <v>102</v>
      </c>
      <c r="C882" s="4" t="n">
        <v>46280.0506828704</v>
      </c>
      <c r="D882" s="4" t="n">
        <v>147</v>
      </c>
    </row>
    <row r="883" customFormat="false" ht="15" hidden="false" customHeight="false" outlineLevel="0" collapsed="false">
      <c r="A883" s="4" t="s">
        <v>1064</v>
      </c>
      <c r="B883" s="4" t="s">
        <v>102</v>
      </c>
      <c r="C883" s="4" t="n">
        <v>46280.3012152778</v>
      </c>
      <c r="D883" s="4" t="n">
        <v>148</v>
      </c>
    </row>
    <row r="884" customFormat="false" ht="15" hidden="false" customHeight="false" outlineLevel="0" collapsed="false">
      <c r="A884" s="4" t="s">
        <v>1069</v>
      </c>
      <c r="B884" s="4" t="s">
        <v>102</v>
      </c>
      <c r="C884" s="4" t="n">
        <v>46280.5493402778</v>
      </c>
      <c r="D884" s="4" t="n">
        <v>149</v>
      </c>
    </row>
    <row r="885" customFormat="false" ht="15" hidden="false" customHeight="false" outlineLevel="0" collapsed="false">
      <c r="A885" s="4" t="s">
        <v>1075</v>
      </c>
      <c r="B885" s="4" t="s">
        <v>102</v>
      </c>
      <c r="C885" s="4" t="n">
        <v>46280.7992013889</v>
      </c>
      <c r="D885" s="4" t="n">
        <v>150</v>
      </c>
    </row>
    <row r="886" customFormat="false" ht="15" hidden="false" customHeight="false" outlineLevel="0" collapsed="false">
      <c r="A886" s="4" t="s">
        <v>1080</v>
      </c>
      <c r="B886" s="4" t="s">
        <v>102</v>
      </c>
      <c r="C886" s="4" t="n">
        <v>46281.0490393519</v>
      </c>
      <c r="D886" s="4" t="n">
        <v>151</v>
      </c>
    </row>
    <row r="887" customFormat="false" ht="15" hidden="false" customHeight="false" outlineLevel="0" collapsed="false">
      <c r="A887" s="4" t="s">
        <v>1088</v>
      </c>
      <c r="B887" s="4" t="s">
        <v>102</v>
      </c>
      <c r="C887" s="4" t="n">
        <v>46281.2994328704</v>
      </c>
      <c r="D887" s="4" t="n">
        <v>152</v>
      </c>
    </row>
    <row r="888" customFormat="false" ht="15" hidden="false" customHeight="false" outlineLevel="0" collapsed="false">
      <c r="A888" s="4" t="s">
        <v>1093</v>
      </c>
      <c r="B888" s="4" t="s">
        <v>102</v>
      </c>
      <c r="C888" s="4" t="n">
        <v>46281.5491203704</v>
      </c>
      <c r="D888" s="4" t="n">
        <v>153</v>
      </c>
    </row>
    <row r="889" customFormat="false" ht="15" hidden="false" customHeight="false" outlineLevel="0" collapsed="false">
      <c r="A889" s="4" t="s">
        <v>1099</v>
      </c>
      <c r="B889" s="4" t="s">
        <v>102</v>
      </c>
      <c r="C889" s="4" t="n">
        <v>46281.8009837963</v>
      </c>
      <c r="D889" s="4" t="n">
        <v>154</v>
      </c>
    </row>
    <row r="890" customFormat="false" ht="15" hidden="false" customHeight="false" outlineLevel="0" collapsed="false">
      <c r="A890" s="4" t="s">
        <v>1104</v>
      </c>
      <c r="B890" s="4" t="s">
        <v>102</v>
      </c>
      <c r="C890" s="4" t="n">
        <v>46282.0505208333</v>
      </c>
      <c r="D890" s="4" t="n">
        <v>155</v>
      </c>
    </row>
    <row r="891" customFormat="false" ht="15" hidden="false" customHeight="false" outlineLevel="0" collapsed="false">
      <c r="A891" s="4" t="s">
        <v>1111</v>
      </c>
      <c r="B891" s="4" t="s">
        <v>102</v>
      </c>
      <c r="C891" s="4" t="n">
        <v>46282.2982060185</v>
      </c>
      <c r="D891" s="4" t="n">
        <v>156</v>
      </c>
    </row>
    <row r="892" customFormat="false" ht="15" hidden="false" customHeight="false" outlineLevel="0" collapsed="false">
      <c r="A892" s="4" t="s">
        <v>1116</v>
      </c>
      <c r="B892" s="4" t="s">
        <v>102</v>
      </c>
      <c r="C892" s="4" t="n">
        <v>46282.5503240741</v>
      </c>
      <c r="D892" s="4" t="n">
        <v>157</v>
      </c>
    </row>
    <row r="893" customFormat="false" ht="15" hidden="false" customHeight="false" outlineLevel="0" collapsed="false">
      <c r="A893" s="4" t="s">
        <v>1122</v>
      </c>
      <c r="B893" s="4" t="s">
        <v>102</v>
      </c>
      <c r="C893" s="4" t="n">
        <v>46282.8006018519</v>
      </c>
      <c r="D893" s="4" t="n">
        <v>158</v>
      </c>
    </row>
    <row r="894" customFormat="false" ht="15" hidden="false" customHeight="false" outlineLevel="0" collapsed="false">
      <c r="A894" s="4" t="s">
        <v>1127</v>
      </c>
      <c r="B894" s="4" t="s">
        <v>102</v>
      </c>
      <c r="C894" s="4" t="n">
        <v>46283.0493287037</v>
      </c>
      <c r="D894" s="4" t="n">
        <v>159</v>
      </c>
    </row>
    <row r="895" customFormat="false" ht="15" hidden="false" customHeight="false" outlineLevel="0" collapsed="false">
      <c r="A895" s="4" t="s">
        <v>1134</v>
      </c>
      <c r="B895" s="4" t="s">
        <v>102</v>
      </c>
      <c r="C895" s="4" t="n">
        <v>46283.298287037</v>
      </c>
      <c r="D895" s="4" t="n">
        <v>160</v>
      </c>
    </row>
    <row r="896" customFormat="false" ht="15" hidden="false" customHeight="false" outlineLevel="0" collapsed="false">
      <c r="A896" s="4" t="s">
        <v>1139</v>
      </c>
      <c r="B896" s="4" t="s">
        <v>102</v>
      </c>
      <c r="C896" s="4" t="n">
        <v>46283.548912037</v>
      </c>
      <c r="D896" s="4" t="n">
        <v>161</v>
      </c>
    </row>
    <row r="897" customFormat="false" ht="15" hidden="false" customHeight="false" outlineLevel="0" collapsed="false">
      <c r="A897" s="4" t="s">
        <v>1145</v>
      </c>
      <c r="B897" s="4" t="s">
        <v>102</v>
      </c>
      <c r="C897" s="4" t="n">
        <v>46283.8006712963</v>
      </c>
      <c r="D897" s="4" t="n">
        <v>162</v>
      </c>
    </row>
    <row r="898" customFormat="false" ht="15" hidden="false" customHeight="false" outlineLevel="0" collapsed="false">
      <c r="A898" s="4" t="s">
        <v>1150</v>
      </c>
      <c r="B898" s="4" t="s">
        <v>102</v>
      </c>
      <c r="C898" s="4" t="n">
        <v>46284.048912037</v>
      </c>
      <c r="D898" s="4" t="n">
        <v>163</v>
      </c>
    </row>
    <row r="899" customFormat="false" ht="15" hidden="false" customHeight="false" outlineLevel="0" collapsed="false">
      <c r="A899" s="4" t="s">
        <v>1157</v>
      </c>
      <c r="B899" s="4" t="s">
        <v>102</v>
      </c>
      <c r="C899" s="4" t="n">
        <v>46284.3011921296</v>
      </c>
      <c r="D899" s="4" t="n">
        <v>164</v>
      </c>
    </row>
    <row r="900" customFormat="false" ht="15" hidden="false" customHeight="false" outlineLevel="0" collapsed="false">
      <c r="A900" s="4" t="s">
        <v>1162</v>
      </c>
      <c r="B900" s="4" t="s">
        <v>102</v>
      </c>
      <c r="C900" s="4" t="n">
        <v>46284.5490972222</v>
      </c>
      <c r="D900" s="4" t="n">
        <v>165</v>
      </c>
    </row>
    <row r="901" customFormat="false" ht="15" hidden="false" customHeight="false" outlineLevel="0" collapsed="false">
      <c r="A901" s="4" t="s">
        <v>1168</v>
      </c>
      <c r="B901" s="4" t="s">
        <v>102</v>
      </c>
      <c r="C901" s="4" t="n">
        <v>46284.800150463</v>
      </c>
      <c r="D901" s="4" t="n">
        <v>166</v>
      </c>
    </row>
    <row r="902" customFormat="false" ht="15" hidden="false" customHeight="false" outlineLevel="0" collapsed="false">
      <c r="A902" s="4" t="s">
        <v>1173</v>
      </c>
      <c r="B902" s="4" t="s">
        <v>102</v>
      </c>
      <c r="C902" s="4" t="n">
        <v>46285.0487962963</v>
      </c>
      <c r="D902" s="4" t="n">
        <v>167</v>
      </c>
    </row>
    <row r="903" customFormat="false" ht="15" hidden="false" customHeight="false" outlineLevel="0" collapsed="false">
      <c r="A903" s="4" t="s">
        <v>1180</v>
      </c>
      <c r="B903" s="4" t="s">
        <v>102</v>
      </c>
      <c r="C903" s="4" t="n">
        <v>46285.2991782407</v>
      </c>
      <c r="D903" s="4" t="n">
        <v>168</v>
      </c>
    </row>
    <row r="904" customFormat="false" ht="15" hidden="false" customHeight="false" outlineLevel="0" collapsed="false">
      <c r="A904" s="4" t="s">
        <v>1186</v>
      </c>
      <c r="B904" s="4" t="s">
        <v>102</v>
      </c>
      <c r="C904" s="4" t="n">
        <v>46285.5628240741</v>
      </c>
      <c r="D904" s="4" t="n">
        <v>169</v>
      </c>
    </row>
    <row r="905" customFormat="false" ht="15" hidden="false" customHeight="false" outlineLevel="0" collapsed="false">
      <c r="A905" s="4" t="s">
        <v>1192</v>
      </c>
      <c r="B905" s="4" t="s">
        <v>102</v>
      </c>
      <c r="C905" s="4" t="n">
        <v>46285.8007175926</v>
      </c>
      <c r="D905" s="4" t="n">
        <v>170</v>
      </c>
    </row>
    <row r="906" customFormat="false" ht="15" hidden="false" customHeight="false" outlineLevel="0" collapsed="false">
      <c r="A906" s="4" t="s">
        <v>1197</v>
      </c>
      <c r="B906" s="4" t="s">
        <v>102</v>
      </c>
      <c r="C906" s="4" t="n">
        <v>46286.0498842593</v>
      </c>
      <c r="D906" s="4" t="n">
        <v>171</v>
      </c>
    </row>
    <row r="907" customFormat="false" ht="15" hidden="false" customHeight="false" outlineLevel="0" collapsed="false">
      <c r="A907" s="4" t="s">
        <v>1204</v>
      </c>
      <c r="B907" s="4" t="s">
        <v>102</v>
      </c>
      <c r="C907" s="4" t="n">
        <v>46286.2989814815</v>
      </c>
      <c r="D907" s="4" t="n">
        <v>172</v>
      </c>
    </row>
    <row r="908" customFormat="false" ht="15" hidden="false" customHeight="false" outlineLevel="0" collapsed="false">
      <c r="A908" s="4" t="s">
        <v>1209</v>
      </c>
      <c r="B908" s="4" t="s">
        <v>102</v>
      </c>
      <c r="C908" s="4" t="n">
        <v>46286.5500231482</v>
      </c>
      <c r="D908" s="4" t="n">
        <v>173</v>
      </c>
    </row>
    <row r="909" customFormat="false" ht="15" hidden="false" customHeight="false" outlineLevel="0" collapsed="false">
      <c r="A909" s="4" t="s">
        <v>1216</v>
      </c>
      <c r="B909" s="4" t="s">
        <v>102</v>
      </c>
      <c r="C909" s="4" t="n">
        <v>46286.7983912037</v>
      </c>
      <c r="D909" s="4" t="n">
        <v>174</v>
      </c>
    </row>
    <row r="910" customFormat="false" ht="15" hidden="false" customHeight="false" outlineLevel="0" collapsed="false">
      <c r="A910" s="4" t="s">
        <v>1221</v>
      </c>
      <c r="B910" s="4" t="s">
        <v>102</v>
      </c>
      <c r="C910" s="4" t="n">
        <v>46287.050150463</v>
      </c>
      <c r="D910" s="4" t="n">
        <v>175</v>
      </c>
    </row>
    <row r="911" customFormat="false" ht="15" hidden="false" customHeight="false" outlineLevel="0" collapsed="false">
      <c r="A911" s="4" t="s">
        <v>1228</v>
      </c>
      <c r="B911" s="4" t="s">
        <v>102</v>
      </c>
      <c r="C911" s="4" t="n">
        <v>46287.2987268519</v>
      </c>
      <c r="D911" s="4" t="n">
        <v>176</v>
      </c>
    </row>
    <row r="912" customFormat="false" ht="15" hidden="false" customHeight="false" outlineLevel="0" collapsed="false">
      <c r="A912" s="4" t="s">
        <v>1233</v>
      </c>
      <c r="B912" s="4" t="s">
        <v>102</v>
      </c>
      <c r="C912" s="4" t="n">
        <v>46287.5493402778</v>
      </c>
      <c r="D912" s="4" t="n">
        <v>177</v>
      </c>
    </row>
    <row r="913" customFormat="false" ht="15" hidden="false" customHeight="false" outlineLevel="0" collapsed="false">
      <c r="A913" s="4" t="s">
        <v>1239</v>
      </c>
      <c r="B913" s="4" t="s">
        <v>102</v>
      </c>
      <c r="C913" s="4" t="n">
        <v>46287.7989814815</v>
      </c>
      <c r="D913" s="4" t="n">
        <v>178</v>
      </c>
    </row>
    <row r="914" customFormat="false" ht="15" hidden="false" customHeight="false" outlineLevel="0" collapsed="false">
      <c r="A914" s="4" t="s">
        <v>1244</v>
      </c>
      <c r="B914" s="4" t="s">
        <v>102</v>
      </c>
      <c r="C914" s="4" t="n">
        <v>46288.0478356482</v>
      </c>
      <c r="D914" s="4" t="n">
        <v>179</v>
      </c>
    </row>
    <row r="915" customFormat="false" ht="15" hidden="false" customHeight="false" outlineLevel="0" collapsed="false">
      <c r="A915" s="4" t="s">
        <v>1251</v>
      </c>
      <c r="B915" s="4" t="s">
        <v>102</v>
      </c>
      <c r="C915" s="4" t="n">
        <v>46288.2985300926</v>
      </c>
      <c r="D915" s="4" t="n">
        <v>180</v>
      </c>
    </row>
    <row r="916" customFormat="false" ht="15" hidden="false" customHeight="false" outlineLevel="0" collapsed="false">
      <c r="A916" s="4" t="s">
        <v>1256</v>
      </c>
      <c r="B916" s="4" t="s">
        <v>102</v>
      </c>
      <c r="C916" s="4" t="n">
        <v>46288.5511574074</v>
      </c>
      <c r="D916" s="4" t="n">
        <v>181</v>
      </c>
    </row>
    <row r="917" customFormat="false" ht="15" hidden="false" customHeight="false" outlineLevel="0" collapsed="false">
      <c r="A917" s="4" t="s">
        <v>1262</v>
      </c>
      <c r="B917" s="4" t="s">
        <v>102</v>
      </c>
      <c r="C917" s="4" t="n">
        <v>46288.8007638889</v>
      </c>
      <c r="D917" s="4" t="n">
        <v>182</v>
      </c>
    </row>
    <row r="918" customFormat="false" ht="15" hidden="false" customHeight="false" outlineLevel="0" collapsed="false">
      <c r="A918" s="4" t="s">
        <v>1267</v>
      </c>
      <c r="B918" s="4" t="s">
        <v>102</v>
      </c>
      <c r="C918" s="4" t="n">
        <v>46289.0483796296</v>
      </c>
      <c r="D918" s="4" t="n">
        <v>183</v>
      </c>
    </row>
    <row r="919" customFormat="false" ht="15" hidden="false" customHeight="false" outlineLevel="0" collapsed="false">
      <c r="A919" s="4" t="s">
        <v>1275</v>
      </c>
      <c r="B919" s="4" t="s">
        <v>102</v>
      </c>
      <c r="C919" s="4" t="n">
        <v>46289.2986111111</v>
      </c>
      <c r="D919" s="4" t="n">
        <v>184</v>
      </c>
    </row>
    <row r="920" customFormat="false" ht="15" hidden="false" customHeight="false" outlineLevel="0" collapsed="false">
      <c r="A920" s="4" t="s">
        <v>1280</v>
      </c>
      <c r="B920" s="4" t="s">
        <v>102</v>
      </c>
      <c r="C920" s="4" t="n">
        <v>46289.5512731482</v>
      </c>
      <c r="D920" s="4" t="n">
        <v>185</v>
      </c>
    </row>
    <row r="921" customFormat="false" ht="15" hidden="false" customHeight="false" outlineLevel="0" collapsed="false">
      <c r="A921" s="4" t="s">
        <v>1286</v>
      </c>
      <c r="B921" s="4" t="s">
        <v>102</v>
      </c>
      <c r="C921" s="4" t="n">
        <v>46289.798912037</v>
      </c>
      <c r="D921" s="4" t="n">
        <v>186</v>
      </c>
    </row>
    <row r="922" customFormat="false" ht="15" hidden="false" customHeight="false" outlineLevel="0" collapsed="false">
      <c r="A922" s="4" t="s">
        <v>1291</v>
      </c>
      <c r="B922" s="4" t="s">
        <v>102</v>
      </c>
      <c r="C922" s="4" t="n">
        <v>46290.0492592593</v>
      </c>
      <c r="D922" s="4" t="n">
        <v>187</v>
      </c>
    </row>
    <row r="923" customFormat="false" ht="15" hidden="false" customHeight="false" outlineLevel="0" collapsed="false">
      <c r="A923" s="4" t="s">
        <v>1298</v>
      </c>
      <c r="B923" s="4" t="s">
        <v>102</v>
      </c>
      <c r="C923" s="4" t="n">
        <v>46290.3002083333</v>
      </c>
      <c r="D923" s="4" t="n">
        <v>188</v>
      </c>
    </row>
    <row r="924" customFormat="false" ht="15" hidden="false" customHeight="false" outlineLevel="0" collapsed="false">
      <c r="A924" s="4" t="s">
        <v>1303</v>
      </c>
      <c r="B924" s="4" t="s">
        <v>102</v>
      </c>
      <c r="C924" s="4" t="n">
        <v>46290.5485532407</v>
      </c>
      <c r="D924" s="4" t="n">
        <v>189</v>
      </c>
    </row>
    <row r="925" customFormat="false" ht="15" hidden="false" customHeight="false" outlineLevel="0" collapsed="false">
      <c r="A925" s="4" t="s">
        <v>1309</v>
      </c>
      <c r="B925" s="4" t="s">
        <v>102</v>
      </c>
      <c r="C925" s="4" t="n">
        <v>46290.7994907407</v>
      </c>
      <c r="D925" s="4" t="n">
        <v>190</v>
      </c>
    </row>
    <row r="926" customFormat="false" ht="15" hidden="false" customHeight="false" outlineLevel="0" collapsed="false">
      <c r="A926" s="4" t="s">
        <v>1314</v>
      </c>
      <c r="B926" s="4" t="s">
        <v>102</v>
      </c>
      <c r="C926" s="4" t="n">
        <v>46291.0486574074</v>
      </c>
      <c r="D926" s="4" t="n">
        <v>191</v>
      </c>
    </row>
    <row r="927" customFormat="false" ht="15" hidden="false" customHeight="false" outlineLevel="0" collapsed="false">
      <c r="A927" s="4" t="s">
        <v>1321</v>
      </c>
      <c r="B927" s="4" t="s">
        <v>102</v>
      </c>
      <c r="C927" s="4" t="n">
        <v>46291.2997453704</v>
      </c>
      <c r="D927" s="4" t="n">
        <v>192</v>
      </c>
    </row>
    <row r="928" customFormat="false" ht="15" hidden="false" customHeight="false" outlineLevel="0" collapsed="false">
      <c r="A928" s="4" t="s">
        <v>1326</v>
      </c>
      <c r="B928" s="4" t="s">
        <v>102</v>
      </c>
      <c r="C928" s="4" t="n">
        <v>46291.5505787037</v>
      </c>
      <c r="D928" s="4" t="n">
        <v>193</v>
      </c>
    </row>
    <row r="929" customFormat="false" ht="15" hidden="false" customHeight="false" outlineLevel="0" collapsed="false">
      <c r="A929" s="4" t="s">
        <v>1332</v>
      </c>
      <c r="B929" s="4" t="s">
        <v>102</v>
      </c>
      <c r="C929" s="4" t="n">
        <v>46291.8006828704</v>
      </c>
      <c r="D929" s="4" t="n">
        <v>194</v>
      </c>
    </row>
    <row r="930" customFormat="false" ht="15" hidden="false" customHeight="false" outlineLevel="0" collapsed="false">
      <c r="A930" s="4" t="s">
        <v>1336</v>
      </c>
      <c r="B930" s="4" t="s">
        <v>102</v>
      </c>
      <c r="C930" s="4" t="n">
        <v>46292.0067476852</v>
      </c>
      <c r="D930" s="4" t="n">
        <v>195</v>
      </c>
    </row>
    <row r="931" customFormat="false" ht="15" hidden="false" customHeight="false" outlineLevel="0" collapsed="false">
      <c r="A931" s="4" t="s">
        <v>1338</v>
      </c>
      <c r="B931" s="4" t="s">
        <v>102</v>
      </c>
      <c r="C931" s="4" t="n">
        <v>46292.0287384259</v>
      </c>
      <c r="D931" s="4" t="n">
        <v>196</v>
      </c>
    </row>
    <row r="932" customFormat="false" ht="15" hidden="false" customHeight="false" outlineLevel="0" collapsed="false">
      <c r="A932" s="4" t="s">
        <v>1339</v>
      </c>
      <c r="B932" s="4" t="s">
        <v>102</v>
      </c>
      <c r="C932" s="4" t="n">
        <v>46292.0478819445</v>
      </c>
      <c r="D932" s="4" t="n">
        <v>197</v>
      </c>
    </row>
    <row r="933" customFormat="false" ht="15" hidden="false" customHeight="false" outlineLevel="0" collapsed="false">
      <c r="A933" s="4" t="s">
        <v>1346</v>
      </c>
      <c r="B933" s="4" t="s">
        <v>102</v>
      </c>
      <c r="C933" s="4" t="n">
        <v>46292.300150463</v>
      </c>
      <c r="D933" s="4" t="n">
        <v>198</v>
      </c>
    </row>
    <row r="934" customFormat="false" ht="15" hidden="false" customHeight="false" outlineLevel="0" collapsed="false">
      <c r="A934" s="4" t="s">
        <v>1351</v>
      </c>
      <c r="B934" s="4" t="s">
        <v>102</v>
      </c>
      <c r="C934" s="4" t="n">
        <v>46292.5499074074</v>
      </c>
      <c r="D934" s="4" t="n">
        <v>199</v>
      </c>
    </row>
    <row r="935" customFormat="false" ht="15" hidden="false" customHeight="false" outlineLevel="0" collapsed="false">
      <c r="A935" s="4" t="s">
        <v>1357</v>
      </c>
      <c r="B935" s="4" t="s">
        <v>102</v>
      </c>
      <c r="C935" s="4" t="n">
        <v>46292.7975231482</v>
      </c>
      <c r="D935" s="4" t="n">
        <v>200</v>
      </c>
    </row>
    <row r="936" customFormat="false" ht="15" hidden="false" customHeight="false" outlineLevel="0" collapsed="false">
      <c r="A936" s="4" t="s">
        <v>1362</v>
      </c>
      <c r="B936" s="4" t="s">
        <v>102</v>
      </c>
      <c r="C936" s="4" t="n">
        <v>46293.0496990741</v>
      </c>
      <c r="D936" s="4" t="n">
        <v>201</v>
      </c>
    </row>
    <row r="937" customFormat="false" ht="15" hidden="false" customHeight="false" outlineLevel="0" collapsed="false">
      <c r="A937" s="4" t="s">
        <v>1369</v>
      </c>
      <c r="B937" s="4" t="s">
        <v>102</v>
      </c>
      <c r="C937" s="4" t="n">
        <v>46293.2983217593</v>
      </c>
      <c r="D937" s="4" t="n">
        <v>202</v>
      </c>
    </row>
    <row r="938" customFormat="false" ht="15" hidden="false" customHeight="false" outlineLevel="0" collapsed="false">
      <c r="A938" s="4" t="s">
        <v>1374</v>
      </c>
      <c r="B938" s="4" t="s">
        <v>102</v>
      </c>
      <c r="C938" s="4" t="n">
        <v>46293.5487731482</v>
      </c>
      <c r="D938" s="4" t="n">
        <v>203</v>
      </c>
    </row>
    <row r="939" customFormat="false" ht="15" hidden="false" customHeight="false" outlineLevel="0" collapsed="false">
      <c r="A939" s="4" t="s">
        <v>1380</v>
      </c>
      <c r="B939" s="4" t="s">
        <v>102</v>
      </c>
      <c r="C939" s="4" t="n">
        <v>46293.7984375</v>
      </c>
      <c r="D939" s="4" t="n">
        <v>204</v>
      </c>
    </row>
    <row r="940" customFormat="false" ht="15" hidden="false" customHeight="false" outlineLevel="0" collapsed="false">
      <c r="A940" s="4" t="s">
        <v>1385</v>
      </c>
      <c r="B940" s="4" t="s">
        <v>102</v>
      </c>
      <c r="C940" s="4" t="n">
        <v>46294.0503703704</v>
      </c>
      <c r="D940" s="4" t="n">
        <v>205</v>
      </c>
    </row>
    <row r="941" customFormat="false" ht="15" hidden="false" customHeight="false" outlineLevel="0" collapsed="false">
      <c r="A941" s="4" t="s">
        <v>1392</v>
      </c>
      <c r="B941" s="4" t="s">
        <v>102</v>
      </c>
      <c r="C941" s="4" t="n">
        <v>46294.2998958333</v>
      </c>
      <c r="D941" s="4" t="n">
        <v>206</v>
      </c>
    </row>
    <row r="942" customFormat="false" ht="15" hidden="false" customHeight="false" outlineLevel="0" collapsed="false">
      <c r="A942" s="4" t="s">
        <v>1397</v>
      </c>
      <c r="B942" s="4" t="s">
        <v>102</v>
      </c>
      <c r="C942" s="4" t="n">
        <v>46294.5501967593</v>
      </c>
      <c r="D942" s="4" t="n">
        <v>207</v>
      </c>
    </row>
    <row r="943" customFormat="false" ht="15" hidden="false" customHeight="false" outlineLevel="0" collapsed="false">
      <c r="A943" s="4" t="s">
        <v>1403</v>
      </c>
      <c r="B943" s="4" t="s">
        <v>102</v>
      </c>
      <c r="C943" s="4" t="n">
        <v>46294.8007060185</v>
      </c>
      <c r="D943" s="4" t="n">
        <v>208</v>
      </c>
    </row>
    <row r="944" customFormat="false" ht="15" hidden="false" customHeight="false" outlineLevel="0" collapsed="false">
      <c r="A944" s="4" t="s">
        <v>1408</v>
      </c>
      <c r="B944" s="4" t="s">
        <v>102</v>
      </c>
      <c r="C944" s="4" t="n">
        <v>46295.0485069445</v>
      </c>
      <c r="D944" s="4" t="n">
        <v>209</v>
      </c>
    </row>
    <row r="945" customFormat="false" ht="15" hidden="false" customHeight="false" outlineLevel="0" collapsed="false">
      <c r="A945" s="4" t="s">
        <v>1415</v>
      </c>
      <c r="B945" s="4" t="s">
        <v>102</v>
      </c>
      <c r="C945" s="4" t="n">
        <v>46295.3010185185</v>
      </c>
      <c r="D945" s="4" t="n">
        <v>210</v>
      </c>
    </row>
    <row r="946" customFormat="false" ht="15" hidden="false" customHeight="false" outlineLevel="0" collapsed="false">
      <c r="A946" s="4" t="s">
        <v>1420</v>
      </c>
      <c r="B946" s="4" t="s">
        <v>102</v>
      </c>
      <c r="C946" s="4" t="n">
        <v>46295.5490162037</v>
      </c>
      <c r="D946" s="4" t="n">
        <v>211</v>
      </c>
    </row>
    <row r="947" customFormat="false" ht="15" hidden="false" customHeight="false" outlineLevel="0" collapsed="false">
      <c r="A947" s="4" t="s">
        <v>1426</v>
      </c>
      <c r="B947" s="4" t="s">
        <v>102</v>
      </c>
      <c r="C947" s="4" t="n">
        <v>46295.8003935185</v>
      </c>
      <c r="D947" s="4" t="n">
        <v>212</v>
      </c>
    </row>
    <row r="948" customFormat="false" ht="15" hidden="false" customHeight="false" outlineLevel="0" collapsed="false">
      <c r="A948" s="4" t="s">
        <v>1431</v>
      </c>
      <c r="B948" s="4" t="s">
        <v>102</v>
      </c>
      <c r="C948" s="4" t="n">
        <v>46296.0493171296</v>
      </c>
      <c r="D948" s="4" t="n">
        <v>213</v>
      </c>
    </row>
    <row r="949" customFormat="false" ht="15" hidden="false" customHeight="false" outlineLevel="0" collapsed="false">
      <c r="A949" s="4" t="s">
        <v>1438</v>
      </c>
      <c r="B949" s="4" t="s">
        <v>102</v>
      </c>
      <c r="C949" s="4" t="n">
        <v>46296.2997916667</v>
      </c>
      <c r="D949" s="4" t="n">
        <v>214</v>
      </c>
    </row>
    <row r="950" customFormat="false" ht="15" hidden="false" customHeight="false" outlineLevel="0" collapsed="false">
      <c r="A950" s="4" t="s">
        <v>1443</v>
      </c>
      <c r="B950" s="4" t="s">
        <v>102</v>
      </c>
      <c r="C950" s="4" t="n">
        <v>46296.5491550926</v>
      </c>
      <c r="D950" s="4" t="n">
        <v>215</v>
      </c>
    </row>
    <row r="951" customFormat="false" ht="15" hidden="false" customHeight="false" outlineLevel="0" collapsed="false">
      <c r="A951" s="4" t="s">
        <v>1449</v>
      </c>
      <c r="B951" s="4" t="s">
        <v>102</v>
      </c>
      <c r="C951" s="4" t="n">
        <v>46296.7988657407</v>
      </c>
      <c r="D951" s="4" t="n">
        <v>216</v>
      </c>
    </row>
    <row r="952" customFormat="false" ht="15" hidden="false" customHeight="false" outlineLevel="0" collapsed="false">
      <c r="A952" s="4" t="s">
        <v>1454</v>
      </c>
      <c r="B952" s="4" t="s">
        <v>102</v>
      </c>
      <c r="C952" s="4" t="n">
        <v>46297.0507523148</v>
      </c>
      <c r="D952" s="4" t="n">
        <v>217</v>
      </c>
    </row>
    <row r="953" customFormat="false" ht="15" hidden="false" customHeight="false" outlineLevel="0" collapsed="false">
      <c r="A953" s="4" t="s">
        <v>1461</v>
      </c>
      <c r="B953" s="4" t="s">
        <v>102</v>
      </c>
      <c r="C953" s="4" t="n">
        <v>46297.2978587963</v>
      </c>
      <c r="D953" s="4" t="n">
        <v>218</v>
      </c>
    </row>
    <row r="954" customFormat="false" ht="15" hidden="false" customHeight="false" outlineLevel="0" collapsed="false">
      <c r="A954" s="4" t="s">
        <v>1466</v>
      </c>
      <c r="B954" s="4" t="s">
        <v>102</v>
      </c>
      <c r="C954" s="4" t="n">
        <v>46297.5491782407</v>
      </c>
      <c r="D954" s="4" t="n">
        <v>219</v>
      </c>
    </row>
    <row r="955" customFormat="false" ht="15" hidden="false" customHeight="false" outlineLevel="0" collapsed="false">
      <c r="A955" s="4" t="s">
        <v>1472</v>
      </c>
      <c r="B955" s="4" t="s">
        <v>102</v>
      </c>
      <c r="C955" s="4" t="n">
        <v>46297.7990856482</v>
      </c>
      <c r="D955" s="4" t="n">
        <v>220</v>
      </c>
    </row>
    <row r="956" customFormat="false" ht="15" hidden="false" customHeight="false" outlineLevel="0" collapsed="false">
      <c r="A956" s="4" t="s">
        <v>1477</v>
      </c>
      <c r="B956" s="4" t="s">
        <v>102</v>
      </c>
      <c r="C956" s="4" t="n">
        <v>46298.0481134259</v>
      </c>
      <c r="D956" s="4" t="n">
        <v>221</v>
      </c>
    </row>
    <row r="957" customFormat="false" ht="15" hidden="false" customHeight="false" outlineLevel="0" collapsed="false">
      <c r="A957" s="4" t="s">
        <v>1484</v>
      </c>
      <c r="B957" s="4" t="s">
        <v>102</v>
      </c>
      <c r="C957" s="4" t="n">
        <v>46298.2986111111</v>
      </c>
      <c r="D957" s="4" t="n">
        <v>222</v>
      </c>
    </row>
    <row r="958" customFormat="false" ht="15" hidden="false" customHeight="false" outlineLevel="0" collapsed="false">
      <c r="A958" s="4" t="s">
        <v>1489</v>
      </c>
      <c r="B958" s="4" t="s">
        <v>102</v>
      </c>
      <c r="C958" s="4" t="n">
        <v>46298.549849537</v>
      </c>
      <c r="D958" s="4" t="n">
        <v>223</v>
      </c>
    </row>
    <row r="959" customFormat="false" ht="15" hidden="false" customHeight="false" outlineLevel="0" collapsed="false">
      <c r="A959" s="4" t="s">
        <v>1495</v>
      </c>
      <c r="B959" s="4" t="s">
        <v>102</v>
      </c>
      <c r="C959" s="4" t="n">
        <v>46298.8005439815</v>
      </c>
      <c r="D959" s="4" t="n">
        <v>224</v>
      </c>
    </row>
    <row r="960" customFormat="false" ht="15" hidden="false" customHeight="false" outlineLevel="0" collapsed="false">
      <c r="A960" s="4" t="s">
        <v>1500</v>
      </c>
      <c r="B960" s="4" t="s">
        <v>102</v>
      </c>
      <c r="C960" s="4" t="n">
        <v>46299.0481828704</v>
      </c>
      <c r="D960" s="4" t="n">
        <v>225</v>
      </c>
    </row>
    <row r="961" customFormat="false" ht="15" hidden="false" customHeight="false" outlineLevel="0" collapsed="false">
      <c r="A961" s="4" t="s">
        <v>1507</v>
      </c>
      <c r="B961" s="4" t="s">
        <v>102</v>
      </c>
      <c r="C961" s="4" t="n">
        <v>46299.2975347222</v>
      </c>
      <c r="D961" s="4" t="n">
        <v>226</v>
      </c>
    </row>
    <row r="962" customFormat="false" ht="15" hidden="false" customHeight="false" outlineLevel="0" collapsed="false">
      <c r="A962" s="4" t="s">
        <v>1512</v>
      </c>
      <c r="B962" s="4" t="s">
        <v>102</v>
      </c>
      <c r="C962" s="4" t="n">
        <v>46299.5488078704</v>
      </c>
      <c r="D962" s="4" t="n">
        <v>227</v>
      </c>
    </row>
    <row r="963" customFormat="false" ht="15" hidden="false" customHeight="false" outlineLevel="0" collapsed="false">
      <c r="A963" s="4" t="s">
        <v>1518</v>
      </c>
      <c r="B963" s="4" t="s">
        <v>102</v>
      </c>
      <c r="C963" s="4" t="n">
        <v>46299.7990393519</v>
      </c>
      <c r="D963" s="4" t="n">
        <v>228</v>
      </c>
    </row>
    <row r="964" customFormat="false" ht="15" hidden="false" customHeight="false" outlineLevel="0" collapsed="false">
      <c r="A964" s="4" t="s">
        <v>208</v>
      </c>
      <c r="B964" s="4" t="s">
        <v>103</v>
      </c>
      <c r="C964" s="4" t="n">
        <v>46244.1314583333</v>
      </c>
      <c r="D964" s="4" t="n">
        <v>1</v>
      </c>
    </row>
    <row r="965" customFormat="false" ht="15" hidden="false" customHeight="false" outlineLevel="0" collapsed="false">
      <c r="A965" s="4" t="s">
        <v>215</v>
      </c>
      <c r="B965" s="4" t="s">
        <v>103</v>
      </c>
      <c r="C965" s="4" t="n">
        <v>46244.3842013889</v>
      </c>
      <c r="D965" s="4" t="n">
        <v>2</v>
      </c>
    </row>
    <row r="966" customFormat="false" ht="15" hidden="false" customHeight="false" outlineLevel="0" collapsed="false">
      <c r="A966" s="4" t="s">
        <v>220</v>
      </c>
      <c r="B966" s="4" t="s">
        <v>103</v>
      </c>
      <c r="C966" s="4" t="n">
        <v>46244.635150463</v>
      </c>
      <c r="D966" s="4" t="n">
        <v>3</v>
      </c>
    </row>
    <row r="967" customFormat="false" ht="15" hidden="false" customHeight="false" outlineLevel="0" collapsed="false">
      <c r="A967" s="4" t="s">
        <v>226</v>
      </c>
      <c r="B967" s="4" t="s">
        <v>103</v>
      </c>
      <c r="C967" s="4" t="n">
        <v>46244.8830902778</v>
      </c>
      <c r="D967" s="4" t="n">
        <v>4</v>
      </c>
    </row>
    <row r="968" customFormat="false" ht="15" hidden="false" customHeight="false" outlineLevel="0" collapsed="false">
      <c r="A968" s="4" t="s">
        <v>231</v>
      </c>
      <c r="B968" s="4" t="s">
        <v>103</v>
      </c>
      <c r="C968" s="4" t="n">
        <v>46245.1319675926</v>
      </c>
      <c r="D968" s="4" t="n">
        <v>5</v>
      </c>
    </row>
    <row r="969" customFormat="false" ht="15" hidden="false" customHeight="false" outlineLevel="0" collapsed="false">
      <c r="A969" s="4" t="s">
        <v>238</v>
      </c>
      <c r="B969" s="4" t="s">
        <v>103</v>
      </c>
      <c r="C969" s="4" t="n">
        <v>46245.3840277778</v>
      </c>
      <c r="D969" s="4" t="n">
        <v>6</v>
      </c>
    </row>
    <row r="970" customFormat="false" ht="15" hidden="false" customHeight="false" outlineLevel="0" collapsed="false">
      <c r="A970" s="4" t="s">
        <v>243</v>
      </c>
      <c r="B970" s="4" t="s">
        <v>103</v>
      </c>
      <c r="C970" s="4" t="n">
        <v>46245.6356828704</v>
      </c>
      <c r="D970" s="4" t="n">
        <v>7</v>
      </c>
    </row>
    <row r="971" customFormat="false" ht="15" hidden="false" customHeight="false" outlineLevel="0" collapsed="false">
      <c r="A971" s="4" t="s">
        <v>249</v>
      </c>
      <c r="B971" s="4" t="s">
        <v>103</v>
      </c>
      <c r="C971" s="4" t="n">
        <v>46245.8831365741</v>
      </c>
      <c r="D971" s="4" t="n">
        <v>8</v>
      </c>
    </row>
    <row r="972" customFormat="false" ht="15" hidden="false" customHeight="false" outlineLevel="0" collapsed="false">
      <c r="A972" s="4" t="s">
        <v>254</v>
      </c>
      <c r="B972" s="4" t="s">
        <v>103</v>
      </c>
      <c r="C972" s="4" t="n">
        <v>46246.1324537037</v>
      </c>
      <c r="D972" s="4" t="n">
        <v>9</v>
      </c>
    </row>
    <row r="973" customFormat="false" ht="15" hidden="false" customHeight="false" outlineLevel="0" collapsed="false">
      <c r="A973" s="4" t="s">
        <v>261</v>
      </c>
      <c r="B973" s="4" t="s">
        <v>103</v>
      </c>
      <c r="C973" s="4" t="n">
        <v>46246.3821990741</v>
      </c>
      <c r="D973" s="4" t="n">
        <v>10</v>
      </c>
    </row>
    <row r="974" customFormat="false" ht="15" hidden="false" customHeight="false" outlineLevel="0" collapsed="false">
      <c r="A974" s="4" t="s">
        <v>266</v>
      </c>
      <c r="B974" s="4" t="s">
        <v>103</v>
      </c>
      <c r="C974" s="4" t="n">
        <v>46246.633912037</v>
      </c>
      <c r="D974" s="4" t="n">
        <v>11</v>
      </c>
    </row>
    <row r="975" customFormat="false" ht="15" hidden="false" customHeight="false" outlineLevel="0" collapsed="false">
      <c r="A975" s="4" t="s">
        <v>272</v>
      </c>
      <c r="B975" s="4" t="s">
        <v>103</v>
      </c>
      <c r="C975" s="4" t="n">
        <v>46246.8823611111</v>
      </c>
      <c r="D975" s="4" t="n">
        <v>12</v>
      </c>
    </row>
    <row r="976" customFormat="false" ht="15" hidden="false" customHeight="false" outlineLevel="0" collapsed="false">
      <c r="A976" s="4" t="s">
        <v>277</v>
      </c>
      <c r="B976" s="4" t="s">
        <v>103</v>
      </c>
      <c r="C976" s="4" t="n">
        <v>46247.133587963</v>
      </c>
      <c r="D976" s="4" t="n">
        <v>13</v>
      </c>
    </row>
    <row r="977" customFormat="false" ht="15" hidden="false" customHeight="false" outlineLevel="0" collapsed="false">
      <c r="A977" s="4" t="s">
        <v>284</v>
      </c>
      <c r="B977" s="4" t="s">
        <v>103</v>
      </c>
      <c r="C977" s="4" t="n">
        <v>46247.3854282407</v>
      </c>
      <c r="D977" s="4" t="n">
        <v>14</v>
      </c>
    </row>
    <row r="978" customFormat="false" ht="15" hidden="false" customHeight="false" outlineLevel="0" collapsed="false">
      <c r="A978" s="4" t="s">
        <v>289</v>
      </c>
      <c r="B978" s="4" t="s">
        <v>103</v>
      </c>
      <c r="C978" s="4" t="n">
        <v>46247.6323958333</v>
      </c>
      <c r="D978" s="4" t="n">
        <v>15</v>
      </c>
    </row>
    <row r="979" customFormat="false" ht="15" hidden="false" customHeight="false" outlineLevel="0" collapsed="false">
      <c r="A979" s="4" t="s">
        <v>295</v>
      </c>
      <c r="B979" s="4" t="s">
        <v>103</v>
      </c>
      <c r="C979" s="4" t="n">
        <v>46247.8831597222</v>
      </c>
      <c r="D979" s="4" t="n">
        <v>16</v>
      </c>
    </row>
    <row r="980" customFormat="false" ht="15" hidden="false" customHeight="false" outlineLevel="0" collapsed="false">
      <c r="A980" s="4" t="s">
        <v>300</v>
      </c>
      <c r="B980" s="4" t="s">
        <v>103</v>
      </c>
      <c r="C980" s="4" t="n">
        <v>46248.1349768519</v>
      </c>
      <c r="D980" s="4" t="n">
        <v>17</v>
      </c>
    </row>
    <row r="981" customFormat="false" ht="15" hidden="false" customHeight="false" outlineLevel="0" collapsed="false">
      <c r="A981" s="4" t="s">
        <v>307</v>
      </c>
      <c r="B981" s="4" t="s">
        <v>103</v>
      </c>
      <c r="C981" s="4" t="n">
        <v>46248.3832407407</v>
      </c>
      <c r="D981" s="4" t="n">
        <v>18</v>
      </c>
    </row>
    <row r="982" customFormat="false" ht="15" hidden="false" customHeight="false" outlineLevel="0" collapsed="false">
      <c r="A982" s="4" t="s">
        <v>312</v>
      </c>
      <c r="B982" s="4" t="s">
        <v>103</v>
      </c>
      <c r="C982" s="4" t="n">
        <v>46248.6349421296</v>
      </c>
      <c r="D982" s="4" t="n">
        <v>19</v>
      </c>
    </row>
    <row r="983" customFormat="false" ht="15" hidden="false" customHeight="false" outlineLevel="0" collapsed="false">
      <c r="A983" s="4" t="s">
        <v>318</v>
      </c>
      <c r="B983" s="4" t="s">
        <v>103</v>
      </c>
      <c r="C983" s="4" t="n">
        <v>46248.884849537</v>
      </c>
      <c r="D983" s="4" t="n">
        <v>20</v>
      </c>
    </row>
    <row r="984" customFormat="false" ht="15" hidden="false" customHeight="false" outlineLevel="0" collapsed="false">
      <c r="A984" s="4" t="s">
        <v>323</v>
      </c>
      <c r="B984" s="4" t="s">
        <v>103</v>
      </c>
      <c r="C984" s="4" t="n">
        <v>46249.1349652778</v>
      </c>
      <c r="D984" s="4" t="n">
        <v>21</v>
      </c>
    </row>
    <row r="985" customFormat="false" ht="15" hidden="false" customHeight="false" outlineLevel="0" collapsed="false">
      <c r="A985" s="4" t="s">
        <v>330</v>
      </c>
      <c r="B985" s="4" t="s">
        <v>103</v>
      </c>
      <c r="C985" s="4" t="n">
        <v>46249.3812847222</v>
      </c>
      <c r="D985" s="4" t="n">
        <v>22</v>
      </c>
    </row>
    <row r="986" customFormat="false" ht="15" hidden="false" customHeight="false" outlineLevel="0" collapsed="false">
      <c r="A986" s="4" t="s">
        <v>335</v>
      </c>
      <c r="B986" s="4" t="s">
        <v>103</v>
      </c>
      <c r="C986" s="4" t="n">
        <v>46249.6344675926</v>
      </c>
      <c r="D986" s="4" t="n">
        <v>23</v>
      </c>
    </row>
    <row r="987" customFormat="false" ht="15" hidden="false" customHeight="false" outlineLevel="0" collapsed="false">
      <c r="A987" s="4" t="s">
        <v>341</v>
      </c>
      <c r="B987" s="4" t="s">
        <v>103</v>
      </c>
      <c r="C987" s="4" t="n">
        <v>46249.8835416667</v>
      </c>
      <c r="D987" s="4" t="n">
        <v>24</v>
      </c>
    </row>
    <row r="988" customFormat="false" ht="15" hidden="false" customHeight="false" outlineLevel="0" collapsed="false">
      <c r="A988" s="4" t="s">
        <v>346</v>
      </c>
      <c r="B988" s="4" t="s">
        <v>103</v>
      </c>
      <c r="C988" s="4" t="n">
        <v>46250.1351388889</v>
      </c>
      <c r="D988" s="4" t="n">
        <v>25</v>
      </c>
    </row>
    <row r="989" customFormat="false" ht="15" hidden="false" customHeight="false" outlineLevel="0" collapsed="false">
      <c r="A989" s="4" t="s">
        <v>353</v>
      </c>
      <c r="B989" s="4" t="s">
        <v>103</v>
      </c>
      <c r="C989" s="4" t="n">
        <v>46250.3843865741</v>
      </c>
      <c r="D989" s="4" t="n">
        <v>26</v>
      </c>
    </row>
    <row r="990" customFormat="false" ht="15" hidden="false" customHeight="false" outlineLevel="0" collapsed="false">
      <c r="A990" s="4" t="s">
        <v>358</v>
      </c>
      <c r="B990" s="4" t="s">
        <v>103</v>
      </c>
      <c r="C990" s="4" t="n">
        <v>46250.6351736111</v>
      </c>
      <c r="D990" s="4" t="n">
        <v>27</v>
      </c>
    </row>
    <row r="991" customFormat="false" ht="15" hidden="false" customHeight="false" outlineLevel="0" collapsed="false">
      <c r="A991" s="4" t="s">
        <v>364</v>
      </c>
      <c r="B991" s="4" t="s">
        <v>103</v>
      </c>
      <c r="C991" s="4" t="n">
        <v>46250.8820023148</v>
      </c>
      <c r="D991" s="4" t="n">
        <v>28</v>
      </c>
    </row>
    <row r="992" customFormat="false" ht="15" hidden="false" customHeight="false" outlineLevel="0" collapsed="false">
      <c r="A992" s="4" t="s">
        <v>369</v>
      </c>
      <c r="B992" s="4" t="s">
        <v>103</v>
      </c>
      <c r="C992" s="4" t="n">
        <v>46251.1324421296</v>
      </c>
      <c r="D992" s="4" t="n">
        <v>29</v>
      </c>
    </row>
    <row r="993" customFormat="false" ht="15" hidden="false" customHeight="false" outlineLevel="0" collapsed="false">
      <c r="A993" s="4" t="s">
        <v>379</v>
      </c>
      <c r="B993" s="4" t="s">
        <v>103</v>
      </c>
      <c r="C993" s="4" t="n">
        <v>46251.3829166667</v>
      </c>
      <c r="D993" s="4" t="n">
        <v>30</v>
      </c>
    </row>
    <row r="994" customFormat="false" ht="15" hidden="false" customHeight="false" outlineLevel="0" collapsed="false">
      <c r="A994" s="4" t="s">
        <v>384</v>
      </c>
      <c r="B994" s="4" t="s">
        <v>103</v>
      </c>
      <c r="C994" s="4" t="n">
        <v>46251.6346527778</v>
      </c>
      <c r="D994" s="4" t="n">
        <v>31</v>
      </c>
    </row>
    <row r="995" customFormat="false" ht="15" hidden="false" customHeight="false" outlineLevel="0" collapsed="false">
      <c r="A995" s="4" t="s">
        <v>390</v>
      </c>
      <c r="B995" s="4" t="s">
        <v>103</v>
      </c>
      <c r="C995" s="4" t="n">
        <v>46251.8840509259</v>
      </c>
      <c r="D995" s="4" t="n">
        <v>32</v>
      </c>
    </row>
    <row r="996" customFormat="false" ht="15" hidden="false" customHeight="false" outlineLevel="0" collapsed="false">
      <c r="A996" s="4" t="s">
        <v>395</v>
      </c>
      <c r="B996" s="4" t="s">
        <v>103</v>
      </c>
      <c r="C996" s="4" t="n">
        <v>46252.1315162037</v>
      </c>
      <c r="D996" s="4" t="n">
        <v>33</v>
      </c>
    </row>
    <row r="997" customFormat="false" ht="15" hidden="false" customHeight="false" outlineLevel="0" collapsed="false">
      <c r="A997" s="4" t="s">
        <v>402</v>
      </c>
      <c r="B997" s="4" t="s">
        <v>103</v>
      </c>
      <c r="C997" s="4" t="n">
        <v>46252.3848726852</v>
      </c>
      <c r="D997" s="4" t="n">
        <v>34</v>
      </c>
    </row>
    <row r="998" customFormat="false" ht="15" hidden="false" customHeight="false" outlineLevel="0" collapsed="false">
      <c r="A998" s="4" t="s">
        <v>407</v>
      </c>
      <c r="B998" s="4" t="s">
        <v>103</v>
      </c>
      <c r="C998" s="4" t="n">
        <v>46252.6326157407</v>
      </c>
      <c r="D998" s="4" t="n">
        <v>35</v>
      </c>
    </row>
    <row r="999" customFormat="false" ht="15" hidden="false" customHeight="false" outlineLevel="0" collapsed="false">
      <c r="A999" s="4" t="s">
        <v>413</v>
      </c>
      <c r="B999" s="4" t="s">
        <v>103</v>
      </c>
      <c r="C999" s="4" t="n">
        <v>46252.8838773148</v>
      </c>
      <c r="D999" s="4" t="n">
        <v>36</v>
      </c>
    </row>
    <row r="1000" customFormat="false" ht="15" hidden="false" customHeight="false" outlineLevel="0" collapsed="false">
      <c r="A1000" s="4" t="s">
        <v>418</v>
      </c>
      <c r="B1000" s="4" t="s">
        <v>103</v>
      </c>
      <c r="C1000" s="4" t="n">
        <v>46253.135775463</v>
      </c>
      <c r="D1000" s="4" t="n">
        <v>37</v>
      </c>
    </row>
    <row r="1001" customFormat="false" ht="15" hidden="false" customHeight="false" outlineLevel="0" collapsed="false">
      <c r="A1001" s="4" t="s">
        <v>424</v>
      </c>
      <c r="B1001" s="4" t="s">
        <v>103</v>
      </c>
      <c r="C1001" s="4" t="n">
        <v>46253.3832523148</v>
      </c>
      <c r="D1001" s="4" t="n">
        <v>38</v>
      </c>
    </row>
    <row r="1002" customFormat="false" ht="15" hidden="false" customHeight="false" outlineLevel="0" collapsed="false">
      <c r="A1002" s="4" t="s">
        <v>427</v>
      </c>
      <c r="B1002" s="4" t="s">
        <v>103</v>
      </c>
      <c r="C1002" s="4" t="n">
        <v>46253.4639236111</v>
      </c>
      <c r="D1002" s="4" t="n">
        <v>39</v>
      </c>
    </row>
    <row r="1003" customFormat="false" ht="15" hidden="false" customHeight="false" outlineLevel="0" collapsed="false">
      <c r="A1003" s="4" t="s">
        <v>432</v>
      </c>
      <c r="B1003" s="4" t="s">
        <v>103</v>
      </c>
      <c r="C1003" s="4" t="n">
        <v>46253.6348032407</v>
      </c>
      <c r="D1003" s="4" t="n">
        <v>40</v>
      </c>
    </row>
    <row r="1004" customFormat="false" ht="15" hidden="false" customHeight="false" outlineLevel="0" collapsed="false">
      <c r="A1004" s="4" t="s">
        <v>438</v>
      </c>
      <c r="B1004" s="4" t="s">
        <v>103</v>
      </c>
      <c r="C1004" s="4" t="n">
        <v>46253.8836689815</v>
      </c>
      <c r="D1004" s="4" t="n">
        <v>41</v>
      </c>
    </row>
    <row r="1005" customFormat="false" ht="15" hidden="false" customHeight="false" outlineLevel="0" collapsed="false">
      <c r="A1005" s="4" t="s">
        <v>443</v>
      </c>
      <c r="B1005" s="4" t="s">
        <v>103</v>
      </c>
      <c r="C1005" s="4" t="n">
        <v>46254.1335763889</v>
      </c>
      <c r="D1005" s="4" t="n">
        <v>42</v>
      </c>
    </row>
    <row r="1006" customFormat="false" ht="15" hidden="false" customHeight="false" outlineLevel="0" collapsed="false">
      <c r="A1006" s="4" t="s">
        <v>450</v>
      </c>
      <c r="B1006" s="4" t="s">
        <v>103</v>
      </c>
      <c r="C1006" s="4" t="n">
        <v>46254.3850115741</v>
      </c>
      <c r="D1006" s="4" t="n">
        <v>43</v>
      </c>
    </row>
    <row r="1007" customFormat="false" ht="15" hidden="false" customHeight="false" outlineLevel="0" collapsed="false">
      <c r="A1007" s="4" t="s">
        <v>455</v>
      </c>
      <c r="B1007" s="4" t="s">
        <v>103</v>
      </c>
      <c r="C1007" s="4" t="n">
        <v>46254.6334953704</v>
      </c>
      <c r="D1007" s="4" t="n">
        <v>44</v>
      </c>
    </row>
    <row r="1008" customFormat="false" ht="15" hidden="false" customHeight="false" outlineLevel="0" collapsed="false">
      <c r="A1008" s="4" t="s">
        <v>461</v>
      </c>
      <c r="B1008" s="4" t="s">
        <v>103</v>
      </c>
      <c r="C1008" s="4" t="n">
        <v>46254.8830902778</v>
      </c>
      <c r="D1008" s="4" t="n">
        <v>45</v>
      </c>
    </row>
    <row r="1009" customFormat="false" ht="15" hidden="false" customHeight="false" outlineLevel="0" collapsed="false">
      <c r="A1009" s="4" t="s">
        <v>466</v>
      </c>
      <c r="B1009" s="4" t="s">
        <v>103</v>
      </c>
      <c r="C1009" s="4" t="n">
        <v>46255.1326967593</v>
      </c>
      <c r="D1009" s="4" t="n">
        <v>46</v>
      </c>
    </row>
    <row r="1010" customFormat="false" ht="15" hidden="false" customHeight="false" outlineLevel="0" collapsed="false">
      <c r="A1010" s="4" t="s">
        <v>473</v>
      </c>
      <c r="B1010" s="4" t="s">
        <v>103</v>
      </c>
      <c r="C1010" s="4" t="n">
        <v>46255.3846875</v>
      </c>
      <c r="D1010" s="4" t="n">
        <v>47</v>
      </c>
    </row>
    <row r="1011" customFormat="false" ht="15" hidden="false" customHeight="false" outlineLevel="0" collapsed="false">
      <c r="A1011" s="4" t="s">
        <v>478</v>
      </c>
      <c r="B1011" s="4" t="s">
        <v>103</v>
      </c>
      <c r="C1011" s="4" t="n">
        <v>46255.6332175926</v>
      </c>
      <c r="D1011" s="4" t="n">
        <v>48</v>
      </c>
    </row>
    <row r="1012" customFormat="false" ht="15" hidden="false" customHeight="false" outlineLevel="0" collapsed="false">
      <c r="A1012" s="4" t="s">
        <v>484</v>
      </c>
      <c r="B1012" s="4" t="s">
        <v>103</v>
      </c>
      <c r="C1012" s="4" t="n">
        <v>46255.8833796296</v>
      </c>
      <c r="D1012" s="4" t="n">
        <v>49</v>
      </c>
    </row>
    <row r="1013" customFormat="false" ht="15" hidden="false" customHeight="false" outlineLevel="0" collapsed="false">
      <c r="A1013" s="4" t="s">
        <v>489</v>
      </c>
      <c r="B1013" s="4" t="s">
        <v>103</v>
      </c>
      <c r="C1013" s="4" t="n">
        <v>46256.1330439815</v>
      </c>
      <c r="D1013" s="4" t="n">
        <v>50</v>
      </c>
    </row>
    <row r="1014" customFormat="false" ht="15" hidden="false" customHeight="false" outlineLevel="0" collapsed="false">
      <c r="A1014" s="4" t="s">
        <v>497</v>
      </c>
      <c r="B1014" s="4" t="s">
        <v>103</v>
      </c>
      <c r="C1014" s="4" t="n">
        <v>46256.3850115741</v>
      </c>
      <c r="D1014" s="4" t="n">
        <v>51</v>
      </c>
    </row>
    <row r="1015" customFormat="false" ht="15" hidden="false" customHeight="false" outlineLevel="0" collapsed="false">
      <c r="A1015" s="4" t="s">
        <v>502</v>
      </c>
      <c r="B1015" s="4" t="s">
        <v>103</v>
      </c>
      <c r="C1015" s="4" t="n">
        <v>46256.6331597222</v>
      </c>
      <c r="D1015" s="4" t="n">
        <v>52</v>
      </c>
    </row>
    <row r="1016" customFormat="false" ht="15" hidden="false" customHeight="false" outlineLevel="0" collapsed="false">
      <c r="A1016" s="4" t="s">
        <v>508</v>
      </c>
      <c r="B1016" s="4" t="s">
        <v>103</v>
      </c>
      <c r="C1016" s="4" t="n">
        <v>46256.8841203704</v>
      </c>
      <c r="D1016" s="4" t="n">
        <v>53</v>
      </c>
    </row>
    <row r="1017" customFormat="false" ht="15" hidden="false" customHeight="false" outlineLevel="0" collapsed="false">
      <c r="A1017" s="4" t="s">
        <v>513</v>
      </c>
      <c r="B1017" s="4" t="s">
        <v>103</v>
      </c>
      <c r="C1017" s="4" t="n">
        <v>46257.1336342593</v>
      </c>
      <c r="D1017" s="4" t="n">
        <v>54</v>
      </c>
    </row>
    <row r="1018" customFormat="false" ht="15" hidden="false" customHeight="false" outlineLevel="0" collapsed="false">
      <c r="A1018" s="4" t="s">
        <v>520</v>
      </c>
      <c r="B1018" s="4" t="s">
        <v>103</v>
      </c>
      <c r="C1018" s="4" t="n">
        <v>46257.3836111111</v>
      </c>
      <c r="D1018" s="4" t="n">
        <v>55</v>
      </c>
    </row>
    <row r="1019" customFormat="false" ht="15" hidden="false" customHeight="false" outlineLevel="0" collapsed="false">
      <c r="A1019" s="4" t="s">
        <v>525</v>
      </c>
      <c r="B1019" s="4" t="s">
        <v>103</v>
      </c>
      <c r="C1019" s="4" t="n">
        <v>46257.6344444445</v>
      </c>
      <c r="D1019" s="4" t="n">
        <v>56</v>
      </c>
    </row>
    <row r="1020" customFormat="false" ht="15" hidden="false" customHeight="false" outlineLevel="0" collapsed="false">
      <c r="A1020" s="4" t="s">
        <v>531</v>
      </c>
      <c r="B1020" s="4" t="s">
        <v>103</v>
      </c>
      <c r="C1020" s="4" t="n">
        <v>46257.8819560185</v>
      </c>
      <c r="D1020" s="4" t="n">
        <v>57</v>
      </c>
    </row>
    <row r="1021" customFormat="false" ht="15" hidden="false" customHeight="false" outlineLevel="0" collapsed="false">
      <c r="A1021" s="4" t="s">
        <v>536</v>
      </c>
      <c r="B1021" s="4" t="s">
        <v>103</v>
      </c>
      <c r="C1021" s="4" t="n">
        <v>46258.1324074074</v>
      </c>
      <c r="D1021" s="4" t="n">
        <v>58</v>
      </c>
    </row>
    <row r="1022" customFormat="false" ht="15" hidden="false" customHeight="false" outlineLevel="0" collapsed="false">
      <c r="A1022" s="4" t="s">
        <v>543</v>
      </c>
      <c r="B1022" s="4" t="s">
        <v>103</v>
      </c>
      <c r="C1022" s="4" t="n">
        <v>46258.3853009259</v>
      </c>
      <c r="D1022" s="4" t="n">
        <v>59</v>
      </c>
    </row>
    <row r="1023" customFormat="false" ht="15" hidden="false" customHeight="false" outlineLevel="0" collapsed="false">
      <c r="A1023" s="4" t="s">
        <v>548</v>
      </c>
      <c r="B1023" s="4" t="s">
        <v>103</v>
      </c>
      <c r="C1023" s="4" t="n">
        <v>46258.6322800926</v>
      </c>
      <c r="D1023" s="4" t="n">
        <v>60</v>
      </c>
    </row>
    <row r="1024" customFormat="false" ht="15" hidden="false" customHeight="false" outlineLevel="0" collapsed="false">
      <c r="A1024" s="4" t="s">
        <v>554</v>
      </c>
      <c r="B1024" s="4" t="s">
        <v>103</v>
      </c>
      <c r="C1024" s="4" t="n">
        <v>46258.8847222222</v>
      </c>
      <c r="D1024" s="4" t="n">
        <v>61</v>
      </c>
    </row>
    <row r="1025" customFormat="false" ht="15" hidden="false" customHeight="false" outlineLevel="0" collapsed="false">
      <c r="A1025" s="4" t="s">
        <v>560</v>
      </c>
      <c r="B1025" s="4" t="s">
        <v>103</v>
      </c>
      <c r="C1025" s="4" t="n">
        <v>46259.1341319445</v>
      </c>
      <c r="D1025" s="4" t="n">
        <v>62</v>
      </c>
    </row>
    <row r="1026" customFormat="false" ht="15" hidden="false" customHeight="false" outlineLevel="0" collapsed="false">
      <c r="A1026" s="4" t="s">
        <v>567</v>
      </c>
      <c r="B1026" s="4" t="s">
        <v>103</v>
      </c>
      <c r="C1026" s="4" t="n">
        <v>46259.3821064815</v>
      </c>
      <c r="D1026" s="4" t="n">
        <v>63</v>
      </c>
    </row>
    <row r="1027" customFormat="false" ht="15" hidden="false" customHeight="false" outlineLevel="0" collapsed="false">
      <c r="A1027" s="4" t="s">
        <v>572</v>
      </c>
      <c r="B1027" s="4" t="s">
        <v>103</v>
      </c>
      <c r="C1027" s="4" t="n">
        <v>46259.633599537</v>
      </c>
      <c r="D1027" s="4" t="n">
        <v>64</v>
      </c>
    </row>
    <row r="1028" customFormat="false" ht="15" hidden="false" customHeight="false" outlineLevel="0" collapsed="false">
      <c r="A1028" s="4" t="s">
        <v>579</v>
      </c>
      <c r="B1028" s="4" t="s">
        <v>103</v>
      </c>
      <c r="C1028" s="4" t="n">
        <v>46259.8839699074</v>
      </c>
      <c r="D1028" s="4" t="n">
        <v>65</v>
      </c>
    </row>
    <row r="1029" customFormat="false" ht="15" hidden="false" customHeight="false" outlineLevel="0" collapsed="false">
      <c r="A1029" s="4" t="s">
        <v>584</v>
      </c>
      <c r="B1029" s="4" t="s">
        <v>103</v>
      </c>
      <c r="C1029" s="4" t="n">
        <v>46260.1330208333</v>
      </c>
      <c r="D1029" s="4" t="n">
        <v>66</v>
      </c>
    </row>
    <row r="1030" customFormat="false" ht="15" hidden="false" customHeight="false" outlineLevel="0" collapsed="false">
      <c r="A1030" s="4" t="s">
        <v>591</v>
      </c>
      <c r="B1030" s="4" t="s">
        <v>103</v>
      </c>
      <c r="C1030" s="4" t="n">
        <v>46260.3829050926</v>
      </c>
      <c r="D1030" s="4" t="n">
        <v>67</v>
      </c>
    </row>
    <row r="1031" customFormat="false" ht="15" hidden="false" customHeight="false" outlineLevel="0" collapsed="false">
      <c r="A1031" s="4" t="s">
        <v>596</v>
      </c>
      <c r="B1031" s="4" t="s">
        <v>103</v>
      </c>
      <c r="C1031" s="4" t="n">
        <v>46260.6330092593</v>
      </c>
      <c r="D1031" s="4" t="n">
        <v>68</v>
      </c>
    </row>
    <row r="1032" customFormat="false" ht="15" hidden="false" customHeight="false" outlineLevel="0" collapsed="false">
      <c r="A1032" s="4" t="s">
        <v>602</v>
      </c>
      <c r="B1032" s="4" t="s">
        <v>103</v>
      </c>
      <c r="C1032" s="4" t="n">
        <v>46260.8839467593</v>
      </c>
      <c r="D1032" s="4" t="n">
        <v>69</v>
      </c>
    </row>
    <row r="1033" customFormat="false" ht="15" hidden="false" customHeight="false" outlineLevel="0" collapsed="false">
      <c r="A1033" s="4" t="s">
        <v>607</v>
      </c>
      <c r="B1033" s="4" t="s">
        <v>103</v>
      </c>
      <c r="C1033" s="4" t="n">
        <v>46261.1338657407</v>
      </c>
      <c r="D1033" s="4" t="n">
        <v>70</v>
      </c>
    </row>
    <row r="1034" customFormat="false" ht="15" hidden="false" customHeight="false" outlineLevel="0" collapsed="false">
      <c r="A1034" s="4" t="s">
        <v>614</v>
      </c>
      <c r="B1034" s="4" t="s">
        <v>103</v>
      </c>
      <c r="C1034" s="4" t="n">
        <v>46261.3821296296</v>
      </c>
      <c r="D1034" s="4" t="n">
        <v>71</v>
      </c>
    </row>
    <row r="1035" customFormat="false" ht="15" hidden="false" customHeight="false" outlineLevel="0" collapsed="false">
      <c r="A1035" s="4" t="s">
        <v>619</v>
      </c>
      <c r="B1035" s="4" t="s">
        <v>103</v>
      </c>
      <c r="C1035" s="4" t="n">
        <v>46261.6339583333</v>
      </c>
      <c r="D1035" s="4" t="n">
        <v>72</v>
      </c>
    </row>
    <row r="1036" customFormat="false" ht="15" hidden="false" customHeight="false" outlineLevel="0" collapsed="false">
      <c r="A1036" s="4" t="s">
        <v>626</v>
      </c>
      <c r="B1036" s="4" t="s">
        <v>103</v>
      </c>
      <c r="C1036" s="4" t="n">
        <v>46261.8838888889</v>
      </c>
      <c r="D1036" s="4" t="n">
        <v>73</v>
      </c>
    </row>
    <row r="1037" customFormat="false" ht="15" hidden="false" customHeight="false" outlineLevel="0" collapsed="false">
      <c r="A1037" s="4" t="s">
        <v>631</v>
      </c>
      <c r="B1037" s="4" t="s">
        <v>103</v>
      </c>
      <c r="C1037" s="4" t="n">
        <v>46262.1332986111</v>
      </c>
      <c r="D1037" s="4" t="n">
        <v>74</v>
      </c>
    </row>
    <row r="1038" customFormat="false" ht="15" hidden="false" customHeight="false" outlineLevel="0" collapsed="false">
      <c r="A1038" s="4" t="s">
        <v>638</v>
      </c>
      <c r="B1038" s="4" t="s">
        <v>103</v>
      </c>
      <c r="C1038" s="4" t="n">
        <v>46262.3857175926</v>
      </c>
      <c r="D1038" s="4" t="n">
        <v>75</v>
      </c>
    </row>
    <row r="1039" customFormat="false" ht="15" hidden="false" customHeight="false" outlineLevel="0" collapsed="false">
      <c r="A1039" s="4" t="s">
        <v>643</v>
      </c>
      <c r="B1039" s="4" t="s">
        <v>103</v>
      </c>
      <c r="C1039" s="4" t="n">
        <v>46262.6350115741</v>
      </c>
      <c r="D1039" s="4" t="n">
        <v>76</v>
      </c>
    </row>
    <row r="1040" customFormat="false" ht="15" hidden="false" customHeight="false" outlineLevel="0" collapsed="false">
      <c r="A1040" s="4" t="s">
        <v>649</v>
      </c>
      <c r="B1040" s="4" t="s">
        <v>103</v>
      </c>
      <c r="C1040" s="4" t="n">
        <v>46262.8833217593</v>
      </c>
      <c r="D1040" s="4" t="n">
        <v>77</v>
      </c>
    </row>
    <row r="1041" customFormat="false" ht="15" hidden="false" customHeight="false" outlineLevel="0" collapsed="false">
      <c r="A1041" s="4" t="s">
        <v>654</v>
      </c>
      <c r="B1041" s="4" t="s">
        <v>103</v>
      </c>
      <c r="C1041" s="4" t="n">
        <v>46263.1320023148</v>
      </c>
      <c r="D1041" s="4" t="n">
        <v>78</v>
      </c>
    </row>
    <row r="1042" customFormat="false" ht="15" hidden="false" customHeight="false" outlineLevel="0" collapsed="false">
      <c r="A1042" s="4" t="s">
        <v>662</v>
      </c>
      <c r="B1042" s="4" t="s">
        <v>103</v>
      </c>
      <c r="C1042" s="4" t="n">
        <v>46263.3971875</v>
      </c>
      <c r="D1042" s="4" t="n">
        <v>79</v>
      </c>
    </row>
    <row r="1043" customFormat="false" ht="15" hidden="false" customHeight="false" outlineLevel="0" collapsed="false">
      <c r="A1043" s="4" t="s">
        <v>667</v>
      </c>
      <c r="B1043" s="4" t="s">
        <v>103</v>
      </c>
      <c r="C1043" s="4" t="n">
        <v>46263.633599537</v>
      </c>
      <c r="D1043" s="4" t="n">
        <v>80</v>
      </c>
    </row>
    <row r="1044" customFormat="false" ht="15" hidden="false" customHeight="false" outlineLevel="0" collapsed="false">
      <c r="A1044" s="4" t="s">
        <v>673</v>
      </c>
      <c r="B1044" s="4" t="s">
        <v>103</v>
      </c>
      <c r="C1044" s="4" t="n">
        <v>46263.8845949074</v>
      </c>
      <c r="D1044" s="4" t="n">
        <v>81</v>
      </c>
    </row>
    <row r="1045" customFormat="false" ht="15" hidden="false" customHeight="false" outlineLevel="0" collapsed="false">
      <c r="A1045" s="4" t="s">
        <v>678</v>
      </c>
      <c r="B1045" s="4" t="s">
        <v>103</v>
      </c>
      <c r="C1045" s="4" t="n">
        <v>46264.1332638889</v>
      </c>
      <c r="D1045" s="4" t="n">
        <v>82</v>
      </c>
    </row>
    <row r="1046" customFormat="false" ht="15" hidden="false" customHeight="false" outlineLevel="0" collapsed="false">
      <c r="A1046" s="4" t="s">
        <v>685</v>
      </c>
      <c r="B1046" s="4" t="s">
        <v>103</v>
      </c>
      <c r="C1046" s="4" t="n">
        <v>46264.3825694445</v>
      </c>
      <c r="D1046" s="4" t="n">
        <v>83</v>
      </c>
    </row>
    <row r="1047" customFormat="false" ht="15" hidden="false" customHeight="false" outlineLevel="0" collapsed="false">
      <c r="A1047" s="4" t="s">
        <v>692</v>
      </c>
      <c r="B1047" s="4" t="s">
        <v>103</v>
      </c>
      <c r="C1047" s="4" t="n">
        <v>46264.6348263889</v>
      </c>
      <c r="D1047" s="4" t="n">
        <v>84</v>
      </c>
    </row>
    <row r="1048" customFormat="false" ht="15" hidden="false" customHeight="false" outlineLevel="0" collapsed="false">
      <c r="A1048" s="4" t="s">
        <v>698</v>
      </c>
      <c r="B1048" s="4" t="s">
        <v>103</v>
      </c>
      <c r="C1048" s="4" t="n">
        <v>46264.8812152778</v>
      </c>
      <c r="D1048" s="4" t="n">
        <v>85</v>
      </c>
    </row>
    <row r="1049" customFormat="false" ht="15" hidden="false" customHeight="false" outlineLevel="0" collapsed="false">
      <c r="A1049" s="4" t="s">
        <v>703</v>
      </c>
      <c r="B1049" s="4" t="s">
        <v>103</v>
      </c>
      <c r="C1049" s="4" t="n">
        <v>46265.1332407407</v>
      </c>
      <c r="D1049" s="4" t="n">
        <v>86</v>
      </c>
    </row>
    <row r="1050" customFormat="false" ht="15" hidden="false" customHeight="false" outlineLevel="0" collapsed="false">
      <c r="A1050" s="4" t="s">
        <v>710</v>
      </c>
      <c r="B1050" s="4" t="s">
        <v>103</v>
      </c>
      <c r="C1050" s="4" t="n">
        <v>46265.3821643519</v>
      </c>
      <c r="D1050" s="4" t="n">
        <v>87</v>
      </c>
    </row>
    <row r="1051" customFormat="false" ht="15" hidden="false" customHeight="false" outlineLevel="0" collapsed="false">
      <c r="A1051" s="4" t="s">
        <v>714</v>
      </c>
      <c r="B1051" s="4" t="s">
        <v>103</v>
      </c>
      <c r="C1051" s="4" t="n">
        <v>46265.6341782407</v>
      </c>
      <c r="D1051" s="4" t="n">
        <v>88</v>
      </c>
    </row>
    <row r="1052" customFormat="false" ht="15" hidden="false" customHeight="false" outlineLevel="0" collapsed="false">
      <c r="A1052" s="4" t="s">
        <v>721</v>
      </c>
      <c r="B1052" s="4" t="s">
        <v>103</v>
      </c>
      <c r="C1052" s="4" t="n">
        <v>46265.8836342593</v>
      </c>
      <c r="D1052" s="4" t="n">
        <v>89</v>
      </c>
    </row>
    <row r="1053" customFormat="false" ht="15" hidden="false" customHeight="false" outlineLevel="0" collapsed="false">
      <c r="A1053" s="4" t="s">
        <v>726</v>
      </c>
      <c r="B1053" s="4" t="s">
        <v>103</v>
      </c>
      <c r="C1053" s="4" t="n">
        <v>46266.132349537</v>
      </c>
      <c r="D1053" s="4" t="n">
        <v>90</v>
      </c>
    </row>
    <row r="1054" customFormat="false" ht="15" hidden="false" customHeight="false" outlineLevel="0" collapsed="false">
      <c r="A1054" s="4" t="s">
        <v>733</v>
      </c>
      <c r="B1054" s="4" t="s">
        <v>103</v>
      </c>
      <c r="C1054" s="4" t="n">
        <v>46266.3826851852</v>
      </c>
      <c r="D1054" s="4" t="n">
        <v>91</v>
      </c>
    </row>
    <row r="1055" customFormat="false" ht="15" hidden="false" customHeight="false" outlineLevel="0" collapsed="false">
      <c r="A1055" s="4" t="s">
        <v>738</v>
      </c>
      <c r="B1055" s="4" t="s">
        <v>103</v>
      </c>
      <c r="C1055" s="4" t="n">
        <v>46266.6343981482</v>
      </c>
      <c r="D1055" s="4" t="n">
        <v>92</v>
      </c>
    </row>
    <row r="1056" customFormat="false" ht="15" hidden="false" customHeight="false" outlineLevel="0" collapsed="false">
      <c r="A1056" s="4" t="s">
        <v>744</v>
      </c>
      <c r="B1056" s="4" t="s">
        <v>103</v>
      </c>
      <c r="C1056" s="4" t="n">
        <v>46266.8834027778</v>
      </c>
      <c r="D1056" s="4" t="n">
        <v>93</v>
      </c>
    </row>
    <row r="1057" customFormat="false" ht="15" hidden="false" customHeight="false" outlineLevel="0" collapsed="false">
      <c r="A1057" s="4" t="s">
        <v>749</v>
      </c>
      <c r="B1057" s="4" t="s">
        <v>103</v>
      </c>
      <c r="C1057" s="4" t="n">
        <v>46267.132337963</v>
      </c>
      <c r="D1057" s="4" t="n">
        <v>94</v>
      </c>
    </row>
    <row r="1058" customFormat="false" ht="15" hidden="false" customHeight="false" outlineLevel="0" collapsed="false">
      <c r="A1058" s="4" t="s">
        <v>756</v>
      </c>
      <c r="B1058" s="4" t="s">
        <v>103</v>
      </c>
      <c r="C1058" s="4" t="n">
        <v>46267.3846875</v>
      </c>
      <c r="D1058" s="4" t="n">
        <v>95</v>
      </c>
    </row>
    <row r="1059" customFormat="false" ht="15" hidden="false" customHeight="false" outlineLevel="0" collapsed="false">
      <c r="A1059" s="4" t="s">
        <v>761</v>
      </c>
      <c r="B1059" s="4" t="s">
        <v>103</v>
      </c>
      <c r="C1059" s="4" t="n">
        <v>46267.6342939815</v>
      </c>
      <c r="D1059" s="4" t="n">
        <v>96</v>
      </c>
    </row>
    <row r="1060" customFormat="false" ht="15" hidden="false" customHeight="false" outlineLevel="0" collapsed="false">
      <c r="A1060" s="4" t="s">
        <v>767</v>
      </c>
      <c r="B1060" s="4" t="s">
        <v>103</v>
      </c>
      <c r="C1060" s="4" t="n">
        <v>46267.8838888889</v>
      </c>
      <c r="D1060" s="4" t="n">
        <v>97</v>
      </c>
    </row>
    <row r="1061" customFormat="false" ht="15" hidden="false" customHeight="false" outlineLevel="0" collapsed="false">
      <c r="A1061" s="4" t="s">
        <v>772</v>
      </c>
      <c r="B1061" s="4" t="s">
        <v>103</v>
      </c>
      <c r="C1061" s="4" t="n">
        <v>46268.1349537037</v>
      </c>
      <c r="D1061" s="4" t="n">
        <v>98</v>
      </c>
    </row>
    <row r="1062" customFormat="false" ht="15" hidden="false" customHeight="false" outlineLevel="0" collapsed="false">
      <c r="A1062" s="4" t="s">
        <v>779</v>
      </c>
      <c r="B1062" s="4" t="s">
        <v>103</v>
      </c>
      <c r="C1062" s="4" t="n">
        <v>46268.3818171296</v>
      </c>
      <c r="D1062" s="4" t="n">
        <v>99</v>
      </c>
    </row>
    <row r="1063" customFormat="false" ht="15" hidden="false" customHeight="false" outlineLevel="0" collapsed="false">
      <c r="A1063" s="4" t="s">
        <v>784</v>
      </c>
      <c r="B1063" s="4" t="s">
        <v>103</v>
      </c>
      <c r="C1063" s="4" t="n">
        <v>46268.6321990741</v>
      </c>
      <c r="D1063" s="4" t="n">
        <v>100</v>
      </c>
    </row>
    <row r="1064" customFormat="false" ht="15" hidden="false" customHeight="false" outlineLevel="0" collapsed="false">
      <c r="A1064" s="4" t="s">
        <v>790</v>
      </c>
      <c r="B1064" s="4" t="s">
        <v>103</v>
      </c>
      <c r="C1064" s="4" t="n">
        <v>46268.883900463</v>
      </c>
      <c r="D1064" s="4" t="n">
        <v>101</v>
      </c>
    </row>
    <row r="1065" customFormat="false" ht="15" hidden="false" customHeight="false" outlineLevel="0" collapsed="false">
      <c r="A1065" s="4" t="s">
        <v>795</v>
      </c>
      <c r="B1065" s="4" t="s">
        <v>103</v>
      </c>
      <c r="C1065" s="4" t="n">
        <v>46269.1321759259</v>
      </c>
      <c r="D1065" s="4" t="n">
        <v>102</v>
      </c>
    </row>
    <row r="1066" customFormat="false" ht="15" hidden="false" customHeight="false" outlineLevel="0" collapsed="false">
      <c r="A1066" s="4" t="s">
        <v>802</v>
      </c>
      <c r="B1066" s="4" t="s">
        <v>103</v>
      </c>
      <c r="C1066" s="4" t="n">
        <v>46269.3846875</v>
      </c>
      <c r="D1066" s="4" t="n">
        <v>103</v>
      </c>
    </row>
    <row r="1067" customFormat="false" ht="15" hidden="false" customHeight="false" outlineLevel="0" collapsed="false">
      <c r="A1067" s="4" t="s">
        <v>808</v>
      </c>
      <c r="B1067" s="4" t="s">
        <v>103</v>
      </c>
      <c r="C1067" s="4" t="n">
        <v>46269.6333680556</v>
      </c>
      <c r="D1067" s="4" t="n">
        <v>104</v>
      </c>
    </row>
    <row r="1068" customFormat="false" ht="15" hidden="false" customHeight="false" outlineLevel="0" collapsed="false">
      <c r="A1068" s="4" t="s">
        <v>814</v>
      </c>
      <c r="B1068" s="4" t="s">
        <v>103</v>
      </c>
      <c r="C1068" s="4" t="n">
        <v>46269.8823032407</v>
      </c>
      <c r="D1068" s="4" t="n">
        <v>105</v>
      </c>
    </row>
    <row r="1069" customFormat="false" ht="15" hidden="false" customHeight="false" outlineLevel="0" collapsed="false">
      <c r="A1069" s="4" t="s">
        <v>820</v>
      </c>
      <c r="B1069" s="4" t="s">
        <v>103</v>
      </c>
      <c r="C1069" s="4" t="n">
        <v>46270.1321180556</v>
      </c>
      <c r="D1069" s="4" t="n">
        <v>106</v>
      </c>
    </row>
    <row r="1070" customFormat="false" ht="15" hidden="false" customHeight="false" outlineLevel="0" collapsed="false">
      <c r="A1070" s="4" t="s">
        <v>827</v>
      </c>
      <c r="B1070" s="4" t="s">
        <v>103</v>
      </c>
      <c r="C1070" s="4" t="n">
        <v>46270.383900463</v>
      </c>
      <c r="D1070" s="4" t="n">
        <v>107</v>
      </c>
    </row>
    <row r="1071" customFormat="false" ht="15" hidden="false" customHeight="false" outlineLevel="0" collapsed="false">
      <c r="A1071" s="4" t="s">
        <v>832</v>
      </c>
      <c r="B1071" s="4" t="s">
        <v>103</v>
      </c>
      <c r="C1071" s="4" t="n">
        <v>46270.6325462963</v>
      </c>
      <c r="D1071" s="4" t="n">
        <v>108</v>
      </c>
    </row>
    <row r="1072" customFormat="false" ht="15" hidden="false" customHeight="false" outlineLevel="0" collapsed="false">
      <c r="A1072" s="4" t="s">
        <v>838</v>
      </c>
      <c r="B1072" s="4" t="s">
        <v>103</v>
      </c>
      <c r="C1072" s="4" t="n">
        <v>46270.8848726852</v>
      </c>
      <c r="D1072" s="4" t="n">
        <v>109</v>
      </c>
    </row>
    <row r="1073" customFormat="false" ht="15" hidden="false" customHeight="false" outlineLevel="0" collapsed="false">
      <c r="A1073" s="4" t="s">
        <v>843</v>
      </c>
      <c r="B1073" s="4" t="s">
        <v>103</v>
      </c>
      <c r="C1073" s="4" t="n">
        <v>46271.1334722222</v>
      </c>
      <c r="D1073" s="4" t="n">
        <v>110</v>
      </c>
    </row>
    <row r="1074" customFormat="false" ht="15" hidden="false" customHeight="false" outlineLevel="0" collapsed="false">
      <c r="A1074" s="4" t="s">
        <v>850</v>
      </c>
      <c r="B1074" s="4" t="s">
        <v>103</v>
      </c>
      <c r="C1074" s="4" t="n">
        <v>46271.3828703704</v>
      </c>
      <c r="D1074" s="4" t="n">
        <v>111</v>
      </c>
    </row>
    <row r="1075" customFormat="false" ht="15" hidden="false" customHeight="false" outlineLevel="0" collapsed="false">
      <c r="A1075" s="4" t="s">
        <v>855</v>
      </c>
      <c r="B1075" s="4" t="s">
        <v>103</v>
      </c>
      <c r="C1075" s="4" t="n">
        <v>46271.6330439815</v>
      </c>
      <c r="D1075" s="4" t="n">
        <v>112</v>
      </c>
    </row>
    <row r="1076" customFormat="false" ht="15" hidden="false" customHeight="false" outlineLevel="0" collapsed="false">
      <c r="A1076" s="4" t="s">
        <v>861</v>
      </c>
      <c r="B1076" s="4" t="s">
        <v>103</v>
      </c>
      <c r="C1076" s="4" t="n">
        <v>46271.8850231482</v>
      </c>
      <c r="D1076" s="4" t="n">
        <v>113</v>
      </c>
    </row>
    <row r="1077" customFormat="false" ht="15" hidden="false" customHeight="false" outlineLevel="0" collapsed="false">
      <c r="A1077" s="4" t="s">
        <v>866</v>
      </c>
      <c r="B1077" s="4" t="s">
        <v>103</v>
      </c>
      <c r="C1077" s="4" t="n">
        <v>46272.1340509259</v>
      </c>
      <c r="D1077" s="4" t="n">
        <v>114</v>
      </c>
    </row>
    <row r="1078" customFormat="false" ht="15" hidden="false" customHeight="false" outlineLevel="0" collapsed="false">
      <c r="A1078" s="4" t="s">
        <v>873</v>
      </c>
      <c r="B1078" s="4" t="s">
        <v>103</v>
      </c>
      <c r="C1078" s="4" t="n">
        <v>46272.3830439815</v>
      </c>
      <c r="D1078" s="4" t="n">
        <v>115</v>
      </c>
    </row>
    <row r="1079" customFormat="false" ht="15" hidden="false" customHeight="false" outlineLevel="0" collapsed="false">
      <c r="A1079" s="4" t="s">
        <v>878</v>
      </c>
      <c r="B1079" s="4" t="s">
        <v>103</v>
      </c>
      <c r="C1079" s="4" t="n">
        <v>46272.6336689815</v>
      </c>
      <c r="D1079" s="4" t="n">
        <v>116</v>
      </c>
    </row>
    <row r="1080" customFormat="false" ht="15" hidden="false" customHeight="false" outlineLevel="0" collapsed="false">
      <c r="A1080" s="4" t="s">
        <v>886</v>
      </c>
      <c r="B1080" s="4" t="s">
        <v>103</v>
      </c>
      <c r="C1080" s="4" t="n">
        <v>46272.8843402778</v>
      </c>
      <c r="D1080" s="4" t="n">
        <v>117</v>
      </c>
    </row>
    <row r="1081" customFormat="false" ht="15" hidden="false" customHeight="false" outlineLevel="0" collapsed="false">
      <c r="A1081" s="4" t="s">
        <v>891</v>
      </c>
      <c r="B1081" s="4" t="s">
        <v>103</v>
      </c>
      <c r="C1081" s="4" t="n">
        <v>46273.1328587963</v>
      </c>
      <c r="D1081" s="4" t="n">
        <v>118</v>
      </c>
    </row>
    <row r="1082" customFormat="false" ht="15" hidden="false" customHeight="false" outlineLevel="0" collapsed="false">
      <c r="A1082" s="4" t="s">
        <v>898</v>
      </c>
      <c r="B1082" s="4" t="s">
        <v>103</v>
      </c>
      <c r="C1082" s="4" t="n">
        <v>46273.3833333333</v>
      </c>
      <c r="D1082" s="4" t="n">
        <v>119</v>
      </c>
    </row>
    <row r="1083" customFormat="false" ht="15" hidden="false" customHeight="false" outlineLevel="0" collapsed="false">
      <c r="A1083" s="4" t="s">
        <v>903</v>
      </c>
      <c r="B1083" s="4" t="s">
        <v>103</v>
      </c>
      <c r="C1083" s="4" t="n">
        <v>46273.6350694444</v>
      </c>
      <c r="D1083" s="4" t="n">
        <v>120</v>
      </c>
    </row>
    <row r="1084" customFormat="false" ht="15" hidden="false" customHeight="false" outlineLevel="0" collapsed="false">
      <c r="A1084" s="4" t="s">
        <v>909</v>
      </c>
      <c r="B1084" s="4" t="s">
        <v>103</v>
      </c>
      <c r="C1084" s="4" t="n">
        <v>46273.8847800926</v>
      </c>
      <c r="D1084" s="4" t="n">
        <v>121</v>
      </c>
    </row>
    <row r="1085" customFormat="false" ht="15" hidden="false" customHeight="false" outlineLevel="0" collapsed="false">
      <c r="A1085" s="4" t="s">
        <v>914</v>
      </c>
      <c r="B1085" s="4" t="s">
        <v>103</v>
      </c>
      <c r="C1085" s="4" t="n">
        <v>46274.1316435185</v>
      </c>
      <c r="D1085" s="4" t="n">
        <v>122</v>
      </c>
    </row>
    <row r="1086" customFormat="false" ht="15" hidden="false" customHeight="false" outlineLevel="0" collapsed="false">
      <c r="A1086" s="4" t="s">
        <v>921</v>
      </c>
      <c r="B1086" s="4" t="s">
        <v>103</v>
      </c>
      <c r="C1086" s="4" t="n">
        <v>46274.3829050926</v>
      </c>
      <c r="D1086" s="4" t="n">
        <v>123</v>
      </c>
    </row>
    <row r="1087" customFormat="false" ht="15" hidden="false" customHeight="false" outlineLevel="0" collapsed="false">
      <c r="A1087" s="4" t="s">
        <v>927</v>
      </c>
      <c r="B1087" s="4" t="s">
        <v>103</v>
      </c>
      <c r="C1087" s="4" t="n">
        <v>46274.6344328704</v>
      </c>
      <c r="D1087" s="4" t="n">
        <v>124</v>
      </c>
    </row>
    <row r="1088" customFormat="false" ht="15" hidden="false" customHeight="false" outlineLevel="0" collapsed="false">
      <c r="A1088" s="4" t="s">
        <v>933</v>
      </c>
      <c r="B1088" s="4" t="s">
        <v>103</v>
      </c>
      <c r="C1088" s="4" t="n">
        <v>46274.8843634259</v>
      </c>
      <c r="D1088" s="4" t="n">
        <v>125</v>
      </c>
    </row>
    <row r="1089" customFormat="false" ht="15" hidden="false" customHeight="false" outlineLevel="0" collapsed="false">
      <c r="A1089" s="4" t="s">
        <v>938</v>
      </c>
      <c r="B1089" s="4" t="s">
        <v>103</v>
      </c>
      <c r="C1089" s="4" t="n">
        <v>46275.1325810185</v>
      </c>
      <c r="D1089" s="4" t="n">
        <v>126</v>
      </c>
    </row>
    <row r="1090" customFormat="false" ht="15" hidden="false" customHeight="false" outlineLevel="0" collapsed="false">
      <c r="A1090" s="4" t="s">
        <v>945</v>
      </c>
      <c r="B1090" s="4" t="s">
        <v>103</v>
      </c>
      <c r="C1090" s="4" t="n">
        <v>46275.3822222222</v>
      </c>
      <c r="D1090" s="4" t="n">
        <v>127</v>
      </c>
    </row>
    <row r="1091" customFormat="false" ht="15" hidden="false" customHeight="false" outlineLevel="0" collapsed="false">
      <c r="A1091" s="4" t="s">
        <v>951</v>
      </c>
      <c r="B1091" s="4" t="s">
        <v>103</v>
      </c>
      <c r="C1091" s="4" t="n">
        <v>46275.6327893519</v>
      </c>
      <c r="D1091" s="4" t="n">
        <v>128</v>
      </c>
    </row>
    <row r="1092" customFormat="false" ht="15" hidden="false" customHeight="false" outlineLevel="0" collapsed="false">
      <c r="A1092" s="4" t="s">
        <v>957</v>
      </c>
      <c r="B1092" s="4" t="s">
        <v>103</v>
      </c>
      <c r="C1092" s="4" t="n">
        <v>46275.8846064815</v>
      </c>
      <c r="D1092" s="4" t="n">
        <v>129</v>
      </c>
    </row>
    <row r="1093" customFormat="false" ht="15" hidden="false" customHeight="false" outlineLevel="0" collapsed="false">
      <c r="A1093" s="4" t="s">
        <v>962</v>
      </c>
      <c r="B1093" s="4" t="s">
        <v>103</v>
      </c>
      <c r="C1093" s="4" t="n">
        <v>46276.1331944445</v>
      </c>
      <c r="D1093" s="4" t="n">
        <v>130</v>
      </c>
    </row>
    <row r="1094" customFormat="false" ht="15" hidden="false" customHeight="false" outlineLevel="0" collapsed="false">
      <c r="A1094" s="4" t="s">
        <v>970</v>
      </c>
      <c r="B1094" s="4" t="s">
        <v>103</v>
      </c>
      <c r="C1094" s="4" t="n">
        <v>46276.3834375</v>
      </c>
      <c r="D1094" s="4" t="n">
        <v>131</v>
      </c>
    </row>
    <row r="1095" customFormat="false" ht="15" hidden="false" customHeight="false" outlineLevel="0" collapsed="false">
      <c r="A1095" s="4" t="s">
        <v>975</v>
      </c>
      <c r="B1095" s="4" t="s">
        <v>103</v>
      </c>
      <c r="C1095" s="4" t="n">
        <v>46276.6353356482</v>
      </c>
      <c r="D1095" s="4" t="n">
        <v>132</v>
      </c>
    </row>
    <row r="1096" customFormat="false" ht="15" hidden="false" customHeight="false" outlineLevel="0" collapsed="false">
      <c r="A1096" s="4" t="s">
        <v>981</v>
      </c>
      <c r="B1096" s="4" t="s">
        <v>103</v>
      </c>
      <c r="C1096" s="4" t="n">
        <v>46276.8828356482</v>
      </c>
      <c r="D1096" s="4" t="n">
        <v>133</v>
      </c>
    </row>
    <row r="1097" customFormat="false" ht="15" hidden="false" customHeight="false" outlineLevel="0" collapsed="false">
      <c r="A1097" s="4" t="s">
        <v>986</v>
      </c>
      <c r="B1097" s="4" t="s">
        <v>103</v>
      </c>
      <c r="C1097" s="4" t="n">
        <v>46277.1340277778</v>
      </c>
      <c r="D1097" s="4" t="n">
        <v>134</v>
      </c>
    </row>
    <row r="1098" customFormat="false" ht="15" hidden="false" customHeight="false" outlineLevel="0" collapsed="false">
      <c r="A1098" s="4" t="s">
        <v>993</v>
      </c>
      <c r="B1098" s="4" t="s">
        <v>103</v>
      </c>
      <c r="C1098" s="4" t="n">
        <v>46277.3828587963</v>
      </c>
      <c r="D1098" s="4" t="n">
        <v>135</v>
      </c>
    </row>
    <row r="1099" customFormat="false" ht="15" hidden="false" customHeight="false" outlineLevel="0" collapsed="false">
      <c r="A1099" s="4" t="s">
        <v>998</v>
      </c>
      <c r="B1099" s="4" t="s">
        <v>103</v>
      </c>
      <c r="C1099" s="4" t="n">
        <v>46277.6347337963</v>
      </c>
      <c r="D1099" s="4" t="n">
        <v>136</v>
      </c>
    </row>
    <row r="1100" customFormat="false" ht="15" hidden="false" customHeight="false" outlineLevel="0" collapsed="false">
      <c r="A1100" s="4" t="s">
        <v>1004</v>
      </c>
      <c r="B1100" s="4" t="s">
        <v>103</v>
      </c>
      <c r="C1100" s="4" t="n">
        <v>46277.8854861111</v>
      </c>
      <c r="D1100" s="4" t="n">
        <v>137</v>
      </c>
    </row>
    <row r="1101" customFormat="false" ht="15" hidden="false" customHeight="false" outlineLevel="0" collapsed="false">
      <c r="A1101" s="4" t="s">
        <v>1009</v>
      </c>
      <c r="B1101" s="4" t="s">
        <v>103</v>
      </c>
      <c r="C1101" s="4" t="n">
        <v>46278.134212963</v>
      </c>
      <c r="D1101" s="4" t="n">
        <v>138</v>
      </c>
    </row>
    <row r="1102" customFormat="false" ht="15" hidden="false" customHeight="false" outlineLevel="0" collapsed="false">
      <c r="A1102" s="4" t="s">
        <v>1017</v>
      </c>
      <c r="B1102" s="4" t="s">
        <v>103</v>
      </c>
      <c r="C1102" s="4" t="n">
        <v>46278.3840277778</v>
      </c>
      <c r="D1102" s="4" t="n">
        <v>139</v>
      </c>
    </row>
    <row r="1103" customFormat="false" ht="15" hidden="false" customHeight="false" outlineLevel="0" collapsed="false">
      <c r="A1103" s="4" t="s">
        <v>1021</v>
      </c>
      <c r="B1103" s="4" t="s">
        <v>103</v>
      </c>
      <c r="C1103" s="4" t="n">
        <v>46278.6349537037</v>
      </c>
      <c r="D1103" s="4" t="n">
        <v>140</v>
      </c>
    </row>
    <row r="1104" customFormat="false" ht="15" hidden="false" customHeight="false" outlineLevel="0" collapsed="false">
      <c r="A1104" s="4" t="s">
        <v>1028</v>
      </c>
      <c r="B1104" s="4" t="s">
        <v>103</v>
      </c>
      <c r="C1104" s="4" t="n">
        <v>46278.8830092593</v>
      </c>
      <c r="D1104" s="4" t="n">
        <v>141</v>
      </c>
    </row>
    <row r="1105" customFormat="false" ht="15" hidden="false" customHeight="false" outlineLevel="0" collapsed="false">
      <c r="A1105" s="4" t="s">
        <v>1033</v>
      </c>
      <c r="B1105" s="4" t="s">
        <v>103</v>
      </c>
      <c r="C1105" s="4" t="n">
        <v>46279.1336342593</v>
      </c>
      <c r="D1105" s="4" t="n">
        <v>142</v>
      </c>
    </row>
    <row r="1106" customFormat="false" ht="15" hidden="false" customHeight="false" outlineLevel="0" collapsed="false">
      <c r="A1106" s="4" t="s">
        <v>1040</v>
      </c>
      <c r="B1106" s="4" t="s">
        <v>103</v>
      </c>
      <c r="C1106" s="4" t="n">
        <v>46279.385462963</v>
      </c>
      <c r="D1106" s="4" t="n">
        <v>143</v>
      </c>
    </row>
    <row r="1107" customFormat="false" ht="15" hidden="false" customHeight="false" outlineLevel="0" collapsed="false">
      <c r="A1107" s="4" t="s">
        <v>1045</v>
      </c>
      <c r="B1107" s="4" t="s">
        <v>103</v>
      </c>
      <c r="C1107" s="4" t="n">
        <v>46279.6323726852</v>
      </c>
      <c r="D1107" s="4" t="n">
        <v>144</v>
      </c>
    </row>
    <row r="1108" customFormat="false" ht="15" hidden="false" customHeight="false" outlineLevel="0" collapsed="false">
      <c r="A1108" s="4" t="s">
        <v>1051</v>
      </c>
      <c r="B1108" s="4" t="s">
        <v>103</v>
      </c>
      <c r="C1108" s="4" t="n">
        <v>46279.8833796296</v>
      </c>
      <c r="D1108" s="4" t="n">
        <v>145</v>
      </c>
    </row>
    <row r="1109" customFormat="false" ht="15" hidden="false" customHeight="false" outlineLevel="0" collapsed="false">
      <c r="A1109" s="4" t="s">
        <v>1059</v>
      </c>
      <c r="B1109" s="4" t="s">
        <v>103</v>
      </c>
      <c r="C1109" s="4" t="n">
        <v>46280.1356365741</v>
      </c>
      <c r="D1109" s="4" t="n">
        <v>146</v>
      </c>
    </row>
    <row r="1110" customFormat="false" ht="15" hidden="false" customHeight="false" outlineLevel="0" collapsed="false">
      <c r="A1110" s="4" t="s">
        <v>1066</v>
      </c>
      <c r="B1110" s="4" t="s">
        <v>103</v>
      </c>
      <c r="C1110" s="4" t="n">
        <v>46280.3844560185</v>
      </c>
      <c r="D1110" s="4" t="n">
        <v>147</v>
      </c>
    </row>
    <row r="1111" customFormat="false" ht="15" hidden="false" customHeight="false" outlineLevel="0" collapsed="false">
      <c r="A1111" s="4" t="s">
        <v>1071</v>
      </c>
      <c r="B1111" s="4" t="s">
        <v>103</v>
      </c>
      <c r="C1111" s="4" t="n">
        <v>46280.6338194445</v>
      </c>
      <c r="D1111" s="4" t="n">
        <v>148</v>
      </c>
    </row>
    <row r="1112" customFormat="false" ht="15" hidden="false" customHeight="false" outlineLevel="0" collapsed="false">
      <c r="A1112" s="4" t="s">
        <v>1077</v>
      </c>
      <c r="B1112" s="4" t="s">
        <v>103</v>
      </c>
      <c r="C1112" s="4" t="n">
        <v>46280.8835300926</v>
      </c>
      <c r="D1112" s="4" t="n">
        <v>149</v>
      </c>
    </row>
    <row r="1113" customFormat="false" ht="15" hidden="false" customHeight="false" outlineLevel="0" collapsed="false">
      <c r="A1113" s="4" t="s">
        <v>1083</v>
      </c>
      <c r="B1113" s="4" t="s">
        <v>103</v>
      </c>
      <c r="C1113" s="4" t="n">
        <v>46281.1328703704</v>
      </c>
      <c r="D1113" s="4" t="n">
        <v>150</v>
      </c>
    </row>
    <row r="1114" customFormat="false" ht="15" hidden="false" customHeight="false" outlineLevel="0" collapsed="false">
      <c r="A1114" s="4" t="s">
        <v>1090</v>
      </c>
      <c r="B1114" s="4" t="s">
        <v>103</v>
      </c>
      <c r="C1114" s="4" t="n">
        <v>46281.3846527778</v>
      </c>
      <c r="D1114" s="4" t="n">
        <v>151</v>
      </c>
    </row>
    <row r="1115" customFormat="false" ht="15" hidden="false" customHeight="false" outlineLevel="0" collapsed="false">
      <c r="A1115" s="4" t="s">
        <v>1095</v>
      </c>
      <c r="B1115" s="4" t="s">
        <v>103</v>
      </c>
      <c r="C1115" s="4" t="n">
        <v>46281.6330439815</v>
      </c>
      <c r="D1115" s="4" t="n">
        <v>152</v>
      </c>
    </row>
    <row r="1116" customFormat="false" ht="15" hidden="false" customHeight="false" outlineLevel="0" collapsed="false">
      <c r="A1116" s="4" t="s">
        <v>1101</v>
      </c>
      <c r="B1116" s="4" t="s">
        <v>103</v>
      </c>
      <c r="C1116" s="4" t="n">
        <v>46281.8827546296</v>
      </c>
      <c r="D1116" s="4" t="n">
        <v>153</v>
      </c>
    </row>
    <row r="1117" customFormat="false" ht="15" hidden="false" customHeight="false" outlineLevel="0" collapsed="false">
      <c r="A1117" s="4" t="s">
        <v>1106</v>
      </c>
      <c r="B1117" s="4" t="s">
        <v>103</v>
      </c>
      <c r="C1117" s="4" t="n">
        <v>46282.1311574074</v>
      </c>
      <c r="D1117" s="4" t="n">
        <v>154</v>
      </c>
    </row>
    <row r="1118" customFormat="false" ht="15" hidden="false" customHeight="false" outlineLevel="0" collapsed="false">
      <c r="A1118" s="4" t="s">
        <v>1113</v>
      </c>
      <c r="B1118" s="4" t="s">
        <v>103</v>
      </c>
      <c r="C1118" s="4" t="n">
        <v>46282.3841898148</v>
      </c>
      <c r="D1118" s="4" t="n">
        <v>155</v>
      </c>
    </row>
    <row r="1119" customFormat="false" ht="15" hidden="false" customHeight="false" outlineLevel="0" collapsed="false">
      <c r="A1119" s="4" t="s">
        <v>1118</v>
      </c>
      <c r="B1119" s="4" t="s">
        <v>103</v>
      </c>
      <c r="C1119" s="4" t="n">
        <v>46282.6342939815</v>
      </c>
      <c r="D1119" s="4" t="n">
        <v>156</v>
      </c>
    </row>
    <row r="1120" customFormat="false" ht="15" hidden="false" customHeight="false" outlineLevel="0" collapsed="false">
      <c r="A1120" s="4" t="s">
        <v>1124</v>
      </c>
      <c r="B1120" s="4" t="s">
        <v>103</v>
      </c>
      <c r="C1120" s="4" t="n">
        <v>46282.8850810185</v>
      </c>
      <c r="D1120" s="4" t="n">
        <v>157</v>
      </c>
    </row>
    <row r="1121" customFormat="false" ht="15" hidden="false" customHeight="false" outlineLevel="0" collapsed="false">
      <c r="A1121" s="4" t="s">
        <v>1129</v>
      </c>
      <c r="B1121" s="4" t="s">
        <v>103</v>
      </c>
      <c r="C1121" s="4" t="n">
        <v>46283.1347222222</v>
      </c>
      <c r="D1121" s="4" t="n">
        <v>158</v>
      </c>
    </row>
    <row r="1122" customFormat="false" ht="15" hidden="false" customHeight="false" outlineLevel="0" collapsed="false">
      <c r="A1122" s="4" t="s">
        <v>1136</v>
      </c>
      <c r="B1122" s="4" t="s">
        <v>103</v>
      </c>
      <c r="C1122" s="4" t="n">
        <v>46283.3842013889</v>
      </c>
      <c r="D1122" s="4" t="n">
        <v>159</v>
      </c>
    </row>
    <row r="1123" customFormat="false" ht="15" hidden="false" customHeight="false" outlineLevel="0" collapsed="false">
      <c r="A1123" s="4" t="s">
        <v>1141</v>
      </c>
      <c r="B1123" s="4" t="s">
        <v>103</v>
      </c>
      <c r="C1123" s="4" t="n">
        <v>46283.6324074074</v>
      </c>
      <c r="D1123" s="4" t="n">
        <v>160</v>
      </c>
    </row>
    <row r="1124" customFormat="false" ht="15" hidden="false" customHeight="false" outlineLevel="0" collapsed="false">
      <c r="A1124" s="4" t="s">
        <v>1147</v>
      </c>
      <c r="B1124" s="4" t="s">
        <v>103</v>
      </c>
      <c r="C1124" s="4" t="n">
        <v>46283.8866666667</v>
      </c>
      <c r="D1124" s="4" t="n">
        <v>161</v>
      </c>
    </row>
    <row r="1125" customFormat="false" ht="15" hidden="false" customHeight="false" outlineLevel="0" collapsed="false">
      <c r="A1125" s="4" t="s">
        <v>1152</v>
      </c>
      <c r="B1125" s="4" t="s">
        <v>103</v>
      </c>
      <c r="C1125" s="4" t="n">
        <v>46284.1353587963</v>
      </c>
      <c r="D1125" s="4" t="n">
        <v>162</v>
      </c>
    </row>
    <row r="1126" customFormat="false" ht="15" hidden="false" customHeight="false" outlineLevel="0" collapsed="false">
      <c r="A1126" s="4" t="s">
        <v>1159</v>
      </c>
      <c r="B1126" s="4" t="s">
        <v>103</v>
      </c>
      <c r="C1126" s="4" t="n">
        <v>46284.3839351852</v>
      </c>
      <c r="D1126" s="4" t="n">
        <v>163</v>
      </c>
    </row>
    <row r="1127" customFormat="false" ht="15" hidden="false" customHeight="false" outlineLevel="0" collapsed="false">
      <c r="A1127" s="4" t="s">
        <v>1164</v>
      </c>
      <c r="B1127" s="4" t="s">
        <v>103</v>
      </c>
      <c r="C1127" s="4" t="n">
        <v>46284.6315740741</v>
      </c>
      <c r="D1127" s="4" t="n">
        <v>164</v>
      </c>
    </row>
    <row r="1128" customFormat="false" ht="15" hidden="false" customHeight="false" outlineLevel="0" collapsed="false">
      <c r="A1128" s="4" t="s">
        <v>1170</v>
      </c>
      <c r="B1128" s="4" t="s">
        <v>103</v>
      </c>
      <c r="C1128" s="4" t="n">
        <v>46284.8834259259</v>
      </c>
      <c r="D1128" s="4" t="n">
        <v>165</v>
      </c>
    </row>
    <row r="1129" customFormat="false" ht="15" hidden="false" customHeight="false" outlineLevel="0" collapsed="false">
      <c r="A1129" s="4" t="s">
        <v>1175</v>
      </c>
      <c r="B1129" s="4" t="s">
        <v>103</v>
      </c>
      <c r="C1129" s="4" t="n">
        <v>46285.1337847222</v>
      </c>
      <c r="D1129" s="4" t="n">
        <v>166</v>
      </c>
    </row>
    <row r="1130" customFormat="false" ht="15" hidden="false" customHeight="false" outlineLevel="0" collapsed="false">
      <c r="A1130" s="4" t="s">
        <v>1182</v>
      </c>
      <c r="B1130" s="4" t="s">
        <v>103</v>
      </c>
      <c r="C1130" s="4" t="n">
        <v>46285.383912037</v>
      </c>
      <c r="D1130" s="4" t="n">
        <v>167</v>
      </c>
    </row>
    <row r="1131" customFormat="false" ht="15" hidden="false" customHeight="false" outlineLevel="0" collapsed="false">
      <c r="A1131" s="4" t="s">
        <v>1188</v>
      </c>
      <c r="B1131" s="4" t="s">
        <v>103</v>
      </c>
      <c r="C1131" s="4" t="n">
        <v>46285.6355439815</v>
      </c>
      <c r="D1131" s="4" t="n">
        <v>168</v>
      </c>
    </row>
    <row r="1132" customFormat="false" ht="15" hidden="false" customHeight="false" outlineLevel="0" collapsed="false">
      <c r="A1132" s="4" t="s">
        <v>1194</v>
      </c>
      <c r="B1132" s="4" t="s">
        <v>103</v>
      </c>
      <c r="C1132" s="4" t="n">
        <v>46285.8838888889</v>
      </c>
      <c r="D1132" s="4" t="n">
        <v>169</v>
      </c>
    </row>
    <row r="1133" customFormat="false" ht="15" hidden="false" customHeight="false" outlineLevel="0" collapsed="false">
      <c r="A1133" s="4" t="s">
        <v>1199</v>
      </c>
      <c r="B1133" s="4" t="s">
        <v>103</v>
      </c>
      <c r="C1133" s="4" t="n">
        <v>46286.1318865741</v>
      </c>
      <c r="D1133" s="4" t="n">
        <v>170</v>
      </c>
    </row>
    <row r="1134" customFormat="false" ht="15" hidden="false" customHeight="false" outlineLevel="0" collapsed="false">
      <c r="A1134" s="4" t="s">
        <v>1206</v>
      </c>
      <c r="B1134" s="4" t="s">
        <v>103</v>
      </c>
      <c r="C1134" s="4" t="n">
        <v>46286.3846412037</v>
      </c>
      <c r="D1134" s="4" t="n">
        <v>171</v>
      </c>
    </row>
    <row r="1135" customFormat="false" ht="15" hidden="false" customHeight="false" outlineLevel="0" collapsed="false">
      <c r="A1135" s="4" t="s">
        <v>1212</v>
      </c>
      <c r="B1135" s="4" t="s">
        <v>103</v>
      </c>
      <c r="C1135" s="4" t="n">
        <v>46286.6317824074</v>
      </c>
      <c r="D1135" s="4" t="n">
        <v>172</v>
      </c>
    </row>
    <row r="1136" customFormat="false" ht="15" hidden="false" customHeight="false" outlineLevel="0" collapsed="false">
      <c r="A1136" s="4" t="s">
        <v>1218</v>
      </c>
      <c r="B1136" s="4" t="s">
        <v>103</v>
      </c>
      <c r="C1136" s="4" t="n">
        <v>46286.8851157407</v>
      </c>
      <c r="D1136" s="4" t="n">
        <v>173</v>
      </c>
    </row>
    <row r="1137" customFormat="false" ht="15" hidden="false" customHeight="false" outlineLevel="0" collapsed="false">
      <c r="A1137" s="4" t="s">
        <v>1223</v>
      </c>
      <c r="B1137" s="4" t="s">
        <v>103</v>
      </c>
      <c r="C1137" s="4" t="n">
        <v>46287.1327893519</v>
      </c>
      <c r="D1137" s="4" t="n">
        <v>174</v>
      </c>
    </row>
    <row r="1138" customFormat="false" ht="15" hidden="false" customHeight="false" outlineLevel="0" collapsed="false">
      <c r="A1138" s="4" t="s">
        <v>1230</v>
      </c>
      <c r="B1138" s="4" t="s">
        <v>103</v>
      </c>
      <c r="C1138" s="4" t="n">
        <v>46287.3842592593</v>
      </c>
      <c r="D1138" s="4" t="n">
        <v>175</v>
      </c>
    </row>
    <row r="1139" customFormat="false" ht="15" hidden="false" customHeight="false" outlineLevel="0" collapsed="false">
      <c r="A1139" s="4" t="s">
        <v>1235</v>
      </c>
      <c r="B1139" s="4" t="s">
        <v>103</v>
      </c>
      <c r="C1139" s="4" t="n">
        <v>46287.6325115741</v>
      </c>
      <c r="D1139" s="4" t="n">
        <v>176</v>
      </c>
    </row>
    <row r="1140" customFormat="false" ht="15" hidden="false" customHeight="false" outlineLevel="0" collapsed="false">
      <c r="A1140" s="4" t="s">
        <v>1241</v>
      </c>
      <c r="B1140" s="4" t="s">
        <v>103</v>
      </c>
      <c r="C1140" s="4" t="n">
        <v>46287.8834259259</v>
      </c>
      <c r="D1140" s="4" t="n">
        <v>177</v>
      </c>
    </row>
    <row r="1141" customFormat="false" ht="15" hidden="false" customHeight="false" outlineLevel="0" collapsed="false">
      <c r="A1141" s="4" t="s">
        <v>1246</v>
      </c>
      <c r="B1141" s="4" t="s">
        <v>103</v>
      </c>
      <c r="C1141" s="4" t="n">
        <v>46288.1340046296</v>
      </c>
      <c r="D1141" s="4" t="n">
        <v>178</v>
      </c>
    </row>
    <row r="1142" customFormat="false" ht="15" hidden="false" customHeight="false" outlineLevel="0" collapsed="false">
      <c r="A1142" s="4" t="s">
        <v>1253</v>
      </c>
      <c r="B1142" s="4" t="s">
        <v>103</v>
      </c>
      <c r="C1142" s="4" t="n">
        <v>46288.3832523148</v>
      </c>
      <c r="D1142" s="4" t="n">
        <v>179</v>
      </c>
    </row>
    <row r="1143" customFormat="false" ht="15" hidden="false" customHeight="false" outlineLevel="0" collapsed="false">
      <c r="A1143" s="4" t="s">
        <v>1258</v>
      </c>
      <c r="B1143" s="4" t="s">
        <v>103</v>
      </c>
      <c r="C1143" s="4" t="n">
        <v>46288.6318171296</v>
      </c>
      <c r="D1143" s="4" t="n">
        <v>180</v>
      </c>
    </row>
    <row r="1144" customFormat="false" ht="15" hidden="false" customHeight="false" outlineLevel="0" collapsed="false">
      <c r="A1144" s="4" t="s">
        <v>1264</v>
      </c>
      <c r="B1144" s="4" t="s">
        <v>103</v>
      </c>
      <c r="C1144" s="4" t="n">
        <v>46288.8854976852</v>
      </c>
      <c r="D1144" s="4" t="n">
        <v>181</v>
      </c>
    </row>
    <row r="1145" customFormat="false" ht="15" hidden="false" customHeight="false" outlineLevel="0" collapsed="false">
      <c r="A1145" s="4" t="s">
        <v>1269</v>
      </c>
      <c r="B1145" s="4" t="s">
        <v>103</v>
      </c>
      <c r="C1145" s="4" t="n">
        <v>46289.1328240741</v>
      </c>
      <c r="D1145" s="4" t="n">
        <v>182</v>
      </c>
    </row>
    <row r="1146" customFormat="false" ht="15" hidden="false" customHeight="false" outlineLevel="0" collapsed="false">
      <c r="A1146" s="4" t="s">
        <v>1274</v>
      </c>
      <c r="B1146" s="4" t="s">
        <v>103</v>
      </c>
      <c r="C1146" s="4" t="n">
        <v>46289.2765972222</v>
      </c>
      <c r="D1146" s="4" t="n">
        <v>183</v>
      </c>
    </row>
    <row r="1147" customFormat="false" ht="15" hidden="false" customHeight="false" outlineLevel="0" collapsed="false">
      <c r="A1147" s="4" t="s">
        <v>1277</v>
      </c>
      <c r="B1147" s="4" t="s">
        <v>103</v>
      </c>
      <c r="C1147" s="4" t="n">
        <v>46289.3818981482</v>
      </c>
      <c r="D1147" s="4" t="n">
        <v>184</v>
      </c>
    </row>
    <row r="1148" customFormat="false" ht="15" hidden="false" customHeight="false" outlineLevel="0" collapsed="false">
      <c r="A1148" s="4" t="s">
        <v>1282</v>
      </c>
      <c r="B1148" s="4" t="s">
        <v>103</v>
      </c>
      <c r="C1148" s="4" t="n">
        <v>46289.6322685185</v>
      </c>
      <c r="D1148" s="4" t="n">
        <v>185</v>
      </c>
    </row>
    <row r="1149" customFormat="false" ht="15" hidden="false" customHeight="false" outlineLevel="0" collapsed="false">
      <c r="A1149" s="4" t="s">
        <v>1288</v>
      </c>
      <c r="B1149" s="4" t="s">
        <v>103</v>
      </c>
      <c r="C1149" s="4" t="n">
        <v>46289.8828240741</v>
      </c>
      <c r="D1149" s="4" t="n">
        <v>186</v>
      </c>
    </row>
    <row r="1150" customFormat="false" ht="15" hidden="false" customHeight="false" outlineLevel="0" collapsed="false">
      <c r="A1150" s="4" t="s">
        <v>1293</v>
      </c>
      <c r="B1150" s="4" t="s">
        <v>103</v>
      </c>
      <c r="C1150" s="4" t="n">
        <v>46290.1335763889</v>
      </c>
      <c r="D1150" s="4" t="n">
        <v>187</v>
      </c>
    </row>
    <row r="1151" customFormat="false" ht="15" hidden="false" customHeight="false" outlineLevel="0" collapsed="false">
      <c r="A1151" s="4" t="s">
        <v>1300</v>
      </c>
      <c r="B1151" s="4" t="s">
        <v>103</v>
      </c>
      <c r="C1151" s="4" t="n">
        <v>46290.3853587963</v>
      </c>
      <c r="D1151" s="4" t="n">
        <v>188</v>
      </c>
    </row>
    <row r="1152" customFormat="false" ht="15" hidden="false" customHeight="false" outlineLevel="0" collapsed="false">
      <c r="A1152" s="4" t="s">
        <v>1305</v>
      </c>
      <c r="B1152" s="4" t="s">
        <v>103</v>
      </c>
      <c r="C1152" s="4" t="n">
        <v>46290.6321875</v>
      </c>
      <c r="D1152" s="4" t="n">
        <v>189</v>
      </c>
    </row>
    <row r="1153" customFormat="false" ht="15" hidden="false" customHeight="false" outlineLevel="0" collapsed="false">
      <c r="A1153" s="4" t="s">
        <v>1311</v>
      </c>
      <c r="B1153" s="4" t="s">
        <v>103</v>
      </c>
      <c r="C1153" s="4" t="n">
        <v>46290.8824768519</v>
      </c>
      <c r="D1153" s="4" t="n">
        <v>190</v>
      </c>
    </row>
    <row r="1154" customFormat="false" ht="15" hidden="false" customHeight="false" outlineLevel="0" collapsed="false">
      <c r="A1154" s="4" t="s">
        <v>1316</v>
      </c>
      <c r="B1154" s="4" t="s">
        <v>103</v>
      </c>
      <c r="C1154" s="4" t="n">
        <v>46291.1336805556</v>
      </c>
      <c r="D1154" s="4" t="n">
        <v>191</v>
      </c>
    </row>
    <row r="1155" customFormat="false" ht="15" hidden="false" customHeight="false" outlineLevel="0" collapsed="false">
      <c r="A1155" s="4" t="s">
        <v>1323</v>
      </c>
      <c r="B1155" s="4" t="s">
        <v>103</v>
      </c>
      <c r="C1155" s="4" t="n">
        <v>46291.3845601852</v>
      </c>
      <c r="D1155" s="4" t="n">
        <v>192</v>
      </c>
    </row>
    <row r="1156" customFormat="false" ht="15" hidden="false" customHeight="false" outlineLevel="0" collapsed="false">
      <c r="A1156" s="4" t="s">
        <v>1328</v>
      </c>
      <c r="B1156" s="4" t="s">
        <v>103</v>
      </c>
      <c r="C1156" s="4" t="n">
        <v>46291.6338888889</v>
      </c>
      <c r="D1156" s="4" t="n">
        <v>193</v>
      </c>
    </row>
    <row r="1157" customFormat="false" ht="15" hidden="false" customHeight="false" outlineLevel="0" collapsed="false">
      <c r="A1157" s="4" t="s">
        <v>1334</v>
      </c>
      <c r="B1157" s="4" t="s">
        <v>103</v>
      </c>
      <c r="C1157" s="4" t="n">
        <v>46291.8852893519</v>
      </c>
      <c r="D1157" s="4" t="n">
        <v>194</v>
      </c>
    </row>
    <row r="1158" customFormat="false" ht="15" hidden="false" customHeight="false" outlineLevel="0" collapsed="false">
      <c r="A1158" s="4" t="s">
        <v>1341</v>
      </c>
      <c r="B1158" s="4" t="s">
        <v>103</v>
      </c>
      <c r="C1158" s="4" t="n">
        <v>46292.1330671296</v>
      </c>
      <c r="D1158" s="4" t="n">
        <v>195</v>
      </c>
    </row>
    <row r="1159" customFormat="false" ht="15" hidden="false" customHeight="false" outlineLevel="0" collapsed="false">
      <c r="A1159" s="4" t="s">
        <v>1348</v>
      </c>
      <c r="B1159" s="4" t="s">
        <v>103</v>
      </c>
      <c r="C1159" s="4" t="n">
        <v>46292.3863194444</v>
      </c>
      <c r="D1159" s="4" t="n">
        <v>196</v>
      </c>
    </row>
    <row r="1160" customFormat="false" ht="15" hidden="false" customHeight="false" outlineLevel="0" collapsed="false">
      <c r="A1160" s="4" t="s">
        <v>1353</v>
      </c>
      <c r="B1160" s="4" t="s">
        <v>103</v>
      </c>
      <c r="C1160" s="4" t="n">
        <v>46292.6336689815</v>
      </c>
      <c r="D1160" s="4" t="n">
        <v>197</v>
      </c>
    </row>
    <row r="1161" customFormat="false" ht="15" hidden="false" customHeight="false" outlineLevel="0" collapsed="false">
      <c r="A1161" s="4" t="s">
        <v>1359</v>
      </c>
      <c r="B1161" s="4" t="s">
        <v>103</v>
      </c>
      <c r="C1161" s="4" t="n">
        <v>46292.8829398148</v>
      </c>
      <c r="D1161" s="4" t="n">
        <v>198</v>
      </c>
    </row>
    <row r="1162" customFormat="false" ht="15" hidden="false" customHeight="false" outlineLevel="0" collapsed="false">
      <c r="A1162" s="4" t="s">
        <v>1364</v>
      </c>
      <c r="B1162" s="4" t="s">
        <v>103</v>
      </c>
      <c r="C1162" s="4" t="n">
        <v>46293.1321875</v>
      </c>
      <c r="D1162" s="4" t="n">
        <v>199</v>
      </c>
    </row>
    <row r="1163" customFormat="false" ht="15" hidden="false" customHeight="false" outlineLevel="0" collapsed="false">
      <c r="A1163" s="4" t="s">
        <v>1371</v>
      </c>
      <c r="B1163" s="4" t="s">
        <v>103</v>
      </c>
      <c r="C1163" s="4" t="n">
        <v>46293.3832291667</v>
      </c>
      <c r="D1163" s="4" t="n">
        <v>200</v>
      </c>
    </row>
    <row r="1164" customFormat="false" ht="15" hidden="false" customHeight="false" outlineLevel="0" collapsed="false">
      <c r="A1164" s="4" t="s">
        <v>1376</v>
      </c>
      <c r="B1164" s="4" t="s">
        <v>103</v>
      </c>
      <c r="C1164" s="4" t="n">
        <v>46293.6355324074</v>
      </c>
      <c r="D1164" s="4" t="n">
        <v>201</v>
      </c>
    </row>
    <row r="1165" customFormat="false" ht="15" hidden="false" customHeight="false" outlineLevel="0" collapsed="false">
      <c r="A1165" s="4" t="s">
        <v>1382</v>
      </c>
      <c r="B1165" s="4" t="s">
        <v>103</v>
      </c>
      <c r="C1165" s="4" t="n">
        <v>46293.8826967593</v>
      </c>
      <c r="D1165" s="4" t="n">
        <v>202</v>
      </c>
    </row>
    <row r="1166" customFormat="false" ht="15" hidden="false" customHeight="false" outlineLevel="0" collapsed="false">
      <c r="A1166" s="4" t="s">
        <v>1387</v>
      </c>
      <c r="B1166" s="4" t="s">
        <v>103</v>
      </c>
      <c r="C1166" s="4" t="n">
        <v>46294.1356134259</v>
      </c>
      <c r="D1166" s="4" t="n">
        <v>203</v>
      </c>
    </row>
    <row r="1167" customFormat="false" ht="15" hidden="false" customHeight="false" outlineLevel="0" collapsed="false">
      <c r="A1167" s="4" t="s">
        <v>1394</v>
      </c>
      <c r="B1167" s="4" t="s">
        <v>103</v>
      </c>
      <c r="C1167" s="4" t="n">
        <v>46294.3841898148</v>
      </c>
      <c r="D1167" s="4" t="n">
        <v>204</v>
      </c>
    </row>
    <row r="1168" customFormat="false" ht="15" hidden="false" customHeight="false" outlineLevel="0" collapsed="false">
      <c r="A1168" s="4" t="s">
        <v>1399</v>
      </c>
      <c r="B1168" s="4" t="s">
        <v>103</v>
      </c>
      <c r="C1168" s="4" t="n">
        <v>46294.6339814815</v>
      </c>
      <c r="D1168" s="4" t="n">
        <v>205</v>
      </c>
    </row>
    <row r="1169" customFormat="false" ht="15" hidden="false" customHeight="false" outlineLevel="0" collapsed="false">
      <c r="A1169" s="4" t="s">
        <v>1405</v>
      </c>
      <c r="B1169" s="4" t="s">
        <v>103</v>
      </c>
      <c r="C1169" s="4" t="n">
        <v>46294.8858680556</v>
      </c>
      <c r="D1169" s="4" t="n">
        <v>206</v>
      </c>
    </row>
    <row r="1170" customFormat="false" ht="15" hidden="false" customHeight="false" outlineLevel="0" collapsed="false">
      <c r="A1170" s="4" t="s">
        <v>1410</v>
      </c>
      <c r="B1170" s="4" t="s">
        <v>103</v>
      </c>
      <c r="C1170" s="4" t="n">
        <v>46295.1312152778</v>
      </c>
      <c r="D1170" s="4" t="n">
        <v>207</v>
      </c>
    </row>
    <row r="1171" customFormat="false" ht="15" hidden="false" customHeight="false" outlineLevel="0" collapsed="false">
      <c r="A1171" s="4" t="s">
        <v>1417</v>
      </c>
      <c r="B1171" s="4" t="s">
        <v>103</v>
      </c>
      <c r="C1171" s="4" t="n">
        <v>46295.3867592593</v>
      </c>
      <c r="D1171" s="4" t="n">
        <v>208</v>
      </c>
    </row>
    <row r="1172" customFormat="false" ht="15" hidden="false" customHeight="false" outlineLevel="0" collapsed="false">
      <c r="A1172" s="4" t="s">
        <v>1422</v>
      </c>
      <c r="B1172" s="4" t="s">
        <v>103</v>
      </c>
      <c r="C1172" s="4" t="n">
        <v>46295.6345601852</v>
      </c>
      <c r="D1172" s="4" t="n">
        <v>209</v>
      </c>
    </row>
    <row r="1173" customFormat="false" ht="15" hidden="false" customHeight="false" outlineLevel="0" collapsed="false">
      <c r="A1173" s="4" t="s">
        <v>1428</v>
      </c>
      <c r="B1173" s="4" t="s">
        <v>103</v>
      </c>
      <c r="C1173" s="4" t="n">
        <v>46295.8826273148</v>
      </c>
      <c r="D1173" s="4" t="n">
        <v>210</v>
      </c>
    </row>
    <row r="1174" customFormat="false" ht="15" hidden="false" customHeight="false" outlineLevel="0" collapsed="false">
      <c r="A1174" s="4" t="s">
        <v>1433</v>
      </c>
      <c r="B1174" s="4" t="s">
        <v>103</v>
      </c>
      <c r="C1174" s="4" t="n">
        <v>46296.133275463</v>
      </c>
      <c r="D1174" s="4" t="n">
        <v>211</v>
      </c>
    </row>
    <row r="1175" customFormat="false" ht="15" hidden="false" customHeight="false" outlineLevel="0" collapsed="false">
      <c r="A1175" s="4" t="s">
        <v>1440</v>
      </c>
      <c r="B1175" s="4" t="s">
        <v>103</v>
      </c>
      <c r="C1175" s="4" t="n">
        <v>46296.381400463</v>
      </c>
      <c r="D1175" s="4" t="n">
        <v>212</v>
      </c>
    </row>
    <row r="1176" customFormat="false" ht="15" hidden="false" customHeight="false" outlineLevel="0" collapsed="false">
      <c r="A1176" s="4" t="s">
        <v>1445</v>
      </c>
      <c r="B1176" s="4" t="s">
        <v>103</v>
      </c>
      <c r="C1176" s="4" t="n">
        <v>46296.6326157407</v>
      </c>
      <c r="D1176" s="4" t="n">
        <v>213</v>
      </c>
    </row>
    <row r="1177" customFormat="false" ht="15" hidden="false" customHeight="false" outlineLevel="0" collapsed="false">
      <c r="A1177" s="4" t="s">
        <v>1451</v>
      </c>
      <c r="B1177" s="4" t="s">
        <v>103</v>
      </c>
      <c r="C1177" s="4" t="n">
        <v>46296.8843287037</v>
      </c>
      <c r="D1177" s="4" t="n">
        <v>214</v>
      </c>
    </row>
    <row r="1178" customFormat="false" ht="15" hidden="false" customHeight="false" outlineLevel="0" collapsed="false">
      <c r="A1178" s="4" t="s">
        <v>1456</v>
      </c>
      <c r="B1178" s="4" t="s">
        <v>103</v>
      </c>
      <c r="C1178" s="4" t="n">
        <v>46297.1347337963</v>
      </c>
      <c r="D1178" s="4" t="n">
        <v>215</v>
      </c>
    </row>
    <row r="1179" customFormat="false" ht="15" hidden="false" customHeight="false" outlineLevel="0" collapsed="false">
      <c r="A1179" s="4" t="s">
        <v>1463</v>
      </c>
      <c r="B1179" s="4" t="s">
        <v>103</v>
      </c>
      <c r="C1179" s="4" t="n">
        <v>46297.3839236111</v>
      </c>
      <c r="D1179" s="4" t="n">
        <v>216</v>
      </c>
    </row>
    <row r="1180" customFormat="false" ht="15" hidden="false" customHeight="false" outlineLevel="0" collapsed="false">
      <c r="A1180" s="4" t="s">
        <v>1468</v>
      </c>
      <c r="B1180" s="4" t="s">
        <v>103</v>
      </c>
      <c r="C1180" s="4" t="n">
        <v>46297.6348032407</v>
      </c>
      <c r="D1180" s="4" t="n">
        <v>217</v>
      </c>
    </row>
    <row r="1181" customFormat="false" ht="15" hidden="false" customHeight="false" outlineLevel="0" collapsed="false">
      <c r="A1181" s="4" t="s">
        <v>1474</v>
      </c>
      <c r="B1181" s="4" t="s">
        <v>103</v>
      </c>
      <c r="C1181" s="4" t="n">
        <v>46297.8845949074</v>
      </c>
      <c r="D1181" s="4" t="n">
        <v>218</v>
      </c>
    </row>
    <row r="1182" customFormat="false" ht="15" hidden="false" customHeight="false" outlineLevel="0" collapsed="false">
      <c r="A1182" s="4" t="s">
        <v>1479</v>
      </c>
      <c r="B1182" s="4" t="s">
        <v>103</v>
      </c>
      <c r="C1182" s="4" t="n">
        <v>46298.1326967593</v>
      </c>
      <c r="D1182" s="4" t="n">
        <v>219</v>
      </c>
    </row>
    <row r="1183" customFormat="false" ht="15" hidden="false" customHeight="false" outlineLevel="0" collapsed="false">
      <c r="A1183" s="4" t="s">
        <v>1486</v>
      </c>
      <c r="B1183" s="4" t="s">
        <v>103</v>
      </c>
      <c r="C1183" s="4" t="n">
        <v>46298.3850578704</v>
      </c>
      <c r="D1183" s="4" t="n">
        <v>220</v>
      </c>
    </row>
    <row r="1184" customFormat="false" ht="15" hidden="false" customHeight="false" outlineLevel="0" collapsed="false">
      <c r="A1184" s="4" t="s">
        <v>1491</v>
      </c>
      <c r="B1184" s="4" t="s">
        <v>103</v>
      </c>
      <c r="C1184" s="4" t="n">
        <v>46298.6340393519</v>
      </c>
      <c r="D1184" s="4" t="n">
        <v>221</v>
      </c>
    </row>
    <row r="1185" customFormat="false" ht="15" hidden="false" customHeight="false" outlineLevel="0" collapsed="false">
      <c r="A1185" s="4" t="s">
        <v>1497</v>
      </c>
      <c r="B1185" s="4" t="s">
        <v>103</v>
      </c>
      <c r="C1185" s="4" t="n">
        <v>46298.8848263889</v>
      </c>
      <c r="D1185" s="4" t="n">
        <v>222</v>
      </c>
    </row>
    <row r="1186" customFormat="false" ht="15" hidden="false" customHeight="false" outlineLevel="0" collapsed="false">
      <c r="A1186" s="4" t="s">
        <v>1502</v>
      </c>
      <c r="B1186" s="4" t="s">
        <v>103</v>
      </c>
      <c r="C1186" s="4" t="n">
        <v>46299.1320138889</v>
      </c>
      <c r="D1186" s="4" t="n">
        <v>223</v>
      </c>
    </row>
    <row r="1187" customFormat="false" ht="15" hidden="false" customHeight="false" outlineLevel="0" collapsed="false">
      <c r="A1187" s="4" t="s">
        <v>1509</v>
      </c>
      <c r="B1187" s="4" t="s">
        <v>103</v>
      </c>
      <c r="C1187" s="4" t="n">
        <v>46299.3834722222</v>
      </c>
      <c r="D1187" s="4" t="n">
        <v>224</v>
      </c>
    </row>
    <row r="1188" customFormat="false" ht="15" hidden="false" customHeight="false" outlineLevel="0" collapsed="false">
      <c r="A1188" s="4" t="s">
        <v>1514</v>
      </c>
      <c r="B1188" s="4" t="s">
        <v>103</v>
      </c>
      <c r="C1188" s="4" t="n">
        <v>46299.6338888889</v>
      </c>
      <c r="D1188" s="4" t="n">
        <v>225</v>
      </c>
    </row>
    <row r="1189" customFormat="false" ht="15" hidden="false" customHeight="false" outlineLevel="0" collapsed="false">
      <c r="A1189" s="4" t="s">
        <v>1520</v>
      </c>
      <c r="B1189" s="4" t="s">
        <v>103</v>
      </c>
      <c r="C1189" s="4" t="n">
        <v>46299.8850578704</v>
      </c>
      <c r="D1189" s="4" t="n">
        <v>226</v>
      </c>
    </row>
    <row r="1190" customFormat="false" ht="15" hidden="false" customHeight="false" outlineLevel="0" collapsed="false">
      <c r="A1190" s="4" t="s">
        <v>212</v>
      </c>
      <c r="B1190" s="4" t="s">
        <v>104</v>
      </c>
      <c r="C1190" s="4" t="n">
        <v>46244.2581481482</v>
      </c>
      <c r="D1190" s="4" t="n">
        <v>1</v>
      </c>
    </row>
    <row r="1191" customFormat="false" ht="15" hidden="false" customHeight="false" outlineLevel="0" collapsed="false">
      <c r="A1191" s="4" t="s">
        <v>223</v>
      </c>
      <c r="B1191" s="4" t="s">
        <v>104</v>
      </c>
      <c r="C1191" s="4" t="n">
        <v>46244.7586921296</v>
      </c>
      <c r="D1191" s="4" t="n">
        <v>2</v>
      </c>
    </row>
    <row r="1192" customFormat="false" ht="15" hidden="false" customHeight="false" outlineLevel="0" collapsed="false">
      <c r="A1192" s="4" t="s">
        <v>235</v>
      </c>
      <c r="B1192" s="4" t="s">
        <v>104</v>
      </c>
      <c r="C1192" s="4" t="n">
        <v>46245.2594444445</v>
      </c>
      <c r="D1192" s="4" t="n">
        <v>3</v>
      </c>
    </row>
    <row r="1193" customFormat="false" ht="15" hidden="false" customHeight="false" outlineLevel="0" collapsed="false">
      <c r="A1193" s="4" t="s">
        <v>246</v>
      </c>
      <c r="B1193" s="4" t="s">
        <v>104</v>
      </c>
      <c r="C1193" s="4" t="n">
        <v>46245.7610185185</v>
      </c>
      <c r="D1193" s="4" t="n">
        <v>4</v>
      </c>
    </row>
    <row r="1194" customFormat="false" ht="15" hidden="false" customHeight="false" outlineLevel="0" collapsed="false">
      <c r="A1194" s="4" t="s">
        <v>258</v>
      </c>
      <c r="B1194" s="4" t="s">
        <v>104</v>
      </c>
      <c r="C1194" s="4" t="n">
        <v>46246.2599652778</v>
      </c>
      <c r="D1194" s="4" t="n">
        <v>5</v>
      </c>
    </row>
    <row r="1195" customFormat="false" ht="15" hidden="false" customHeight="false" outlineLevel="0" collapsed="false">
      <c r="A1195" s="4" t="s">
        <v>269</v>
      </c>
      <c r="B1195" s="4" t="s">
        <v>104</v>
      </c>
      <c r="C1195" s="4" t="n">
        <v>46246.7590509259</v>
      </c>
      <c r="D1195" s="4" t="n">
        <v>6</v>
      </c>
    </row>
    <row r="1196" customFormat="false" ht="15" hidden="false" customHeight="false" outlineLevel="0" collapsed="false">
      <c r="A1196" s="4" t="s">
        <v>281</v>
      </c>
      <c r="B1196" s="4" t="s">
        <v>104</v>
      </c>
      <c r="C1196" s="4" t="n">
        <v>46247.2604398148</v>
      </c>
      <c r="D1196" s="4" t="n">
        <v>7</v>
      </c>
    </row>
    <row r="1197" customFormat="false" ht="15" hidden="false" customHeight="false" outlineLevel="0" collapsed="false">
      <c r="A1197" s="4" t="s">
        <v>292</v>
      </c>
      <c r="B1197" s="4" t="s">
        <v>104</v>
      </c>
      <c r="C1197" s="4" t="n">
        <v>46247.7582407407</v>
      </c>
      <c r="D1197" s="4" t="n">
        <v>8</v>
      </c>
    </row>
    <row r="1198" customFormat="false" ht="15" hidden="false" customHeight="false" outlineLevel="0" collapsed="false">
      <c r="A1198" s="4" t="s">
        <v>304</v>
      </c>
      <c r="B1198" s="4" t="s">
        <v>104</v>
      </c>
      <c r="C1198" s="4" t="n">
        <v>46248.2603009259</v>
      </c>
      <c r="D1198" s="4" t="n">
        <v>9</v>
      </c>
    </row>
    <row r="1199" customFormat="false" ht="15" hidden="false" customHeight="false" outlineLevel="0" collapsed="false">
      <c r="A1199" s="4" t="s">
        <v>315</v>
      </c>
      <c r="B1199" s="4" t="s">
        <v>104</v>
      </c>
      <c r="C1199" s="4" t="n">
        <v>46248.7595949074</v>
      </c>
      <c r="D1199" s="4" t="n">
        <v>10</v>
      </c>
    </row>
    <row r="1200" customFormat="false" ht="15" hidden="false" customHeight="false" outlineLevel="0" collapsed="false">
      <c r="A1200" s="4" t="s">
        <v>327</v>
      </c>
      <c r="B1200" s="4" t="s">
        <v>104</v>
      </c>
      <c r="C1200" s="4" t="n">
        <v>46249.2584953704</v>
      </c>
      <c r="D1200" s="4" t="n">
        <v>11</v>
      </c>
    </row>
    <row r="1201" customFormat="false" ht="15" hidden="false" customHeight="false" outlineLevel="0" collapsed="false">
      <c r="A1201" s="4" t="s">
        <v>338</v>
      </c>
      <c r="B1201" s="4" t="s">
        <v>104</v>
      </c>
      <c r="C1201" s="4" t="n">
        <v>46249.7602546296</v>
      </c>
      <c r="D1201" s="4" t="n">
        <v>12</v>
      </c>
    </row>
    <row r="1202" customFormat="false" ht="15" hidden="false" customHeight="false" outlineLevel="0" collapsed="false">
      <c r="A1202" s="4" t="s">
        <v>350</v>
      </c>
      <c r="B1202" s="4" t="s">
        <v>104</v>
      </c>
      <c r="C1202" s="4" t="n">
        <v>46250.2607291667</v>
      </c>
      <c r="D1202" s="4" t="n">
        <v>13</v>
      </c>
    </row>
    <row r="1203" customFormat="false" ht="15" hidden="false" customHeight="false" outlineLevel="0" collapsed="false">
      <c r="A1203" s="4" t="s">
        <v>361</v>
      </c>
      <c r="B1203" s="4" t="s">
        <v>104</v>
      </c>
      <c r="C1203" s="4" t="n">
        <v>46250.7611805556</v>
      </c>
      <c r="D1203" s="4" t="n">
        <v>14</v>
      </c>
    </row>
    <row r="1204" customFormat="false" ht="15" hidden="false" customHeight="false" outlineLevel="0" collapsed="false">
      <c r="A1204" s="4" t="s">
        <v>376</v>
      </c>
      <c r="B1204" s="4" t="s">
        <v>104</v>
      </c>
      <c r="C1204" s="4" t="n">
        <v>46251.2583796296</v>
      </c>
      <c r="D1204" s="4" t="n">
        <v>15</v>
      </c>
    </row>
    <row r="1205" customFormat="false" ht="15" hidden="false" customHeight="false" outlineLevel="0" collapsed="false">
      <c r="A1205" s="4" t="s">
        <v>387</v>
      </c>
      <c r="B1205" s="4" t="s">
        <v>104</v>
      </c>
      <c r="C1205" s="4" t="n">
        <v>46251.7582986111</v>
      </c>
      <c r="D1205" s="4" t="n">
        <v>16</v>
      </c>
    </row>
    <row r="1206" customFormat="false" ht="15" hidden="false" customHeight="false" outlineLevel="0" collapsed="false">
      <c r="A1206" s="4" t="s">
        <v>399</v>
      </c>
      <c r="B1206" s="4" t="s">
        <v>104</v>
      </c>
      <c r="C1206" s="4" t="n">
        <v>46252.2603356482</v>
      </c>
      <c r="D1206" s="4" t="n">
        <v>17</v>
      </c>
    </row>
    <row r="1207" customFormat="false" ht="15" hidden="false" customHeight="false" outlineLevel="0" collapsed="false">
      <c r="A1207" s="4" t="s">
        <v>410</v>
      </c>
      <c r="B1207" s="4" t="s">
        <v>104</v>
      </c>
      <c r="C1207" s="4" t="n">
        <v>46252.7612847222</v>
      </c>
      <c r="D1207" s="4" t="n">
        <v>18</v>
      </c>
    </row>
    <row r="1208" customFormat="false" ht="15" hidden="false" customHeight="false" outlineLevel="0" collapsed="false">
      <c r="A1208" s="4" t="s">
        <v>422</v>
      </c>
      <c r="B1208" s="4" t="s">
        <v>104</v>
      </c>
      <c r="C1208" s="4" t="n">
        <v>46253.2587152778</v>
      </c>
      <c r="D1208" s="4" t="n">
        <v>19</v>
      </c>
    </row>
    <row r="1209" customFormat="false" ht="15" hidden="false" customHeight="false" outlineLevel="0" collapsed="false">
      <c r="A1209" s="4" t="s">
        <v>435</v>
      </c>
      <c r="B1209" s="4" t="s">
        <v>104</v>
      </c>
      <c r="C1209" s="4" t="n">
        <v>46253.7617476852</v>
      </c>
      <c r="D1209" s="4" t="n">
        <v>20</v>
      </c>
    </row>
    <row r="1210" customFormat="false" ht="15" hidden="false" customHeight="false" outlineLevel="0" collapsed="false">
      <c r="A1210" s="4" t="s">
        <v>447</v>
      </c>
      <c r="B1210" s="4" t="s">
        <v>104</v>
      </c>
      <c r="C1210" s="4" t="n">
        <v>46254.2586689815</v>
      </c>
      <c r="D1210" s="4" t="n">
        <v>21</v>
      </c>
    </row>
    <row r="1211" customFormat="false" ht="15" hidden="false" customHeight="false" outlineLevel="0" collapsed="false">
      <c r="A1211" s="4" t="s">
        <v>458</v>
      </c>
      <c r="B1211" s="4" t="s">
        <v>104</v>
      </c>
      <c r="C1211" s="4" t="n">
        <v>46254.7587037037</v>
      </c>
      <c r="D1211" s="4" t="n">
        <v>22</v>
      </c>
    </row>
    <row r="1212" customFormat="false" ht="15" hidden="false" customHeight="false" outlineLevel="0" collapsed="false">
      <c r="A1212" s="4" t="s">
        <v>470</v>
      </c>
      <c r="B1212" s="4" t="s">
        <v>104</v>
      </c>
      <c r="C1212" s="4" t="n">
        <v>46255.2583449074</v>
      </c>
      <c r="D1212" s="4" t="n">
        <v>23</v>
      </c>
    </row>
    <row r="1213" customFormat="false" ht="15" hidden="false" customHeight="false" outlineLevel="0" collapsed="false">
      <c r="A1213" s="4" t="s">
        <v>481</v>
      </c>
      <c r="B1213" s="4" t="s">
        <v>104</v>
      </c>
      <c r="C1213" s="4" t="n">
        <v>46255.7579976852</v>
      </c>
      <c r="D1213" s="4" t="n">
        <v>24</v>
      </c>
    </row>
    <row r="1214" customFormat="false" ht="15" hidden="false" customHeight="false" outlineLevel="0" collapsed="false">
      <c r="A1214" s="4" t="s">
        <v>492</v>
      </c>
      <c r="B1214" s="4" t="s">
        <v>104</v>
      </c>
      <c r="C1214" s="4" t="n">
        <v>46256.2398263889</v>
      </c>
      <c r="D1214" s="4" t="n">
        <v>25</v>
      </c>
    </row>
    <row r="1215" customFormat="false" ht="15" hidden="false" customHeight="false" outlineLevel="0" collapsed="false">
      <c r="A1215" s="4" t="s">
        <v>494</v>
      </c>
      <c r="B1215" s="4" t="s">
        <v>104</v>
      </c>
      <c r="C1215" s="4" t="n">
        <v>46256.2589930556</v>
      </c>
      <c r="D1215" s="4" t="n">
        <v>26</v>
      </c>
    </row>
    <row r="1216" customFormat="false" ht="15" hidden="false" customHeight="false" outlineLevel="0" collapsed="false">
      <c r="A1216" s="4" t="s">
        <v>505</v>
      </c>
      <c r="B1216" s="4" t="s">
        <v>104</v>
      </c>
      <c r="C1216" s="4" t="n">
        <v>46256.7576273148</v>
      </c>
      <c r="D1216" s="4" t="n">
        <v>27</v>
      </c>
    </row>
    <row r="1217" customFormat="false" ht="15" hidden="false" customHeight="false" outlineLevel="0" collapsed="false">
      <c r="A1217" s="4" t="s">
        <v>517</v>
      </c>
      <c r="B1217" s="4" t="s">
        <v>104</v>
      </c>
      <c r="C1217" s="4" t="n">
        <v>46257.2594444445</v>
      </c>
      <c r="D1217" s="4" t="n">
        <v>28</v>
      </c>
    </row>
    <row r="1218" customFormat="false" ht="15" hidden="false" customHeight="false" outlineLevel="0" collapsed="false">
      <c r="A1218" s="4" t="s">
        <v>528</v>
      </c>
      <c r="B1218" s="4" t="s">
        <v>104</v>
      </c>
      <c r="C1218" s="4" t="n">
        <v>46257.7588194445</v>
      </c>
      <c r="D1218" s="4" t="n">
        <v>29</v>
      </c>
    </row>
    <row r="1219" customFormat="false" ht="15" hidden="false" customHeight="false" outlineLevel="0" collapsed="false">
      <c r="A1219" s="4" t="s">
        <v>540</v>
      </c>
      <c r="B1219" s="4" t="s">
        <v>104</v>
      </c>
      <c r="C1219" s="4" t="n">
        <v>46258.26125</v>
      </c>
      <c r="D1219" s="4" t="n">
        <v>30</v>
      </c>
    </row>
    <row r="1220" customFormat="false" ht="15" hidden="false" customHeight="false" outlineLevel="0" collapsed="false">
      <c r="A1220" s="4" t="s">
        <v>551</v>
      </c>
      <c r="B1220" s="4" t="s">
        <v>104</v>
      </c>
      <c r="C1220" s="4" t="n">
        <v>46258.7608912037</v>
      </c>
      <c r="D1220" s="4" t="n">
        <v>31</v>
      </c>
    </row>
    <row r="1221" customFormat="false" ht="15" hidden="false" customHeight="false" outlineLevel="0" collapsed="false">
      <c r="A1221" s="4" t="s">
        <v>564</v>
      </c>
      <c r="B1221" s="4" t="s">
        <v>104</v>
      </c>
      <c r="C1221" s="4" t="n">
        <v>46259.2603009259</v>
      </c>
      <c r="D1221" s="4" t="n">
        <v>32</v>
      </c>
    </row>
    <row r="1222" customFormat="false" ht="15" hidden="false" customHeight="false" outlineLevel="0" collapsed="false">
      <c r="A1222" s="4" t="s">
        <v>576</v>
      </c>
      <c r="B1222" s="4" t="s">
        <v>104</v>
      </c>
      <c r="C1222" s="4" t="n">
        <v>46259.759537037</v>
      </c>
      <c r="D1222" s="4" t="n">
        <v>33</v>
      </c>
    </row>
    <row r="1223" customFormat="false" ht="15" hidden="false" customHeight="false" outlineLevel="0" collapsed="false">
      <c r="A1223" s="4" t="s">
        <v>588</v>
      </c>
      <c r="B1223" s="4" t="s">
        <v>104</v>
      </c>
      <c r="C1223" s="4" t="n">
        <v>46260.2600694444</v>
      </c>
      <c r="D1223" s="4" t="n">
        <v>34</v>
      </c>
    </row>
    <row r="1224" customFormat="false" ht="15" hidden="false" customHeight="false" outlineLevel="0" collapsed="false">
      <c r="A1224" s="4" t="s">
        <v>599</v>
      </c>
      <c r="B1224" s="4" t="s">
        <v>104</v>
      </c>
      <c r="C1224" s="4" t="n">
        <v>46260.7578240741</v>
      </c>
      <c r="D1224" s="4" t="n">
        <v>35</v>
      </c>
    </row>
    <row r="1225" customFormat="false" ht="15" hidden="false" customHeight="false" outlineLevel="0" collapsed="false">
      <c r="A1225" s="4" t="s">
        <v>611</v>
      </c>
      <c r="B1225" s="4" t="s">
        <v>104</v>
      </c>
      <c r="C1225" s="4" t="n">
        <v>46261.2601273148</v>
      </c>
      <c r="D1225" s="4" t="n">
        <v>36</v>
      </c>
    </row>
    <row r="1226" customFormat="false" ht="15" hidden="false" customHeight="false" outlineLevel="0" collapsed="false">
      <c r="A1226" s="4" t="s">
        <v>622</v>
      </c>
      <c r="B1226" s="4" t="s">
        <v>104</v>
      </c>
      <c r="C1226" s="4" t="n">
        <v>46261.7583912037</v>
      </c>
      <c r="D1226" s="4" t="n">
        <v>37</v>
      </c>
    </row>
    <row r="1227" customFormat="false" ht="15" hidden="false" customHeight="false" outlineLevel="0" collapsed="false">
      <c r="A1227" s="4" t="s">
        <v>635</v>
      </c>
      <c r="B1227" s="4" t="s">
        <v>104</v>
      </c>
      <c r="C1227" s="4" t="n">
        <v>46262.2592708333</v>
      </c>
      <c r="D1227" s="4" t="n">
        <v>38</v>
      </c>
    </row>
    <row r="1228" customFormat="false" ht="15" hidden="false" customHeight="false" outlineLevel="0" collapsed="false">
      <c r="A1228" s="4" t="s">
        <v>646</v>
      </c>
      <c r="B1228" s="4" t="s">
        <v>104</v>
      </c>
      <c r="C1228" s="4" t="n">
        <v>46262.7594097222</v>
      </c>
      <c r="D1228" s="4" t="n">
        <v>39</v>
      </c>
    </row>
    <row r="1229" customFormat="false" ht="15" hidden="false" customHeight="false" outlineLevel="0" collapsed="false">
      <c r="A1229" s="4" t="s">
        <v>658</v>
      </c>
      <c r="B1229" s="4" t="s">
        <v>104</v>
      </c>
      <c r="C1229" s="4" t="n">
        <v>46263.2593981482</v>
      </c>
      <c r="D1229" s="4" t="n">
        <v>40</v>
      </c>
    </row>
    <row r="1230" customFormat="false" ht="15" hidden="false" customHeight="false" outlineLevel="0" collapsed="false">
      <c r="A1230" s="4" t="s">
        <v>670</v>
      </c>
      <c r="B1230" s="4" t="s">
        <v>104</v>
      </c>
      <c r="C1230" s="4" t="n">
        <v>46263.7596643519</v>
      </c>
      <c r="D1230" s="4" t="n">
        <v>41</v>
      </c>
    </row>
    <row r="1231" customFormat="false" ht="15" hidden="false" customHeight="false" outlineLevel="0" collapsed="false">
      <c r="A1231" s="4" t="s">
        <v>682</v>
      </c>
      <c r="B1231" s="4" t="s">
        <v>104</v>
      </c>
      <c r="C1231" s="4" t="n">
        <v>46264.2590393519</v>
      </c>
      <c r="D1231" s="4" t="n">
        <v>42</v>
      </c>
    </row>
    <row r="1232" customFormat="false" ht="15" hidden="false" customHeight="false" outlineLevel="0" collapsed="false">
      <c r="A1232" s="4" t="s">
        <v>695</v>
      </c>
      <c r="B1232" s="4" t="s">
        <v>104</v>
      </c>
      <c r="C1232" s="4" t="n">
        <v>46264.7610763889</v>
      </c>
      <c r="D1232" s="4" t="n">
        <v>43</v>
      </c>
    </row>
    <row r="1233" customFormat="false" ht="15" hidden="false" customHeight="false" outlineLevel="0" collapsed="false">
      <c r="A1233" s="4" t="s">
        <v>707</v>
      </c>
      <c r="B1233" s="4" t="s">
        <v>104</v>
      </c>
      <c r="C1233" s="4" t="n">
        <v>46265.2606944444</v>
      </c>
      <c r="D1233" s="4" t="n">
        <v>44</v>
      </c>
    </row>
    <row r="1234" customFormat="false" ht="15" hidden="false" customHeight="false" outlineLevel="0" collapsed="false">
      <c r="A1234" s="4" t="s">
        <v>718</v>
      </c>
      <c r="B1234" s="4" t="s">
        <v>104</v>
      </c>
      <c r="C1234" s="4" t="n">
        <v>46265.7594675926</v>
      </c>
      <c r="D1234" s="4" t="n">
        <v>45</v>
      </c>
    </row>
    <row r="1235" customFormat="false" ht="15" hidden="false" customHeight="false" outlineLevel="0" collapsed="false">
      <c r="A1235" s="4" t="s">
        <v>730</v>
      </c>
      <c r="B1235" s="4" t="s">
        <v>104</v>
      </c>
      <c r="C1235" s="4" t="n">
        <v>46266.2590393519</v>
      </c>
      <c r="D1235" s="4" t="n">
        <v>46</v>
      </c>
    </row>
    <row r="1236" customFormat="false" ht="15" hidden="false" customHeight="false" outlineLevel="0" collapsed="false">
      <c r="A1236" s="4" t="s">
        <v>741</v>
      </c>
      <c r="B1236" s="4" t="s">
        <v>104</v>
      </c>
      <c r="C1236" s="4" t="n">
        <v>46266.7602546296</v>
      </c>
      <c r="D1236" s="4" t="n">
        <v>47</v>
      </c>
    </row>
    <row r="1237" customFormat="false" ht="15" hidden="false" customHeight="false" outlineLevel="0" collapsed="false">
      <c r="A1237" s="4" t="s">
        <v>753</v>
      </c>
      <c r="B1237" s="4" t="s">
        <v>104</v>
      </c>
      <c r="C1237" s="4" t="n">
        <v>46267.2588078704</v>
      </c>
      <c r="D1237" s="4" t="n">
        <v>48</v>
      </c>
    </row>
    <row r="1238" customFormat="false" ht="15" hidden="false" customHeight="false" outlineLevel="0" collapsed="false">
      <c r="A1238" s="4" t="s">
        <v>764</v>
      </c>
      <c r="B1238" s="4" t="s">
        <v>104</v>
      </c>
      <c r="C1238" s="4" t="n">
        <v>46267.7678703704</v>
      </c>
      <c r="D1238" s="4" t="n">
        <v>49</v>
      </c>
    </row>
    <row r="1239" customFormat="false" ht="15" hidden="false" customHeight="false" outlineLevel="0" collapsed="false">
      <c r="A1239" s="4" t="s">
        <v>776</v>
      </c>
      <c r="B1239" s="4" t="s">
        <v>104</v>
      </c>
      <c r="C1239" s="4" t="n">
        <v>46268.2594675926</v>
      </c>
      <c r="D1239" s="4" t="n">
        <v>50</v>
      </c>
    </row>
    <row r="1240" customFormat="false" ht="15" hidden="false" customHeight="false" outlineLevel="0" collapsed="false">
      <c r="A1240" s="4" t="s">
        <v>787</v>
      </c>
      <c r="B1240" s="4" t="s">
        <v>104</v>
      </c>
      <c r="C1240" s="4" t="n">
        <v>46268.7601041667</v>
      </c>
      <c r="D1240" s="4" t="n">
        <v>51</v>
      </c>
    </row>
    <row r="1241" customFormat="false" ht="15" hidden="false" customHeight="false" outlineLevel="0" collapsed="false">
      <c r="A1241" s="4" t="s">
        <v>799</v>
      </c>
      <c r="B1241" s="4" t="s">
        <v>104</v>
      </c>
      <c r="C1241" s="4" t="n">
        <v>46269.2599421296</v>
      </c>
      <c r="D1241" s="4" t="n">
        <v>52</v>
      </c>
    </row>
    <row r="1242" customFormat="false" ht="15" hidden="false" customHeight="false" outlineLevel="0" collapsed="false">
      <c r="A1242" s="4" t="s">
        <v>811</v>
      </c>
      <c r="B1242" s="4" t="s">
        <v>104</v>
      </c>
      <c r="C1242" s="4" t="n">
        <v>46269.7619097222</v>
      </c>
      <c r="D1242" s="4" t="n">
        <v>53</v>
      </c>
    </row>
    <row r="1243" customFormat="false" ht="15" hidden="false" customHeight="false" outlineLevel="0" collapsed="false">
      <c r="A1243" s="4" t="s">
        <v>824</v>
      </c>
      <c r="B1243" s="4" t="s">
        <v>104</v>
      </c>
      <c r="C1243" s="4" t="n">
        <v>46270.2596296296</v>
      </c>
      <c r="D1243" s="4" t="n">
        <v>54</v>
      </c>
    </row>
    <row r="1244" customFormat="false" ht="15" hidden="false" customHeight="false" outlineLevel="0" collapsed="false">
      <c r="A1244" s="4" t="s">
        <v>835</v>
      </c>
      <c r="B1244" s="4" t="s">
        <v>104</v>
      </c>
      <c r="C1244" s="4" t="n">
        <v>46270.7587268519</v>
      </c>
      <c r="D1244" s="4" t="n">
        <v>55</v>
      </c>
    </row>
    <row r="1245" customFormat="false" ht="15" hidden="false" customHeight="false" outlineLevel="0" collapsed="false">
      <c r="A1245" s="4" t="s">
        <v>847</v>
      </c>
      <c r="B1245" s="4" t="s">
        <v>104</v>
      </c>
      <c r="C1245" s="4" t="n">
        <v>46271.2600347222</v>
      </c>
      <c r="D1245" s="4" t="n">
        <v>56</v>
      </c>
    </row>
    <row r="1246" customFormat="false" ht="15" hidden="false" customHeight="false" outlineLevel="0" collapsed="false">
      <c r="A1246" s="4" t="s">
        <v>858</v>
      </c>
      <c r="B1246" s="4" t="s">
        <v>104</v>
      </c>
      <c r="C1246" s="4" t="n">
        <v>46271.7616550926</v>
      </c>
      <c r="D1246" s="4" t="n">
        <v>57</v>
      </c>
    </row>
    <row r="1247" customFormat="false" ht="15" hidden="false" customHeight="false" outlineLevel="0" collapsed="false">
      <c r="A1247" s="4" t="s">
        <v>870</v>
      </c>
      <c r="B1247" s="4" t="s">
        <v>104</v>
      </c>
      <c r="C1247" s="4" t="n">
        <v>46272.2589699074</v>
      </c>
      <c r="D1247" s="4" t="n">
        <v>58</v>
      </c>
    </row>
    <row r="1248" customFormat="false" ht="15" hidden="false" customHeight="false" outlineLevel="0" collapsed="false">
      <c r="A1248" s="4" t="s">
        <v>882</v>
      </c>
      <c r="B1248" s="4" t="s">
        <v>104</v>
      </c>
      <c r="C1248" s="4" t="n">
        <v>46272.7603935185</v>
      </c>
      <c r="D1248" s="4" t="n">
        <v>59</v>
      </c>
    </row>
    <row r="1249" customFormat="false" ht="15" hidden="false" customHeight="false" outlineLevel="0" collapsed="false">
      <c r="A1249" s="4" t="s">
        <v>895</v>
      </c>
      <c r="B1249" s="4" t="s">
        <v>104</v>
      </c>
      <c r="C1249" s="4" t="n">
        <v>46273.2602893519</v>
      </c>
      <c r="D1249" s="4" t="n">
        <v>60</v>
      </c>
    </row>
    <row r="1250" customFormat="false" ht="15" hidden="false" customHeight="false" outlineLevel="0" collapsed="false">
      <c r="A1250" s="4" t="s">
        <v>906</v>
      </c>
      <c r="B1250" s="4" t="s">
        <v>104</v>
      </c>
      <c r="C1250" s="4" t="n">
        <v>46273.7578587963</v>
      </c>
      <c r="D1250" s="4" t="n">
        <v>61</v>
      </c>
    </row>
    <row r="1251" customFormat="false" ht="15" hidden="false" customHeight="false" outlineLevel="0" collapsed="false">
      <c r="A1251" s="4" t="s">
        <v>918</v>
      </c>
      <c r="B1251" s="4" t="s">
        <v>104</v>
      </c>
      <c r="C1251" s="4" t="n">
        <v>46274.258599537</v>
      </c>
      <c r="D1251" s="4" t="n">
        <v>62</v>
      </c>
    </row>
    <row r="1252" customFormat="false" ht="15" hidden="false" customHeight="false" outlineLevel="0" collapsed="false">
      <c r="A1252" s="4" t="s">
        <v>930</v>
      </c>
      <c r="B1252" s="4" t="s">
        <v>104</v>
      </c>
      <c r="C1252" s="4" t="n">
        <v>46274.7617361111</v>
      </c>
      <c r="D1252" s="4" t="n">
        <v>63</v>
      </c>
    </row>
    <row r="1253" customFormat="false" ht="15" hidden="false" customHeight="false" outlineLevel="0" collapsed="false">
      <c r="A1253" s="4" t="s">
        <v>942</v>
      </c>
      <c r="B1253" s="4" t="s">
        <v>104</v>
      </c>
      <c r="C1253" s="4" t="n">
        <v>46275.2601388889</v>
      </c>
      <c r="D1253" s="4" t="n">
        <v>64</v>
      </c>
    </row>
    <row r="1254" customFormat="false" ht="15" hidden="false" customHeight="false" outlineLevel="0" collapsed="false">
      <c r="A1254" s="4" t="s">
        <v>947</v>
      </c>
      <c r="B1254" s="4" t="s">
        <v>104</v>
      </c>
      <c r="C1254" s="4" t="n">
        <v>46275.4715625</v>
      </c>
      <c r="D1254" s="4" t="n">
        <v>65</v>
      </c>
    </row>
    <row r="1255" customFormat="false" ht="15" hidden="false" customHeight="false" outlineLevel="0" collapsed="false">
      <c r="A1255" s="4" t="s">
        <v>954</v>
      </c>
      <c r="B1255" s="4" t="s">
        <v>104</v>
      </c>
      <c r="C1255" s="4" t="n">
        <v>46275.7583680556</v>
      </c>
      <c r="D1255" s="4" t="n">
        <v>66</v>
      </c>
    </row>
    <row r="1256" customFormat="false" ht="15" hidden="false" customHeight="false" outlineLevel="0" collapsed="false">
      <c r="A1256" s="4" t="s">
        <v>966</v>
      </c>
      <c r="B1256" s="4" t="s">
        <v>104</v>
      </c>
      <c r="C1256" s="4" t="n">
        <v>46276.2591550926</v>
      </c>
      <c r="D1256" s="4" t="n">
        <v>67</v>
      </c>
    </row>
    <row r="1257" customFormat="false" ht="15" hidden="false" customHeight="false" outlineLevel="0" collapsed="false">
      <c r="A1257" s="4" t="s">
        <v>978</v>
      </c>
      <c r="B1257" s="4" t="s">
        <v>104</v>
      </c>
      <c r="C1257" s="4" t="n">
        <v>46276.7614814815</v>
      </c>
      <c r="D1257" s="4" t="n">
        <v>68</v>
      </c>
    </row>
    <row r="1258" customFormat="false" ht="15" hidden="false" customHeight="false" outlineLevel="0" collapsed="false">
      <c r="A1258" s="4" t="s">
        <v>990</v>
      </c>
      <c r="B1258" s="4" t="s">
        <v>104</v>
      </c>
      <c r="C1258" s="4" t="n">
        <v>46277.2608564815</v>
      </c>
      <c r="D1258" s="4" t="n">
        <v>69</v>
      </c>
    </row>
    <row r="1259" customFormat="false" ht="15" hidden="false" customHeight="false" outlineLevel="0" collapsed="false">
      <c r="A1259" s="4" t="s">
        <v>1001</v>
      </c>
      <c r="B1259" s="4" t="s">
        <v>104</v>
      </c>
      <c r="C1259" s="4" t="n">
        <v>46277.7609027778</v>
      </c>
      <c r="D1259" s="4" t="n">
        <v>70</v>
      </c>
    </row>
    <row r="1260" customFormat="false" ht="15" hidden="false" customHeight="false" outlineLevel="0" collapsed="false">
      <c r="A1260" s="4" t="s">
        <v>1013</v>
      </c>
      <c r="B1260" s="4" t="s">
        <v>104</v>
      </c>
      <c r="C1260" s="4" t="n">
        <v>46278.2609606482</v>
      </c>
      <c r="D1260" s="4" t="n">
        <v>71</v>
      </c>
    </row>
    <row r="1261" customFormat="false" ht="15" hidden="false" customHeight="false" outlineLevel="0" collapsed="false">
      <c r="A1261" s="4" t="s">
        <v>1014</v>
      </c>
      <c r="B1261" s="4" t="s">
        <v>104</v>
      </c>
      <c r="C1261" s="4" t="n">
        <v>46278.2768981482</v>
      </c>
      <c r="D1261" s="4" t="n">
        <v>72</v>
      </c>
    </row>
    <row r="1262" customFormat="false" ht="15" hidden="false" customHeight="false" outlineLevel="0" collapsed="false">
      <c r="A1262" s="4" t="s">
        <v>1025</v>
      </c>
      <c r="B1262" s="4" t="s">
        <v>104</v>
      </c>
      <c r="C1262" s="4" t="n">
        <v>46278.7590625</v>
      </c>
      <c r="D1262" s="4" t="n">
        <v>73</v>
      </c>
    </row>
    <row r="1263" customFormat="false" ht="15" hidden="false" customHeight="false" outlineLevel="0" collapsed="false">
      <c r="A1263" s="4" t="s">
        <v>1037</v>
      </c>
      <c r="B1263" s="4" t="s">
        <v>104</v>
      </c>
      <c r="C1263" s="4" t="n">
        <v>46279.2596412037</v>
      </c>
      <c r="D1263" s="4" t="n">
        <v>74</v>
      </c>
    </row>
    <row r="1264" customFormat="false" ht="15" hidden="false" customHeight="false" outlineLevel="0" collapsed="false">
      <c r="A1264" s="4" t="s">
        <v>1048</v>
      </c>
      <c r="B1264" s="4" t="s">
        <v>104</v>
      </c>
      <c r="C1264" s="4" t="n">
        <v>46279.7590509259</v>
      </c>
      <c r="D1264" s="4" t="n">
        <v>75</v>
      </c>
    </row>
    <row r="1265" customFormat="false" ht="15" hidden="false" customHeight="false" outlineLevel="0" collapsed="false">
      <c r="A1265" s="4" t="s">
        <v>1063</v>
      </c>
      <c r="B1265" s="4" t="s">
        <v>104</v>
      </c>
      <c r="C1265" s="4" t="n">
        <v>46280.2620717593</v>
      </c>
      <c r="D1265" s="4" t="n">
        <v>76</v>
      </c>
    </row>
    <row r="1266" customFormat="false" ht="15" hidden="false" customHeight="false" outlineLevel="0" collapsed="false">
      <c r="A1266" s="4" t="s">
        <v>1074</v>
      </c>
      <c r="B1266" s="4" t="s">
        <v>104</v>
      </c>
      <c r="C1266" s="4" t="n">
        <v>46280.7614236111</v>
      </c>
      <c r="D1266" s="4" t="n">
        <v>77</v>
      </c>
    </row>
    <row r="1267" customFormat="false" ht="15" hidden="false" customHeight="false" outlineLevel="0" collapsed="false">
      <c r="A1267" s="4" t="s">
        <v>1081</v>
      </c>
      <c r="B1267" s="4" t="s">
        <v>104</v>
      </c>
      <c r="C1267" s="4" t="n">
        <v>46281.0722222222</v>
      </c>
      <c r="D1267" s="4" t="n">
        <v>78</v>
      </c>
    </row>
    <row r="1268" customFormat="false" ht="15" hidden="false" customHeight="false" outlineLevel="0" collapsed="false">
      <c r="A1268" s="4" t="s">
        <v>1087</v>
      </c>
      <c r="B1268" s="4" t="s">
        <v>104</v>
      </c>
      <c r="C1268" s="4" t="n">
        <v>46281.2598263889</v>
      </c>
      <c r="D1268" s="4" t="n">
        <v>79</v>
      </c>
    </row>
    <row r="1269" customFormat="false" ht="15" hidden="false" customHeight="false" outlineLevel="0" collapsed="false">
      <c r="A1269" s="4" t="s">
        <v>1098</v>
      </c>
      <c r="B1269" s="4" t="s">
        <v>104</v>
      </c>
      <c r="C1269" s="4" t="n">
        <v>46281.7578356482</v>
      </c>
      <c r="D1269" s="4" t="n">
        <v>80</v>
      </c>
    </row>
    <row r="1270" customFormat="false" ht="15" hidden="false" customHeight="false" outlineLevel="0" collapsed="false">
      <c r="A1270" s="4" t="s">
        <v>1110</v>
      </c>
      <c r="B1270" s="4" t="s">
        <v>104</v>
      </c>
      <c r="C1270" s="4" t="n">
        <v>46282.2594212963</v>
      </c>
      <c r="D1270" s="4" t="n">
        <v>81</v>
      </c>
    </row>
    <row r="1271" customFormat="false" ht="15" hidden="false" customHeight="false" outlineLevel="0" collapsed="false">
      <c r="A1271" s="4" t="s">
        <v>1121</v>
      </c>
      <c r="B1271" s="4" t="s">
        <v>104</v>
      </c>
      <c r="C1271" s="4" t="n">
        <v>46282.7606828704</v>
      </c>
      <c r="D1271" s="4" t="n">
        <v>82</v>
      </c>
    </row>
    <row r="1272" customFormat="false" ht="15" hidden="false" customHeight="false" outlineLevel="0" collapsed="false">
      <c r="A1272" s="4" t="s">
        <v>1133</v>
      </c>
      <c r="B1272" s="4" t="s">
        <v>104</v>
      </c>
      <c r="C1272" s="4" t="n">
        <v>46283.2603587963</v>
      </c>
      <c r="D1272" s="4" t="n">
        <v>83</v>
      </c>
    </row>
    <row r="1273" customFormat="false" ht="15" hidden="false" customHeight="false" outlineLevel="0" collapsed="false">
      <c r="A1273" s="4" t="s">
        <v>1144</v>
      </c>
      <c r="B1273" s="4" t="s">
        <v>104</v>
      </c>
      <c r="C1273" s="4" t="n">
        <v>46283.7607175926</v>
      </c>
      <c r="D1273" s="4" t="n">
        <v>84</v>
      </c>
    </row>
    <row r="1274" customFormat="false" ht="15" hidden="false" customHeight="false" outlineLevel="0" collapsed="false">
      <c r="A1274" s="4" t="s">
        <v>1156</v>
      </c>
      <c r="B1274" s="4" t="s">
        <v>104</v>
      </c>
      <c r="C1274" s="4" t="n">
        <v>46284.2579282407</v>
      </c>
      <c r="D1274" s="4" t="n">
        <v>85</v>
      </c>
    </row>
    <row r="1275" customFormat="false" ht="15" hidden="false" customHeight="false" outlineLevel="0" collapsed="false">
      <c r="A1275" s="4" t="s">
        <v>1167</v>
      </c>
      <c r="B1275" s="4" t="s">
        <v>104</v>
      </c>
      <c r="C1275" s="4" t="n">
        <v>46284.7592476852</v>
      </c>
      <c r="D1275" s="4" t="n">
        <v>86</v>
      </c>
    </row>
    <row r="1276" customFormat="false" ht="15" hidden="false" customHeight="false" outlineLevel="0" collapsed="false">
      <c r="A1276" s="4" t="s">
        <v>1179</v>
      </c>
      <c r="B1276" s="4" t="s">
        <v>104</v>
      </c>
      <c r="C1276" s="4" t="n">
        <v>46285.2588078704</v>
      </c>
      <c r="D1276" s="4" t="n">
        <v>87</v>
      </c>
    </row>
    <row r="1277" customFormat="false" ht="15" hidden="false" customHeight="false" outlineLevel="0" collapsed="false">
      <c r="A1277" s="4" t="s">
        <v>1191</v>
      </c>
      <c r="B1277" s="4" t="s">
        <v>104</v>
      </c>
      <c r="C1277" s="4" t="n">
        <v>46285.7602083333</v>
      </c>
      <c r="D1277" s="4" t="n">
        <v>88</v>
      </c>
    </row>
    <row r="1278" customFormat="false" ht="15" hidden="false" customHeight="false" outlineLevel="0" collapsed="false">
      <c r="A1278" s="4" t="s">
        <v>1203</v>
      </c>
      <c r="B1278" s="4" t="s">
        <v>104</v>
      </c>
      <c r="C1278" s="4" t="n">
        <v>46286.2603935185</v>
      </c>
      <c r="D1278" s="4" t="n">
        <v>89</v>
      </c>
    </row>
    <row r="1279" customFormat="false" ht="15" hidden="false" customHeight="false" outlineLevel="0" collapsed="false">
      <c r="A1279" s="4" t="s">
        <v>1215</v>
      </c>
      <c r="B1279" s="4" t="s">
        <v>104</v>
      </c>
      <c r="C1279" s="4" t="n">
        <v>46286.7595138889</v>
      </c>
      <c r="D1279" s="4" t="n">
        <v>90</v>
      </c>
    </row>
    <row r="1280" customFormat="false" ht="15" hidden="false" customHeight="false" outlineLevel="0" collapsed="false">
      <c r="A1280" s="4" t="s">
        <v>1227</v>
      </c>
      <c r="B1280" s="4" t="s">
        <v>104</v>
      </c>
      <c r="C1280" s="4" t="n">
        <v>46287.2603819444</v>
      </c>
      <c r="D1280" s="4" t="n">
        <v>91</v>
      </c>
    </row>
    <row r="1281" customFormat="false" ht="15" hidden="false" customHeight="false" outlineLevel="0" collapsed="false">
      <c r="A1281" s="4" t="s">
        <v>1238</v>
      </c>
      <c r="B1281" s="4" t="s">
        <v>104</v>
      </c>
      <c r="C1281" s="4" t="n">
        <v>46287.7592361111</v>
      </c>
      <c r="D1281" s="4" t="n">
        <v>92</v>
      </c>
    </row>
    <row r="1282" customFormat="false" ht="15" hidden="false" customHeight="false" outlineLevel="0" collapsed="false">
      <c r="A1282" s="4" t="s">
        <v>1250</v>
      </c>
      <c r="B1282" s="4" t="s">
        <v>104</v>
      </c>
      <c r="C1282" s="4" t="n">
        <v>46288.2595486111</v>
      </c>
      <c r="D1282" s="4" t="n">
        <v>93</v>
      </c>
    </row>
    <row r="1283" customFormat="false" ht="15" hidden="false" customHeight="false" outlineLevel="0" collapsed="false">
      <c r="A1283" s="4" t="s">
        <v>1261</v>
      </c>
      <c r="B1283" s="4" t="s">
        <v>104</v>
      </c>
      <c r="C1283" s="4" t="n">
        <v>46288.7606134259</v>
      </c>
      <c r="D1283" s="4" t="n">
        <v>94</v>
      </c>
    </row>
    <row r="1284" customFormat="false" ht="15" hidden="false" customHeight="false" outlineLevel="0" collapsed="false">
      <c r="A1284" s="4" t="s">
        <v>1273</v>
      </c>
      <c r="B1284" s="4" t="s">
        <v>104</v>
      </c>
      <c r="C1284" s="4" t="n">
        <v>46289.2589467593</v>
      </c>
      <c r="D1284" s="4" t="n">
        <v>95</v>
      </c>
    </row>
    <row r="1285" customFormat="false" ht="15" hidden="false" customHeight="false" outlineLevel="0" collapsed="false">
      <c r="A1285" s="4" t="s">
        <v>1285</v>
      </c>
      <c r="B1285" s="4" t="s">
        <v>104</v>
      </c>
      <c r="C1285" s="4" t="n">
        <v>46289.7588425926</v>
      </c>
      <c r="D1285" s="4" t="n">
        <v>96</v>
      </c>
    </row>
    <row r="1286" customFormat="false" ht="15" hidden="false" customHeight="false" outlineLevel="0" collapsed="false">
      <c r="A1286" s="4" t="s">
        <v>1297</v>
      </c>
      <c r="B1286" s="4" t="s">
        <v>104</v>
      </c>
      <c r="C1286" s="4" t="n">
        <v>46290.2591550926</v>
      </c>
      <c r="D1286" s="4" t="n">
        <v>97</v>
      </c>
    </row>
    <row r="1287" customFormat="false" ht="15" hidden="false" customHeight="false" outlineLevel="0" collapsed="false">
      <c r="A1287" s="4" t="s">
        <v>1308</v>
      </c>
      <c r="B1287" s="4" t="s">
        <v>104</v>
      </c>
      <c r="C1287" s="4" t="n">
        <v>46290.7605324074</v>
      </c>
      <c r="D1287" s="4" t="n">
        <v>98</v>
      </c>
    </row>
    <row r="1288" customFormat="false" ht="15" hidden="false" customHeight="false" outlineLevel="0" collapsed="false">
      <c r="A1288" s="4" t="s">
        <v>1320</v>
      </c>
      <c r="B1288" s="4" t="s">
        <v>104</v>
      </c>
      <c r="C1288" s="4" t="n">
        <v>46291.2602083333</v>
      </c>
      <c r="D1288" s="4" t="n">
        <v>99</v>
      </c>
    </row>
    <row r="1289" customFormat="false" ht="15" hidden="false" customHeight="false" outlineLevel="0" collapsed="false">
      <c r="A1289" s="4" t="s">
        <v>1330</v>
      </c>
      <c r="B1289" s="4" t="s">
        <v>104</v>
      </c>
      <c r="C1289" s="4" t="n">
        <v>46291.7609837963</v>
      </c>
      <c r="D1289" s="4" t="n">
        <v>100</v>
      </c>
    </row>
    <row r="1290" customFormat="false" ht="15" hidden="false" customHeight="false" outlineLevel="0" collapsed="false">
      <c r="A1290" s="4" t="s">
        <v>1345</v>
      </c>
      <c r="B1290" s="4" t="s">
        <v>104</v>
      </c>
      <c r="C1290" s="4" t="n">
        <v>46292.2588310185</v>
      </c>
      <c r="D1290" s="4" t="n">
        <v>101</v>
      </c>
    </row>
    <row r="1291" customFormat="false" ht="15" hidden="false" customHeight="false" outlineLevel="0" collapsed="false">
      <c r="A1291" s="4" t="s">
        <v>1356</v>
      </c>
      <c r="B1291" s="4" t="s">
        <v>104</v>
      </c>
      <c r="C1291" s="4" t="n">
        <v>46292.7598611111</v>
      </c>
      <c r="D1291" s="4" t="n">
        <v>102</v>
      </c>
    </row>
    <row r="1292" customFormat="false" ht="15" hidden="false" customHeight="false" outlineLevel="0" collapsed="false">
      <c r="A1292" s="4" t="s">
        <v>1368</v>
      </c>
      <c r="B1292" s="4" t="s">
        <v>104</v>
      </c>
      <c r="C1292" s="4" t="n">
        <v>46293.2594097222</v>
      </c>
      <c r="D1292" s="4" t="n">
        <v>103</v>
      </c>
    </row>
    <row r="1293" customFormat="false" ht="15" hidden="false" customHeight="false" outlineLevel="0" collapsed="false">
      <c r="A1293" s="4" t="s">
        <v>1379</v>
      </c>
      <c r="B1293" s="4" t="s">
        <v>104</v>
      </c>
      <c r="C1293" s="4" t="n">
        <v>46293.7592476852</v>
      </c>
      <c r="D1293" s="4" t="n">
        <v>104</v>
      </c>
    </row>
    <row r="1294" customFormat="false" ht="15" hidden="false" customHeight="false" outlineLevel="0" collapsed="false">
      <c r="A1294" s="4" t="s">
        <v>1391</v>
      </c>
      <c r="B1294" s="4" t="s">
        <v>104</v>
      </c>
      <c r="C1294" s="4" t="n">
        <v>46294.2606597222</v>
      </c>
      <c r="D1294" s="4" t="n">
        <v>105</v>
      </c>
    </row>
    <row r="1295" customFormat="false" ht="15" hidden="false" customHeight="false" outlineLevel="0" collapsed="false">
      <c r="A1295" s="4" t="s">
        <v>1402</v>
      </c>
      <c r="B1295" s="4" t="s">
        <v>104</v>
      </c>
      <c r="C1295" s="4" t="n">
        <v>46294.758587963</v>
      </c>
      <c r="D1295" s="4" t="n">
        <v>106</v>
      </c>
    </row>
    <row r="1296" customFormat="false" ht="15" hidden="false" customHeight="false" outlineLevel="0" collapsed="false">
      <c r="A1296" s="4" t="s">
        <v>1414</v>
      </c>
      <c r="B1296" s="4" t="s">
        <v>104</v>
      </c>
      <c r="C1296" s="4" t="n">
        <v>46295.2593287037</v>
      </c>
      <c r="D1296" s="4" t="n">
        <v>107</v>
      </c>
    </row>
    <row r="1297" customFormat="false" ht="15" hidden="false" customHeight="false" outlineLevel="0" collapsed="false">
      <c r="A1297" s="4" t="s">
        <v>1425</v>
      </c>
      <c r="B1297" s="4" t="s">
        <v>104</v>
      </c>
      <c r="C1297" s="4" t="n">
        <v>46295.7578009259</v>
      </c>
      <c r="D1297" s="4" t="n">
        <v>108</v>
      </c>
    </row>
    <row r="1298" customFormat="false" ht="15" hidden="false" customHeight="false" outlineLevel="0" collapsed="false">
      <c r="A1298" s="4" t="s">
        <v>1437</v>
      </c>
      <c r="B1298" s="4" t="s">
        <v>104</v>
      </c>
      <c r="C1298" s="4" t="n">
        <v>46296.2586574074</v>
      </c>
      <c r="D1298" s="4" t="n">
        <v>109</v>
      </c>
    </row>
    <row r="1299" customFormat="false" ht="15" hidden="false" customHeight="false" outlineLevel="0" collapsed="false">
      <c r="A1299" s="4" t="s">
        <v>1448</v>
      </c>
      <c r="B1299" s="4" t="s">
        <v>104</v>
      </c>
      <c r="C1299" s="4" t="n">
        <v>46296.7608333333</v>
      </c>
      <c r="D1299" s="4" t="n">
        <v>110</v>
      </c>
    </row>
    <row r="1300" customFormat="false" ht="15" hidden="false" customHeight="false" outlineLevel="0" collapsed="false">
      <c r="A1300" s="4" t="s">
        <v>1460</v>
      </c>
      <c r="B1300" s="4" t="s">
        <v>104</v>
      </c>
      <c r="C1300" s="4" t="n">
        <v>46297.2617361111</v>
      </c>
      <c r="D1300" s="4" t="n">
        <v>111</v>
      </c>
    </row>
    <row r="1301" customFormat="false" ht="15" hidden="false" customHeight="false" outlineLevel="0" collapsed="false">
      <c r="A1301" s="4" t="s">
        <v>1471</v>
      </c>
      <c r="B1301" s="4" t="s">
        <v>104</v>
      </c>
      <c r="C1301" s="4" t="n">
        <v>46297.7612847222</v>
      </c>
      <c r="D1301" s="4" t="n">
        <v>112</v>
      </c>
    </row>
    <row r="1302" customFormat="false" ht="15" hidden="false" customHeight="false" outlineLevel="0" collapsed="false">
      <c r="A1302" s="4" t="s">
        <v>1483</v>
      </c>
      <c r="B1302" s="4" t="s">
        <v>104</v>
      </c>
      <c r="C1302" s="4" t="n">
        <v>46298.2593634259</v>
      </c>
      <c r="D1302" s="4" t="n">
        <v>113</v>
      </c>
    </row>
    <row r="1303" customFormat="false" ht="15" hidden="false" customHeight="false" outlineLevel="0" collapsed="false">
      <c r="A1303" s="4" t="s">
        <v>1494</v>
      </c>
      <c r="B1303" s="4" t="s">
        <v>104</v>
      </c>
      <c r="C1303" s="4" t="n">
        <v>46298.7592476852</v>
      </c>
      <c r="D1303" s="4" t="n">
        <v>114</v>
      </c>
    </row>
    <row r="1304" customFormat="false" ht="15" hidden="false" customHeight="false" outlineLevel="0" collapsed="false">
      <c r="A1304" s="4" t="s">
        <v>1506</v>
      </c>
      <c r="B1304" s="4" t="s">
        <v>104</v>
      </c>
      <c r="C1304" s="4" t="n">
        <v>46299.2600231482</v>
      </c>
      <c r="D1304" s="4" t="n">
        <v>115</v>
      </c>
    </row>
    <row r="1305" customFormat="false" ht="15" hidden="false" customHeight="false" outlineLevel="0" collapsed="false">
      <c r="A1305" s="4" t="s">
        <v>1517</v>
      </c>
      <c r="B1305" s="4" t="s">
        <v>104</v>
      </c>
      <c r="C1305" s="4" t="n">
        <v>46299.7601388889</v>
      </c>
      <c r="D1305" s="4" t="n">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3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8" min="8" style="0" width="14"/>
    <col collapsed="false" customWidth="true" hidden="false" outlineLevel="0" max="9" min="9" style="0" width="28"/>
    <col collapsed="false" customWidth="true" hidden="false" outlineLevel="0" max="11" min="11" style="0" width="12"/>
    <col collapsed="false" customWidth="true" hidden="false" outlineLevel="0" max="16" min="16" style="0" width="14"/>
    <col collapsed="false" customWidth="true" hidden="false" outlineLevel="0" max="17" min="17" style="0" width="20"/>
    <col collapsed="false" customWidth="true" hidden="false" outlineLevel="0" max="18" min="18" style="0" width="14"/>
  </cols>
  <sheetData>
    <row r="1" customFormat="false" ht="17.35" hidden="false" customHeight="false" outlineLevel="0" collapsed="false">
      <c r="A1" s="1" t="s">
        <v>1526</v>
      </c>
    </row>
    <row r="2" customFormat="false" ht="15" hidden="false" customHeight="false" outlineLevel="0" collapsed="false">
      <c r="A2" s="0" t="s">
        <v>1527</v>
      </c>
    </row>
    <row r="3" customFormat="false" ht="41.75" hidden="false" customHeight="false" outlineLevel="0" collapsed="false">
      <c r="A3" s="9" t="s">
        <v>1528</v>
      </c>
      <c r="B3" s="9" t="s">
        <v>201</v>
      </c>
      <c r="C3" s="9" t="s">
        <v>199</v>
      </c>
      <c r="D3" s="9" t="s">
        <v>1529</v>
      </c>
      <c r="E3" s="9" t="s">
        <v>1530</v>
      </c>
      <c r="F3" s="9" t="s">
        <v>1531</v>
      </c>
      <c r="G3" s="9" t="s">
        <v>1532</v>
      </c>
      <c r="H3" s="9" t="s">
        <v>1533</v>
      </c>
      <c r="I3" s="9" t="s">
        <v>1534</v>
      </c>
      <c r="J3" s="9" t="s">
        <v>54</v>
      </c>
      <c r="K3" s="9" t="s">
        <v>1535</v>
      </c>
      <c r="L3" s="9" t="s">
        <v>1536</v>
      </c>
      <c r="M3" s="9" t="s">
        <v>1537</v>
      </c>
      <c r="N3" s="9" t="s">
        <v>1538</v>
      </c>
      <c r="O3" s="9" t="s">
        <v>1539</v>
      </c>
      <c r="P3" s="9" t="s">
        <v>1540</v>
      </c>
      <c r="Q3" s="9" t="s">
        <v>1541</v>
      </c>
      <c r="R3" s="9" t="s">
        <v>1542</v>
      </c>
    </row>
    <row r="4" customFormat="false" ht="15" hidden="false" customHeight="false" outlineLevel="0" collapsed="false">
      <c r="A4" s="4" t="s">
        <v>1543</v>
      </c>
      <c r="B4" s="10" t="n">
        <v>46244.0520833333</v>
      </c>
      <c r="C4" s="4" t="s">
        <v>1544</v>
      </c>
      <c r="D4" s="4" t="n">
        <v>934</v>
      </c>
      <c r="E4" s="4" t="n">
        <v>7</v>
      </c>
      <c r="F4" s="4" t="n">
        <v>6</v>
      </c>
      <c r="G4" s="4" t="n">
        <v>0</v>
      </c>
      <c r="J4" s="11" t="b">
        <f aca="false">TRUE()</f>
        <v>1</v>
      </c>
      <c r="K4" s="4" t="s">
        <v>1545</v>
      </c>
      <c r="L4" s="4" t="n">
        <v>4</v>
      </c>
      <c r="M4" s="4" t="n">
        <v>4</v>
      </c>
      <c r="N4" s="4" t="n">
        <v>4</v>
      </c>
      <c r="O4" s="4" t="n">
        <v>4</v>
      </c>
      <c r="P4" s="0" t="str">
        <f aca="false">IF(E4=0,"not_reached",IF(AND(F4&gt;0,G4=0),"allowed","blocked"))</f>
        <v>allowed</v>
      </c>
      <c r="Q4" s="0" t="str">
        <f aca="false">IF(C4="success","published",IF(E4&gt;0,"blocked_at_gate","failed_before_gate"))</f>
        <v>published</v>
      </c>
      <c r="R4" s="0" t="str">
        <f aca="false">IF(C4="success","",IF(E4&gt;0,IF(I4="freshness_within_target","freshness",IF(I4="relationships_intact","relationships",IF(I4="reconciliation_residual_zero","residual",I4))),IF(H4="quality_gate","gate_infra",H4)))</f>
        <v/>
      </c>
    </row>
    <row r="5" customFormat="false" ht="15" hidden="false" customHeight="false" outlineLevel="0" collapsed="false">
      <c r="A5" s="4" t="s">
        <v>1546</v>
      </c>
      <c r="B5" s="10" t="n">
        <v>46244.09375</v>
      </c>
      <c r="C5" s="4" t="s">
        <v>1544</v>
      </c>
      <c r="D5" s="4" t="n">
        <v>864</v>
      </c>
      <c r="E5" s="4" t="n">
        <v>7</v>
      </c>
      <c r="F5" s="4" t="n">
        <v>6</v>
      </c>
      <c r="G5" s="4" t="n">
        <v>0</v>
      </c>
      <c r="J5" s="11" t="b">
        <f aca="false">TRUE()</f>
        <v>1</v>
      </c>
      <c r="K5" s="4" t="s">
        <v>1547</v>
      </c>
      <c r="L5" s="4" t="n">
        <v>4</v>
      </c>
      <c r="M5" s="4" t="n">
        <v>4</v>
      </c>
      <c r="N5" s="4" t="n">
        <v>4</v>
      </c>
      <c r="O5" s="4" t="n">
        <v>4</v>
      </c>
      <c r="P5" s="0" t="str">
        <f aca="false">IF(E5=0,"not_reached",IF(AND(F5&gt;0,G5=0),"allowed","blocked"))</f>
        <v>allowed</v>
      </c>
      <c r="Q5" s="0" t="str">
        <f aca="false">IF(C5="success","published",IF(E5&gt;0,"blocked_at_gate","failed_before_gate"))</f>
        <v>published</v>
      </c>
      <c r="R5" s="0" t="str">
        <f aca="false">IF(C5="success","",IF(E5&gt;0,IF(I5="freshness_within_target","freshness",IF(I5="relationships_intact","relationships",IF(I5="reconciliation_residual_zero","residual",I5))),IF(H5="quality_gate","gate_infra",H5)))</f>
        <v/>
      </c>
    </row>
    <row r="6" customFormat="false" ht="15" hidden="false" customHeight="false" outlineLevel="0" collapsed="false">
      <c r="A6" s="4" t="s">
        <v>1548</v>
      </c>
      <c r="B6" s="10" t="n">
        <v>46244.1354166667</v>
      </c>
      <c r="C6" s="4" t="s">
        <v>1544</v>
      </c>
      <c r="D6" s="4" t="n">
        <v>829</v>
      </c>
      <c r="E6" s="4" t="n">
        <v>7</v>
      </c>
      <c r="F6" s="4" t="n">
        <v>6</v>
      </c>
      <c r="G6" s="4" t="n">
        <v>0</v>
      </c>
      <c r="J6" s="11" t="b">
        <f aca="false">TRUE()</f>
        <v>1</v>
      </c>
      <c r="K6" s="4" t="s">
        <v>1549</v>
      </c>
      <c r="L6" s="4" t="n">
        <v>4</v>
      </c>
      <c r="M6" s="4" t="n">
        <v>4</v>
      </c>
      <c r="N6" s="4" t="n">
        <v>4</v>
      </c>
      <c r="O6" s="4" t="n">
        <v>4</v>
      </c>
      <c r="P6" s="0" t="str">
        <f aca="false">IF(E6=0,"not_reached",IF(AND(F6&gt;0,G6=0),"allowed","blocked"))</f>
        <v>allowed</v>
      </c>
      <c r="Q6" s="0" t="str">
        <f aca="false">IF(C6="success","published",IF(E6&gt;0,"blocked_at_gate","failed_before_gate"))</f>
        <v>published</v>
      </c>
      <c r="R6" s="0" t="str">
        <f aca="false">IF(C6="success","",IF(E6&gt;0,IF(I6="freshness_within_target","freshness",IF(I6="relationships_intact","relationships",IF(I6="reconciliation_residual_zero","residual",I6))),IF(H6="quality_gate","gate_infra",H6)))</f>
        <v/>
      </c>
    </row>
    <row r="7" customFormat="false" ht="15" hidden="false" customHeight="false" outlineLevel="0" collapsed="false">
      <c r="A7" s="4" t="s">
        <v>1550</v>
      </c>
      <c r="B7" s="10" t="n">
        <v>46244.1770833333</v>
      </c>
      <c r="C7" s="4" t="s">
        <v>1544</v>
      </c>
      <c r="D7" s="4" t="n">
        <v>765</v>
      </c>
      <c r="E7" s="4" t="n">
        <v>7</v>
      </c>
      <c r="F7" s="4" t="n">
        <v>6</v>
      </c>
      <c r="G7" s="4" t="n">
        <v>0</v>
      </c>
      <c r="J7" s="11" t="b">
        <f aca="false">TRUE()</f>
        <v>1</v>
      </c>
      <c r="K7" s="4" t="s">
        <v>1551</v>
      </c>
      <c r="L7" s="4" t="n">
        <v>4</v>
      </c>
      <c r="M7" s="4" t="n">
        <v>4</v>
      </c>
      <c r="N7" s="4" t="n">
        <v>4</v>
      </c>
      <c r="O7" s="4" t="n">
        <v>4</v>
      </c>
      <c r="P7" s="0" t="str">
        <f aca="false">IF(E7=0,"not_reached",IF(AND(F7&gt;0,G7=0),"allowed","blocked"))</f>
        <v>allowed</v>
      </c>
      <c r="Q7" s="0" t="str">
        <f aca="false">IF(C7="success","published",IF(E7&gt;0,"blocked_at_gate","failed_before_gate"))</f>
        <v>published</v>
      </c>
      <c r="R7" s="0" t="str">
        <f aca="false">IF(C7="success","",IF(E7&gt;0,IF(I7="freshness_within_target","freshness",IF(I7="relationships_intact","relationships",IF(I7="reconciliation_residual_zero","residual",I7))),IF(H7="quality_gate","gate_infra",H7)))</f>
        <v/>
      </c>
    </row>
    <row r="8" customFormat="false" ht="15" hidden="false" customHeight="false" outlineLevel="0" collapsed="false">
      <c r="A8" s="4" t="s">
        <v>1552</v>
      </c>
      <c r="B8" s="10" t="n">
        <v>46244.21875</v>
      </c>
      <c r="C8" s="4" t="s">
        <v>1544</v>
      </c>
      <c r="D8" s="4" t="n">
        <v>819</v>
      </c>
      <c r="E8" s="4" t="n">
        <v>7</v>
      </c>
      <c r="F8" s="4" t="n">
        <v>6</v>
      </c>
      <c r="G8" s="4" t="n">
        <v>0</v>
      </c>
      <c r="J8" s="11" t="b">
        <f aca="false">TRUE()</f>
        <v>1</v>
      </c>
      <c r="K8" s="4" t="s">
        <v>1553</v>
      </c>
      <c r="L8" s="4" t="n">
        <v>4</v>
      </c>
      <c r="M8" s="4" t="n">
        <v>4</v>
      </c>
      <c r="N8" s="4" t="n">
        <v>4</v>
      </c>
      <c r="O8" s="4" t="n">
        <v>4</v>
      </c>
      <c r="P8" s="0" t="str">
        <f aca="false">IF(E8=0,"not_reached",IF(AND(F8&gt;0,G8=0),"allowed","blocked"))</f>
        <v>allowed</v>
      </c>
      <c r="Q8" s="0" t="str">
        <f aca="false">IF(C8="success","published",IF(E8&gt;0,"blocked_at_gate","failed_before_gate"))</f>
        <v>published</v>
      </c>
      <c r="R8" s="0" t="str">
        <f aca="false">IF(C8="success","",IF(E8&gt;0,IF(I8="freshness_within_target","freshness",IF(I8="relationships_intact","relationships",IF(I8="reconciliation_residual_zero","residual",I8))),IF(H8="quality_gate","gate_infra",H8)))</f>
        <v/>
      </c>
    </row>
    <row r="9" customFormat="false" ht="15" hidden="false" customHeight="false" outlineLevel="0" collapsed="false">
      <c r="A9" s="4" t="s">
        <v>1554</v>
      </c>
      <c r="B9" s="10" t="n">
        <v>46244.2604166667</v>
      </c>
      <c r="C9" s="4" t="s">
        <v>1544</v>
      </c>
      <c r="D9" s="4" t="n">
        <v>938</v>
      </c>
      <c r="E9" s="4" t="n">
        <v>7</v>
      </c>
      <c r="F9" s="4" t="n">
        <v>6</v>
      </c>
      <c r="G9" s="4" t="n">
        <v>0</v>
      </c>
      <c r="J9" s="11" t="b">
        <f aca="false">TRUE()</f>
        <v>1</v>
      </c>
      <c r="K9" s="4" t="s">
        <v>1555</v>
      </c>
      <c r="L9" s="4" t="n">
        <v>4</v>
      </c>
      <c r="M9" s="4" t="n">
        <v>4</v>
      </c>
      <c r="N9" s="4" t="n">
        <v>4</v>
      </c>
      <c r="O9" s="4" t="n">
        <v>4</v>
      </c>
      <c r="P9" s="0" t="str">
        <f aca="false">IF(E9=0,"not_reached",IF(AND(F9&gt;0,G9=0),"allowed","blocked"))</f>
        <v>allowed</v>
      </c>
      <c r="Q9" s="0" t="str">
        <f aca="false">IF(C9="success","published",IF(E9&gt;0,"blocked_at_gate","failed_before_gate"))</f>
        <v>published</v>
      </c>
      <c r="R9" s="0" t="str">
        <f aca="false">IF(C9="success","",IF(E9&gt;0,IF(I9="freshness_within_target","freshness",IF(I9="relationships_intact","relationships",IF(I9="reconciliation_residual_zero","residual",I9))),IF(H9="quality_gate","gate_infra",H9)))</f>
        <v/>
      </c>
    </row>
    <row r="10" customFormat="false" ht="15" hidden="false" customHeight="false" outlineLevel="0" collapsed="false">
      <c r="A10" s="4" t="s">
        <v>1556</v>
      </c>
      <c r="B10" s="10" t="n">
        <v>46244.3020833333</v>
      </c>
      <c r="C10" s="4" t="s">
        <v>1544</v>
      </c>
      <c r="D10" s="4" t="n">
        <v>894</v>
      </c>
      <c r="E10" s="4" t="n">
        <v>7</v>
      </c>
      <c r="F10" s="4" t="n">
        <v>6</v>
      </c>
      <c r="G10" s="4" t="n">
        <v>0</v>
      </c>
      <c r="J10" s="11" t="b">
        <f aca="false">TRUE()</f>
        <v>1</v>
      </c>
      <c r="K10" s="4" t="s">
        <v>1557</v>
      </c>
      <c r="L10" s="4" t="n">
        <v>4</v>
      </c>
      <c r="M10" s="4" t="n">
        <v>4</v>
      </c>
      <c r="N10" s="4" t="n">
        <v>4</v>
      </c>
      <c r="O10" s="4" t="n">
        <v>4</v>
      </c>
      <c r="P10" s="0" t="str">
        <f aca="false">IF(E10=0,"not_reached",IF(AND(F10&gt;0,G10=0),"allowed","blocked"))</f>
        <v>allowed</v>
      </c>
      <c r="Q10" s="0" t="str">
        <f aca="false">IF(C10="success","published",IF(E10&gt;0,"blocked_at_gate","failed_before_gate"))</f>
        <v>published</v>
      </c>
      <c r="R10" s="0" t="str">
        <f aca="false">IF(C10="success","",IF(E10&gt;0,IF(I10="freshness_within_target","freshness",IF(I10="relationships_intact","relationships",IF(I10="reconciliation_residual_zero","residual",I10))),IF(H10="quality_gate","gate_infra",H10)))</f>
        <v/>
      </c>
    </row>
    <row r="11" customFormat="false" ht="15" hidden="false" customHeight="false" outlineLevel="0" collapsed="false">
      <c r="A11" s="4" t="s">
        <v>1558</v>
      </c>
      <c r="B11" s="10" t="n">
        <v>46244.34375</v>
      </c>
      <c r="C11" s="4" t="s">
        <v>1544</v>
      </c>
      <c r="D11" s="4" t="n">
        <v>753</v>
      </c>
      <c r="E11" s="4" t="n">
        <v>7</v>
      </c>
      <c r="F11" s="4" t="n">
        <v>6</v>
      </c>
      <c r="G11" s="4" t="n">
        <v>0</v>
      </c>
      <c r="J11" s="11" t="b">
        <f aca="false">TRUE()</f>
        <v>1</v>
      </c>
      <c r="K11" s="4" t="s">
        <v>1559</v>
      </c>
      <c r="L11" s="4" t="n">
        <v>4</v>
      </c>
      <c r="M11" s="4" t="n">
        <v>4</v>
      </c>
      <c r="N11" s="4" t="n">
        <v>4</v>
      </c>
      <c r="O11" s="4" t="n">
        <v>4</v>
      </c>
      <c r="P11" s="0" t="str">
        <f aca="false">IF(E11=0,"not_reached",IF(AND(F11&gt;0,G11=0),"allowed","blocked"))</f>
        <v>allowed</v>
      </c>
      <c r="Q11" s="0" t="str">
        <f aca="false">IF(C11="success","published",IF(E11&gt;0,"blocked_at_gate","failed_before_gate"))</f>
        <v>published</v>
      </c>
      <c r="R11" s="0" t="str">
        <f aca="false">IF(C11="success","",IF(E11&gt;0,IF(I11="freshness_within_target","freshness",IF(I11="relationships_intact","relationships",IF(I11="reconciliation_residual_zero","residual",I11))),IF(H11="quality_gate","gate_infra",H11)))</f>
        <v/>
      </c>
    </row>
    <row r="12" customFormat="false" ht="15" hidden="false" customHeight="false" outlineLevel="0" collapsed="false">
      <c r="A12" s="4" t="s">
        <v>1560</v>
      </c>
      <c r="B12" s="10" t="n">
        <v>46244.3854166667</v>
      </c>
      <c r="C12" s="4" t="s">
        <v>1544</v>
      </c>
      <c r="D12" s="4" t="n">
        <v>697</v>
      </c>
      <c r="E12" s="4" t="n">
        <v>7</v>
      </c>
      <c r="F12" s="4" t="n">
        <v>6</v>
      </c>
      <c r="G12" s="4" t="n">
        <v>0</v>
      </c>
      <c r="J12" s="11" t="b">
        <f aca="false">TRUE()</f>
        <v>1</v>
      </c>
      <c r="K12" s="4" t="s">
        <v>1561</v>
      </c>
      <c r="L12" s="4" t="n">
        <v>4</v>
      </c>
      <c r="M12" s="4" t="n">
        <v>4</v>
      </c>
      <c r="N12" s="4" t="n">
        <v>4</v>
      </c>
      <c r="O12" s="4" t="n">
        <v>4</v>
      </c>
      <c r="P12" s="0" t="str">
        <f aca="false">IF(E12=0,"not_reached",IF(AND(F12&gt;0,G12=0),"allowed","blocked"))</f>
        <v>allowed</v>
      </c>
      <c r="Q12" s="0" t="str">
        <f aca="false">IF(C12="success","published",IF(E12&gt;0,"blocked_at_gate","failed_before_gate"))</f>
        <v>published</v>
      </c>
      <c r="R12" s="0" t="str">
        <f aca="false">IF(C12="success","",IF(E12&gt;0,IF(I12="freshness_within_target","freshness",IF(I12="relationships_intact","relationships",IF(I12="reconciliation_residual_zero","residual",I12))),IF(H12="quality_gate","gate_infra",H12)))</f>
        <v/>
      </c>
    </row>
    <row r="13" customFormat="false" ht="15" hidden="false" customHeight="false" outlineLevel="0" collapsed="false">
      <c r="A13" s="4" t="s">
        <v>1562</v>
      </c>
      <c r="B13" s="10" t="n">
        <v>46244.4270833333</v>
      </c>
      <c r="C13" s="4" t="s">
        <v>1544</v>
      </c>
      <c r="D13" s="4" t="n">
        <v>786</v>
      </c>
      <c r="E13" s="4" t="n">
        <v>7</v>
      </c>
      <c r="F13" s="4" t="n">
        <v>6</v>
      </c>
      <c r="G13" s="4" t="n">
        <v>0</v>
      </c>
      <c r="J13" s="11" t="b">
        <f aca="false">TRUE()</f>
        <v>1</v>
      </c>
      <c r="K13" s="4" t="s">
        <v>1563</v>
      </c>
      <c r="L13" s="4" t="n">
        <v>4</v>
      </c>
      <c r="M13" s="4" t="n">
        <v>4</v>
      </c>
      <c r="N13" s="4" t="n">
        <v>4</v>
      </c>
      <c r="O13" s="4" t="n">
        <v>4</v>
      </c>
      <c r="P13" s="0" t="str">
        <f aca="false">IF(E13=0,"not_reached",IF(AND(F13&gt;0,G13=0),"allowed","blocked"))</f>
        <v>allowed</v>
      </c>
      <c r="Q13" s="0" t="str">
        <f aca="false">IF(C13="success","published",IF(E13&gt;0,"blocked_at_gate","failed_before_gate"))</f>
        <v>published</v>
      </c>
      <c r="R13" s="0" t="str">
        <f aca="false">IF(C13="success","",IF(E13&gt;0,IF(I13="freshness_within_target","freshness",IF(I13="relationships_intact","relationships",IF(I13="reconciliation_residual_zero","residual",I13))),IF(H13="quality_gate","gate_infra",H13)))</f>
        <v/>
      </c>
    </row>
    <row r="14" customFormat="false" ht="15" hidden="false" customHeight="false" outlineLevel="0" collapsed="false">
      <c r="A14" s="4" t="s">
        <v>1564</v>
      </c>
      <c r="B14" s="10" t="n">
        <v>46244.46875</v>
      </c>
      <c r="C14" s="4" t="s">
        <v>1544</v>
      </c>
      <c r="D14" s="4" t="n">
        <v>959</v>
      </c>
      <c r="E14" s="4" t="n">
        <v>7</v>
      </c>
      <c r="F14" s="4" t="n">
        <v>6</v>
      </c>
      <c r="G14" s="4" t="n">
        <v>0</v>
      </c>
      <c r="J14" s="11" t="b">
        <f aca="false">TRUE()</f>
        <v>1</v>
      </c>
      <c r="K14" s="4" t="s">
        <v>1565</v>
      </c>
      <c r="L14" s="4" t="n">
        <v>4</v>
      </c>
      <c r="M14" s="4" t="n">
        <v>4</v>
      </c>
      <c r="N14" s="4" t="n">
        <v>4</v>
      </c>
      <c r="O14" s="4" t="n">
        <v>4</v>
      </c>
      <c r="P14" s="0" t="str">
        <f aca="false">IF(E14=0,"not_reached",IF(AND(F14&gt;0,G14=0),"allowed","blocked"))</f>
        <v>allowed</v>
      </c>
      <c r="Q14" s="0" t="str">
        <f aca="false">IF(C14="success","published",IF(E14&gt;0,"blocked_at_gate","failed_before_gate"))</f>
        <v>published</v>
      </c>
      <c r="R14" s="0" t="str">
        <f aca="false">IF(C14="success","",IF(E14&gt;0,IF(I14="freshness_within_target","freshness",IF(I14="relationships_intact","relationships",IF(I14="reconciliation_residual_zero","residual",I14))),IF(H14="quality_gate","gate_infra",H14)))</f>
        <v/>
      </c>
    </row>
    <row r="15" customFormat="false" ht="15" hidden="false" customHeight="false" outlineLevel="0" collapsed="false">
      <c r="A15" s="4" t="s">
        <v>1566</v>
      </c>
      <c r="B15" s="10" t="n">
        <v>46244.5104166667</v>
      </c>
      <c r="C15" s="4" t="s">
        <v>1544</v>
      </c>
      <c r="D15" s="4" t="n">
        <v>675</v>
      </c>
      <c r="E15" s="4" t="n">
        <v>7</v>
      </c>
      <c r="F15" s="4" t="n">
        <v>6</v>
      </c>
      <c r="G15" s="4" t="n">
        <v>0</v>
      </c>
      <c r="J15" s="11" t="b">
        <f aca="false">TRUE()</f>
        <v>1</v>
      </c>
      <c r="K15" s="4" t="s">
        <v>1567</v>
      </c>
      <c r="L15" s="4" t="n">
        <v>4</v>
      </c>
      <c r="M15" s="4" t="n">
        <v>4</v>
      </c>
      <c r="N15" s="4" t="n">
        <v>4</v>
      </c>
      <c r="O15" s="4" t="n">
        <v>4</v>
      </c>
      <c r="P15" s="0" t="str">
        <f aca="false">IF(E15=0,"not_reached",IF(AND(F15&gt;0,G15=0),"allowed","blocked"))</f>
        <v>allowed</v>
      </c>
      <c r="Q15" s="0" t="str">
        <f aca="false">IF(C15="success","published",IF(E15&gt;0,"blocked_at_gate","failed_before_gate"))</f>
        <v>published</v>
      </c>
      <c r="R15" s="0" t="str">
        <f aca="false">IF(C15="success","",IF(E15&gt;0,IF(I15="freshness_within_target","freshness",IF(I15="relationships_intact","relationships",IF(I15="reconciliation_residual_zero","residual",I15))),IF(H15="quality_gate","gate_infra",H15)))</f>
        <v/>
      </c>
    </row>
    <row r="16" customFormat="false" ht="15" hidden="false" customHeight="false" outlineLevel="0" collapsed="false">
      <c r="A16" s="4" t="s">
        <v>1568</v>
      </c>
      <c r="B16" s="10" t="n">
        <v>46244.5520833333</v>
      </c>
      <c r="C16" s="4" t="s">
        <v>1544</v>
      </c>
      <c r="D16" s="4" t="n">
        <v>820</v>
      </c>
      <c r="E16" s="4" t="n">
        <v>7</v>
      </c>
      <c r="F16" s="4" t="n">
        <v>6</v>
      </c>
      <c r="G16" s="4" t="n">
        <v>0</v>
      </c>
      <c r="J16" s="11" t="b">
        <f aca="false">TRUE()</f>
        <v>1</v>
      </c>
      <c r="K16" s="4" t="s">
        <v>1569</v>
      </c>
      <c r="L16" s="4" t="n">
        <v>4</v>
      </c>
      <c r="M16" s="4" t="n">
        <v>4</v>
      </c>
      <c r="N16" s="4" t="n">
        <v>4</v>
      </c>
      <c r="O16" s="4" t="n">
        <v>4</v>
      </c>
      <c r="P16" s="0" t="str">
        <f aca="false">IF(E16=0,"not_reached",IF(AND(F16&gt;0,G16=0),"allowed","blocked"))</f>
        <v>allowed</v>
      </c>
      <c r="Q16" s="0" t="str">
        <f aca="false">IF(C16="success","published",IF(E16&gt;0,"blocked_at_gate","failed_before_gate"))</f>
        <v>published</v>
      </c>
      <c r="R16" s="0" t="str">
        <f aca="false">IF(C16="success","",IF(E16&gt;0,IF(I16="freshness_within_target","freshness",IF(I16="relationships_intact","relationships",IF(I16="reconciliation_residual_zero","residual",I16))),IF(H16="quality_gate","gate_infra",H16)))</f>
        <v/>
      </c>
    </row>
    <row r="17" customFormat="false" ht="15" hidden="false" customHeight="false" outlineLevel="0" collapsed="false">
      <c r="A17" s="4" t="s">
        <v>1570</v>
      </c>
      <c r="B17" s="10" t="n">
        <v>46244.59375</v>
      </c>
      <c r="C17" s="4" t="s">
        <v>1544</v>
      </c>
      <c r="D17" s="4" t="n">
        <v>686</v>
      </c>
      <c r="E17" s="4" t="n">
        <v>7</v>
      </c>
      <c r="F17" s="4" t="n">
        <v>6</v>
      </c>
      <c r="G17" s="4" t="n">
        <v>0</v>
      </c>
      <c r="J17" s="11" t="b">
        <f aca="false">TRUE()</f>
        <v>1</v>
      </c>
      <c r="K17" s="4" t="s">
        <v>1571</v>
      </c>
      <c r="L17" s="4" t="n">
        <v>4</v>
      </c>
      <c r="M17" s="4" t="n">
        <v>4</v>
      </c>
      <c r="N17" s="4" t="n">
        <v>4</v>
      </c>
      <c r="O17" s="4" t="n">
        <v>4</v>
      </c>
      <c r="P17" s="0" t="str">
        <f aca="false">IF(E17=0,"not_reached",IF(AND(F17&gt;0,G17=0),"allowed","blocked"))</f>
        <v>allowed</v>
      </c>
      <c r="Q17" s="0" t="str">
        <f aca="false">IF(C17="success","published",IF(E17&gt;0,"blocked_at_gate","failed_before_gate"))</f>
        <v>published</v>
      </c>
      <c r="R17" s="0" t="str">
        <f aca="false">IF(C17="success","",IF(E17&gt;0,IF(I17="freshness_within_target","freshness",IF(I17="relationships_intact","relationships",IF(I17="reconciliation_residual_zero","residual",I17))),IF(H17="quality_gate","gate_infra",H17)))</f>
        <v/>
      </c>
    </row>
    <row r="18" customFormat="false" ht="15" hidden="false" customHeight="false" outlineLevel="0" collapsed="false">
      <c r="A18" s="4" t="s">
        <v>1572</v>
      </c>
      <c r="B18" s="10" t="n">
        <v>46244.6354166667</v>
      </c>
      <c r="C18" s="4" t="s">
        <v>1544</v>
      </c>
      <c r="D18" s="4" t="n">
        <v>838</v>
      </c>
      <c r="E18" s="4" t="n">
        <v>7</v>
      </c>
      <c r="F18" s="4" t="n">
        <v>6</v>
      </c>
      <c r="G18" s="4" t="n">
        <v>0</v>
      </c>
      <c r="J18" s="11" t="b">
        <f aca="false">TRUE()</f>
        <v>1</v>
      </c>
      <c r="K18" s="4" t="s">
        <v>1573</v>
      </c>
      <c r="L18" s="4" t="n">
        <v>4</v>
      </c>
      <c r="M18" s="4" t="n">
        <v>4</v>
      </c>
      <c r="N18" s="4" t="n">
        <v>4</v>
      </c>
      <c r="O18" s="4" t="n">
        <v>4</v>
      </c>
      <c r="P18" s="0" t="str">
        <f aca="false">IF(E18=0,"not_reached",IF(AND(F18&gt;0,G18=0),"allowed","blocked"))</f>
        <v>allowed</v>
      </c>
      <c r="Q18" s="0" t="str">
        <f aca="false">IF(C18="success","published",IF(E18&gt;0,"blocked_at_gate","failed_before_gate"))</f>
        <v>published</v>
      </c>
      <c r="R18" s="0" t="str">
        <f aca="false">IF(C18="success","",IF(E18&gt;0,IF(I18="freshness_within_target","freshness",IF(I18="relationships_intact","relationships",IF(I18="reconciliation_residual_zero","residual",I18))),IF(H18="quality_gate","gate_infra",H18)))</f>
        <v/>
      </c>
    </row>
    <row r="19" customFormat="false" ht="15" hidden="false" customHeight="false" outlineLevel="0" collapsed="false">
      <c r="A19" s="4" t="s">
        <v>1574</v>
      </c>
      <c r="B19" s="10" t="n">
        <v>46244.6770833333</v>
      </c>
      <c r="C19" s="4" t="s">
        <v>1544</v>
      </c>
      <c r="D19" s="4" t="n">
        <v>892</v>
      </c>
      <c r="E19" s="4" t="n">
        <v>7</v>
      </c>
      <c r="F19" s="4" t="n">
        <v>6</v>
      </c>
      <c r="G19" s="4" t="n">
        <v>0</v>
      </c>
      <c r="J19" s="11" t="b">
        <f aca="false">TRUE()</f>
        <v>1</v>
      </c>
      <c r="K19" s="4" t="s">
        <v>1575</v>
      </c>
      <c r="L19" s="4" t="n">
        <v>4</v>
      </c>
      <c r="M19" s="4" t="n">
        <v>4</v>
      </c>
      <c r="N19" s="4" t="n">
        <v>5</v>
      </c>
      <c r="O19" s="4" t="n">
        <v>4</v>
      </c>
      <c r="P19" s="0" t="str">
        <f aca="false">IF(E19=0,"not_reached",IF(AND(F19&gt;0,G19=0),"allowed","blocked"))</f>
        <v>allowed</v>
      </c>
      <c r="Q19" s="0" t="str">
        <f aca="false">IF(C19="success","published",IF(E19&gt;0,"blocked_at_gate","failed_before_gate"))</f>
        <v>published</v>
      </c>
      <c r="R19" s="0" t="str">
        <f aca="false">IF(C19="success","",IF(E19&gt;0,IF(I19="freshness_within_target","freshness",IF(I19="relationships_intact","relationships",IF(I19="reconciliation_residual_zero","residual",I19))),IF(H19="quality_gate","gate_infra",H19)))</f>
        <v/>
      </c>
    </row>
    <row r="20" customFormat="false" ht="15" hidden="false" customHeight="false" outlineLevel="0" collapsed="false">
      <c r="A20" s="4" t="s">
        <v>1576</v>
      </c>
      <c r="B20" s="10" t="n">
        <v>46244.71875</v>
      </c>
      <c r="C20" s="4" t="s">
        <v>1544</v>
      </c>
      <c r="D20" s="4" t="n">
        <v>810</v>
      </c>
      <c r="E20" s="4" t="n">
        <v>7</v>
      </c>
      <c r="F20" s="4" t="n">
        <v>6</v>
      </c>
      <c r="G20" s="4" t="n">
        <v>0</v>
      </c>
      <c r="J20" s="11" t="b">
        <f aca="false">TRUE()</f>
        <v>1</v>
      </c>
      <c r="K20" s="4" t="s">
        <v>1577</v>
      </c>
      <c r="L20" s="4" t="n">
        <v>4</v>
      </c>
      <c r="M20" s="4" t="n">
        <v>4</v>
      </c>
      <c r="N20" s="4" t="n">
        <v>4</v>
      </c>
      <c r="O20" s="4" t="n">
        <v>4</v>
      </c>
      <c r="P20" s="0" t="str">
        <f aca="false">IF(E20=0,"not_reached",IF(AND(F20&gt;0,G20=0),"allowed","blocked"))</f>
        <v>allowed</v>
      </c>
      <c r="Q20" s="0" t="str">
        <f aca="false">IF(C20="success","published",IF(E20&gt;0,"blocked_at_gate","failed_before_gate"))</f>
        <v>published</v>
      </c>
      <c r="R20" s="0" t="str">
        <f aca="false">IF(C20="success","",IF(E20&gt;0,IF(I20="freshness_within_target","freshness",IF(I20="relationships_intact","relationships",IF(I20="reconciliation_residual_zero","residual",I20))),IF(H20="quality_gate","gate_infra",H20)))</f>
        <v/>
      </c>
    </row>
    <row r="21" customFormat="false" ht="15" hidden="false" customHeight="false" outlineLevel="0" collapsed="false">
      <c r="A21" s="4" t="s">
        <v>1578</v>
      </c>
      <c r="B21" s="10" t="n">
        <v>46244.7604166667</v>
      </c>
      <c r="C21" s="4" t="s">
        <v>1544</v>
      </c>
      <c r="D21" s="4" t="n">
        <v>882</v>
      </c>
      <c r="E21" s="4" t="n">
        <v>7</v>
      </c>
      <c r="F21" s="4" t="n">
        <v>6</v>
      </c>
      <c r="G21" s="4" t="n">
        <v>0</v>
      </c>
      <c r="J21" s="11" t="b">
        <f aca="false">TRUE()</f>
        <v>1</v>
      </c>
      <c r="K21" s="4" t="s">
        <v>1579</v>
      </c>
      <c r="L21" s="4" t="n">
        <v>4</v>
      </c>
      <c r="M21" s="4" t="n">
        <v>4</v>
      </c>
      <c r="N21" s="4" t="n">
        <v>4</v>
      </c>
      <c r="O21" s="4" t="n">
        <v>4</v>
      </c>
      <c r="P21" s="0" t="str">
        <f aca="false">IF(E21=0,"not_reached",IF(AND(F21&gt;0,G21=0),"allowed","blocked"))</f>
        <v>allowed</v>
      </c>
      <c r="Q21" s="0" t="str">
        <f aca="false">IF(C21="success","published",IF(E21&gt;0,"blocked_at_gate","failed_before_gate"))</f>
        <v>published</v>
      </c>
      <c r="R21" s="0" t="str">
        <f aca="false">IF(C21="success","",IF(E21&gt;0,IF(I21="freshness_within_target","freshness",IF(I21="relationships_intact","relationships",IF(I21="reconciliation_residual_zero","residual",I21))),IF(H21="quality_gate","gate_infra",H21)))</f>
        <v/>
      </c>
    </row>
    <row r="22" customFormat="false" ht="15" hidden="false" customHeight="false" outlineLevel="0" collapsed="false">
      <c r="A22" s="4" t="s">
        <v>1580</v>
      </c>
      <c r="B22" s="10" t="n">
        <v>46244.8020833333</v>
      </c>
      <c r="C22" s="4" t="s">
        <v>1544</v>
      </c>
      <c r="D22" s="4" t="n">
        <v>948</v>
      </c>
      <c r="E22" s="4" t="n">
        <v>7</v>
      </c>
      <c r="F22" s="4" t="n">
        <v>6</v>
      </c>
      <c r="G22" s="4" t="n">
        <v>0</v>
      </c>
      <c r="J22" s="11" t="b">
        <f aca="false">TRUE()</f>
        <v>1</v>
      </c>
      <c r="K22" s="4" t="s">
        <v>1581</v>
      </c>
      <c r="L22" s="4" t="n">
        <v>4</v>
      </c>
      <c r="M22" s="4" t="n">
        <v>4</v>
      </c>
      <c r="N22" s="4" t="n">
        <v>4</v>
      </c>
      <c r="O22" s="4" t="n">
        <v>4</v>
      </c>
      <c r="P22" s="0" t="str">
        <f aca="false">IF(E22=0,"not_reached",IF(AND(F22&gt;0,G22=0),"allowed","blocked"))</f>
        <v>allowed</v>
      </c>
      <c r="Q22" s="0" t="str">
        <f aca="false">IF(C22="success","published",IF(E22&gt;0,"blocked_at_gate","failed_before_gate"))</f>
        <v>published</v>
      </c>
      <c r="R22" s="0" t="str">
        <f aca="false">IF(C22="success","",IF(E22&gt;0,IF(I22="freshness_within_target","freshness",IF(I22="relationships_intact","relationships",IF(I22="reconciliation_residual_zero","residual",I22))),IF(H22="quality_gate","gate_infra",H22)))</f>
        <v/>
      </c>
    </row>
    <row r="23" customFormat="false" ht="15" hidden="false" customHeight="false" outlineLevel="0" collapsed="false">
      <c r="A23" s="4" t="s">
        <v>1582</v>
      </c>
      <c r="B23" s="10" t="n">
        <v>46244.84375</v>
      </c>
      <c r="C23" s="4" t="s">
        <v>1544</v>
      </c>
      <c r="D23" s="4" t="n">
        <v>947</v>
      </c>
      <c r="E23" s="4" t="n">
        <v>7</v>
      </c>
      <c r="F23" s="4" t="n">
        <v>6</v>
      </c>
      <c r="G23" s="4" t="n">
        <v>0</v>
      </c>
      <c r="J23" s="11" t="b">
        <f aca="false">TRUE()</f>
        <v>1</v>
      </c>
      <c r="K23" s="4" t="s">
        <v>1583</v>
      </c>
      <c r="L23" s="4" t="n">
        <v>4</v>
      </c>
      <c r="M23" s="4" t="n">
        <v>4</v>
      </c>
      <c r="N23" s="4" t="n">
        <v>4</v>
      </c>
      <c r="O23" s="4" t="n">
        <v>4</v>
      </c>
      <c r="P23" s="0" t="str">
        <f aca="false">IF(E23=0,"not_reached",IF(AND(F23&gt;0,G23=0),"allowed","blocked"))</f>
        <v>allowed</v>
      </c>
      <c r="Q23" s="0" t="str">
        <f aca="false">IF(C23="success","published",IF(E23&gt;0,"blocked_at_gate","failed_before_gate"))</f>
        <v>published</v>
      </c>
      <c r="R23" s="0" t="str">
        <f aca="false">IF(C23="success","",IF(E23&gt;0,IF(I23="freshness_within_target","freshness",IF(I23="relationships_intact","relationships",IF(I23="reconciliation_residual_zero","residual",I23))),IF(H23="quality_gate","gate_infra",H23)))</f>
        <v/>
      </c>
    </row>
    <row r="24" customFormat="false" ht="15" hidden="false" customHeight="false" outlineLevel="0" collapsed="false">
      <c r="A24" s="4" t="s">
        <v>1584</v>
      </c>
      <c r="B24" s="10" t="n">
        <v>46244.8854166667</v>
      </c>
      <c r="C24" s="4" t="s">
        <v>1544</v>
      </c>
      <c r="D24" s="4" t="n">
        <v>693</v>
      </c>
      <c r="E24" s="4" t="n">
        <v>7</v>
      </c>
      <c r="F24" s="4" t="n">
        <v>6</v>
      </c>
      <c r="G24" s="4" t="n">
        <v>0</v>
      </c>
      <c r="J24" s="11" t="b">
        <f aca="false">TRUE()</f>
        <v>1</v>
      </c>
      <c r="K24" s="4" t="s">
        <v>1585</v>
      </c>
      <c r="L24" s="4" t="n">
        <v>4</v>
      </c>
      <c r="M24" s="4" t="n">
        <v>4</v>
      </c>
      <c r="N24" s="4" t="n">
        <v>4</v>
      </c>
      <c r="O24" s="4" t="n">
        <v>4</v>
      </c>
      <c r="P24" s="0" t="str">
        <f aca="false">IF(E24=0,"not_reached",IF(AND(F24&gt;0,G24=0),"allowed","blocked"))</f>
        <v>allowed</v>
      </c>
      <c r="Q24" s="0" t="str">
        <f aca="false">IF(C24="success","published",IF(E24&gt;0,"blocked_at_gate","failed_before_gate"))</f>
        <v>published</v>
      </c>
      <c r="R24" s="0" t="str">
        <f aca="false">IF(C24="success","",IF(E24&gt;0,IF(I24="freshness_within_target","freshness",IF(I24="relationships_intact","relationships",IF(I24="reconciliation_residual_zero","residual",I24))),IF(H24="quality_gate","gate_infra",H24)))</f>
        <v/>
      </c>
    </row>
    <row r="25" customFormat="false" ht="15" hidden="false" customHeight="false" outlineLevel="0" collapsed="false">
      <c r="A25" s="4" t="s">
        <v>1586</v>
      </c>
      <c r="B25" s="10" t="n">
        <v>46244.9270833333</v>
      </c>
      <c r="C25" s="4" t="s">
        <v>1544</v>
      </c>
      <c r="D25" s="4" t="n">
        <v>677</v>
      </c>
      <c r="E25" s="4" t="n">
        <v>7</v>
      </c>
      <c r="F25" s="4" t="n">
        <v>6</v>
      </c>
      <c r="G25" s="4" t="n">
        <v>0</v>
      </c>
      <c r="J25" s="11" t="b">
        <f aca="false">TRUE()</f>
        <v>1</v>
      </c>
      <c r="K25" s="4" t="s">
        <v>1587</v>
      </c>
      <c r="L25" s="4" t="n">
        <v>4</v>
      </c>
      <c r="M25" s="4" t="n">
        <v>4</v>
      </c>
      <c r="N25" s="4" t="n">
        <v>4</v>
      </c>
      <c r="O25" s="4" t="n">
        <v>4</v>
      </c>
      <c r="P25" s="0" t="str">
        <f aca="false">IF(E25=0,"not_reached",IF(AND(F25&gt;0,G25=0),"allowed","blocked"))</f>
        <v>allowed</v>
      </c>
      <c r="Q25" s="0" t="str">
        <f aca="false">IF(C25="success","published",IF(E25&gt;0,"blocked_at_gate","failed_before_gate"))</f>
        <v>published</v>
      </c>
      <c r="R25" s="0" t="str">
        <f aca="false">IF(C25="success","",IF(E25&gt;0,IF(I25="freshness_within_target","freshness",IF(I25="relationships_intact","relationships",IF(I25="reconciliation_residual_zero","residual",I25))),IF(H25="quality_gate","gate_infra",H25)))</f>
        <v/>
      </c>
    </row>
    <row r="26" customFormat="false" ht="15" hidden="false" customHeight="false" outlineLevel="0" collapsed="false">
      <c r="A26" s="4" t="s">
        <v>1588</v>
      </c>
      <c r="B26" s="10" t="n">
        <v>46244.96875</v>
      </c>
      <c r="C26" s="4" t="s">
        <v>1544</v>
      </c>
      <c r="D26" s="4" t="n">
        <v>665</v>
      </c>
      <c r="E26" s="4" t="n">
        <v>7</v>
      </c>
      <c r="F26" s="4" t="n">
        <v>6</v>
      </c>
      <c r="G26" s="4" t="n">
        <v>0</v>
      </c>
      <c r="J26" s="11" t="b">
        <f aca="false">TRUE()</f>
        <v>1</v>
      </c>
      <c r="K26" s="4" t="s">
        <v>1589</v>
      </c>
      <c r="L26" s="4" t="n">
        <v>4</v>
      </c>
      <c r="M26" s="4" t="n">
        <v>4</v>
      </c>
      <c r="N26" s="4" t="n">
        <v>4</v>
      </c>
      <c r="O26" s="4" t="n">
        <v>4</v>
      </c>
      <c r="P26" s="0" t="str">
        <f aca="false">IF(E26=0,"not_reached",IF(AND(F26&gt;0,G26=0),"allowed","blocked"))</f>
        <v>allowed</v>
      </c>
      <c r="Q26" s="0" t="str">
        <f aca="false">IF(C26="success","published",IF(E26&gt;0,"blocked_at_gate","failed_before_gate"))</f>
        <v>published</v>
      </c>
      <c r="R26" s="0" t="str">
        <f aca="false">IF(C26="success","",IF(E26&gt;0,IF(I26="freshness_within_target","freshness",IF(I26="relationships_intact","relationships",IF(I26="reconciliation_residual_zero","residual",I26))),IF(H26="quality_gate","gate_infra",H26)))</f>
        <v/>
      </c>
    </row>
    <row r="27" customFormat="false" ht="15" hidden="false" customHeight="false" outlineLevel="0" collapsed="false">
      <c r="A27" s="4" t="s">
        <v>1590</v>
      </c>
      <c r="B27" s="10" t="n">
        <v>46245.0104166667</v>
      </c>
      <c r="C27" s="4" t="s">
        <v>1544</v>
      </c>
      <c r="D27" s="4" t="n">
        <v>804</v>
      </c>
      <c r="E27" s="4" t="n">
        <v>7</v>
      </c>
      <c r="F27" s="4" t="n">
        <v>6</v>
      </c>
      <c r="G27" s="4" t="n">
        <v>0</v>
      </c>
      <c r="J27" s="11" t="b">
        <f aca="false">TRUE()</f>
        <v>1</v>
      </c>
      <c r="K27" s="4" t="s">
        <v>1591</v>
      </c>
      <c r="L27" s="4" t="n">
        <v>4</v>
      </c>
      <c r="M27" s="4" t="n">
        <v>4</v>
      </c>
      <c r="N27" s="4" t="n">
        <v>4</v>
      </c>
      <c r="O27" s="4" t="n">
        <v>4</v>
      </c>
      <c r="P27" s="0" t="str">
        <f aca="false">IF(E27=0,"not_reached",IF(AND(F27&gt;0,G27=0),"allowed","blocked"))</f>
        <v>allowed</v>
      </c>
      <c r="Q27" s="0" t="str">
        <f aca="false">IF(C27="success","published",IF(E27&gt;0,"blocked_at_gate","failed_before_gate"))</f>
        <v>published</v>
      </c>
      <c r="R27" s="0" t="str">
        <f aca="false">IF(C27="success","",IF(E27&gt;0,IF(I27="freshness_within_target","freshness",IF(I27="relationships_intact","relationships",IF(I27="reconciliation_residual_zero","residual",I27))),IF(H27="quality_gate","gate_infra",H27)))</f>
        <v/>
      </c>
    </row>
    <row r="28" customFormat="false" ht="15" hidden="false" customHeight="false" outlineLevel="0" collapsed="false">
      <c r="A28" s="4" t="s">
        <v>1592</v>
      </c>
      <c r="B28" s="10" t="n">
        <v>46245.0520833333</v>
      </c>
      <c r="C28" s="4" t="s">
        <v>1544</v>
      </c>
      <c r="D28" s="4" t="n">
        <v>921</v>
      </c>
      <c r="E28" s="4" t="n">
        <v>7</v>
      </c>
      <c r="F28" s="4" t="n">
        <v>6</v>
      </c>
      <c r="G28" s="4" t="n">
        <v>0</v>
      </c>
      <c r="J28" s="11" t="b">
        <f aca="false">TRUE()</f>
        <v>1</v>
      </c>
      <c r="K28" s="4" t="s">
        <v>1593</v>
      </c>
      <c r="L28" s="4" t="n">
        <v>4</v>
      </c>
      <c r="M28" s="4" t="n">
        <v>4</v>
      </c>
      <c r="N28" s="4" t="n">
        <v>5</v>
      </c>
      <c r="O28" s="4" t="n">
        <v>4</v>
      </c>
      <c r="P28" s="0" t="str">
        <f aca="false">IF(E28=0,"not_reached",IF(AND(F28&gt;0,G28=0),"allowed","blocked"))</f>
        <v>allowed</v>
      </c>
      <c r="Q28" s="0" t="str">
        <f aca="false">IF(C28="success","published",IF(E28&gt;0,"blocked_at_gate","failed_before_gate"))</f>
        <v>published</v>
      </c>
      <c r="R28" s="0" t="str">
        <f aca="false">IF(C28="success","",IF(E28&gt;0,IF(I28="freshness_within_target","freshness",IF(I28="relationships_intact","relationships",IF(I28="reconciliation_residual_zero","residual",I28))),IF(H28="quality_gate","gate_infra",H28)))</f>
        <v/>
      </c>
    </row>
    <row r="29" customFormat="false" ht="15" hidden="false" customHeight="false" outlineLevel="0" collapsed="false">
      <c r="A29" s="4" t="s">
        <v>1594</v>
      </c>
      <c r="B29" s="10" t="n">
        <v>46245.09375</v>
      </c>
      <c r="C29" s="4" t="s">
        <v>1544</v>
      </c>
      <c r="D29" s="4" t="n">
        <v>712</v>
      </c>
      <c r="E29" s="4" t="n">
        <v>7</v>
      </c>
      <c r="F29" s="4" t="n">
        <v>6</v>
      </c>
      <c r="G29" s="4" t="n">
        <v>0</v>
      </c>
      <c r="J29" s="11" t="b">
        <f aca="false">TRUE()</f>
        <v>1</v>
      </c>
      <c r="K29" s="4" t="s">
        <v>1595</v>
      </c>
      <c r="L29" s="4" t="n">
        <v>4</v>
      </c>
      <c r="M29" s="4" t="n">
        <v>4</v>
      </c>
      <c r="N29" s="4" t="n">
        <v>4</v>
      </c>
      <c r="O29" s="4" t="n">
        <v>4</v>
      </c>
      <c r="P29" s="0" t="str">
        <f aca="false">IF(E29=0,"not_reached",IF(AND(F29&gt;0,G29=0),"allowed","blocked"))</f>
        <v>allowed</v>
      </c>
      <c r="Q29" s="0" t="str">
        <f aca="false">IF(C29="success","published",IF(E29&gt;0,"blocked_at_gate","failed_before_gate"))</f>
        <v>published</v>
      </c>
      <c r="R29" s="0" t="str">
        <f aca="false">IF(C29="success","",IF(E29&gt;0,IF(I29="freshness_within_target","freshness",IF(I29="relationships_intact","relationships",IF(I29="reconciliation_residual_zero","residual",I29))),IF(H29="quality_gate","gate_infra",H29)))</f>
        <v/>
      </c>
    </row>
    <row r="30" customFormat="false" ht="15" hidden="false" customHeight="false" outlineLevel="0" collapsed="false">
      <c r="A30" s="4" t="s">
        <v>1596</v>
      </c>
      <c r="B30" s="10" t="n">
        <v>46245.1354166667</v>
      </c>
      <c r="C30" s="4" t="s">
        <v>1544</v>
      </c>
      <c r="D30" s="4" t="n">
        <v>793</v>
      </c>
      <c r="E30" s="4" t="n">
        <v>7</v>
      </c>
      <c r="F30" s="4" t="n">
        <v>6</v>
      </c>
      <c r="G30" s="4" t="n">
        <v>0</v>
      </c>
      <c r="J30" s="11" t="b">
        <f aca="false">TRUE()</f>
        <v>1</v>
      </c>
      <c r="K30" s="4" t="s">
        <v>1597</v>
      </c>
      <c r="L30" s="4" t="n">
        <v>4</v>
      </c>
      <c r="M30" s="4" t="n">
        <v>4</v>
      </c>
      <c r="N30" s="4" t="n">
        <v>4</v>
      </c>
      <c r="O30" s="4" t="n">
        <v>4</v>
      </c>
      <c r="P30" s="0" t="str">
        <f aca="false">IF(E30=0,"not_reached",IF(AND(F30&gt;0,G30=0),"allowed","blocked"))</f>
        <v>allowed</v>
      </c>
      <c r="Q30" s="0" t="str">
        <f aca="false">IF(C30="success","published",IF(E30&gt;0,"blocked_at_gate","failed_before_gate"))</f>
        <v>published</v>
      </c>
      <c r="R30" s="0" t="str">
        <f aca="false">IF(C30="success","",IF(E30&gt;0,IF(I30="freshness_within_target","freshness",IF(I30="relationships_intact","relationships",IF(I30="reconciliation_residual_zero","residual",I30))),IF(H30="quality_gate","gate_infra",H30)))</f>
        <v/>
      </c>
    </row>
    <row r="31" customFormat="false" ht="15" hidden="false" customHeight="false" outlineLevel="0" collapsed="false">
      <c r="A31" s="4" t="s">
        <v>1598</v>
      </c>
      <c r="B31" s="10" t="n">
        <v>46245.1770833333</v>
      </c>
      <c r="C31" s="4" t="s">
        <v>1544</v>
      </c>
      <c r="D31" s="4" t="n">
        <v>694</v>
      </c>
      <c r="E31" s="4" t="n">
        <v>7</v>
      </c>
      <c r="F31" s="4" t="n">
        <v>6</v>
      </c>
      <c r="G31" s="4" t="n">
        <v>0</v>
      </c>
      <c r="J31" s="11" t="b">
        <f aca="false">TRUE()</f>
        <v>1</v>
      </c>
      <c r="K31" s="4" t="s">
        <v>1599</v>
      </c>
      <c r="L31" s="4" t="n">
        <v>4</v>
      </c>
      <c r="M31" s="4" t="n">
        <v>4</v>
      </c>
      <c r="N31" s="4" t="n">
        <v>4</v>
      </c>
      <c r="O31" s="4" t="n">
        <v>4</v>
      </c>
      <c r="P31" s="0" t="str">
        <f aca="false">IF(E31=0,"not_reached",IF(AND(F31&gt;0,G31=0),"allowed","blocked"))</f>
        <v>allowed</v>
      </c>
      <c r="Q31" s="0" t="str">
        <f aca="false">IF(C31="success","published",IF(E31&gt;0,"blocked_at_gate","failed_before_gate"))</f>
        <v>published</v>
      </c>
      <c r="R31" s="0" t="str">
        <f aca="false">IF(C31="success","",IF(E31&gt;0,IF(I31="freshness_within_target","freshness",IF(I31="relationships_intact","relationships",IF(I31="reconciliation_residual_zero","residual",I31))),IF(H31="quality_gate","gate_infra",H31)))</f>
        <v/>
      </c>
    </row>
    <row r="32" customFormat="false" ht="15" hidden="false" customHeight="false" outlineLevel="0" collapsed="false">
      <c r="A32" s="4" t="s">
        <v>1600</v>
      </c>
      <c r="B32" s="10" t="n">
        <v>46245.21875</v>
      </c>
      <c r="C32" s="4" t="s">
        <v>1544</v>
      </c>
      <c r="D32" s="4" t="n">
        <v>806</v>
      </c>
      <c r="E32" s="4" t="n">
        <v>7</v>
      </c>
      <c r="F32" s="4" t="n">
        <v>6</v>
      </c>
      <c r="G32" s="4" t="n">
        <v>0</v>
      </c>
      <c r="J32" s="11" t="b">
        <f aca="false">TRUE()</f>
        <v>1</v>
      </c>
      <c r="K32" s="4" t="s">
        <v>1601</v>
      </c>
      <c r="L32" s="4" t="n">
        <v>4</v>
      </c>
      <c r="M32" s="4" t="n">
        <v>4</v>
      </c>
      <c r="N32" s="4" t="n">
        <v>4</v>
      </c>
      <c r="O32" s="4" t="n">
        <v>4</v>
      </c>
      <c r="P32" s="0" t="str">
        <f aca="false">IF(E32=0,"not_reached",IF(AND(F32&gt;0,G32=0),"allowed","blocked"))</f>
        <v>allowed</v>
      </c>
      <c r="Q32" s="0" t="str">
        <f aca="false">IF(C32="success","published",IF(E32&gt;0,"blocked_at_gate","failed_before_gate"))</f>
        <v>published</v>
      </c>
      <c r="R32" s="0" t="str">
        <f aca="false">IF(C32="success","",IF(E32&gt;0,IF(I32="freshness_within_target","freshness",IF(I32="relationships_intact","relationships",IF(I32="reconciliation_residual_zero","residual",I32))),IF(H32="quality_gate","gate_infra",H32)))</f>
        <v/>
      </c>
    </row>
    <row r="33" customFormat="false" ht="15" hidden="false" customHeight="false" outlineLevel="0" collapsed="false">
      <c r="A33" s="4" t="s">
        <v>1602</v>
      </c>
      <c r="B33" s="10" t="n">
        <v>46245.2604166667</v>
      </c>
      <c r="C33" s="4" t="s">
        <v>1544</v>
      </c>
      <c r="D33" s="4" t="n">
        <v>884</v>
      </c>
      <c r="E33" s="4" t="n">
        <v>7</v>
      </c>
      <c r="F33" s="4" t="n">
        <v>6</v>
      </c>
      <c r="G33" s="4" t="n">
        <v>0</v>
      </c>
      <c r="J33" s="11" t="b">
        <f aca="false">TRUE()</f>
        <v>1</v>
      </c>
      <c r="K33" s="4" t="s">
        <v>1603</v>
      </c>
      <c r="L33" s="4" t="n">
        <v>4</v>
      </c>
      <c r="M33" s="4" t="n">
        <v>4</v>
      </c>
      <c r="N33" s="4" t="n">
        <v>4</v>
      </c>
      <c r="O33" s="4" t="n">
        <v>4</v>
      </c>
      <c r="P33" s="0" t="str">
        <f aca="false">IF(E33=0,"not_reached",IF(AND(F33&gt;0,G33=0),"allowed","blocked"))</f>
        <v>allowed</v>
      </c>
      <c r="Q33" s="0" t="str">
        <f aca="false">IF(C33="success","published",IF(E33&gt;0,"blocked_at_gate","failed_before_gate"))</f>
        <v>published</v>
      </c>
      <c r="R33" s="0" t="str">
        <f aca="false">IF(C33="success","",IF(E33&gt;0,IF(I33="freshness_within_target","freshness",IF(I33="relationships_intact","relationships",IF(I33="reconciliation_residual_zero","residual",I33))),IF(H33="quality_gate","gate_infra",H33)))</f>
        <v/>
      </c>
    </row>
    <row r="34" customFormat="false" ht="15" hidden="false" customHeight="false" outlineLevel="0" collapsed="false">
      <c r="A34" s="4" t="s">
        <v>1604</v>
      </c>
      <c r="B34" s="10" t="n">
        <v>46245.3020833333</v>
      </c>
      <c r="C34" s="4" t="s">
        <v>1544</v>
      </c>
      <c r="D34" s="4" t="n">
        <v>675</v>
      </c>
      <c r="E34" s="4" t="n">
        <v>7</v>
      </c>
      <c r="F34" s="4" t="n">
        <v>6</v>
      </c>
      <c r="G34" s="4" t="n">
        <v>0</v>
      </c>
      <c r="J34" s="11" t="b">
        <f aca="false">TRUE()</f>
        <v>1</v>
      </c>
      <c r="K34" s="4" t="s">
        <v>1605</v>
      </c>
      <c r="L34" s="4" t="n">
        <v>4</v>
      </c>
      <c r="M34" s="4" t="n">
        <v>4</v>
      </c>
      <c r="N34" s="4" t="n">
        <v>4</v>
      </c>
      <c r="O34" s="4" t="n">
        <v>4</v>
      </c>
      <c r="P34" s="0" t="str">
        <f aca="false">IF(E34=0,"not_reached",IF(AND(F34&gt;0,G34=0),"allowed","blocked"))</f>
        <v>allowed</v>
      </c>
      <c r="Q34" s="0" t="str">
        <f aca="false">IF(C34="success","published",IF(E34&gt;0,"blocked_at_gate","failed_before_gate"))</f>
        <v>published</v>
      </c>
      <c r="R34" s="0" t="str">
        <f aca="false">IF(C34="success","",IF(E34&gt;0,IF(I34="freshness_within_target","freshness",IF(I34="relationships_intact","relationships",IF(I34="reconciliation_residual_zero","residual",I34))),IF(H34="quality_gate","gate_infra",H34)))</f>
        <v/>
      </c>
    </row>
    <row r="35" customFormat="false" ht="15" hidden="false" customHeight="false" outlineLevel="0" collapsed="false">
      <c r="A35" s="4" t="s">
        <v>1606</v>
      </c>
      <c r="B35" s="10" t="n">
        <v>46245.34375</v>
      </c>
      <c r="C35" s="4" t="s">
        <v>1544</v>
      </c>
      <c r="D35" s="4" t="n">
        <v>674</v>
      </c>
      <c r="E35" s="4" t="n">
        <v>7</v>
      </c>
      <c r="F35" s="4" t="n">
        <v>6</v>
      </c>
      <c r="G35" s="4" t="n">
        <v>0</v>
      </c>
      <c r="J35" s="11" t="b">
        <f aca="false">TRUE()</f>
        <v>1</v>
      </c>
      <c r="K35" s="4" t="s">
        <v>1607</v>
      </c>
      <c r="L35" s="4" t="n">
        <v>4</v>
      </c>
      <c r="M35" s="4" t="n">
        <v>4</v>
      </c>
      <c r="N35" s="4" t="n">
        <v>4</v>
      </c>
      <c r="O35" s="4" t="n">
        <v>4</v>
      </c>
      <c r="P35" s="0" t="str">
        <f aca="false">IF(E35=0,"not_reached",IF(AND(F35&gt;0,G35=0),"allowed","blocked"))</f>
        <v>allowed</v>
      </c>
      <c r="Q35" s="0" t="str">
        <f aca="false">IF(C35="success","published",IF(E35&gt;0,"blocked_at_gate","failed_before_gate"))</f>
        <v>published</v>
      </c>
      <c r="R35" s="0" t="str">
        <f aca="false">IF(C35="success","",IF(E35&gt;0,IF(I35="freshness_within_target","freshness",IF(I35="relationships_intact","relationships",IF(I35="reconciliation_residual_zero","residual",I35))),IF(H35="quality_gate","gate_infra",H35)))</f>
        <v/>
      </c>
    </row>
    <row r="36" customFormat="false" ht="15" hidden="false" customHeight="false" outlineLevel="0" collapsed="false">
      <c r="A36" s="4" t="s">
        <v>1608</v>
      </c>
      <c r="B36" s="10" t="n">
        <v>46245.3854166667</v>
      </c>
      <c r="C36" s="4" t="s">
        <v>1544</v>
      </c>
      <c r="D36" s="4" t="n">
        <v>894</v>
      </c>
      <c r="E36" s="4" t="n">
        <v>7</v>
      </c>
      <c r="F36" s="4" t="n">
        <v>6</v>
      </c>
      <c r="G36" s="4" t="n">
        <v>0</v>
      </c>
      <c r="J36" s="11" t="b">
        <f aca="false">TRUE()</f>
        <v>1</v>
      </c>
      <c r="K36" s="4" t="s">
        <v>1609</v>
      </c>
      <c r="L36" s="4" t="n">
        <v>4</v>
      </c>
      <c r="M36" s="4" t="n">
        <v>4</v>
      </c>
      <c r="N36" s="4" t="n">
        <v>4</v>
      </c>
      <c r="O36" s="4" t="n">
        <v>4</v>
      </c>
      <c r="P36" s="0" t="str">
        <f aca="false">IF(E36=0,"not_reached",IF(AND(F36&gt;0,G36=0),"allowed","blocked"))</f>
        <v>allowed</v>
      </c>
      <c r="Q36" s="0" t="str">
        <f aca="false">IF(C36="success","published",IF(E36&gt;0,"blocked_at_gate","failed_before_gate"))</f>
        <v>published</v>
      </c>
      <c r="R36" s="0" t="str">
        <f aca="false">IF(C36="success","",IF(E36&gt;0,IF(I36="freshness_within_target","freshness",IF(I36="relationships_intact","relationships",IF(I36="reconciliation_residual_zero","residual",I36))),IF(H36="quality_gate","gate_infra",H36)))</f>
        <v/>
      </c>
    </row>
    <row r="37" customFormat="false" ht="15" hidden="false" customHeight="false" outlineLevel="0" collapsed="false">
      <c r="A37" s="4" t="s">
        <v>1610</v>
      </c>
      <c r="B37" s="10" t="n">
        <v>46245.4270833333</v>
      </c>
      <c r="C37" s="4" t="s">
        <v>1544</v>
      </c>
      <c r="D37" s="4" t="n">
        <v>850</v>
      </c>
      <c r="E37" s="4" t="n">
        <v>7</v>
      </c>
      <c r="F37" s="4" t="n">
        <v>6</v>
      </c>
      <c r="G37" s="4" t="n">
        <v>0</v>
      </c>
      <c r="J37" s="11" t="b">
        <f aca="false">TRUE()</f>
        <v>1</v>
      </c>
      <c r="K37" s="4" t="s">
        <v>1611</v>
      </c>
      <c r="L37" s="4" t="n">
        <v>4</v>
      </c>
      <c r="M37" s="4" t="n">
        <v>4</v>
      </c>
      <c r="N37" s="4" t="n">
        <v>4</v>
      </c>
      <c r="O37" s="4" t="n">
        <v>4</v>
      </c>
      <c r="P37" s="0" t="str">
        <f aca="false">IF(E37=0,"not_reached",IF(AND(F37&gt;0,G37=0),"allowed","blocked"))</f>
        <v>allowed</v>
      </c>
      <c r="Q37" s="0" t="str">
        <f aca="false">IF(C37="success","published",IF(E37&gt;0,"blocked_at_gate","failed_before_gate"))</f>
        <v>published</v>
      </c>
      <c r="R37" s="0" t="str">
        <f aca="false">IF(C37="success","",IF(E37&gt;0,IF(I37="freshness_within_target","freshness",IF(I37="relationships_intact","relationships",IF(I37="reconciliation_residual_zero","residual",I37))),IF(H37="quality_gate","gate_infra",H37)))</f>
        <v/>
      </c>
    </row>
    <row r="38" customFormat="false" ht="15" hidden="false" customHeight="false" outlineLevel="0" collapsed="false">
      <c r="A38" s="4" t="s">
        <v>1612</v>
      </c>
      <c r="B38" s="10" t="n">
        <v>46245.46875</v>
      </c>
      <c r="C38" s="4" t="s">
        <v>1544</v>
      </c>
      <c r="D38" s="4" t="n">
        <v>831</v>
      </c>
      <c r="E38" s="4" t="n">
        <v>7</v>
      </c>
      <c r="F38" s="4" t="n">
        <v>6</v>
      </c>
      <c r="G38" s="4" t="n">
        <v>0</v>
      </c>
      <c r="J38" s="11" t="b">
        <f aca="false">TRUE()</f>
        <v>1</v>
      </c>
      <c r="K38" s="4" t="s">
        <v>1613</v>
      </c>
      <c r="L38" s="4" t="n">
        <v>4</v>
      </c>
      <c r="M38" s="4" t="n">
        <v>4</v>
      </c>
      <c r="N38" s="4" t="n">
        <v>4</v>
      </c>
      <c r="O38" s="4" t="n">
        <v>4</v>
      </c>
      <c r="P38" s="0" t="str">
        <f aca="false">IF(E38=0,"not_reached",IF(AND(F38&gt;0,G38=0),"allowed","blocked"))</f>
        <v>allowed</v>
      </c>
      <c r="Q38" s="0" t="str">
        <f aca="false">IF(C38="success","published",IF(E38&gt;0,"blocked_at_gate","failed_before_gate"))</f>
        <v>published</v>
      </c>
      <c r="R38" s="0" t="str">
        <f aca="false">IF(C38="success","",IF(E38&gt;0,IF(I38="freshness_within_target","freshness",IF(I38="relationships_intact","relationships",IF(I38="reconciliation_residual_zero","residual",I38))),IF(H38="quality_gate","gate_infra",H38)))</f>
        <v/>
      </c>
    </row>
    <row r="39" customFormat="false" ht="15" hidden="false" customHeight="false" outlineLevel="0" collapsed="false">
      <c r="A39" s="4" t="s">
        <v>1614</v>
      </c>
      <c r="B39" s="10" t="n">
        <v>46245.5104166667</v>
      </c>
      <c r="C39" s="4" t="s">
        <v>1544</v>
      </c>
      <c r="D39" s="4" t="n">
        <v>689</v>
      </c>
      <c r="E39" s="4" t="n">
        <v>7</v>
      </c>
      <c r="F39" s="4" t="n">
        <v>6</v>
      </c>
      <c r="G39" s="4" t="n">
        <v>0</v>
      </c>
      <c r="J39" s="11" t="b">
        <f aca="false">TRUE()</f>
        <v>1</v>
      </c>
      <c r="K39" s="4" t="s">
        <v>1615</v>
      </c>
      <c r="L39" s="4" t="n">
        <v>4</v>
      </c>
      <c r="M39" s="4" t="n">
        <v>4</v>
      </c>
      <c r="N39" s="4" t="n">
        <v>4</v>
      </c>
      <c r="O39" s="4" t="n">
        <v>4</v>
      </c>
      <c r="P39" s="0" t="str">
        <f aca="false">IF(E39=0,"not_reached",IF(AND(F39&gt;0,G39=0),"allowed","blocked"))</f>
        <v>allowed</v>
      </c>
      <c r="Q39" s="0" t="str">
        <f aca="false">IF(C39="success","published",IF(E39&gt;0,"blocked_at_gate","failed_before_gate"))</f>
        <v>published</v>
      </c>
      <c r="R39" s="0" t="str">
        <f aca="false">IF(C39="success","",IF(E39&gt;0,IF(I39="freshness_within_target","freshness",IF(I39="relationships_intact","relationships",IF(I39="reconciliation_residual_zero","residual",I39))),IF(H39="quality_gate","gate_infra",H39)))</f>
        <v/>
      </c>
    </row>
    <row r="40" customFormat="false" ht="15" hidden="false" customHeight="false" outlineLevel="0" collapsed="false">
      <c r="A40" s="4" t="s">
        <v>1616</v>
      </c>
      <c r="B40" s="10" t="n">
        <v>46245.5520833333</v>
      </c>
      <c r="C40" s="4" t="s">
        <v>1544</v>
      </c>
      <c r="D40" s="4" t="n">
        <v>890</v>
      </c>
      <c r="E40" s="4" t="n">
        <v>7</v>
      </c>
      <c r="F40" s="4" t="n">
        <v>6</v>
      </c>
      <c r="G40" s="4" t="n">
        <v>0</v>
      </c>
      <c r="J40" s="11" t="b">
        <f aca="false">TRUE()</f>
        <v>1</v>
      </c>
      <c r="K40" s="4" t="s">
        <v>1617</v>
      </c>
      <c r="L40" s="4" t="n">
        <v>4</v>
      </c>
      <c r="M40" s="4" t="n">
        <v>4</v>
      </c>
      <c r="N40" s="4" t="n">
        <v>4</v>
      </c>
      <c r="O40" s="4" t="n">
        <v>4</v>
      </c>
      <c r="P40" s="0" t="str">
        <f aca="false">IF(E40=0,"not_reached",IF(AND(F40&gt;0,G40=0),"allowed","blocked"))</f>
        <v>allowed</v>
      </c>
      <c r="Q40" s="0" t="str">
        <f aca="false">IF(C40="success","published",IF(E40&gt;0,"blocked_at_gate","failed_before_gate"))</f>
        <v>published</v>
      </c>
      <c r="R40" s="0" t="str">
        <f aca="false">IF(C40="success","",IF(E40&gt;0,IF(I40="freshness_within_target","freshness",IF(I40="relationships_intact","relationships",IF(I40="reconciliation_residual_zero","residual",I40))),IF(H40="quality_gate","gate_infra",H40)))</f>
        <v/>
      </c>
    </row>
    <row r="41" customFormat="false" ht="15" hidden="false" customHeight="false" outlineLevel="0" collapsed="false">
      <c r="A41" s="4" t="s">
        <v>1618</v>
      </c>
      <c r="B41" s="10" t="n">
        <v>46245.59375</v>
      </c>
      <c r="C41" s="4" t="s">
        <v>1544</v>
      </c>
      <c r="D41" s="4" t="n">
        <v>861</v>
      </c>
      <c r="E41" s="4" t="n">
        <v>7</v>
      </c>
      <c r="F41" s="4" t="n">
        <v>6</v>
      </c>
      <c r="G41" s="4" t="n">
        <v>0</v>
      </c>
      <c r="J41" s="11" t="b">
        <f aca="false">TRUE()</f>
        <v>1</v>
      </c>
      <c r="K41" s="4" t="s">
        <v>1619</v>
      </c>
      <c r="L41" s="4" t="n">
        <v>4</v>
      </c>
      <c r="M41" s="4" t="n">
        <v>4</v>
      </c>
      <c r="N41" s="4" t="n">
        <v>4</v>
      </c>
      <c r="O41" s="4" t="n">
        <v>4</v>
      </c>
      <c r="P41" s="0" t="str">
        <f aca="false">IF(E41=0,"not_reached",IF(AND(F41&gt;0,G41=0),"allowed","blocked"))</f>
        <v>allowed</v>
      </c>
      <c r="Q41" s="0" t="str">
        <f aca="false">IF(C41="success","published",IF(E41&gt;0,"blocked_at_gate","failed_before_gate"))</f>
        <v>published</v>
      </c>
      <c r="R41" s="0" t="str">
        <f aca="false">IF(C41="success","",IF(E41&gt;0,IF(I41="freshness_within_target","freshness",IF(I41="relationships_intact","relationships",IF(I41="reconciliation_residual_zero","residual",I41))),IF(H41="quality_gate","gate_infra",H41)))</f>
        <v/>
      </c>
    </row>
    <row r="42" customFormat="false" ht="15" hidden="false" customHeight="false" outlineLevel="0" collapsed="false">
      <c r="A42" s="4" t="s">
        <v>1620</v>
      </c>
      <c r="B42" s="10" t="n">
        <v>46245.6354166667</v>
      </c>
      <c r="C42" s="4" t="s">
        <v>1544</v>
      </c>
      <c r="D42" s="4" t="n">
        <v>935</v>
      </c>
      <c r="E42" s="4" t="n">
        <v>7</v>
      </c>
      <c r="F42" s="4" t="n">
        <v>6</v>
      </c>
      <c r="G42" s="4" t="n">
        <v>0</v>
      </c>
      <c r="J42" s="11" t="b">
        <f aca="false">TRUE()</f>
        <v>1</v>
      </c>
      <c r="K42" s="4" t="s">
        <v>1621</v>
      </c>
      <c r="L42" s="4" t="n">
        <v>4</v>
      </c>
      <c r="M42" s="4" t="n">
        <v>4</v>
      </c>
      <c r="N42" s="4" t="n">
        <v>4</v>
      </c>
      <c r="O42" s="4" t="n">
        <v>4</v>
      </c>
      <c r="P42" s="0" t="str">
        <f aca="false">IF(E42=0,"not_reached",IF(AND(F42&gt;0,G42=0),"allowed","blocked"))</f>
        <v>allowed</v>
      </c>
      <c r="Q42" s="0" t="str">
        <f aca="false">IF(C42="success","published",IF(E42&gt;0,"blocked_at_gate","failed_before_gate"))</f>
        <v>published</v>
      </c>
      <c r="R42" s="0" t="str">
        <f aca="false">IF(C42="success","",IF(E42&gt;0,IF(I42="freshness_within_target","freshness",IF(I42="relationships_intact","relationships",IF(I42="reconciliation_residual_zero","residual",I42))),IF(H42="quality_gate","gate_infra",H42)))</f>
        <v/>
      </c>
    </row>
    <row r="43" customFormat="false" ht="15" hidden="false" customHeight="false" outlineLevel="0" collapsed="false">
      <c r="A43" s="4" t="s">
        <v>1622</v>
      </c>
      <c r="B43" s="10" t="n">
        <v>46245.6770833333</v>
      </c>
      <c r="C43" s="4" t="s">
        <v>1544</v>
      </c>
      <c r="D43" s="4" t="n">
        <v>721</v>
      </c>
      <c r="E43" s="4" t="n">
        <v>7</v>
      </c>
      <c r="F43" s="4" t="n">
        <v>6</v>
      </c>
      <c r="G43" s="4" t="n">
        <v>0</v>
      </c>
      <c r="J43" s="11" t="b">
        <f aca="false">TRUE()</f>
        <v>1</v>
      </c>
      <c r="K43" s="4" t="s">
        <v>1623</v>
      </c>
      <c r="L43" s="4" t="n">
        <v>4</v>
      </c>
      <c r="M43" s="4" t="n">
        <v>4</v>
      </c>
      <c r="N43" s="4" t="n">
        <v>4</v>
      </c>
      <c r="O43" s="4" t="n">
        <v>4</v>
      </c>
      <c r="P43" s="0" t="str">
        <f aca="false">IF(E43=0,"not_reached",IF(AND(F43&gt;0,G43=0),"allowed","blocked"))</f>
        <v>allowed</v>
      </c>
      <c r="Q43" s="0" t="str">
        <f aca="false">IF(C43="success","published",IF(E43&gt;0,"blocked_at_gate","failed_before_gate"))</f>
        <v>published</v>
      </c>
      <c r="R43" s="0" t="str">
        <f aca="false">IF(C43="success","",IF(E43&gt;0,IF(I43="freshness_within_target","freshness",IF(I43="relationships_intact","relationships",IF(I43="reconciliation_residual_zero","residual",I43))),IF(H43="quality_gate","gate_infra",H43)))</f>
        <v/>
      </c>
    </row>
    <row r="44" customFormat="false" ht="15" hidden="false" customHeight="false" outlineLevel="0" collapsed="false">
      <c r="A44" s="4" t="s">
        <v>1624</v>
      </c>
      <c r="B44" s="10" t="n">
        <v>46245.71875</v>
      </c>
      <c r="C44" s="4" t="s">
        <v>1544</v>
      </c>
      <c r="D44" s="4" t="n">
        <v>952</v>
      </c>
      <c r="E44" s="4" t="n">
        <v>7</v>
      </c>
      <c r="F44" s="4" t="n">
        <v>6</v>
      </c>
      <c r="G44" s="4" t="n">
        <v>0</v>
      </c>
      <c r="J44" s="11" t="b">
        <f aca="false">TRUE()</f>
        <v>1</v>
      </c>
      <c r="K44" s="4" t="s">
        <v>1625</v>
      </c>
      <c r="L44" s="4" t="n">
        <v>4</v>
      </c>
      <c r="M44" s="4" t="n">
        <v>4</v>
      </c>
      <c r="N44" s="4" t="n">
        <v>4</v>
      </c>
      <c r="O44" s="4" t="n">
        <v>4</v>
      </c>
      <c r="P44" s="0" t="str">
        <f aca="false">IF(E44=0,"not_reached",IF(AND(F44&gt;0,G44=0),"allowed","blocked"))</f>
        <v>allowed</v>
      </c>
      <c r="Q44" s="0" t="str">
        <f aca="false">IF(C44="success","published",IF(E44&gt;0,"blocked_at_gate","failed_before_gate"))</f>
        <v>published</v>
      </c>
      <c r="R44" s="0" t="str">
        <f aca="false">IF(C44="success","",IF(E44&gt;0,IF(I44="freshness_within_target","freshness",IF(I44="relationships_intact","relationships",IF(I44="reconciliation_residual_zero","residual",I44))),IF(H44="quality_gate","gate_infra",H44)))</f>
        <v/>
      </c>
    </row>
    <row r="45" customFormat="false" ht="15" hidden="false" customHeight="false" outlineLevel="0" collapsed="false">
      <c r="A45" s="4" t="s">
        <v>1626</v>
      </c>
      <c r="B45" s="10" t="n">
        <v>46245.7604166667</v>
      </c>
      <c r="C45" s="4" t="s">
        <v>1544</v>
      </c>
      <c r="D45" s="4" t="n">
        <v>793</v>
      </c>
      <c r="E45" s="4" t="n">
        <v>7</v>
      </c>
      <c r="F45" s="4" t="n">
        <v>6</v>
      </c>
      <c r="G45" s="4" t="n">
        <v>0</v>
      </c>
      <c r="J45" s="11" t="b">
        <f aca="false">TRUE()</f>
        <v>1</v>
      </c>
      <c r="K45" s="4" t="s">
        <v>1627</v>
      </c>
      <c r="L45" s="4" t="n">
        <v>4</v>
      </c>
      <c r="M45" s="4" t="n">
        <v>4</v>
      </c>
      <c r="N45" s="4" t="n">
        <v>4</v>
      </c>
      <c r="O45" s="4" t="n">
        <v>4</v>
      </c>
      <c r="P45" s="0" t="str">
        <f aca="false">IF(E45=0,"not_reached",IF(AND(F45&gt;0,G45=0),"allowed","blocked"))</f>
        <v>allowed</v>
      </c>
      <c r="Q45" s="0" t="str">
        <f aca="false">IF(C45="success","published",IF(E45&gt;0,"blocked_at_gate","failed_before_gate"))</f>
        <v>published</v>
      </c>
      <c r="R45" s="0" t="str">
        <f aca="false">IF(C45="success","",IF(E45&gt;0,IF(I45="freshness_within_target","freshness",IF(I45="relationships_intact","relationships",IF(I45="reconciliation_residual_zero","residual",I45))),IF(H45="quality_gate","gate_infra",H45)))</f>
        <v/>
      </c>
    </row>
    <row r="46" customFormat="false" ht="15" hidden="false" customHeight="false" outlineLevel="0" collapsed="false">
      <c r="A46" s="4" t="s">
        <v>1628</v>
      </c>
      <c r="B46" s="10" t="n">
        <v>46245.8020833333</v>
      </c>
      <c r="C46" s="4" t="s">
        <v>1544</v>
      </c>
      <c r="D46" s="4" t="n">
        <v>852</v>
      </c>
      <c r="E46" s="4" t="n">
        <v>7</v>
      </c>
      <c r="F46" s="4" t="n">
        <v>6</v>
      </c>
      <c r="G46" s="4" t="n">
        <v>0</v>
      </c>
      <c r="J46" s="11" t="b">
        <f aca="false">TRUE()</f>
        <v>1</v>
      </c>
      <c r="K46" s="4" t="s">
        <v>1629</v>
      </c>
      <c r="L46" s="4" t="n">
        <v>4</v>
      </c>
      <c r="M46" s="4" t="n">
        <v>4</v>
      </c>
      <c r="N46" s="4" t="n">
        <v>4</v>
      </c>
      <c r="O46" s="4" t="n">
        <v>4</v>
      </c>
      <c r="P46" s="0" t="str">
        <f aca="false">IF(E46=0,"not_reached",IF(AND(F46&gt;0,G46=0),"allowed","blocked"))</f>
        <v>allowed</v>
      </c>
      <c r="Q46" s="0" t="str">
        <f aca="false">IF(C46="success","published",IF(E46&gt;0,"blocked_at_gate","failed_before_gate"))</f>
        <v>published</v>
      </c>
      <c r="R46" s="0" t="str">
        <f aca="false">IF(C46="success","",IF(E46&gt;0,IF(I46="freshness_within_target","freshness",IF(I46="relationships_intact","relationships",IF(I46="reconciliation_residual_zero","residual",I46))),IF(H46="quality_gate","gate_infra",H46)))</f>
        <v/>
      </c>
    </row>
    <row r="47" customFormat="false" ht="15" hidden="false" customHeight="false" outlineLevel="0" collapsed="false">
      <c r="A47" s="4" t="s">
        <v>1630</v>
      </c>
      <c r="B47" s="10" t="n">
        <v>46245.84375</v>
      </c>
      <c r="C47" s="4" t="s">
        <v>1544</v>
      </c>
      <c r="D47" s="4" t="n">
        <v>929</v>
      </c>
      <c r="E47" s="4" t="n">
        <v>7</v>
      </c>
      <c r="F47" s="4" t="n">
        <v>6</v>
      </c>
      <c r="G47" s="4" t="n">
        <v>0</v>
      </c>
      <c r="J47" s="11" t="b">
        <f aca="false">TRUE()</f>
        <v>1</v>
      </c>
      <c r="K47" s="4" t="s">
        <v>1631</v>
      </c>
      <c r="L47" s="4" t="n">
        <v>4</v>
      </c>
      <c r="M47" s="4" t="n">
        <v>4</v>
      </c>
      <c r="N47" s="4" t="n">
        <v>4</v>
      </c>
      <c r="O47" s="4" t="n">
        <v>4</v>
      </c>
      <c r="P47" s="0" t="str">
        <f aca="false">IF(E47=0,"not_reached",IF(AND(F47&gt;0,G47=0),"allowed","blocked"))</f>
        <v>allowed</v>
      </c>
      <c r="Q47" s="0" t="str">
        <f aca="false">IF(C47="success","published",IF(E47&gt;0,"blocked_at_gate","failed_before_gate"))</f>
        <v>published</v>
      </c>
      <c r="R47" s="0" t="str">
        <f aca="false">IF(C47="success","",IF(E47&gt;0,IF(I47="freshness_within_target","freshness",IF(I47="relationships_intact","relationships",IF(I47="reconciliation_residual_zero","residual",I47))),IF(H47="quality_gate","gate_infra",H47)))</f>
        <v/>
      </c>
    </row>
    <row r="48" customFormat="false" ht="15" hidden="false" customHeight="false" outlineLevel="0" collapsed="false">
      <c r="A48" s="4" t="s">
        <v>1632</v>
      </c>
      <c r="B48" s="10" t="n">
        <v>46245.8854166667</v>
      </c>
      <c r="C48" s="4" t="s">
        <v>1544</v>
      </c>
      <c r="D48" s="4" t="n">
        <v>831</v>
      </c>
      <c r="E48" s="4" t="n">
        <v>7</v>
      </c>
      <c r="F48" s="4" t="n">
        <v>6</v>
      </c>
      <c r="G48" s="4" t="n">
        <v>0</v>
      </c>
      <c r="J48" s="11" t="b">
        <f aca="false">TRUE()</f>
        <v>1</v>
      </c>
      <c r="K48" s="4" t="s">
        <v>1633</v>
      </c>
      <c r="L48" s="4" t="n">
        <v>4</v>
      </c>
      <c r="M48" s="4" t="n">
        <v>4</v>
      </c>
      <c r="N48" s="4" t="n">
        <v>4</v>
      </c>
      <c r="O48" s="4" t="n">
        <v>4</v>
      </c>
      <c r="P48" s="0" t="str">
        <f aca="false">IF(E48=0,"not_reached",IF(AND(F48&gt;0,G48=0),"allowed","blocked"))</f>
        <v>allowed</v>
      </c>
      <c r="Q48" s="0" t="str">
        <f aca="false">IF(C48="success","published",IF(E48&gt;0,"blocked_at_gate","failed_before_gate"))</f>
        <v>published</v>
      </c>
      <c r="R48" s="0" t="str">
        <f aca="false">IF(C48="success","",IF(E48&gt;0,IF(I48="freshness_within_target","freshness",IF(I48="relationships_intact","relationships",IF(I48="reconciliation_residual_zero","residual",I48))),IF(H48="quality_gate","gate_infra",H48)))</f>
        <v/>
      </c>
    </row>
    <row r="49" customFormat="false" ht="15" hidden="false" customHeight="false" outlineLevel="0" collapsed="false">
      <c r="A49" s="4" t="s">
        <v>1634</v>
      </c>
      <c r="B49" s="10" t="n">
        <v>46245.9270833333</v>
      </c>
      <c r="C49" s="4" t="s">
        <v>1544</v>
      </c>
      <c r="D49" s="4" t="n">
        <v>934</v>
      </c>
      <c r="E49" s="4" t="n">
        <v>7</v>
      </c>
      <c r="F49" s="4" t="n">
        <v>6</v>
      </c>
      <c r="G49" s="4" t="n">
        <v>0</v>
      </c>
      <c r="J49" s="11" t="b">
        <f aca="false">TRUE()</f>
        <v>1</v>
      </c>
      <c r="K49" s="4" t="s">
        <v>1635</v>
      </c>
      <c r="L49" s="4" t="n">
        <v>4</v>
      </c>
      <c r="M49" s="4" t="n">
        <v>4</v>
      </c>
      <c r="N49" s="4" t="n">
        <v>4</v>
      </c>
      <c r="O49" s="4" t="n">
        <v>4</v>
      </c>
      <c r="P49" s="0" t="str">
        <f aca="false">IF(E49=0,"not_reached",IF(AND(F49&gt;0,G49=0),"allowed","blocked"))</f>
        <v>allowed</v>
      </c>
      <c r="Q49" s="0" t="str">
        <f aca="false">IF(C49="success","published",IF(E49&gt;0,"blocked_at_gate","failed_before_gate"))</f>
        <v>published</v>
      </c>
      <c r="R49" s="0" t="str">
        <f aca="false">IF(C49="success","",IF(E49&gt;0,IF(I49="freshness_within_target","freshness",IF(I49="relationships_intact","relationships",IF(I49="reconciliation_residual_zero","residual",I49))),IF(H49="quality_gate","gate_infra",H49)))</f>
        <v/>
      </c>
    </row>
    <row r="50" customFormat="false" ht="15" hidden="false" customHeight="false" outlineLevel="0" collapsed="false">
      <c r="A50" s="4" t="s">
        <v>1636</v>
      </c>
      <c r="B50" s="10" t="n">
        <v>46245.96875</v>
      </c>
      <c r="C50" s="4" t="s">
        <v>1544</v>
      </c>
      <c r="D50" s="4" t="n">
        <v>781</v>
      </c>
      <c r="E50" s="4" t="n">
        <v>7</v>
      </c>
      <c r="F50" s="4" t="n">
        <v>6</v>
      </c>
      <c r="G50" s="4" t="n">
        <v>0</v>
      </c>
      <c r="J50" s="11" t="b">
        <f aca="false">TRUE()</f>
        <v>1</v>
      </c>
      <c r="K50" s="4" t="s">
        <v>1637</v>
      </c>
      <c r="L50" s="4" t="n">
        <v>4</v>
      </c>
      <c r="M50" s="4" t="n">
        <v>4</v>
      </c>
      <c r="N50" s="4" t="n">
        <v>4</v>
      </c>
      <c r="O50" s="4" t="n">
        <v>4</v>
      </c>
      <c r="P50" s="0" t="str">
        <f aca="false">IF(E50=0,"not_reached",IF(AND(F50&gt;0,G50=0),"allowed","blocked"))</f>
        <v>allowed</v>
      </c>
      <c r="Q50" s="0" t="str">
        <f aca="false">IF(C50="success","published",IF(E50&gt;0,"blocked_at_gate","failed_before_gate"))</f>
        <v>published</v>
      </c>
      <c r="R50" s="0" t="str">
        <f aca="false">IF(C50="success","",IF(E50&gt;0,IF(I50="freshness_within_target","freshness",IF(I50="relationships_intact","relationships",IF(I50="reconciliation_residual_zero","residual",I50))),IF(H50="quality_gate","gate_infra",H50)))</f>
        <v/>
      </c>
    </row>
    <row r="51" customFormat="false" ht="15" hidden="false" customHeight="false" outlineLevel="0" collapsed="false">
      <c r="A51" s="4" t="s">
        <v>1638</v>
      </c>
      <c r="B51" s="10" t="n">
        <v>46246.0104166667</v>
      </c>
      <c r="C51" s="4" t="s">
        <v>1544</v>
      </c>
      <c r="D51" s="4" t="n">
        <v>884</v>
      </c>
      <c r="E51" s="4" t="n">
        <v>7</v>
      </c>
      <c r="F51" s="4" t="n">
        <v>6</v>
      </c>
      <c r="G51" s="4" t="n">
        <v>0</v>
      </c>
      <c r="J51" s="11" t="b">
        <f aca="false">TRUE()</f>
        <v>1</v>
      </c>
      <c r="K51" s="4" t="s">
        <v>1639</v>
      </c>
      <c r="L51" s="4" t="n">
        <v>4</v>
      </c>
      <c r="M51" s="4" t="n">
        <v>4</v>
      </c>
      <c r="N51" s="4" t="n">
        <v>4</v>
      </c>
      <c r="O51" s="4" t="n">
        <v>4</v>
      </c>
      <c r="P51" s="0" t="str">
        <f aca="false">IF(E51=0,"not_reached",IF(AND(F51&gt;0,G51=0),"allowed","blocked"))</f>
        <v>allowed</v>
      </c>
      <c r="Q51" s="0" t="str">
        <f aca="false">IF(C51="success","published",IF(E51&gt;0,"blocked_at_gate","failed_before_gate"))</f>
        <v>published</v>
      </c>
      <c r="R51" s="0" t="str">
        <f aca="false">IF(C51="success","",IF(E51&gt;0,IF(I51="freshness_within_target","freshness",IF(I51="relationships_intact","relationships",IF(I51="reconciliation_residual_zero","residual",I51))),IF(H51="quality_gate","gate_infra",H51)))</f>
        <v/>
      </c>
    </row>
    <row r="52" customFormat="false" ht="15" hidden="false" customHeight="false" outlineLevel="0" collapsed="false">
      <c r="A52" s="4" t="s">
        <v>1640</v>
      </c>
      <c r="B52" s="10" t="n">
        <v>46246.0520833333</v>
      </c>
      <c r="C52" s="4" t="s">
        <v>1544</v>
      </c>
      <c r="D52" s="4" t="n">
        <v>690</v>
      </c>
      <c r="E52" s="4" t="n">
        <v>7</v>
      </c>
      <c r="F52" s="4" t="n">
        <v>6</v>
      </c>
      <c r="G52" s="4" t="n">
        <v>0</v>
      </c>
      <c r="J52" s="11" t="b">
        <f aca="false">TRUE()</f>
        <v>1</v>
      </c>
      <c r="K52" s="4" t="s">
        <v>1641</v>
      </c>
      <c r="L52" s="4" t="n">
        <v>4</v>
      </c>
      <c r="M52" s="4" t="n">
        <v>4</v>
      </c>
      <c r="N52" s="4" t="n">
        <v>4</v>
      </c>
      <c r="O52" s="4" t="n">
        <v>4</v>
      </c>
      <c r="P52" s="0" t="str">
        <f aca="false">IF(E52=0,"not_reached",IF(AND(F52&gt;0,G52=0),"allowed","blocked"))</f>
        <v>allowed</v>
      </c>
      <c r="Q52" s="0" t="str">
        <f aca="false">IF(C52="success","published",IF(E52&gt;0,"blocked_at_gate","failed_before_gate"))</f>
        <v>published</v>
      </c>
      <c r="R52" s="0" t="str">
        <f aca="false">IF(C52="success","",IF(E52&gt;0,IF(I52="freshness_within_target","freshness",IF(I52="relationships_intact","relationships",IF(I52="reconciliation_residual_zero","residual",I52))),IF(H52="quality_gate","gate_infra",H52)))</f>
        <v/>
      </c>
    </row>
    <row r="53" customFormat="false" ht="15" hidden="false" customHeight="false" outlineLevel="0" collapsed="false">
      <c r="A53" s="4" t="s">
        <v>1642</v>
      </c>
      <c r="B53" s="10" t="n">
        <v>46246.09375</v>
      </c>
      <c r="C53" s="4" t="s">
        <v>1544</v>
      </c>
      <c r="D53" s="4" t="n">
        <v>796</v>
      </c>
      <c r="E53" s="4" t="n">
        <v>7</v>
      </c>
      <c r="F53" s="4" t="n">
        <v>6</v>
      </c>
      <c r="G53" s="4" t="n">
        <v>0</v>
      </c>
      <c r="J53" s="11" t="b">
        <f aca="false">TRUE()</f>
        <v>1</v>
      </c>
      <c r="K53" s="4" t="s">
        <v>1643</v>
      </c>
      <c r="L53" s="4" t="n">
        <v>4</v>
      </c>
      <c r="M53" s="4" t="n">
        <v>4</v>
      </c>
      <c r="N53" s="4" t="n">
        <v>4</v>
      </c>
      <c r="O53" s="4" t="n">
        <v>4</v>
      </c>
      <c r="P53" s="0" t="str">
        <f aca="false">IF(E53=0,"not_reached",IF(AND(F53&gt;0,G53=0),"allowed","blocked"))</f>
        <v>allowed</v>
      </c>
      <c r="Q53" s="0" t="str">
        <f aca="false">IF(C53="success","published",IF(E53&gt;0,"blocked_at_gate","failed_before_gate"))</f>
        <v>published</v>
      </c>
      <c r="R53" s="0" t="str">
        <f aca="false">IF(C53="success","",IF(E53&gt;0,IF(I53="freshness_within_target","freshness",IF(I53="relationships_intact","relationships",IF(I53="reconciliation_residual_zero","residual",I53))),IF(H53="quality_gate","gate_infra",H53)))</f>
        <v/>
      </c>
    </row>
    <row r="54" customFormat="false" ht="15" hidden="false" customHeight="false" outlineLevel="0" collapsed="false">
      <c r="A54" s="4" t="s">
        <v>1644</v>
      </c>
      <c r="B54" s="10" t="n">
        <v>46246.1354166667</v>
      </c>
      <c r="C54" s="4" t="s">
        <v>1544</v>
      </c>
      <c r="D54" s="4" t="n">
        <v>744</v>
      </c>
      <c r="E54" s="4" t="n">
        <v>7</v>
      </c>
      <c r="F54" s="4" t="n">
        <v>6</v>
      </c>
      <c r="G54" s="4" t="n">
        <v>0</v>
      </c>
      <c r="J54" s="11" t="b">
        <f aca="false">TRUE()</f>
        <v>1</v>
      </c>
      <c r="K54" s="4" t="s">
        <v>1645</v>
      </c>
      <c r="L54" s="4" t="n">
        <v>4</v>
      </c>
      <c r="M54" s="4" t="n">
        <v>4</v>
      </c>
      <c r="N54" s="4" t="n">
        <v>4</v>
      </c>
      <c r="O54" s="4" t="n">
        <v>4</v>
      </c>
      <c r="P54" s="0" t="str">
        <f aca="false">IF(E54=0,"not_reached",IF(AND(F54&gt;0,G54=0),"allowed","blocked"))</f>
        <v>allowed</v>
      </c>
      <c r="Q54" s="0" t="str">
        <f aca="false">IF(C54="success","published",IF(E54&gt;0,"blocked_at_gate","failed_before_gate"))</f>
        <v>published</v>
      </c>
      <c r="R54" s="0" t="str">
        <f aca="false">IF(C54="success","",IF(E54&gt;0,IF(I54="freshness_within_target","freshness",IF(I54="relationships_intact","relationships",IF(I54="reconciliation_residual_zero","residual",I54))),IF(H54="quality_gate","gate_infra",H54)))</f>
        <v/>
      </c>
    </row>
    <row r="55" customFormat="false" ht="15" hidden="false" customHeight="false" outlineLevel="0" collapsed="false">
      <c r="A55" s="4" t="s">
        <v>1646</v>
      </c>
      <c r="B55" s="10" t="n">
        <v>46246.1770833333</v>
      </c>
      <c r="C55" s="4" t="s">
        <v>1544</v>
      </c>
      <c r="D55" s="4" t="n">
        <v>686</v>
      </c>
      <c r="E55" s="4" t="n">
        <v>7</v>
      </c>
      <c r="F55" s="4" t="n">
        <v>6</v>
      </c>
      <c r="G55" s="4" t="n">
        <v>0</v>
      </c>
      <c r="J55" s="11" t="b">
        <f aca="false">TRUE()</f>
        <v>1</v>
      </c>
      <c r="K55" s="4" t="s">
        <v>1647</v>
      </c>
      <c r="L55" s="4" t="n">
        <v>4</v>
      </c>
      <c r="M55" s="4" t="n">
        <v>4</v>
      </c>
      <c r="N55" s="4" t="n">
        <v>4</v>
      </c>
      <c r="O55" s="4" t="n">
        <v>4</v>
      </c>
      <c r="P55" s="0" t="str">
        <f aca="false">IF(E55=0,"not_reached",IF(AND(F55&gt;0,G55=0),"allowed","blocked"))</f>
        <v>allowed</v>
      </c>
      <c r="Q55" s="0" t="str">
        <f aca="false">IF(C55="success","published",IF(E55&gt;0,"blocked_at_gate","failed_before_gate"))</f>
        <v>published</v>
      </c>
      <c r="R55" s="0" t="str">
        <f aca="false">IF(C55="success","",IF(E55&gt;0,IF(I55="freshness_within_target","freshness",IF(I55="relationships_intact","relationships",IF(I55="reconciliation_residual_zero","residual",I55))),IF(H55="quality_gate","gate_infra",H55)))</f>
        <v/>
      </c>
    </row>
    <row r="56" customFormat="false" ht="15" hidden="false" customHeight="false" outlineLevel="0" collapsed="false">
      <c r="A56" s="4" t="s">
        <v>1648</v>
      </c>
      <c r="B56" s="10" t="n">
        <v>46246.21875</v>
      </c>
      <c r="C56" s="4" t="s">
        <v>1544</v>
      </c>
      <c r="D56" s="4" t="n">
        <v>835</v>
      </c>
      <c r="E56" s="4" t="n">
        <v>7</v>
      </c>
      <c r="F56" s="4" t="n">
        <v>6</v>
      </c>
      <c r="G56" s="4" t="n">
        <v>0</v>
      </c>
      <c r="J56" s="11" t="b">
        <f aca="false">TRUE()</f>
        <v>1</v>
      </c>
      <c r="K56" s="4" t="s">
        <v>1649</v>
      </c>
      <c r="L56" s="4" t="n">
        <v>4</v>
      </c>
      <c r="M56" s="4" t="n">
        <v>4</v>
      </c>
      <c r="N56" s="4" t="n">
        <v>4</v>
      </c>
      <c r="O56" s="4" t="n">
        <v>4</v>
      </c>
      <c r="P56" s="0" t="str">
        <f aca="false">IF(E56=0,"not_reached",IF(AND(F56&gt;0,G56=0),"allowed","blocked"))</f>
        <v>allowed</v>
      </c>
      <c r="Q56" s="0" t="str">
        <f aca="false">IF(C56="success","published",IF(E56&gt;0,"blocked_at_gate","failed_before_gate"))</f>
        <v>published</v>
      </c>
      <c r="R56" s="0" t="str">
        <f aca="false">IF(C56="success","",IF(E56&gt;0,IF(I56="freshness_within_target","freshness",IF(I56="relationships_intact","relationships",IF(I56="reconciliation_residual_zero","residual",I56))),IF(H56="quality_gate","gate_infra",H56)))</f>
        <v/>
      </c>
    </row>
    <row r="57" customFormat="false" ht="15" hidden="false" customHeight="false" outlineLevel="0" collapsed="false">
      <c r="A57" s="4" t="s">
        <v>1650</v>
      </c>
      <c r="B57" s="10" t="n">
        <v>46246.2604166667</v>
      </c>
      <c r="C57" s="4" t="s">
        <v>1544</v>
      </c>
      <c r="D57" s="4" t="n">
        <v>771</v>
      </c>
      <c r="E57" s="4" t="n">
        <v>7</v>
      </c>
      <c r="F57" s="4" t="n">
        <v>6</v>
      </c>
      <c r="G57" s="4" t="n">
        <v>0</v>
      </c>
      <c r="J57" s="11" t="b">
        <f aca="false">TRUE()</f>
        <v>1</v>
      </c>
      <c r="K57" s="4" t="s">
        <v>1651</v>
      </c>
      <c r="L57" s="4" t="n">
        <v>4</v>
      </c>
      <c r="M57" s="4" t="n">
        <v>4</v>
      </c>
      <c r="N57" s="4" t="n">
        <v>4</v>
      </c>
      <c r="O57" s="4" t="n">
        <v>4</v>
      </c>
      <c r="P57" s="0" t="str">
        <f aca="false">IF(E57=0,"not_reached",IF(AND(F57&gt;0,G57=0),"allowed","blocked"))</f>
        <v>allowed</v>
      </c>
      <c r="Q57" s="0" t="str">
        <f aca="false">IF(C57="success","published",IF(E57&gt;0,"blocked_at_gate","failed_before_gate"))</f>
        <v>published</v>
      </c>
      <c r="R57" s="0" t="str">
        <f aca="false">IF(C57="success","",IF(E57&gt;0,IF(I57="freshness_within_target","freshness",IF(I57="relationships_intact","relationships",IF(I57="reconciliation_residual_zero","residual",I57))),IF(H57="quality_gate","gate_infra",H57)))</f>
        <v/>
      </c>
    </row>
    <row r="58" customFormat="false" ht="15" hidden="false" customHeight="false" outlineLevel="0" collapsed="false">
      <c r="A58" s="4" t="s">
        <v>1652</v>
      </c>
      <c r="B58" s="10" t="n">
        <v>46246.3020833333</v>
      </c>
      <c r="C58" s="4" t="s">
        <v>1544</v>
      </c>
      <c r="D58" s="4" t="n">
        <v>869</v>
      </c>
      <c r="E58" s="4" t="n">
        <v>7</v>
      </c>
      <c r="F58" s="4" t="n">
        <v>6</v>
      </c>
      <c r="G58" s="4" t="n">
        <v>0</v>
      </c>
      <c r="J58" s="11" t="b">
        <f aca="false">TRUE()</f>
        <v>1</v>
      </c>
      <c r="K58" s="4" t="s">
        <v>1653</v>
      </c>
      <c r="L58" s="4" t="n">
        <v>4</v>
      </c>
      <c r="M58" s="4" t="n">
        <v>4</v>
      </c>
      <c r="N58" s="4" t="n">
        <v>4</v>
      </c>
      <c r="O58" s="4" t="n">
        <v>4</v>
      </c>
      <c r="P58" s="0" t="str">
        <f aca="false">IF(E58=0,"not_reached",IF(AND(F58&gt;0,G58=0),"allowed","blocked"))</f>
        <v>allowed</v>
      </c>
      <c r="Q58" s="0" t="str">
        <f aca="false">IF(C58="success","published",IF(E58&gt;0,"blocked_at_gate","failed_before_gate"))</f>
        <v>published</v>
      </c>
      <c r="R58" s="0" t="str">
        <f aca="false">IF(C58="success","",IF(E58&gt;0,IF(I58="freshness_within_target","freshness",IF(I58="relationships_intact","relationships",IF(I58="reconciliation_residual_zero","residual",I58))),IF(H58="quality_gate","gate_infra",H58)))</f>
        <v/>
      </c>
    </row>
    <row r="59" customFormat="false" ht="15" hidden="false" customHeight="false" outlineLevel="0" collapsed="false">
      <c r="A59" s="4" t="s">
        <v>1654</v>
      </c>
      <c r="B59" s="10" t="n">
        <v>46246.34375</v>
      </c>
      <c r="C59" s="4" t="s">
        <v>1544</v>
      </c>
      <c r="D59" s="4" t="n">
        <v>661</v>
      </c>
      <c r="E59" s="4" t="n">
        <v>7</v>
      </c>
      <c r="F59" s="4" t="n">
        <v>6</v>
      </c>
      <c r="G59" s="4" t="n">
        <v>0</v>
      </c>
      <c r="J59" s="11" t="b">
        <f aca="false">TRUE()</f>
        <v>1</v>
      </c>
      <c r="K59" s="4" t="s">
        <v>1655</v>
      </c>
      <c r="L59" s="4" t="n">
        <v>4</v>
      </c>
      <c r="M59" s="4" t="n">
        <v>4</v>
      </c>
      <c r="N59" s="4" t="n">
        <v>4</v>
      </c>
      <c r="O59" s="4" t="n">
        <v>4</v>
      </c>
      <c r="P59" s="0" t="str">
        <f aca="false">IF(E59=0,"not_reached",IF(AND(F59&gt;0,G59=0),"allowed","blocked"))</f>
        <v>allowed</v>
      </c>
      <c r="Q59" s="0" t="str">
        <f aca="false">IF(C59="success","published",IF(E59&gt;0,"blocked_at_gate","failed_before_gate"))</f>
        <v>published</v>
      </c>
      <c r="R59" s="0" t="str">
        <f aca="false">IF(C59="success","",IF(E59&gt;0,IF(I59="freshness_within_target","freshness",IF(I59="relationships_intact","relationships",IF(I59="reconciliation_residual_zero","residual",I59))),IF(H59="quality_gate","gate_infra",H59)))</f>
        <v/>
      </c>
    </row>
    <row r="60" customFormat="false" ht="15" hidden="false" customHeight="false" outlineLevel="0" collapsed="false">
      <c r="A60" s="4" t="s">
        <v>1656</v>
      </c>
      <c r="B60" s="10" t="n">
        <v>46246.3854166667</v>
      </c>
      <c r="C60" s="4" t="s">
        <v>1544</v>
      </c>
      <c r="D60" s="4" t="n">
        <v>728</v>
      </c>
      <c r="E60" s="4" t="n">
        <v>7</v>
      </c>
      <c r="F60" s="4" t="n">
        <v>6</v>
      </c>
      <c r="G60" s="4" t="n">
        <v>0</v>
      </c>
      <c r="J60" s="11" t="b">
        <f aca="false">TRUE()</f>
        <v>1</v>
      </c>
      <c r="K60" s="4" t="s">
        <v>1657</v>
      </c>
      <c r="L60" s="4" t="n">
        <v>4</v>
      </c>
      <c r="M60" s="4" t="n">
        <v>4</v>
      </c>
      <c r="N60" s="4" t="n">
        <v>4</v>
      </c>
      <c r="O60" s="4" t="n">
        <v>4</v>
      </c>
      <c r="P60" s="0" t="str">
        <f aca="false">IF(E60=0,"not_reached",IF(AND(F60&gt;0,G60=0),"allowed","blocked"))</f>
        <v>allowed</v>
      </c>
      <c r="Q60" s="0" t="str">
        <f aca="false">IF(C60="success","published",IF(E60&gt;0,"blocked_at_gate","failed_before_gate"))</f>
        <v>published</v>
      </c>
      <c r="R60" s="0" t="str">
        <f aca="false">IF(C60="success","",IF(E60&gt;0,IF(I60="freshness_within_target","freshness",IF(I60="relationships_intact","relationships",IF(I60="reconciliation_residual_zero","residual",I60))),IF(H60="quality_gate","gate_infra",H60)))</f>
        <v/>
      </c>
    </row>
    <row r="61" customFormat="false" ht="15" hidden="false" customHeight="false" outlineLevel="0" collapsed="false">
      <c r="A61" s="4" t="s">
        <v>1658</v>
      </c>
      <c r="B61" s="10" t="n">
        <v>46246.4270833333</v>
      </c>
      <c r="C61" s="4" t="s">
        <v>1544</v>
      </c>
      <c r="D61" s="4" t="n">
        <v>910</v>
      </c>
      <c r="E61" s="4" t="n">
        <v>7</v>
      </c>
      <c r="F61" s="4" t="n">
        <v>6</v>
      </c>
      <c r="G61" s="4" t="n">
        <v>0</v>
      </c>
      <c r="J61" s="11" t="b">
        <f aca="false">TRUE()</f>
        <v>1</v>
      </c>
      <c r="K61" s="4" t="s">
        <v>1659</v>
      </c>
      <c r="L61" s="4" t="n">
        <v>4</v>
      </c>
      <c r="M61" s="4" t="n">
        <v>4</v>
      </c>
      <c r="N61" s="4" t="n">
        <v>4</v>
      </c>
      <c r="O61" s="4" t="n">
        <v>4</v>
      </c>
      <c r="P61" s="0" t="str">
        <f aca="false">IF(E61=0,"not_reached",IF(AND(F61&gt;0,G61=0),"allowed","blocked"))</f>
        <v>allowed</v>
      </c>
      <c r="Q61" s="0" t="str">
        <f aca="false">IF(C61="success","published",IF(E61&gt;0,"blocked_at_gate","failed_before_gate"))</f>
        <v>published</v>
      </c>
      <c r="R61" s="0" t="str">
        <f aca="false">IF(C61="success","",IF(E61&gt;0,IF(I61="freshness_within_target","freshness",IF(I61="relationships_intact","relationships",IF(I61="reconciliation_residual_zero","residual",I61))),IF(H61="quality_gate","gate_infra",H61)))</f>
        <v/>
      </c>
    </row>
    <row r="62" customFormat="false" ht="15" hidden="false" customHeight="false" outlineLevel="0" collapsed="false">
      <c r="A62" s="4" t="s">
        <v>1660</v>
      </c>
      <c r="B62" s="10" t="n">
        <v>46246.46875</v>
      </c>
      <c r="C62" s="4" t="s">
        <v>1544</v>
      </c>
      <c r="D62" s="4" t="n">
        <v>928</v>
      </c>
      <c r="E62" s="4" t="n">
        <v>7</v>
      </c>
      <c r="F62" s="4" t="n">
        <v>6</v>
      </c>
      <c r="G62" s="4" t="n">
        <v>0</v>
      </c>
      <c r="J62" s="11" t="b">
        <f aca="false">TRUE()</f>
        <v>1</v>
      </c>
      <c r="K62" s="4" t="s">
        <v>1661</v>
      </c>
      <c r="L62" s="4" t="n">
        <v>4</v>
      </c>
      <c r="M62" s="4" t="n">
        <v>4</v>
      </c>
      <c r="N62" s="4" t="n">
        <v>4</v>
      </c>
      <c r="O62" s="4" t="n">
        <v>4</v>
      </c>
      <c r="P62" s="0" t="str">
        <f aca="false">IF(E62=0,"not_reached",IF(AND(F62&gt;0,G62=0),"allowed","blocked"))</f>
        <v>allowed</v>
      </c>
      <c r="Q62" s="0" t="str">
        <f aca="false">IF(C62="success","published",IF(E62&gt;0,"blocked_at_gate","failed_before_gate"))</f>
        <v>published</v>
      </c>
      <c r="R62" s="0" t="str">
        <f aca="false">IF(C62="success","",IF(E62&gt;0,IF(I62="freshness_within_target","freshness",IF(I62="relationships_intact","relationships",IF(I62="reconciliation_residual_zero","residual",I62))),IF(H62="quality_gate","gate_infra",H62)))</f>
        <v/>
      </c>
    </row>
    <row r="63" customFormat="false" ht="15" hidden="false" customHeight="false" outlineLevel="0" collapsed="false">
      <c r="A63" s="4" t="s">
        <v>1662</v>
      </c>
      <c r="B63" s="10" t="n">
        <v>46246.5104166667</v>
      </c>
      <c r="C63" s="4" t="s">
        <v>1544</v>
      </c>
      <c r="D63" s="4" t="n">
        <v>976</v>
      </c>
      <c r="E63" s="4" t="n">
        <v>7</v>
      </c>
      <c r="F63" s="4" t="n">
        <v>6</v>
      </c>
      <c r="G63" s="4" t="n">
        <v>0</v>
      </c>
      <c r="J63" s="11" t="b">
        <f aca="false">TRUE()</f>
        <v>1</v>
      </c>
      <c r="K63" s="4" t="s">
        <v>1663</v>
      </c>
      <c r="L63" s="4" t="n">
        <v>4</v>
      </c>
      <c r="M63" s="4" t="n">
        <v>4</v>
      </c>
      <c r="N63" s="4" t="n">
        <v>5</v>
      </c>
      <c r="O63" s="4" t="n">
        <v>4</v>
      </c>
      <c r="P63" s="0" t="str">
        <f aca="false">IF(E63=0,"not_reached",IF(AND(F63&gt;0,G63=0),"allowed","blocked"))</f>
        <v>allowed</v>
      </c>
      <c r="Q63" s="0" t="str">
        <f aca="false">IF(C63="success","published",IF(E63&gt;0,"blocked_at_gate","failed_before_gate"))</f>
        <v>published</v>
      </c>
      <c r="R63" s="0" t="str">
        <f aca="false">IF(C63="success","",IF(E63&gt;0,IF(I63="freshness_within_target","freshness",IF(I63="relationships_intact","relationships",IF(I63="reconciliation_residual_zero","residual",I63))),IF(H63="quality_gate","gate_infra",H63)))</f>
        <v/>
      </c>
    </row>
    <row r="64" customFormat="false" ht="15" hidden="false" customHeight="false" outlineLevel="0" collapsed="false">
      <c r="A64" s="4" t="s">
        <v>1664</v>
      </c>
      <c r="B64" s="10" t="n">
        <v>46246.5520833333</v>
      </c>
      <c r="C64" s="4" t="s">
        <v>1544</v>
      </c>
      <c r="D64" s="4" t="n">
        <v>668</v>
      </c>
      <c r="E64" s="4" t="n">
        <v>7</v>
      </c>
      <c r="F64" s="4" t="n">
        <v>6</v>
      </c>
      <c r="G64" s="4" t="n">
        <v>0</v>
      </c>
      <c r="J64" s="11" t="b">
        <f aca="false">TRUE()</f>
        <v>1</v>
      </c>
      <c r="K64" s="4" t="s">
        <v>1665</v>
      </c>
      <c r="L64" s="4" t="n">
        <v>4</v>
      </c>
      <c r="M64" s="4" t="n">
        <v>4</v>
      </c>
      <c r="N64" s="4" t="n">
        <v>4</v>
      </c>
      <c r="O64" s="4" t="n">
        <v>4</v>
      </c>
      <c r="P64" s="0" t="str">
        <f aca="false">IF(E64=0,"not_reached",IF(AND(F64&gt;0,G64=0),"allowed","blocked"))</f>
        <v>allowed</v>
      </c>
      <c r="Q64" s="0" t="str">
        <f aca="false">IF(C64="success","published",IF(E64&gt;0,"blocked_at_gate","failed_before_gate"))</f>
        <v>published</v>
      </c>
      <c r="R64" s="0" t="str">
        <f aca="false">IF(C64="success","",IF(E64&gt;0,IF(I64="freshness_within_target","freshness",IF(I64="relationships_intact","relationships",IF(I64="reconciliation_residual_zero","residual",I64))),IF(H64="quality_gate","gate_infra",H64)))</f>
        <v/>
      </c>
    </row>
    <row r="65" customFormat="false" ht="15" hidden="false" customHeight="false" outlineLevel="0" collapsed="false">
      <c r="A65" s="4" t="s">
        <v>1666</v>
      </c>
      <c r="B65" s="10" t="n">
        <v>46246.59375</v>
      </c>
      <c r="C65" s="4" t="s">
        <v>1544</v>
      </c>
      <c r="D65" s="4" t="n">
        <v>683</v>
      </c>
      <c r="E65" s="4" t="n">
        <v>7</v>
      </c>
      <c r="F65" s="4" t="n">
        <v>6</v>
      </c>
      <c r="G65" s="4" t="n">
        <v>0</v>
      </c>
      <c r="J65" s="11" t="b">
        <f aca="false">TRUE()</f>
        <v>1</v>
      </c>
      <c r="K65" s="4" t="s">
        <v>1667</v>
      </c>
      <c r="L65" s="4" t="n">
        <v>4</v>
      </c>
      <c r="M65" s="4" t="n">
        <v>4</v>
      </c>
      <c r="N65" s="4" t="n">
        <v>4</v>
      </c>
      <c r="O65" s="4" t="n">
        <v>4</v>
      </c>
      <c r="P65" s="0" t="str">
        <f aca="false">IF(E65=0,"not_reached",IF(AND(F65&gt;0,G65=0),"allowed","blocked"))</f>
        <v>allowed</v>
      </c>
      <c r="Q65" s="0" t="str">
        <f aca="false">IF(C65="success","published",IF(E65&gt;0,"blocked_at_gate","failed_before_gate"))</f>
        <v>published</v>
      </c>
      <c r="R65" s="0" t="str">
        <f aca="false">IF(C65="success","",IF(E65&gt;0,IF(I65="freshness_within_target","freshness",IF(I65="relationships_intact","relationships",IF(I65="reconciliation_residual_zero","residual",I65))),IF(H65="quality_gate","gate_infra",H65)))</f>
        <v/>
      </c>
    </row>
    <row r="66" customFormat="false" ht="15" hidden="false" customHeight="false" outlineLevel="0" collapsed="false">
      <c r="A66" s="4" t="s">
        <v>1668</v>
      </c>
      <c r="B66" s="10" t="n">
        <v>46246.6354166667</v>
      </c>
      <c r="C66" s="4" t="s">
        <v>1544</v>
      </c>
      <c r="D66" s="4" t="n">
        <v>673</v>
      </c>
      <c r="E66" s="4" t="n">
        <v>7</v>
      </c>
      <c r="F66" s="4" t="n">
        <v>6</v>
      </c>
      <c r="G66" s="4" t="n">
        <v>0</v>
      </c>
      <c r="J66" s="11" t="b">
        <f aca="false">TRUE()</f>
        <v>1</v>
      </c>
      <c r="K66" s="4" t="s">
        <v>1669</v>
      </c>
      <c r="L66" s="4" t="n">
        <v>4</v>
      </c>
      <c r="M66" s="4" t="n">
        <v>4</v>
      </c>
      <c r="N66" s="4" t="n">
        <v>4</v>
      </c>
      <c r="O66" s="4" t="n">
        <v>4</v>
      </c>
      <c r="P66" s="0" t="str">
        <f aca="false">IF(E66=0,"not_reached",IF(AND(F66&gt;0,G66=0),"allowed","blocked"))</f>
        <v>allowed</v>
      </c>
      <c r="Q66" s="0" t="str">
        <f aca="false">IF(C66="success","published",IF(E66&gt;0,"blocked_at_gate","failed_before_gate"))</f>
        <v>published</v>
      </c>
      <c r="R66" s="0" t="str">
        <f aca="false">IF(C66="success","",IF(E66&gt;0,IF(I66="freshness_within_target","freshness",IF(I66="relationships_intact","relationships",IF(I66="reconciliation_residual_zero","residual",I66))),IF(H66="quality_gate","gate_infra",H66)))</f>
        <v/>
      </c>
    </row>
    <row r="67" customFormat="false" ht="15" hidden="false" customHeight="false" outlineLevel="0" collapsed="false">
      <c r="A67" s="4" t="s">
        <v>1670</v>
      </c>
      <c r="B67" s="10" t="n">
        <v>46246.6770833333</v>
      </c>
      <c r="C67" s="4" t="s">
        <v>1544</v>
      </c>
      <c r="D67" s="4" t="n">
        <v>924</v>
      </c>
      <c r="E67" s="4" t="n">
        <v>7</v>
      </c>
      <c r="F67" s="4" t="n">
        <v>6</v>
      </c>
      <c r="G67" s="4" t="n">
        <v>0</v>
      </c>
      <c r="J67" s="11" t="b">
        <f aca="false">TRUE()</f>
        <v>1</v>
      </c>
      <c r="K67" s="4" t="s">
        <v>1671</v>
      </c>
      <c r="L67" s="4" t="n">
        <v>4</v>
      </c>
      <c r="M67" s="4" t="n">
        <v>4</v>
      </c>
      <c r="N67" s="4" t="n">
        <v>4</v>
      </c>
      <c r="O67" s="4" t="n">
        <v>4</v>
      </c>
      <c r="P67" s="0" t="str">
        <f aca="false">IF(E67=0,"not_reached",IF(AND(F67&gt;0,G67=0),"allowed","blocked"))</f>
        <v>allowed</v>
      </c>
      <c r="Q67" s="0" t="str">
        <f aca="false">IF(C67="success","published",IF(E67&gt;0,"blocked_at_gate","failed_before_gate"))</f>
        <v>published</v>
      </c>
      <c r="R67" s="0" t="str">
        <f aca="false">IF(C67="success","",IF(E67&gt;0,IF(I67="freshness_within_target","freshness",IF(I67="relationships_intact","relationships",IF(I67="reconciliation_residual_zero","residual",I67))),IF(H67="quality_gate","gate_infra",H67)))</f>
        <v/>
      </c>
    </row>
    <row r="68" customFormat="false" ht="15" hidden="false" customHeight="false" outlineLevel="0" collapsed="false">
      <c r="A68" s="4" t="s">
        <v>1672</v>
      </c>
      <c r="B68" s="10" t="n">
        <v>46246.71875</v>
      </c>
      <c r="C68" s="4" t="s">
        <v>1544</v>
      </c>
      <c r="D68" s="4" t="n">
        <v>774</v>
      </c>
      <c r="E68" s="4" t="n">
        <v>7</v>
      </c>
      <c r="F68" s="4" t="n">
        <v>6</v>
      </c>
      <c r="G68" s="4" t="n">
        <v>0</v>
      </c>
      <c r="J68" s="11" t="b">
        <f aca="false">TRUE()</f>
        <v>1</v>
      </c>
      <c r="K68" s="4" t="s">
        <v>1673</v>
      </c>
      <c r="L68" s="4" t="n">
        <v>4</v>
      </c>
      <c r="M68" s="4" t="n">
        <v>4</v>
      </c>
      <c r="N68" s="4" t="n">
        <v>4</v>
      </c>
      <c r="O68" s="4" t="n">
        <v>4</v>
      </c>
      <c r="P68" s="0" t="str">
        <f aca="false">IF(E68=0,"not_reached",IF(AND(F68&gt;0,G68=0),"allowed","blocked"))</f>
        <v>allowed</v>
      </c>
      <c r="Q68" s="0" t="str">
        <f aca="false">IF(C68="success","published",IF(E68&gt;0,"blocked_at_gate","failed_before_gate"))</f>
        <v>published</v>
      </c>
      <c r="R68" s="0" t="str">
        <f aca="false">IF(C68="success","",IF(E68&gt;0,IF(I68="freshness_within_target","freshness",IF(I68="relationships_intact","relationships",IF(I68="reconciliation_residual_zero","residual",I68))),IF(H68="quality_gate","gate_infra",H68)))</f>
        <v/>
      </c>
    </row>
    <row r="69" customFormat="false" ht="15" hidden="false" customHeight="false" outlineLevel="0" collapsed="false">
      <c r="A69" s="4" t="s">
        <v>1674</v>
      </c>
      <c r="B69" s="10" t="n">
        <v>46246.7604166667</v>
      </c>
      <c r="C69" s="4" t="s">
        <v>1544</v>
      </c>
      <c r="D69" s="4" t="n">
        <v>926</v>
      </c>
      <c r="E69" s="4" t="n">
        <v>7</v>
      </c>
      <c r="F69" s="4" t="n">
        <v>6</v>
      </c>
      <c r="G69" s="4" t="n">
        <v>0</v>
      </c>
      <c r="J69" s="11" t="b">
        <f aca="false">TRUE()</f>
        <v>1</v>
      </c>
      <c r="K69" s="4" t="s">
        <v>1675</v>
      </c>
      <c r="L69" s="4" t="n">
        <v>4</v>
      </c>
      <c r="M69" s="4" t="n">
        <v>4</v>
      </c>
      <c r="N69" s="4" t="n">
        <v>4</v>
      </c>
      <c r="O69" s="4" t="n">
        <v>4</v>
      </c>
      <c r="P69" s="0" t="str">
        <f aca="false">IF(E69=0,"not_reached",IF(AND(F69&gt;0,G69=0),"allowed","blocked"))</f>
        <v>allowed</v>
      </c>
      <c r="Q69" s="0" t="str">
        <f aca="false">IF(C69="success","published",IF(E69&gt;0,"blocked_at_gate","failed_before_gate"))</f>
        <v>published</v>
      </c>
      <c r="R69" s="0" t="str">
        <f aca="false">IF(C69="success","",IF(E69&gt;0,IF(I69="freshness_within_target","freshness",IF(I69="relationships_intact","relationships",IF(I69="reconciliation_residual_zero","residual",I69))),IF(H69="quality_gate","gate_infra",H69)))</f>
        <v/>
      </c>
    </row>
    <row r="70" customFormat="false" ht="15" hidden="false" customHeight="false" outlineLevel="0" collapsed="false">
      <c r="A70" s="4" t="s">
        <v>1676</v>
      </c>
      <c r="B70" s="10" t="n">
        <v>46246.8020833333</v>
      </c>
      <c r="C70" s="4" t="s">
        <v>1544</v>
      </c>
      <c r="D70" s="4" t="n">
        <v>999</v>
      </c>
      <c r="E70" s="4" t="n">
        <v>7</v>
      </c>
      <c r="F70" s="4" t="n">
        <v>6</v>
      </c>
      <c r="G70" s="4" t="n">
        <v>0</v>
      </c>
      <c r="J70" s="11" t="b">
        <f aca="false">TRUE()</f>
        <v>1</v>
      </c>
      <c r="K70" s="4" t="s">
        <v>1677</v>
      </c>
      <c r="L70" s="4" t="n">
        <v>4</v>
      </c>
      <c r="M70" s="4" t="n">
        <v>4</v>
      </c>
      <c r="N70" s="4" t="n">
        <v>5</v>
      </c>
      <c r="O70" s="4" t="n">
        <v>4</v>
      </c>
      <c r="P70" s="0" t="str">
        <f aca="false">IF(E70=0,"not_reached",IF(AND(F70&gt;0,G70=0),"allowed","blocked"))</f>
        <v>allowed</v>
      </c>
      <c r="Q70" s="0" t="str">
        <f aca="false">IF(C70="success","published",IF(E70&gt;0,"blocked_at_gate","failed_before_gate"))</f>
        <v>published</v>
      </c>
      <c r="R70" s="0" t="str">
        <f aca="false">IF(C70="success","",IF(E70&gt;0,IF(I70="freshness_within_target","freshness",IF(I70="relationships_intact","relationships",IF(I70="reconciliation_residual_zero","residual",I70))),IF(H70="quality_gate","gate_infra",H70)))</f>
        <v/>
      </c>
    </row>
    <row r="71" customFormat="false" ht="15" hidden="false" customHeight="false" outlineLevel="0" collapsed="false">
      <c r="A71" s="4" t="s">
        <v>1678</v>
      </c>
      <c r="B71" s="10" t="n">
        <v>46246.84375</v>
      </c>
      <c r="C71" s="4" t="s">
        <v>1544</v>
      </c>
      <c r="D71" s="4" t="n">
        <v>707</v>
      </c>
      <c r="E71" s="4" t="n">
        <v>7</v>
      </c>
      <c r="F71" s="4" t="n">
        <v>6</v>
      </c>
      <c r="G71" s="4" t="n">
        <v>0</v>
      </c>
      <c r="J71" s="11" t="b">
        <f aca="false">TRUE()</f>
        <v>1</v>
      </c>
      <c r="K71" s="4" t="s">
        <v>1679</v>
      </c>
      <c r="L71" s="4" t="n">
        <v>4</v>
      </c>
      <c r="M71" s="4" t="n">
        <v>4</v>
      </c>
      <c r="N71" s="4" t="n">
        <v>4</v>
      </c>
      <c r="O71" s="4" t="n">
        <v>4</v>
      </c>
      <c r="P71" s="0" t="str">
        <f aca="false">IF(E71=0,"not_reached",IF(AND(F71&gt;0,G71=0),"allowed","blocked"))</f>
        <v>allowed</v>
      </c>
      <c r="Q71" s="0" t="str">
        <f aca="false">IF(C71="success","published",IF(E71&gt;0,"blocked_at_gate","failed_before_gate"))</f>
        <v>published</v>
      </c>
      <c r="R71" s="0" t="str">
        <f aca="false">IF(C71="success","",IF(E71&gt;0,IF(I71="freshness_within_target","freshness",IF(I71="relationships_intact","relationships",IF(I71="reconciliation_residual_zero","residual",I71))),IF(H71="quality_gate","gate_infra",H71)))</f>
        <v/>
      </c>
    </row>
    <row r="72" customFormat="false" ht="15" hidden="false" customHeight="false" outlineLevel="0" collapsed="false">
      <c r="A72" s="4" t="s">
        <v>1680</v>
      </c>
      <c r="B72" s="10" t="n">
        <v>46246.8854166667</v>
      </c>
      <c r="C72" s="4" t="s">
        <v>1544</v>
      </c>
      <c r="D72" s="4" t="n">
        <v>890</v>
      </c>
      <c r="E72" s="4" t="n">
        <v>7</v>
      </c>
      <c r="F72" s="4" t="n">
        <v>6</v>
      </c>
      <c r="G72" s="4" t="n">
        <v>0</v>
      </c>
      <c r="J72" s="11" t="b">
        <f aca="false">TRUE()</f>
        <v>1</v>
      </c>
      <c r="K72" s="4" t="s">
        <v>1681</v>
      </c>
      <c r="L72" s="4" t="n">
        <v>4</v>
      </c>
      <c r="M72" s="4" t="n">
        <v>4</v>
      </c>
      <c r="N72" s="4" t="n">
        <v>4</v>
      </c>
      <c r="O72" s="4" t="n">
        <v>4</v>
      </c>
      <c r="P72" s="0" t="str">
        <f aca="false">IF(E72=0,"not_reached",IF(AND(F72&gt;0,G72=0),"allowed","blocked"))</f>
        <v>allowed</v>
      </c>
      <c r="Q72" s="0" t="str">
        <f aca="false">IF(C72="success","published",IF(E72&gt;0,"blocked_at_gate","failed_before_gate"))</f>
        <v>published</v>
      </c>
      <c r="R72" s="0" t="str">
        <f aca="false">IF(C72="success","",IF(E72&gt;0,IF(I72="freshness_within_target","freshness",IF(I72="relationships_intact","relationships",IF(I72="reconciliation_residual_zero","residual",I72))),IF(H72="quality_gate","gate_infra",H72)))</f>
        <v/>
      </c>
    </row>
    <row r="73" customFormat="false" ht="15" hidden="false" customHeight="false" outlineLevel="0" collapsed="false">
      <c r="A73" s="4" t="s">
        <v>1682</v>
      </c>
      <c r="B73" s="10" t="n">
        <v>46246.9270833333</v>
      </c>
      <c r="C73" s="4" t="s">
        <v>1544</v>
      </c>
      <c r="D73" s="4" t="n">
        <v>768</v>
      </c>
      <c r="E73" s="4" t="n">
        <v>7</v>
      </c>
      <c r="F73" s="4" t="n">
        <v>6</v>
      </c>
      <c r="G73" s="4" t="n">
        <v>0</v>
      </c>
      <c r="J73" s="11" t="b">
        <f aca="false">TRUE()</f>
        <v>1</v>
      </c>
      <c r="K73" s="4" t="s">
        <v>1683</v>
      </c>
      <c r="L73" s="4" t="n">
        <v>4</v>
      </c>
      <c r="M73" s="4" t="n">
        <v>4</v>
      </c>
      <c r="N73" s="4" t="n">
        <v>4</v>
      </c>
      <c r="O73" s="4" t="n">
        <v>4</v>
      </c>
      <c r="P73" s="0" t="str">
        <f aca="false">IF(E73=0,"not_reached",IF(AND(F73&gt;0,G73=0),"allowed","blocked"))</f>
        <v>allowed</v>
      </c>
      <c r="Q73" s="0" t="str">
        <f aca="false">IF(C73="success","published",IF(E73&gt;0,"blocked_at_gate","failed_before_gate"))</f>
        <v>published</v>
      </c>
      <c r="R73" s="0" t="str">
        <f aca="false">IF(C73="success","",IF(E73&gt;0,IF(I73="freshness_within_target","freshness",IF(I73="relationships_intact","relationships",IF(I73="reconciliation_residual_zero","residual",I73))),IF(H73="quality_gate","gate_infra",H73)))</f>
        <v/>
      </c>
    </row>
    <row r="74" customFormat="false" ht="15" hidden="false" customHeight="false" outlineLevel="0" collapsed="false">
      <c r="A74" s="4" t="s">
        <v>1684</v>
      </c>
      <c r="B74" s="10" t="n">
        <v>46246.96875</v>
      </c>
      <c r="C74" s="4" t="s">
        <v>1544</v>
      </c>
      <c r="D74" s="4" t="n">
        <v>797</v>
      </c>
      <c r="E74" s="4" t="n">
        <v>7</v>
      </c>
      <c r="F74" s="4" t="n">
        <v>6</v>
      </c>
      <c r="G74" s="4" t="n">
        <v>0</v>
      </c>
      <c r="J74" s="11" t="b">
        <f aca="false">TRUE()</f>
        <v>1</v>
      </c>
      <c r="K74" s="4" t="s">
        <v>1685</v>
      </c>
      <c r="L74" s="4" t="n">
        <v>4</v>
      </c>
      <c r="M74" s="4" t="n">
        <v>4</v>
      </c>
      <c r="N74" s="4" t="n">
        <v>4</v>
      </c>
      <c r="O74" s="4" t="n">
        <v>4</v>
      </c>
      <c r="P74" s="0" t="str">
        <f aca="false">IF(E74=0,"not_reached",IF(AND(F74&gt;0,G74=0),"allowed","blocked"))</f>
        <v>allowed</v>
      </c>
      <c r="Q74" s="0" t="str">
        <f aca="false">IF(C74="success","published",IF(E74&gt;0,"blocked_at_gate","failed_before_gate"))</f>
        <v>published</v>
      </c>
      <c r="R74" s="0" t="str">
        <f aca="false">IF(C74="success","",IF(E74&gt;0,IF(I74="freshness_within_target","freshness",IF(I74="relationships_intact","relationships",IF(I74="reconciliation_residual_zero","residual",I74))),IF(H74="quality_gate","gate_infra",H74)))</f>
        <v/>
      </c>
    </row>
    <row r="75" customFormat="false" ht="15" hidden="false" customHeight="false" outlineLevel="0" collapsed="false">
      <c r="A75" s="4" t="s">
        <v>1686</v>
      </c>
      <c r="B75" s="10" t="n">
        <v>46247.0104166667</v>
      </c>
      <c r="C75" s="4" t="s">
        <v>1544</v>
      </c>
      <c r="D75" s="4" t="n">
        <v>983</v>
      </c>
      <c r="E75" s="4" t="n">
        <v>7</v>
      </c>
      <c r="F75" s="4" t="n">
        <v>6</v>
      </c>
      <c r="G75" s="4" t="n">
        <v>0</v>
      </c>
      <c r="J75" s="11" t="b">
        <f aca="false">TRUE()</f>
        <v>1</v>
      </c>
      <c r="K75" s="4" t="s">
        <v>1687</v>
      </c>
      <c r="L75" s="4" t="n">
        <v>4</v>
      </c>
      <c r="M75" s="4" t="n">
        <v>4</v>
      </c>
      <c r="N75" s="4" t="n">
        <v>5</v>
      </c>
      <c r="O75" s="4" t="n">
        <v>4</v>
      </c>
      <c r="P75" s="0" t="str">
        <f aca="false">IF(E75=0,"not_reached",IF(AND(F75&gt;0,G75=0),"allowed","blocked"))</f>
        <v>allowed</v>
      </c>
      <c r="Q75" s="0" t="str">
        <f aca="false">IF(C75="success","published",IF(E75&gt;0,"blocked_at_gate","failed_before_gate"))</f>
        <v>published</v>
      </c>
      <c r="R75" s="0" t="str">
        <f aca="false">IF(C75="success","",IF(E75&gt;0,IF(I75="freshness_within_target","freshness",IF(I75="relationships_intact","relationships",IF(I75="reconciliation_residual_zero","residual",I75))),IF(H75="quality_gate","gate_infra",H75)))</f>
        <v/>
      </c>
    </row>
    <row r="76" customFormat="false" ht="15" hidden="false" customHeight="false" outlineLevel="0" collapsed="false">
      <c r="A76" s="4" t="s">
        <v>1688</v>
      </c>
      <c r="B76" s="10" t="n">
        <v>46247.0520833333</v>
      </c>
      <c r="C76" s="4" t="s">
        <v>1544</v>
      </c>
      <c r="D76" s="4" t="n">
        <v>932</v>
      </c>
      <c r="E76" s="4" t="n">
        <v>7</v>
      </c>
      <c r="F76" s="4" t="n">
        <v>6</v>
      </c>
      <c r="G76" s="4" t="n">
        <v>0</v>
      </c>
      <c r="J76" s="11" t="b">
        <f aca="false">TRUE()</f>
        <v>1</v>
      </c>
      <c r="K76" s="4" t="s">
        <v>1689</v>
      </c>
      <c r="L76" s="4" t="n">
        <v>4</v>
      </c>
      <c r="M76" s="4" t="n">
        <v>4</v>
      </c>
      <c r="N76" s="4" t="n">
        <v>4</v>
      </c>
      <c r="O76" s="4" t="n">
        <v>4</v>
      </c>
      <c r="P76" s="0" t="str">
        <f aca="false">IF(E76=0,"not_reached",IF(AND(F76&gt;0,G76=0),"allowed","blocked"))</f>
        <v>allowed</v>
      </c>
      <c r="Q76" s="0" t="str">
        <f aca="false">IF(C76="success","published",IF(E76&gt;0,"blocked_at_gate","failed_before_gate"))</f>
        <v>published</v>
      </c>
      <c r="R76" s="0" t="str">
        <f aca="false">IF(C76="success","",IF(E76&gt;0,IF(I76="freshness_within_target","freshness",IF(I76="relationships_intact","relationships",IF(I76="reconciliation_residual_zero","residual",I76))),IF(H76="quality_gate","gate_infra",H76)))</f>
        <v/>
      </c>
    </row>
    <row r="77" customFormat="false" ht="15" hidden="false" customHeight="false" outlineLevel="0" collapsed="false">
      <c r="A77" s="4" t="s">
        <v>1690</v>
      </c>
      <c r="B77" s="10" t="n">
        <v>46247.09375</v>
      </c>
      <c r="C77" s="4" t="s">
        <v>1544</v>
      </c>
      <c r="D77" s="4" t="n">
        <v>688</v>
      </c>
      <c r="E77" s="4" t="n">
        <v>7</v>
      </c>
      <c r="F77" s="4" t="n">
        <v>6</v>
      </c>
      <c r="G77" s="4" t="n">
        <v>0</v>
      </c>
      <c r="J77" s="11" t="b">
        <f aca="false">TRUE()</f>
        <v>1</v>
      </c>
      <c r="K77" s="4" t="s">
        <v>1691</v>
      </c>
      <c r="L77" s="4" t="n">
        <v>4</v>
      </c>
      <c r="M77" s="4" t="n">
        <v>4</v>
      </c>
      <c r="N77" s="4" t="n">
        <v>4</v>
      </c>
      <c r="O77" s="4" t="n">
        <v>4</v>
      </c>
      <c r="P77" s="0" t="str">
        <f aca="false">IF(E77=0,"not_reached",IF(AND(F77&gt;0,G77=0),"allowed","blocked"))</f>
        <v>allowed</v>
      </c>
      <c r="Q77" s="0" t="str">
        <f aca="false">IF(C77="success","published",IF(E77&gt;0,"blocked_at_gate","failed_before_gate"))</f>
        <v>published</v>
      </c>
      <c r="R77" s="0" t="str">
        <f aca="false">IF(C77="success","",IF(E77&gt;0,IF(I77="freshness_within_target","freshness",IF(I77="relationships_intact","relationships",IF(I77="reconciliation_residual_zero","residual",I77))),IF(H77="quality_gate","gate_infra",H77)))</f>
        <v/>
      </c>
    </row>
    <row r="78" customFormat="false" ht="15" hidden="false" customHeight="false" outlineLevel="0" collapsed="false">
      <c r="A78" s="4" t="s">
        <v>1692</v>
      </c>
      <c r="B78" s="10" t="n">
        <v>46247.1354166667</v>
      </c>
      <c r="C78" s="4" t="s">
        <v>1544</v>
      </c>
      <c r="D78" s="4" t="n">
        <v>841</v>
      </c>
      <c r="E78" s="4" t="n">
        <v>7</v>
      </c>
      <c r="F78" s="4" t="n">
        <v>6</v>
      </c>
      <c r="G78" s="4" t="n">
        <v>0</v>
      </c>
      <c r="J78" s="11" t="b">
        <f aca="false">TRUE()</f>
        <v>1</v>
      </c>
      <c r="K78" s="4" t="s">
        <v>1693</v>
      </c>
      <c r="L78" s="4" t="n">
        <v>4</v>
      </c>
      <c r="M78" s="4" t="n">
        <v>4</v>
      </c>
      <c r="N78" s="4" t="n">
        <v>4</v>
      </c>
      <c r="O78" s="4" t="n">
        <v>4</v>
      </c>
      <c r="P78" s="0" t="str">
        <f aca="false">IF(E78=0,"not_reached",IF(AND(F78&gt;0,G78=0),"allowed","blocked"))</f>
        <v>allowed</v>
      </c>
      <c r="Q78" s="0" t="str">
        <f aca="false">IF(C78="success","published",IF(E78&gt;0,"blocked_at_gate","failed_before_gate"))</f>
        <v>published</v>
      </c>
      <c r="R78" s="0" t="str">
        <f aca="false">IF(C78="success","",IF(E78&gt;0,IF(I78="freshness_within_target","freshness",IF(I78="relationships_intact","relationships",IF(I78="reconciliation_residual_zero","residual",I78))),IF(H78="quality_gate","gate_infra",H78)))</f>
        <v/>
      </c>
    </row>
    <row r="79" customFormat="false" ht="15" hidden="false" customHeight="false" outlineLevel="0" collapsed="false">
      <c r="A79" s="4" t="s">
        <v>1694</v>
      </c>
      <c r="B79" s="10" t="n">
        <v>46247.1770833333</v>
      </c>
      <c r="C79" s="4" t="s">
        <v>1544</v>
      </c>
      <c r="D79" s="4" t="n">
        <v>674</v>
      </c>
      <c r="E79" s="4" t="n">
        <v>7</v>
      </c>
      <c r="F79" s="4" t="n">
        <v>6</v>
      </c>
      <c r="G79" s="4" t="n">
        <v>0</v>
      </c>
      <c r="J79" s="11" t="b">
        <f aca="false">TRUE()</f>
        <v>1</v>
      </c>
      <c r="K79" s="4" t="s">
        <v>1695</v>
      </c>
      <c r="L79" s="4" t="n">
        <v>4</v>
      </c>
      <c r="M79" s="4" t="n">
        <v>4</v>
      </c>
      <c r="N79" s="4" t="n">
        <v>4</v>
      </c>
      <c r="O79" s="4" t="n">
        <v>4</v>
      </c>
      <c r="P79" s="0" t="str">
        <f aca="false">IF(E79=0,"not_reached",IF(AND(F79&gt;0,G79=0),"allowed","blocked"))</f>
        <v>allowed</v>
      </c>
      <c r="Q79" s="0" t="str">
        <f aca="false">IF(C79="success","published",IF(E79&gt;0,"blocked_at_gate","failed_before_gate"))</f>
        <v>published</v>
      </c>
      <c r="R79" s="0" t="str">
        <f aca="false">IF(C79="success","",IF(E79&gt;0,IF(I79="freshness_within_target","freshness",IF(I79="relationships_intact","relationships",IF(I79="reconciliation_residual_zero","residual",I79))),IF(H79="quality_gate","gate_infra",H79)))</f>
        <v/>
      </c>
    </row>
    <row r="80" customFormat="false" ht="15" hidden="false" customHeight="false" outlineLevel="0" collapsed="false">
      <c r="A80" s="4" t="s">
        <v>1696</v>
      </c>
      <c r="B80" s="10" t="n">
        <v>46247.21875</v>
      </c>
      <c r="C80" s="4" t="s">
        <v>1544</v>
      </c>
      <c r="D80" s="4" t="n">
        <v>704</v>
      </c>
      <c r="E80" s="4" t="n">
        <v>7</v>
      </c>
      <c r="F80" s="4" t="n">
        <v>6</v>
      </c>
      <c r="G80" s="4" t="n">
        <v>0</v>
      </c>
      <c r="J80" s="11" t="b">
        <f aca="false">TRUE()</f>
        <v>1</v>
      </c>
      <c r="K80" s="4" t="s">
        <v>1697</v>
      </c>
      <c r="L80" s="4" t="n">
        <v>4</v>
      </c>
      <c r="M80" s="4" t="n">
        <v>4</v>
      </c>
      <c r="N80" s="4" t="n">
        <v>4</v>
      </c>
      <c r="O80" s="4" t="n">
        <v>4</v>
      </c>
      <c r="P80" s="0" t="str">
        <f aca="false">IF(E80=0,"not_reached",IF(AND(F80&gt;0,G80=0),"allowed","blocked"))</f>
        <v>allowed</v>
      </c>
      <c r="Q80" s="0" t="str">
        <f aca="false">IF(C80="success","published",IF(E80&gt;0,"blocked_at_gate","failed_before_gate"))</f>
        <v>published</v>
      </c>
      <c r="R80" s="0" t="str">
        <f aca="false">IF(C80="success","",IF(E80&gt;0,IF(I80="freshness_within_target","freshness",IF(I80="relationships_intact","relationships",IF(I80="reconciliation_residual_zero","residual",I80))),IF(H80="quality_gate","gate_infra",H80)))</f>
        <v/>
      </c>
    </row>
    <row r="81" customFormat="false" ht="15" hidden="false" customHeight="false" outlineLevel="0" collapsed="false">
      <c r="A81" s="4" t="s">
        <v>1698</v>
      </c>
      <c r="B81" s="10" t="n">
        <v>46247.2604166667</v>
      </c>
      <c r="C81" s="4" t="s">
        <v>1544</v>
      </c>
      <c r="D81" s="4" t="n">
        <v>802</v>
      </c>
      <c r="E81" s="4" t="n">
        <v>7</v>
      </c>
      <c r="F81" s="4" t="n">
        <v>6</v>
      </c>
      <c r="G81" s="4" t="n">
        <v>0</v>
      </c>
      <c r="J81" s="11" t="b">
        <f aca="false">TRUE()</f>
        <v>1</v>
      </c>
      <c r="K81" s="4" t="s">
        <v>1699</v>
      </c>
      <c r="L81" s="4" t="n">
        <v>4</v>
      </c>
      <c r="M81" s="4" t="n">
        <v>4</v>
      </c>
      <c r="N81" s="4" t="n">
        <v>4</v>
      </c>
      <c r="O81" s="4" t="n">
        <v>4</v>
      </c>
      <c r="P81" s="0" t="str">
        <f aca="false">IF(E81=0,"not_reached",IF(AND(F81&gt;0,G81=0),"allowed","blocked"))</f>
        <v>allowed</v>
      </c>
      <c r="Q81" s="0" t="str">
        <f aca="false">IF(C81="success","published",IF(E81&gt;0,"blocked_at_gate","failed_before_gate"))</f>
        <v>published</v>
      </c>
      <c r="R81" s="0" t="str">
        <f aca="false">IF(C81="success","",IF(E81&gt;0,IF(I81="freshness_within_target","freshness",IF(I81="relationships_intact","relationships",IF(I81="reconciliation_residual_zero","residual",I81))),IF(H81="quality_gate","gate_infra",H81)))</f>
        <v/>
      </c>
    </row>
    <row r="82" customFormat="false" ht="15" hidden="false" customHeight="false" outlineLevel="0" collapsed="false">
      <c r="A82" s="4" t="s">
        <v>1700</v>
      </c>
      <c r="B82" s="10" t="n">
        <v>46247.3020833333</v>
      </c>
      <c r="C82" s="4" t="s">
        <v>1544</v>
      </c>
      <c r="D82" s="4" t="n">
        <v>843</v>
      </c>
      <c r="E82" s="4" t="n">
        <v>7</v>
      </c>
      <c r="F82" s="4" t="n">
        <v>6</v>
      </c>
      <c r="G82" s="4" t="n">
        <v>0</v>
      </c>
      <c r="J82" s="11" t="b">
        <f aca="false">TRUE()</f>
        <v>1</v>
      </c>
      <c r="K82" s="4" t="s">
        <v>1701</v>
      </c>
      <c r="L82" s="4" t="n">
        <v>4</v>
      </c>
      <c r="M82" s="4" t="n">
        <v>4</v>
      </c>
      <c r="N82" s="4" t="n">
        <v>4</v>
      </c>
      <c r="O82" s="4" t="n">
        <v>4</v>
      </c>
      <c r="P82" s="0" t="str">
        <f aca="false">IF(E82=0,"not_reached",IF(AND(F82&gt;0,G82=0),"allowed","blocked"))</f>
        <v>allowed</v>
      </c>
      <c r="Q82" s="0" t="str">
        <f aca="false">IF(C82="success","published",IF(E82&gt;0,"blocked_at_gate","failed_before_gate"))</f>
        <v>published</v>
      </c>
      <c r="R82" s="0" t="str">
        <f aca="false">IF(C82="success","",IF(E82&gt;0,IF(I82="freshness_within_target","freshness",IF(I82="relationships_intact","relationships",IF(I82="reconciliation_residual_zero","residual",I82))),IF(H82="quality_gate","gate_infra",H82)))</f>
        <v/>
      </c>
    </row>
    <row r="83" customFormat="false" ht="15" hidden="false" customHeight="false" outlineLevel="0" collapsed="false">
      <c r="A83" s="4" t="s">
        <v>1702</v>
      </c>
      <c r="B83" s="10" t="n">
        <v>46247.34375</v>
      </c>
      <c r="C83" s="4" t="s">
        <v>1544</v>
      </c>
      <c r="D83" s="4" t="n">
        <v>896</v>
      </c>
      <c r="E83" s="4" t="n">
        <v>7</v>
      </c>
      <c r="F83" s="4" t="n">
        <v>6</v>
      </c>
      <c r="G83" s="4" t="n">
        <v>0</v>
      </c>
      <c r="J83" s="11" t="b">
        <f aca="false">TRUE()</f>
        <v>1</v>
      </c>
      <c r="K83" s="4" t="s">
        <v>1703</v>
      </c>
      <c r="L83" s="4" t="n">
        <v>4</v>
      </c>
      <c r="M83" s="4" t="n">
        <v>4</v>
      </c>
      <c r="N83" s="4" t="n">
        <v>4</v>
      </c>
      <c r="O83" s="4" t="n">
        <v>4</v>
      </c>
      <c r="P83" s="0" t="str">
        <f aca="false">IF(E83=0,"not_reached",IF(AND(F83&gt;0,G83=0),"allowed","blocked"))</f>
        <v>allowed</v>
      </c>
      <c r="Q83" s="0" t="str">
        <f aca="false">IF(C83="success","published",IF(E83&gt;0,"blocked_at_gate","failed_before_gate"))</f>
        <v>published</v>
      </c>
      <c r="R83" s="0" t="str">
        <f aca="false">IF(C83="success","",IF(E83&gt;0,IF(I83="freshness_within_target","freshness",IF(I83="relationships_intact","relationships",IF(I83="reconciliation_residual_zero","residual",I83))),IF(H83="quality_gate","gate_infra",H83)))</f>
        <v/>
      </c>
    </row>
    <row r="84" customFormat="false" ht="15" hidden="false" customHeight="false" outlineLevel="0" collapsed="false">
      <c r="A84" s="4" t="s">
        <v>1704</v>
      </c>
      <c r="B84" s="10" t="n">
        <v>46247.3854166667</v>
      </c>
      <c r="C84" s="4" t="s">
        <v>1544</v>
      </c>
      <c r="D84" s="4" t="n">
        <v>1156</v>
      </c>
      <c r="E84" s="4" t="n">
        <v>7</v>
      </c>
      <c r="F84" s="4" t="n">
        <v>6</v>
      </c>
      <c r="G84" s="4" t="n">
        <v>0</v>
      </c>
      <c r="J84" s="11" t="b">
        <f aca="false">TRUE()</f>
        <v>1</v>
      </c>
      <c r="K84" s="4" t="s">
        <v>1705</v>
      </c>
      <c r="L84" s="4" t="n">
        <v>4</v>
      </c>
      <c r="M84" s="4" t="n">
        <v>4</v>
      </c>
      <c r="N84" s="4" t="n">
        <v>5</v>
      </c>
      <c r="O84" s="4" t="n">
        <v>4</v>
      </c>
      <c r="P84" s="0" t="str">
        <f aca="false">IF(E84=0,"not_reached",IF(AND(F84&gt;0,G84=0),"allowed","blocked"))</f>
        <v>allowed</v>
      </c>
      <c r="Q84" s="0" t="str">
        <f aca="false">IF(C84="success","published",IF(E84&gt;0,"blocked_at_gate","failed_before_gate"))</f>
        <v>published</v>
      </c>
      <c r="R84" s="0" t="str">
        <f aca="false">IF(C84="success","",IF(E84&gt;0,IF(I84="freshness_within_target","freshness",IF(I84="relationships_intact","relationships",IF(I84="reconciliation_residual_zero","residual",I84))),IF(H84="quality_gate","gate_infra",H84)))</f>
        <v/>
      </c>
    </row>
    <row r="85" customFormat="false" ht="15" hidden="false" customHeight="false" outlineLevel="0" collapsed="false">
      <c r="A85" s="4" t="s">
        <v>1706</v>
      </c>
      <c r="B85" s="10" t="n">
        <v>46247.4270833333</v>
      </c>
      <c r="C85" s="4" t="s">
        <v>1544</v>
      </c>
      <c r="D85" s="4" t="n">
        <v>673</v>
      </c>
      <c r="E85" s="4" t="n">
        <v>7</v>
      </c>
      <c r="F85" s="4" t="n">
        <v>6</v>
      </c>
      <c r="G85" s="4" t="n">
        <v>0</v>
      </c>
      <c r="J85" s="11" t="b">
        <f aca="false">TRUE()</f>
        <v>1</v>
      </c>
      <c r="K85" s="4" t="s">
        <v>1707</v>
      </c>
      <c r="L85" s="4" t="n">
        <v>4</v>
      </c>
      <c r="M85" s="4" t="n">
        <v>4</v>
      </c>
      <c r="N85" s="4" t="n">
        <v>4</v>
      </c>
      <c r="O85" s="4" t="n">
        <v>4</v>
      </c>
      <c r="P85" s="0" t="str">
        <f aca="false">IF(E85=0,"not_reached",IF(AND(F85&gt;0,G85=0),"allowed","blocked"))</f>
        <v>allowed</v>
      </c>
      <c r="Q85" s="0" t="str">
        <f aca="false">IF(C85="success","published",IF(E85&gt;0,"blocked_at_gate","failed_before_gate"))</f>
        <v>published</v>
      </c>
      <c r="R85" s="0" t="str">
        <f aca="false">IF(C85="success","",IF(E85&gt;0,IF(I85="freshness_within_target","freshness",IF(I85="relationships_intact","relationships",IF(I85="reconciliation_residual_zero","residual",I85))),IF(H85="quality_gate","gate_infra",H85)))</f>
        <v/>
      </c>
    </row>
    <row r="86" customFormat="false" ht="15" hidden="false" customHeight="false" outlineLevel="0" collapsed="false">
      <c r="A86" s="4" t="s">
        <v>1708</v>
      </c>
      <c r="B86" s="10" t="n">
        <v>46247.46875</v>
      </c>
      <c r="C86" s="4" t="s">
        <v>1544</v>
      </c>
      <c r="D86" s="4" t="n">
        <v>736</v>
      </c>
      <c r="E86" s="4" t="n">
        <v>7</v>
      </c>
      <c r="F86" s="4" t="n">
        <v>6</v>
      </c>
      <c r="G86" s="4" t="n">
        <v>0</v>
      </c>
      <c r="J86" s="11" t="b">
        <f aca="false">TRUE()</f>
        <v>1</v>
      </c>
      <c r="K86" s="4" t="s">
        <v>1709</v>
      </c>
      <c r="L86" s="4" t="n">
        <v>4</v>
      </c>
      <c r="M86" s="4" t="n">
        <v>4</v>
      </c>
      <c r="N86" s="4" t="n">
        <v>4</v>
      </c>
      <c r="O86" s="4" t="n">
        <v>4</v>
      </c>
      <c r="P86" s="0" t="str">
        <f aca="false">IF(E86=0,"not_reached",IF(AND(F86&gt;0,G86=0),"allowed","blocked"))</f>
        <v>allowed</v>
      </c>
      <c r="Q86" s="0" t="str">
        <f aca="false">IF(C86="success","published",IF(E86&gt;0,"blocked_at_gate","failed_before_gate"))</f>
        <v>published</v>
      </c>
      <c r="R86" s="0" t="str">
        <f aca="false">IF(C86="success","",IF(E86&gt;0,IF(I86="freshness_within_target","freshness",IF(I86="relationships_intact","relationships",IF(I86="reconciliation_residual_zero","residual",I86))),IF(H86="quality_gate","gate_infra",H86)))</f>
        <v/>
      </c>
    </row>
    <row r="87" customFormat="false" ht="15" hidden="false" customHeight="false" outlineLevel="0" collapsed="false">
      <c r="A87" s="4" t="s">
        <v>1710</v>
      </c>
      <c r="B87" s="10" t="n">
        <v>46247.5104166667</v>
      </c>
      <c r="C87" s="4" t="s">
        <v>1544</v>
      </c>
      <c r="D87" s="4" t="n">
        <v>876</v>
      </c>
      <c r="E87" s="4" t="n">
        <v>7</v>
      </c>
      <c r="F87" s="4" t="n">
        <v>6</v>
      </c>
      <c r="G87" s="4" t="n">
        <v>0</v>
      </c>
      <c r="J87" s="11" t="b">
        <f aca="false">TRUE()</f>
        <v>1</v>
      </c>
      <c r="K87" s="4" t="s">
        <v>1711</v>
      </c>
      <c r="L87" s="4" t="n">
        <v>4</v>
      </c>
      <c r="M87" s="4" t="n">
        <v>4</v>
      </c>
      <c r="N87" s="4" t="n">
        <v>4</v>
      </c>
      <c r="O87" s="4" t="n">
        <v>4</v>
      </c>
      <c r="P87" s="0" t="str">
        <f aca="false">IF(E87=0,"not_reached",IF(AND(F87&gt;0,G87=0),"allowed","blocked"))</f>
        <v>allowed</v>
      </c>
      <c r="Q87" s="0" t="str">
        <f aca="false">IF(C87="success","published",IF(E87&gt;0,"blocked_at_gate","failed_before_gate"))</f>
        <v>published</v>
      </c>
      <c r="R87" s="0" t="str">
        <f aca="false">IF(C87="success","",IF(E87&gt;0,IF(I87="freshness_within_target","freshness",IF(I87="relationships_intact","relationships",IF(I87="reconciliation_residual_zero","residual",I87))),IF(H87="quality_gate","gate_infra",H87)))</f>
        <v/>
      </c>
    </row>
    <row r="88" customFormat="false" ht="15" hidden="false" customHeight="false" outlineLevel="0" collapsed="false">
      <c r="A88" s="4" t="s">
        <v>1712</v>
      </c>
      <c r="B88" s="10" t="n">
        <v>46247.5520833333</v>
      </c>
      <c r="C88" s="4" t="s">
        <v>1544</v>
      </c>
      <c r="D88" s="4" t="n">
        <v>908</v>
      </c>
      <c r="E88" s="4" t="n">
        <v>7</v>
      </c>
      <c r="F88" s="4" t="n">
        <v>6</v>
      </c>
      <c r="G88" s="4" t="n">
        <v>0</v>
      </c>
      <c r="J88" s="11" t="b">
        <f aca="false">TRUE()</f>
        <v>1</v>
      </c>
      <c r="K88" s="4" t="s">
        <v>1713</v>
      </c>
      <c r="L88" s="4" t="n">
        <v>4</v>
      </c>
      <c r="M88" s="4" t="n">
        <v>4</v>
      </c>
      <c r="N88" s="4" t="n">
        <v>4</v>
      </c>
      <c r="O88" s="4" t="n">
        <v>4</v>
      </c>
      <c r="P88" s="0" t="str">
        <f aca="false">IF(E88=0,"not_reached",IF(AND(F88&gt;0,G88=0),"allowed","blocked"))</f>
        <v>allowed</v>
      </c>
      <c r="Q88" s="0" t="str">
        <f aca="false">IF(C88="success","published",IF(E88&gt;0,"blocked_at_gate","failed_before_gate"))</f>
        <v>published</v>
      </c>
      <c r="R88" s="0" t="str">
        <f aca="false">IF(C88="success","",IF(E88&gt;0,IF(I88="freshness_within_target","freshness",IF(I88="relationships_intact","relationships",IF(I88="reconciliation_residual_zero","residual",I88))),IF(H88="quality_gate","gate_infra",H88)))</f>
        <v/>
      </c>
    </row>
    <row r="89" customFormat="false" ht="15" hidden="false" customHeight="false" outlineLevel="0" collapsed="false">
      <c r="A89" s="4" t="s">
        <v>1714</v>
      </c>
      <c r="B89" s="10" t="n">
        <v>46247.59375</v>
      </c>
      <c r="C89" s="4" t="s">
        <v>1544</v>
      </c>
      <c r="D89" s="4" t="n">
        <v>692</v>
      </c>
      <c r="E89" s="4" t="n">
        <v>7</v>
      </c>
      <c r="F89" s="4" t="n">
        <v>6</v>
      </c>
      <c r="G89" s="4" t="n">
        <v>0</v>
      </c>
      <c r="J89" s="11" t="b">
        <f aca="false">TRUE()</f>
        <v>1</v>
      </c>
      <c r="K89" s="4" t="s">
        <v>1715</v>
      </c>
      <c r="L89" s="4" t="n">
        <v>4</v>
      </c>
      <c r="M89" s="4" t="n">
        <v>4</v>
      </c>
      <c r="N89" s="4" t="n">
        <v>4</v>
      </c>
      <c r="O89" s="4" t="n">
        <v>4</v>
      </c>
      <c r="P89" s="0" t="str">
        <f aca="false">IF(E89=0,"not_reached",IF(AND(F89&gt;0,G89=0),"allowed","blocked"))</f>
        <v>allowed</v>
      </c>
      <c r="Q89" s="0" t="str">
        <f aca="false">IF(C89="success","published",IF(E89&gt;0,"blocked_at_gate","failed_before_gate"))</f>
        <v>published</v>
      </c>
      <c r="R89" s="0" t="str">
        <f aca="false">IF(C89="success","",IF(E89&gt;0,IF(I89="freshness_within_target","freshness",IF(I89="relationships_intact","relationships",IF(I89="reconciliation_residual_zero","residual",I89))),IF(H89="quality_gate","gate_infra",H89)))</f>
        <v/>
      </c>
    </row>
    <row r="90" customFormat="false" ht="15" hidden="false" customHeight="false" outlineLevel="0" collapsed="false">
      <c r="A90" s="4" t="s">
        <v>1716</v>
      </c>
      <c r="B90" s="10" t="n">
        <v>46247.6354166667</v>
      </c>
      <c r="C90" s="4" t="s">
        <v>1544</v>
      </c>
      <c r="D90" s="4" t="n">
        <v>879</v>
      </c>
      <c r="E90" s="4" t="n">
        <v>7</v>
      </c>
      <c r="F90" s="4" t="n">
        <v>6</v>
      </c>
      <c r="G90" s="4" t="n">
        <v>0</v>
      </c>
      <c r="J90" s="11" t="b">
        <f aca="false">TRUE()</f>
        <v>1</v>
      </c>
      <c r="K90" s="4" t="s">
        <v>1717</v>
      </c>
      <c r="L90" s="4" t="n">
        <v>4</v>
      </c>
      <c r="M90" s="4" t="n">
        <v>4</v>
      </c>
      <c r="N90" s="4" t="n">
        <v>4</v>
      </c>
      <c r="O90" s="4" t="n">
        <v>4</v>
      </c>
      <c r="P90" s="0" t="str">
        <f aca="false">IF(E90=0,"not_reached",IF(AND(F90&gt;0,G90=0),"allowed","blocked"))</f>
        <v>allowed</v>
      </c>
      <c r="Q90" s="0" t="str">
        <f aca="false">IF(C90="success","published",IF(E90&gt;0,"blocked_at_gate","failed_before_gate"))</f>
        <v>published</v>
      </c>
      <c r="R90" s="0" t="str">
        <f aca="false">IF(C90="success","",IF(E90&gt;0,IF(I90="freshness_within_target","freshness",IF(I90="relationships_intact","relationships",IF(I90="reconciliation_residual_zero","residual",I90))),IF(H90="quality_gate","gate_infra",H90)))</f>
        <v/>
      </c>
    </row>
    <row r="91" customFormat="false" ht="15" hidden="false" customHeight="false" outlineLevel="0" collapsed="false">
      <c r="A91" s="4" t="s">
        <v>1718</v>
      </c>
      <c r="B91" s="10" t="n">
        <v>46247.6770833333</v>
      </c>
      <c r="C91" s="4" t="s">
        <v>1544</v>
      </c>
      <c r="D91" s="4" t="n">
        <v>697</v>
      </c>
      <c r="E91" s="4" t="n">
        <v>7</v>
      </c>
      <c r="F91" s="4" t="n">
        <v>6</v>
      </c>
      <c r="G91" s="4" t="n">
        <v>0</v>
      </c>
      <c r="J91" s="11" t="b">
        <f aca="false">TRUE()</f>
        <v>1</v>
      </c>
      <c r="K91" s="4" t="s">
        <v>1719</v>
      </c>
      <c r="L91" s="4" t="n">
        <v>4</v>
      </c>
      <c r="M91" s="4" t="n">
        <v>4</v>
      </c>
      <c r="N91" s="4" t="n">
        <v>4</v>
      </c>
      <c r="O91" s="4" t="n">
        <v>4</v>
      </c>
      <c r="P91" s="0" t="str">
        <f aca="false">IF(E91=0,"not_reached",IF(AND(F91&gt;0,G91=0),"allowed","blocked"))</f>
        <v>allowed</v>
      </c>
      <c r="Q91" s="0" t="str">
        <f aca="false">IF(C91="success","published",IF(E91&gt;0,"blocked_at_gate","failed_before_gate"))</f>
        <v>published</v>
      </c>
      <c r="R91" s="0" t="str">
        <f aca="false">IF(C91="success","",IF(E91&gt;0,IF(I91="freshness_within_target","freshness",IF(I91="relationships_intact","relationships",IF(I91="reconciliation_residual_zero","residual",I91))),IF(H91="quality_gate","gate_infra",H91)))</f>
        <v/>
      </c>
    </row>
    <row r="92" customFormat="false" ht="15" hidden="false" customHeight="false" outlineLevel="0" collapsed="false">
      <c r="A92" s="4" t="s">
        <v>1720</v>
      </c>
      <c r="B92" s="10" t="n">
        <v>46247.71875</v>
      </c>
      <c r="C92" s="4" t="s">
        <v>1544</v>
      </c>
      <c r="D92" s="4" t="n">
        <v>773</v>
      </c>
      <c r="E92" s="4" t="n">
        <v>7</v>
      </c>
      <c r="F92" s="4" t="n">
        <v>6</v>
      </c>
      <c r="G92" s="4" t="n">
        <v>0</v>
      </c>
      <c r="J92" s="11" t="b">
        <f aca="false">TRUE()</f>
        <v>1</v>
      </c>
      <c r="K92" s="4" t="s">
        <v>1721</v>
      </c>
      <c r="L92" s="4" t="n">
        <v>4</v>
      </c>
      <c r="M92" s="4" t="n">
        <v>4</v>
      </c>
      <c r="N92" s="4" t="n">
        <v>4</v>
      </c>
      <c r="O92" s="4" t="n">
        <v>4</v>
      </c>
      <c r="P92" s="0" t="str">
        <f aca="false">IF(E92=0,"not_reached",IF(AND(F92&gt;0,G92=0),"allowed","blocked"))</f>
        <v>allowed</v>
      </c>
      <c r="Q92" s="0" t="str">
        <f aca="false">IF(C92="success","published",IF(E92&gt;0,"blocked_at_gate","failed_before_gate"))</f>
        <v>published</v>
      </c>
      <c r="R92" s="0" t="str">
        <f aca="false">IF(C92="success","",IF(E92&gt;0,IF(I92="freshness_within_target","freshness",IF(I92="relationships_intact","relationships",IF(I92="reconciliation_residual_zero","residual",I92))),IF(H92="quality_gate","gate_infra",H92)))</f>
        <v/>
      </c>
    </row>
    <row r="93" customFormat="false" ht="15" hidden="false" customHeight="false" outlineLevel="0" collapsed="false">
      <c r="A93" s="4" t="s">
        <v>1722</v>
      </c>
      <c r="B93" s="10" t="n">
        <v>46247.7604166667</v>
      </c>
      <c r="C93" s="4" t="s">
        <v>1544</v>
      </c>
      <c r="D93" s="4" t="n">
        <v>683</v>
      </c>
      <c r="E93" s="4" t="n">
        <v>7</v>
      </c>
      <c r="F93" s="4" t="n">
        <v>6</v>
      </c>
      <c r="G93" s="4" t="n">
        <v>0</v>
      </c>
      <c r="J93" s="11" t="b">
        <f aca="false">TRUE()</f>
        <v>1</v>
      </c>
      <c r="K93" s="4" t="s">
        <v>1723</v>
      </c>
      <c r="L93" s="4" t="n">
        <v>4</v>
      </c>
      <c r="M93" s="4" t="n">
        <v>4</v>
      </c>
      <c r="N93" s="4" t="n">
        <v>4</v>
      </c>
      <c r="O93" s="4" t="n">
        <v>4</v>
      </c>
      <c r="P93" s="0" t="str">
        <f aca="false">IF(E93=0,"not_reached",IF(AND(F93&gt;0,G93=0),"allowed","blocked"))</f>
        <v>allowed</v>
      </c>
      <c r="Q93" s="0" t="str">
        <f aca="false">IF(C93="success","published",IF(E93&gt;0,"blocked_at_gate","failed_before_gate"))</f>
        <v>published</v>
      </c>
      <c r="R93" s="0" t="str">
        <f aca="false">IF(C93="success","",IF(E93&gt;0,IF(I93="freshness_within_target","freshness",IF(I93="relationships_intact","relationships",IF(I93="reconciliation_residual_zero","residual",I93))),IF(H93="quality_gate","gate_infra",H93)))</f>
        <v/>
      </c>
    </row>
    <row r="94" customFormat="false" ht="15" hidden="false" customHeight="false" outlineLevel="0" collapsed="false">
      <c r="A94" s="4" t="s">
        <v>1724</v>
      </c>
      <c r="B94" s="10" t="n">
        <v>46247.8020833333</v>
      </c>
      <c r="C94" s="4" t="s">
        <v>1544</v>
      </c>
      <c r="D94" s="4" t="n">
        <v>708</v>
      </c>
      <c r="E94" s="4" t="n">
        <v>7</v>
      </c>
      <c r="F94" s="4" t="n">
        <v>6</v>
      </c>
      <c r="G94" s="4" t="n">
        <v>0</v>
      </c>
      <c r="J94" s="11" t="b">
        <f aca="false">TRUE()</f>
        <v>1</v>
      </c>
      <c r="K94" s="4" t="s">
        <v>1725</v>
      </c>
      <c r="L94" s="4" t="n">
        <v>4</v>
      </c>
      <c r="M94" s="4" t="n">
        <v>4</v>
      </c>
      <c r="N94" s="4" t="n">
        <v>4</v>
      </c>
      <c r="O94" s="4" t="n">
        <v>4</v>
      </c>
      <c r="P94" s="0" t="str">
        <f aca="false">IF(E94=0,"not_reached",IF(AND(F94&gt;0,G94=0),"allowed","blocked"))</f>
        <v>allowed</v>
      </c>
      <c r="Q94" s="0" t="str">
        <f aca="false">IF(C94="success","published",IF(E94&gt;0,"blocked_at_gate","failed_before_gate"))</f>
        <v>published</v>
      </c>
      <c r="R94" s="0" t="str">
        <f aca="false">IF(C94="success","",IF(E94&gt;0,IF(I94="freshness_within_target","freshness",IF(I94="relationships_intact","relationships",IF(I94="reconciliation_residual_zero","residual",I94))),IF(H94="quality_gate","gate_infra",H94)))</f>
        <v/>
      </c>
    </row>
    <row r="95" customFormat="false" ht="15" hidden="false" customHeight="false" outlineLevel="0" collapsed="false">
      <c r="A95" s="4" t="s">
        <v>1726</v>
      </c>
      <c r="B95" s="10" t="n">
        <v>46247.84375</v>
      </c>
      <c r="C95" s="4" t="s">
        <v>1544</v>
      </c>
      <c r="D95" s="4" t="n">
        <v>764</v>
      </c>
      <c r="E95" s="4" t="n">
        <v>7</v>
      </c>
      <c r="F95" s="4" t="n">
        <v>6</v>
      </c>
      <c r="G95" s="4" t="n">
        <v>0</v>
      </c>
      <c r="J95" s="11" t="b">
        <f aca="false">TRUE()</f>
        <v>1</v>
      </c>
      <c r="K95" s="4" t="s">
        <v>1727</v>
      </c>
      <c r="L95" s="4" t="n">
        <v>4</v>
      </c>
      <c r="M95" s="4" t="n">
        <v>4</v>
      </c>
      <c r="N95" s="4" t="n">
        <v>4</v>
      </c>
      <c r="O95" s="4" t="n">
        <v>4</v>
      </c>
      <c r="P95" s="0" t="str">
        <f aca="false">IF(E95=0,"not_reached",IF(AND(F95&gt;0,G95=0),"allowed","blocked"))</f>
        <v>allowed</v>
      </c>
      <c r="Q95" s="0" t="str">
        <f aca="false">IF(C95="success","published",IF(E95&gt;0,"blocked_at_gate","failed_before_gate"))</f>
        <v>published</v>
      </c>
      <c r="R95" s="0" t="str">
        <f aca="false">IF(C95="success","",IF(E95&gt;0,IF(I95="freshness_within_target","freshness",IF(I95="relationships_intact","relationships",IF(I95="reconciliation_residual_zero","residual",I95))),IF(H95="quality_gate","gate_infra",H95)))</f>
        <v/>
      </c>
    </row>
    <row r="96" customFormat="false" ht="15" hidden="false" customHeight="false" outlineLevel="0" collapsed="false">
      <c r="A96" s="4" t="s">
        <v>1728</v>
      </c>
      <c r="B96" s="10" t="n">
        <v>46247.8854166667</v>
      </c>
      <c r="C96" s="4" t="s">
        <v>1544</v>
      </c>
      <c r="D96" s="4" t="n">
        <v>757</v>
      </c>
      <c r="E96" s="4" t="n">
        <v>7</v>
      </c>
      <c r="F96" s="4" t="n">
        <v>6</v>
      </c>
      <c r="G96" s="4" t="n">
        <v>0</v>
      </c>
      <c r="J96" s="11" t="b">
        <f aca="false">TRUE()</f>
        <v>1</v>
      </c>
      <c r="K96" s="4" t="s">
        <v>1729</v>
      </c>
      <c r="L96" s="4" t="n">
        <v>4</v>
      </c>
      <c r="M96" s="4" t="n">
        <v>4</v>
      </c>
      <c r="N96" s="4" t="n">
        <v>4</v>
      </c>
      <c r="O96" s="4" t="n">
        <v>4</v>
      </c>
      <c r="P96" s="0" t="str">
        <f aca="false">IF(E96=0,"not_reached",IF(AND(F96&gt;0,G96=0),"allowed","blocked"))</f>
        <v>allowed</v>
      </c>
      <c r="Q96" s="0" t="str">
        <f aca="false">IF(C96="success","published",IF(E96&gt;0,"blocked_at_gate","failed_before_gate"))</f>
        <v>published</v>
      </c>
      <c r="R96" s="0" t="str">
        <f aca="false">IF(C96="success","",IF(E96&gt;0,IF(I96="freshness_within_target","freshness",IF(I96="relationships_intact","relationships",IF(I96="reconciliation_residual_zero","residual",I96))),IF(H96="quality_gate","gate_infra",H96)))</f>
        <v/>
      </c>
    </row>
    <row r="97" customFormat="false" ht="15" hidden="false" customHeight="false" outlineLevel="0" collapsed="false">
      <c r="A97" s="4" t="s">
        <v>1730</v>
      </c>
      <c r="B97" s="10" t="n">
        <v>46247.9270833333</v>
      </c>
      <c r="C97" s="4" t="s">
        <v>1544</v>
      </c>
      <c r="D97" s="4" t="n">
        <v>871</v>
      </c>
      <c r="E97" s="4" t="n">
        <v>7</v>
      </c>
      <c r="F97" s="4" t="n">
        <v>6</v>
      </c>
      <c r="G97" s="4" t="n">
        <v>0</v>
      </c>
      <c r="J97" s="11" t="b">
        <f aca="false">TRUE()</f>
        <v>1</v>
      </c>
      <c r="K97" s="4" t="s">
        <v>1731</v>
      </c>
      <c r="L97" s="4" t="n">
        <v>4</v>
      </c>
      <c r="M97" s="4" t="n">
        <v>4</v>
      </c>
      <c r="N97" s="4" t="n">
        <v>4</v>
      </c>
      <c r="O97" s="4" t="n">
        <v>4</v>
      </c>
      <c r="P97" s="0" t="str">
        <f aca="false">IF(E97=0,"not_reached",IF(AND(F97&gt;0,G97=0),"allowed","blocked"))</f>
        <v>allowed</v>
      </c>
      <c r="Q97" s="0" t="str">
        <f aca="false">IF(C97="success","published",IF(E97&gt;0,"blocked_at_gate","failed_before_gate"))</f>
        <v>published</v>
      </c>
      <c r="R97" s="0" t="str">
        <f aca="false">IF(C97="success","",IF(E97&gt;0,IF(I97="freshness_within_target","freshness",IF(I97="relationships_intact","relationships",IF(I97="reconciliation_residual_zero","residual",I97))),IF(H97="quality_gate","gate_infra",H97)))</f>
        <v/>
      </c>
    </row>
    <row r="98" customFormat="false" ht="15" hidden="false" customHeight="false" outlineLevel="0" collapsed="false">
      <c r="A98" s="4" t="s">
        <v>1732</v>
      </c>
      <c r="B98" s="10" t="n">
        <v>46247.96875</v>
      </c>
      <c r="C98" s="4" t="s">
        <v>1544</v>
      </c>
      <c r="D98" s="4" t="n">
        <v>705</v>
      </c>
      <c r="E98" s="4" t="n">
        <v>7</v>
      </c>
      <c r="F98" s="4" t="n">
        <v>6</v>
      </c>
      <c r="G98" s="4" t="n">
        <v>0</v>
      </c>
      <c r="J98" s="11" t="b">
        <f aca="false">TRUE()</f>
        <v>1</v>
      </c>
      <c r="K98" s="4" t="s">
        <v>1733</v>
      </c>
      <c r="L98" s="4" t="n">
        <v>4</v>
      </c>
      <c r="M98" s="4" t="n">
        <v>4</v>
      </c>
      <c r="N98" s="4" t="n">
        <v>4</v>
      </c>
      <c r="O98" s="4" t="n">
        <v>4</v>
      </c>
      <c r="P98" s="0" t="str">
        <f aca="false">IF(E98=0,"not_reached",IF(AND(F98&gt;0,G98=0),"allowed","blocked"))</f>
        <v>allowed</v>
      </c>
      <c r="Q98" s="0" t="str">
        <f aca="false">IF(C98="success","published",IF(E98&gt;0,"blocked_at_gate","failed_before_gate"))</f>
        <v>published</v>
      </c>
      <c r="R98" s="0" t="str">
        <f aca="false">IF(C98="success","",IF(E98&gt;0,IF(I98="freshness_within_target","freshness",IF(I98="relationships_intact","relationships",IF(I98="reconciliation_residual_zero","residual",I98))),IF(H98="quality_gate","gate_infra",H98)))</f>
        <v/>
      </c>
    </row>
    <row r="99" customFormat="false" ht="15" hidden="false" customHeight="false" outlineLevel="0" collapsed="false">
      <c r="A99" s="4" t="s">
        <v>1734</v>
      </c>
      <c r="B99" s="10" t="n">
        <v>46248.0104166667</v>
      </c>
      <c r="C99" s="4" t="s">
        <v>1544</v>
      </c>
      <c r="D99" s="4" t="n">
        <v>955</v>
      </c>
      <c r="E99" s="4" t="n">
        <v>7</v>
      </c>
      <c r="F99" s="4" t="n">
        <v>6</v>
      </c>
      <c r="G99" s="4" t="n">
        <v>0</v>
      </c>
      <c r="J99" s="11" t="b">
        <f aca="false">TRUE()</f>
        <v>1</v>
      </c>
      <c r="K99" s="4" t="s">
        <v>1735</v>
      </c>
      <c r="L99" s="4" t="n">
        <v>4</v>
      </c>
      <c r="M99" s="4" t="n">
        <v>4</v>
      </c>
      <c r="N99" s="4" t="n">
        <v>4</v>
      </c>
      <c r="O99" s="4" t="n">
        <v>4</v>
      </c>
      <c r="P99" s="0" t="str">
        <f aca="false">IF(E99=0,"not_reached",IF(AND(F99&gt;0,G99=0),"allowed","blocked"))</f>
        <v>allowed</v>
      </c>
      <c r="Q99" s="0" t="str">
        <f aca="false">IF(C99="success","published",IF(E99&gt;0,"blocked_at_gate","failed_before_gate"))</f>
        <v>published</v>
      </c>
      <c r="R99" s="0" t="str">
        <f aca="false">IF(C99="success","",IF(E99&gt;0,IF(I99="freshness_within_target","freshness",IF(I99="relationships_intact","relationships",IF(I99="reconciliation_residual_zero","residual",I99))),IF(H99="quality_gate","gate_infra",H99)))</f>
        <v/>
      </c>
    </row>
    <row r="100" customFormat="false" ht="15" hidden="false" customHeight="false" outlineLevel="0" collapsed="false">
      <c r="A100" s="4" t="s">
        <v>1736</v>
      </c>
      <c r="B100" s="10" t="n">
        <v>46248.0520833333</v>
      </c>
      <c r="C100" s="4" t="s">
        <v>1544</v>
      </c>
      <c r="D100" s="4" t="n">
        <v>924</v>
      </c>
      <c r="E100" s="4" t="n">
        <v>7</v>
      </c>
      <c r="F100" s="4" t="n">
        <v>6</v>
      </c>
      <c r="G100" s="4" t="n">
        <v>0</v>
      </c>
      <c r="J100" s="11" t="b">
        <f aca="false">TRUE()</f>
        <v>1</v>
      </c>
      <c r="K100" s="4" t="s">
        <v>1737</v>
      </c>
      <c r="L100" s="4" t="n">
        <v>4</v>
      </c>
      <c r="M100" s="4" t="n">
        <v>4</v>
      </c>
      <c r="N100" s="4" t="n">
        <v>4</v>
      </c>
      <c r="O100" s="4" t="n">
        <v>4</v>
      </c>
      <c r="P100" s="0" t="str">
        <f aca="false">IF(E100=0,"not_reached",IF(AND(F100&gt;0,G100=0),"allowed","blocked"))</f>
        <v>allowed</v>
      </c>
      <c r="Q100" s="0" t="str">
        <f aca="false">IF(C100="success","published",IF(E100&gt;0,"blocked_at_gate","failed_before_gate"))</f>
        <v>published</v>
      </c>
      <c r="R100" s="0" t="str">
        <f aca="false">IF(C100="success","",IF(E100&gt;0,IF(I100="freshness_within_target","freshness",IF(I100="relationships_intact","relationships",IF(I100="reconciliation_residual_zero","residual",I100))),IF(H100="quality_gate","gate_infra",H100)))</f>
        <v/>
      </c>
    </row>
    <row r="101" customFormat="false" ht="15" hidden="false" customHeight="false" outlineLevel="0" collapsed="false">
      <c r="A101" s="4" t="s">
        <v>1738</v>
      </c>
      <c r="B101" s="10" t="n">
        <v>46248.09375</v>
      </c>
      <c r="C101" s="4" t="s">
        <v>1544</v>
      </c>
      <c r="D101" s="4" t="n">
        <v>827</v>
      </c>
      <c r="E101" s="4" t="n">
        <v>7</v>
      </c>
      <c r="F101" s="4" t="n">
        <v>6</v>
      </c>
      <c r="G101" s="4" t="n">
        <v>0</v>
      </c>
      <c r="J101" s="11" t="b">
        <f aca="false">TRUE()</f>
        <v>1</v>
      </c>
      <c r="K101" s="4" t="s">
        <v>1739</v>
      </c>
      <c r="L101" s="4" t="n">
        <v>4</v>
      </c>
      <c r="M101" s="4" t="n">
        <v>4</v>
      </c>
      <c r="N101" s="4" t="n">
        <v>4</v>
      </c>
      <c r="O101" s="4" t="n">
        <v>4</v>
      </c>
      <c r="P101" s="0" t="str">
        <f aca="false">IF(E101=0,"not_reached",IF(AND(F101&gt;0,G101=0),"allowed","blocked"))</f>
        <v>allowed</v>
      </c>
      <c r="Q101" s="0" t="str">
        <f aca="false">IF(C101="success","published",IF(E101&gt;0,"blocked_at_gate","failed_before_gate"))</f>
        <v>published</v>
      </c>
      <c r="R101" s="0" t="str">
        <f aca="false">IF(C101="success","",IF(E101&gt;0,IF(I101="freshness_within_target","freshness",IF(I101="relationships_intact","relationships",IF(I101="reconciliation_residual_zero","residual",I101))),IF(H101="quality_gate","gate_infra",H101)))</f>
        <v/>
      </c>
    </row>
    <row r="102" customFormat="false" ht="15" hidden="false" customHeight="false" outlineLevel="0" collapsed="false">
      <c r="A102" s="4" t="s">
        <v>1740</v>
      </c>
      <c r="B102" s="10" t="n">
        <v>46248.1354166667</v>
      </c>
      <c r="C102" s="4" t="s">
        <v>1544</v>
      </c>
      <c r="D102" s="4" t="n">
        <v>678</v>
      </c>
      <c r="E102" s="4" t="n">
        <v>7</v>
      </c>
      <c r="F102" s="4" t="n">
        <v>6</v>
      </c>
      <c r="G102" s="4" t="n">
        <v>0</v>
      </c>
      <c r="J102" s="11" t="b">
        <f aca="false">TRUE()</f>
        <v>1</v>
      </c>
      <c r="K102" s="4" t="s">
        <v>1741</v>
      </c>
      <c r="L102" s="4" t="n">
        <v>4</v>
      </c>
      <c r="M102" s="4" t="n">
        <v>4</v>
      </c>
      <c r="N102" s="4" t="n">
        <v>4</v>
      </c>
      <c r="O102" s="4" t="n">
        <v>4</v>
      </c>
      <c r="P102" s="0" t="str">
        <f aca="false">IF(E102=0,"not_reached",IF(AND(F102&gt;0,G102=0),"allowed","blocked"))</f>
        <v>allowed</v>
      </c>
      <c r="Q102" s="0" t="str">
        <f aca="false">IF(C102="success","published",IF(E102&gt;0,"blocked_at_gate","failed_before_gate"))</f>
        <v>published</v>
      </c>
      <c r="R102" s="0" t="str">
        <f aca="false">IF(C102="success","",IF(E102&gt;0,IF(I102="freshness_within_target","freshness",IF(I102="relationships_intact","relationships",IF(I102="reconciliation_residual_zero","residual",I102))),IF(H102="quality_gate","gate_infra",H102)))</f>
        <v/>
      </c>
    </row>
    <row r="103" customFormat="false" ht="15" hidden="false" customHeight="false" outlineLevel="0" collapsed="false">
      <c r="A103" s="4" t="s">
        <v>1742</v>
      </c>
      <c r="B103" s="10" t="n">
        <v>46248.1770833333</v>
      </c>
      <c r="C103" s="4" t="s">
        <v>1544</v>
      </c>
      <c r="D103" s="4" t="n">
        <v>684</v>
      </c>
      <c r="E103" s="4" t="n">
        <v>7</v>
      </c>
      <c r="F103" s="4" t="n">
        <v>6</v>
      </c>
      <c r="G103" s="4" t="n">
        <v>0</v>
      </c>
      <c r="J103" s="11" t="b">
        <f aca="false">TRUE()</f>
        <v>1</v>
      </c>
      <c r="K103" s="4" t="s">
        <v>1743</v>
      </c>
      <c r="L103" s="4" t="n">
        <v>4</v>
      </c>
      <c r="M103" s="4" t="n">
        <v>4</v>
      </c>
      <c r="N103" s="4" t="n">
        <v>4</v>
      </c>
      <c r="O103" s="4" t="n">
        <v>4</v>
      </c>
      <c r="P103" s="0" t="str">
        <f aca="false">IF(E103=0,"not_reached",IF(AND(F103&gt;0,G103=0),"allowed","blocked"))</f>
        <v>allowed</v>
      </c>
      <c r="Q103" s="0" t="str">
        <f aca="false">IF(C103="success","published",IF(E103&gt;0,"blocked_at_gate","failed_before_gate"))</f>
        <v>published</v>
      </c>
      <c r="R103" s="0" t="str">
        <f aca="false">IF(C103="success","",IF(E103&gt;0,IF(I103="freshness_within_target","freshness",IF(I103="relationships_intact","relationships",IF(I103="reconciliation_residual_zero","residual",I103))),IF(H103="quality_gate","gate_infra",H103)))</f>
        <v/>
      </c>
    </row>
    <row r="104" customFormat="false" ht="15" hidden="false" customHeight="false" outlineLevel="0" collapsed="false">
      <c r="A104" s="4" t="s">
        <v>1744</v>
      </c>
      <c r="B104" s="10" t="n">
        <v>46248.21875</v>
      </c>
      <c r="C104" s="4" t="s">
        <v>1544</v>
      </c>
      <c r="D104" s="4" t="n">
        <v>719</v>
      </c>
      <c r="E104" s="4" t="n">
        <v>7</v>
      </c>
      <c r="F104" s="4" t="n">
        <v>6</v>
      </c>
      <c r="G104" s="4" t="n">
        <v>0</v>
      </c>
      <c r="J104" s="11" t="b">
        <f aca="false">TRUE()</f>
        <v>1</v>
      </c>
      <c r="K104" s="4" t="s">
        <v>1745</v>
      </c>
      <c r="L104" s="4" t="n">
        <v>4</v>
      </c>
      <c r="M104" s="4" t="n">
        <v>4</v>
      </c>
      <c r="N104" s="4" t="n">
        <v>4</v>
      </c>
      <c r="O104" s="4" t="n">
        <v>4</v>
      </c>
      <c r="P104" s="0" t="str">
        <f aca="false">IF(E104=0,"not_reached",IF(AND(F104&gt;0,G104=0),"allowed","blocked"))</f>
        <v>allowed</v>
      </c>
      <c r="Q104" s="0" t="str">
        <f aca="false">IF(C104="success","published",IF(E104&gt;0,"blocked_at_gate","failed_before_gate"))</f>
        <v>published</v>
      </c>
      <c r="R104" s="0" t="str">
        <f aca="false">IF(C104="success","",IF(E104&gt;0,IF(I104="freshness_within_target","freshness",IF(I104="relationships_intact","relationships",IF(I104="reconciliation_residual_zero","residual",I104))),IF(H104="quality_gate","gate_infra",H104)))</f>
        <v/>
      </c>
    </row>
    <row r="105" customFormat="false" ht="15" hidden="false" customHeight="false" outlineLevel="0" collapsed="false">
      <c r="A105" s="4" t="s">
        <v>1746</v>
      </c>
      <c r="B105" s="10" t="n">
        <v>46248.2604166667</v>
      </c>
      <c r="C105" s="4" t="s">
        <v>1544</v>
      </c>
      <c r="D105" s="4" t="n">
        <v>875</v>
      </c>
      <c r="E105" s="4" t="n">
        <v>7</v>
      </c>
      <c r="F105" s="4" t="n">
        <v>6</v>
      </c>
      <c r="G105" s="4" t="n">
        <v>0</v>
      </c>
      <c r="J105" s="11" t="b">
        <f aca="false">TRUE()</f>
        <v>1</v>
      </c>
      <c r="K105" s="4" t="s">
        <v>1747</v>
      </c>
      <c r="L105" s="4" t="n">
        <v>4</v>
      </c>
      <c r="M105" s="4" t="n">
        <v>4</v>
      </c>
      <c r="N105" s="4" t="n">
        <v>4</v>
      </c>
      <c r="O105" s="4" t="n">
        <v>4</v>
      </c>
      <c r="P105" s="0" t="str">
        <f aca="false">IF(E105=0,"not_reached",IF(AND(F105&gt;0,G105=0),"allowed","blocked"))</f>
        <v>allowed</v>
      </c>
      <c r="Q105" s="0" t="str">
        <f aca="false">IF(C105="success","published",IF(E105&gt;0,"blocked_at_gate","failed_before_gate"))</f>
        <v>published</v>
      </c>
      <c r="R105" s="0" t="str">
        <f aca="false">IF(C105="success","",IF(E105&gt;0,IF(I105="freshness_within_target","freshness",IF(I105="relationships_intact","relationships",IF(I105="reconciliation_residual_zero","residual",I105))),IF(H105="quality_gate","gate_infra",H105)))</f>
        <v/>
      </c>
    </row>
    <row r="106" customFormat="false" ht="15" hidden="false" customHeight="false" outlineLevel="0" collapsed="false">
      <c r="A106" s="4" t="s">
        <v>1748</v>
      </c>
      <c r="B106" s="10" t="n">
        <v>46248.3020833333</v>
      </c>
      <c r="C106" s="4" t="s">
        <v>1544</v>
      </c>
      <c r="D106" s="4" t="n">
        <v>942</v>
      </c>
      <c r="E106" s="4" t="n">
        <v>7</v>
      </c>
      <c r="F106" s="4" t="n">
        <v>6</v>
      </c>
      <c r="G106" s="4" t="n">
        <v>0</v>
      </c>
      <c r="J106" s="11" t="b">
        <f aca="false">TRUE()</f>
        <v>1</v>
      </c>
      <c r="K106" s="4" t="s">
        <v>1749</v>
      </c>
      <c r="L106" s="4" t="n">
        <v>4</v>
      </c>
      <c r="M106" s="4" t="n">
        <v>4</v>
      </c>
      <c r="N106" s="4" t="n">
        <v>4</v>
      </c>
      <c r="O106" s="4" t="n">
        <v>4</v>
      </c>
      <c r="P106" s="0" t="str">
        <f aca="false">IF(E106=0,"not_reached",IF(AND(F106&gt;0,G106=0),"allowed","blocked"))</f>
        <v>allowed</v>
      </c>
      <c r="Q106" s="0" t="str">
        <f aca="false">IF(C106="success","published",IF(E106&gt;0,"blocked_at_gate","failed_before_gate"))</f>
        <v>published</v>
      </c>
      <c r="R106" s="0" t="str">
        <f aca="false">IF(C106="success","",IF(E106&gt;0,IF(I106="freshness_within_target","freshness",IF(I106="relationships_intact","relationships",IF(I106="reconciliation_residual_zero","residual",I106))),IF(H106="quality_gate","gate_infra",H106)))</f>
        <v/>
      </c>
    </row>
    <row r="107" customFormat="false" ht="15" hidden="false" customHeight="false" outlineLevel="0" collapsed="false">
      <c r="A107" s="4" t="s">
        <v>1750</v>
      </c>
      <c r="B107" s="10" t="n">
        <v>46248.34375</v>
      </c>
      <c r="C107" s="4" t="s">
        <v>1544</v>
      </c>
      <c r="D107" s="4" t="n">
        <v>735</v>
      </c>
      <c r="E107" s="4" t="n">
        <v>7</v>
      </c>
      <c r="F107" s="4" t="n">
        <v>6</v>
      </c>
      <c r="G107" s="4" t="n">
        <v>0</v>
      </c>
      <c r="J107" s="11" t="b">
        <f aca="false">TRUE()</f>
        <v>1</v>
      </c>
      <c r="K107" s="4" t="s">
        <v>1751</v>
      </c>
      <c r="L107" s="4" t="n">
        <v>4</v>
      </c>
      <c r="M107" s="4" t="n">
        <v>4</v>
      </c>
      <c r="N107" s="4" t="n">
        <v>4</v>
      </c>
      <c r="O107" s="4" t="n">
        <v>4</v>
      </c>
      <c r="P107" s="0" t="str">
        <f aca="false">IF(E107=0,"not_reached",IF(AND(F107&gt;0,G107=0),"allowed","blocked"))</f>
        <v>allowed</v>
      </c>
      <c r="Q107" s="0" t="str">
        <f aca="false">IF(C107="success","published",IF(E107&gt;0,"blocked_at_gate","failed_before_gate"))</f>
        <v>published</v>
      </c>
      <c r="R107" s="0" t="str">
        <f aca="false">IF(C107="success","",IF(E107&gt;0,IF(I107="freshness_within_target","freshness",IF(I107="relationships_intact","relationships",IF(I107="reconciliation_residual_zero","residual",I107))),IF(H107="quality_gate","gate_infra",H107)))</f>
        <v/>
      </c>
    </row>
    <row r="108" customFormat="false" ht="15" hidden="false" customHeight="false" outlineLevel="0" collapsed="false">
      <c r="A108" s="4" t="s">
        <v>1752</v>
      </c>
      <c r="B108" s="10" t="n">
        <v>46248.3854166667</v>
      </c>
      <c r="C108" s="4" t="s">
        <v>1544</v>
      </c>
      <c r="D108" s="4" t="n">
        <v>908</v>
      </c>
      <c r="E108" s="4" t="n">
        <v>7</v>
      </c>
      <c r="F108" s="4" t="n">
        <v>6</v>
      </c>
      <c r="G108" s="4" t="n">
        <v>0</v>
      </c>
      <c r="J108" s="11" t="b">
        <f aca="false">TRUE()</f>
        <v>1</v>
      </c>
      <c r="K108" s="4" t="s">
        <v>1753</v>
      </c>
      <c r="L108" s="4" t="n">
        <v>4</v>
      </c>
      <c r="M108" s="4" t="n">
        <v>4</v>
      </c>
      <c r="N108" s="4" t="n">
        <v>4</v>
      </c>
      <c r="O108" s="4" t="n">
        <v>4</v>
      </c>
      <c r="P108" s="0" t="str">
        <f aca="false">IF(E108=0,"not_reached",IF(AND(F108&gt;0,G108=0),"allowed","blocked"))</f>
        <v>allowed</v>
      </c>
      <c r="Q108" s="0" t="str">
        <f aca="false">IF(C108="success","published",IF(E108&gt;0,"blocked_at_gate","failed_before_gate"))</f>
        <v>published</v>
      </c>
      <c r="R108" s="0" t="str">
        <f aca="false">IF(C108="success","",IF(E108&gt;0,IF(I108="freshness_within_target","freshness",IF(I108="relationships_intact","relationships",IF(I108="reconciliation_residual_zero","residual",I108))),IF(H108="quality_gate","gate_infra",H108)))</f>
        <v/>
      </c>
    </row>
    <row r="109" customFormat="false" ht="15" hidden="false" customHeight="false" outlineLevel="0" collapsed="false">
      <c r="A109" s="4" t="s">
        <v>1754</v>
      </c>
      <c r="B109" s="10" t="n">
        <v>46248.4270833333</v>
      </c>
      <c r="C109" s="4" t="s">
        <v>1544</v>
      </c>
      <c r="D109" s="4" t="n">
        <v>821</v>
      </c>
      <c r="E109" s="4" t="n">
        <v>7</v>
      </c>
      <c r="F109" s="4" t="n">
        <v>6</v>
      </c>
      <c r="G109" s="4" t="n">
        <v>0</v>
      </c>
      <c r="J109" s="11" t="b">
        <f aca="false">TRUE()</f>
        <v>1</v>
      </c>
      <c r="K109" s="4" t="s">
        <v>1755</v>
      </c>
      <c r="L109" s="4" t="n">
        <v>4</v>
      </c>
      <c r="M109" s="4" t="n">
        <v>4</v>
      </c>
      <c r="N109" s="4" t="n">
        <v>4</v>
      </c>
      <c r="O109" s="4" t="n">
        <v>4</v>
      </c>
      <c r="P109" s="0" t="str">
        <f aca="false">IF(E109=0,"not_reached",IF(AND(F109&gt;0,G109=0),"allowed","blocked"))</f>
        <v>allowed</v>
      </c>
      <c r="Q109" s="0" t="str">
        <f aca="false">IF(C109="success","published",IF(E109&gt;0,"blocked_at_gate","failed_before_gate"))</f>
        <v>published</v>
      </c>
      <c r="R109" s="0" t="str">
        <f aca="false">IF(C109="success","",IF(E109&gt;0,IF(I109="freshness_within_target","freshness",IF(I109="relationships_intact","relationships",IF(I109="reconciliation_residual_zero","residual",I109))),IF(H109="quality_gate","gate_infra",H109)))</f>
        <v/>
      </c>
    </row>
    <row r="110" customFormat="false" ht="15" hidden="false" customHeight="false" outlineLevel="0" collapsed="false">
      <c r="A110" s="4" t="s">
        <v>1756</v>
      </c>
      <c r="B110" s="10" t="n">
        <v>46248.46875</v>
      </c>
      <c r="C110" s="4" t="s">
        <v>1544</v>
      </c>
      <c r="D110" s="4" t="n">
        <v>860</v>
      </c>
      <c r="E110" s="4" t="n">
        <v>7</v>
      </c>
      <c r="F110" s="4" t="n">
        <v>6</v>
      </c>
      <c r="G110" s="4" t="n">
        <v>0</v>
      </c>
      <c r="J110" s="11" t="b">
        <f aca="false">TRUE()</f>
        <v>1</v>
      </c>
      <c r="K110" s="4" t="s">
        <v>1757</v>
      </c>
      <c r="L110" s="4" t="n">
        <v>4</v>
      </c>
      <c r="M110" s="4" t="n">
        <v>4</v>
      </c>
      <c r="N110" s="4" t="n">
        <v>4</v>
      </c>
      <c r="O110" s="4" t="n">
        <v>4</v>
      </c>
      <c r="P110" s="0" t="str">
        <f aca="false">IF(E110=0,"not_reached",IF(AND(F110&gt;0,G110=0),"allowed","blocked"))</f>
        <v>allowed</v>
      </c>
      <c r="Q110" s="0" t="str">
        <f aca="false">IF(C110="success","published",IF(E110&gt;0,"blocked_at_gate","failed_before_gate"))</f>
        <v>published</v>
      </c>
      <c r="R110" s="0" t="str">
        <f aca="false">IF(C110="success","",IF(E110&gt;0,IF(I110="freshness_within_target","freshness",IF(I110="relationships_intact","relationships",IF(I110="reconciliation_residual_zero","residual",I110))),IF(H110="quality_gate","gate_infra",H110)))</f>
        <v/>
      </c>
    </row>
    <row r="111" customFormat="false" ht="15" hidden="false" customHeight="false" outlineLevel="0" collapsed="false">
      <c r="A111" s="4" t="s">
        <v>1758</v>
      </c>
      <c r="B111" s="10" t="n">
        <v>46248.5104166667</v>
      </c>
      <c r="C111" s="4" t="s">
        <v>1544</v>
      </c>
      <c r="D111" s="4" t="n">
        <v>845</v>
      </c>
      <c r="E111" s="4" t="n">
        <v>7</v>
      </c>
      <c r="F111" s="4" t="n">
        <v>6</v>
      </c>
      <c r="G111" s="4" t="n">
        <v>0</v>
      </c>
      <c r="J111" s="11" t="b">
        <f aca="false">TRUE()</f>
        <v>1</v>
      </c>
      <c r="K111" s="4" t="s">
        <v>1759</v>
      </c>
      <c r="L111" s="4" t="n">
        <v>4</v>
      </c>
      <c r="M111" s="4" t="n">
        <v>4</v>
      </c>
      <c r="N111" s="4" t="n">
        <v>4</v>
      </c>
      <c r="O111" s="4" t="n">
        <v>4</v>
      </c>
      <c r="P111" s="0" t="str">
        <f aca="false">IF(E111=0,"not_reached",IF(AND(F111&gt;0,G111=0),"allowed","blocked"))</f>
        <v>allowed</v>
      </c>
      <c r="Q111" s="0" t="str">
        <f aca="false">IF(C111="success","published",IF(E111&gt;0,"blocked_at_gate","failed_before_gate"))</f>
        <v>published</v>
      </c>
      <c r="R111" s="0" t="str">
        <f aca="false">IF(C111="success","",IF(E111&gt;0,IF(I111="freshness_within_target","freshness",IF(I111="relationships_intact","relationships",IF(I111="reconciliation_residual_zero","residual",I111))),IF(H111="quality_gate","gate_infra",H111)))</f>
        <v/>
      </c>
    </row>
    <row r="112" customFormat="false" ht="15" hidden="false" customHeight="false" outlineLevel="0" collapsed="false">
      <c r="A112" s="4" t="s">
        <v>1760</v>
      </c>
      <c r="B112" s="10" t="n">
        <v>46248.5520833333</v>
      </c>
      <c r="C112" s="4" t="s">
        <v>1544</v>
      </c>
      <c r="D112" s="4" t="n">
        <v>710</v>
      </c>
      <c r="E112" s="4" t="n">
        <v>7</v>
      </c>
      <c r="F112" s="4" t="n">
        <v>6</v>
      </c>
      <c r="G112" s="4" t="n">
        <v>0</v>
      </c>
      <c r="J112" s="11" t="b">
        <f aca="false">TRUE()</f>
        <v>1</v>
      </c>
      <c r="K112" s="4" t="s">
        <v>1761</v>
      </c>
      <c r="L112" s="4" t="n">
        <v>4</v>
      </c>
      <c r="M112" s="4" t="n">
        <v>4</v>
      </c>
      <c r="N112" s="4" t="n">
        <v>4</v>
      </c>
      <c r="O112" s="4" t="n">
        <v>4</v>
      </c>
      <c r="P112" s="0" t="str">
        <f aca="false">IF(E112=0,"not_reached",IF(AND(F112&gt;0,G112=0),"allowed","blocked"))</f>
        <v>allowed</v>
      </c>
      <c r="Q112" s="0" t="str">
        <f aca="false">IF(C112="success","published",IF(E112&gt;0,"blocked_at_gate","failed_before_gate"))</f>
        <v>published</v>
      </c>
      <c r="R112" s="0" t="str">
        <f aca="false">IF(C112="success","",IF(E112&gt;0,IF(I112="freshness_within_target","freshness",IF(I112="relationships_intact","relationships",IF(I112="reconciliation_residual_zero","residual",I112))),IF(H112="quality_gate","gate_infra",H112)))</f>
        <v/>
      </c>
    </row>
    <row r="113" customFormat="false" ht="15" hidden="false" customHeight="false" outlineLevel="0" collapsed="false">
      <c r="A113" s="4" t="s">
        <v>1762</v>
      </c>
      <c r="B113" s="10" t="n">
        <v>46248.59375</v>
      </c>
      <c r="C113" s="4" t="s">
        <v>1544</v>
      </c>
      <c r="D113" s="4" t="n">
        <v>880</v>
      </c>
      <c r="E113" s="4" t="n">
        <v>7</v>
      </c>
      <c r="F113" s="4" t="n">
        <v>6</v>
      </c>
      <c r="G113" s="4" t="n">
        <v>0</v>
      </c>
      <c r="J113" s="11" t="b">
        <f aca="false">TRUE()</f>
        <v>1</v>
      </c>
      <c r="K113" s="4" t="s">
        <v>1763</v>
      </c>
      <c r="L113" s="4" t="n">
        <v>4</v>
      </c>
      <c r="M113" s="4" t="n">
        <v>4</v>
      </c>
      <c r="N113" s="4" t="n">
        <v>4</v>
      </c>
      <c r="O113" s="4" t="n">
        <v>4</v>
      </c>
      <c r="P113" s="0" t="str">
        <f aca="false">IF(E113=0,"not_reached",IF(AND(F113&gt;0,G113=0),"allowed","blocked"))</f>
        <v>allowed</v>
      </c>
      <c r="Q113" s="0" t="str">
        <f aca="false">IF(C113="success","published",IF(E113&gt;0,"blocked_at_gate","failed_before_gate"))</f>
        <v>published</v>
      </c>
      <c r="R113" s="0" t="str">
        <f aca="false">IF(C113="success","",IF(E113&gt;0,IF(I113="freshness_within_target","freshness",IF(I113="relationships_intact","relationships",IF(I113="reconciliation_residual_zero","residual",I113))),IF(H113="quality_gate","gate_infra",H113)))</f>
        <v/>
      </c>
    </row>
    <row r="114" customFormat="false" ht="15" hidden="false" customHeight="false" outlineLevel="0" collapsed="false">
      <c r="A114" s="4" t="s">
        <v>1764</v>
      </c>
      <c r="B114" s="10" t="n">
        <v>46248.6354166667</v>
      </c>
      <c r="C114" s="4" t="s">
        <v>1544</v>
      </c>
      <c r="D114" s="4" t="n">
        <v>1177</v>
      </c>
      <c r="E114" s="4" t="n">
        <v>7</v>
      </c>
      <c r="F114" s="4" t="n">
        <v>6</v>
      </c>
      <c r="G114" s="4" t="n">
        <v>0</v>
      </c>
      <c r="J114" s="11" t="b">
        <f aca="false">TRUE()</f>
        <v>1</v>
      </c>
      <c r="K114" s="4" t="s">
        <v>1765</v>
      </c>
      <c r="L114" s="4" t="n">
        <v>4</v>
      </c>
      <c r="M114" s="4" t="n">
        <v>4</v>
      </c>
      <c r="N114" s="4" t="n">
        <v>5</v>
      </c>
      <c r="O114" s="4" t="n">
        <v>4</v>
      </c>
      <c r="P114" s="0" t="str">
        <f aca="false">IF(E114=0,"not_reached",IF(AND(F114&gt;0,G114=0),"allowed","blocked"))</f>
        <v>allowed</v>
      </c>
      <c r="Q114" s="0" t="str">
        <f aca="false">IF(C114="success","published",IF(E114&gt;0,"blocked_at_gate","failed_before_gate"))</f>
        <v>published</v>
      </c>
      <c r="R114" s="0" t="str">
        <f aca="false">IF(C114="success","",IF(E114&gt;0,IF(I114="freshness_within_target","freshness",IF(I114="relationships_intact","relationships",IF(I114="reconciliation_residual_zero","residual",I114))),IF(H114="quality_gate","gate_infra",H114)))</f>
        <v/>
      </c>
    </row>
    <row r="115" customFormat="false" ht="15" hidden="false" customHeight="false" outlineLevel="0" collapsed="false">
      <c r="A115" s="4" t="s">
        <v>1766</v>
      </c>
      <c r="B115" s="10" t="n">
        <v>46248.6770833333</v>
      </c>
      <c r="C115" s="4" t="s">
        <v>1544</v>
      </c>
      <c r="D115" s="4" t="n">
        <v>829</v>
      </c>
      <c r="E115" s="4" t="n">
        <v>7</v>
      </c>
      <c r="F115" s="4" t="n">
        <v>6</v>
      </c>
      <c r="G115" s="4" t="n">
        <v>0</v>
      </c>
      <c r="J115" s="11" t="b">
        <f aca="false">TRUE()</f>
        <v>1</v>
      </c>
      <c r="K115" s="4" t="s">
        <v>1767</v>
      </c>
      <c r="L115" s="4" t="n">
        <v>4</v>
      </c>
      <c r="M115" s="4" t="n">
        <v>4</v>
      </c>
      <c r="N115" s="4" t="n">
        <v>4</v>
      </c>
      <c r="O115" s="4" t="n">
        <v>4</v>
      </c>
      <c r="P115" s="0" t="str">
        <f aca="false">IF(E115=0,"not_reached",IF(AND(F115&gt;0,G115=0),"allowed","blocked"))</f>
        <v>allowed</v>
      </c>
      <c r="Q115" s="0" t="str">
        <f aca="false">IF(C115="success","published",IF(E115&gt;0,"blocked_at_gate","failed_before_gate"))</f>
        <v>published</v>
      </c>
      <c r="R115" s="0" t="str">
        <f aca="false">IF(C115="success","",IF(E115&gt;0,IF(I115="freshness_within_target","freshness",IF(I115="relationships_intact","relationships",IF(I115="reconciliation_residual_zero","residual",I115))),IF(H115="quality_gate","gate_infra",H115)))</f>
        <v/>
      </c>
    </row>
    <row r="116" customFormat="false" ht="15" hidden="false" customHeight="false" outlineLevel="0" collapsed="false">
      <c r="A116" s="4" t="s">
        <v>1768</v>
      </c>
      <c r="B116" s="10" t="n">
        <v>46248.71875</v>
      </c>
      <c r="C116" s="4" t="s">
        <v>1544</v>
      </c>
      <c r="D116" s="4" t="n">
        <v>710</v>
      </c>
      <c r="E116" s="4" t="n">
        <v>7</v>
      </c>
      <c r="F116" s="4" t="n">
        <v>6</v>
      </c>
      <c r="G116" s="4" t="n">
        <v>0</v>
      </c>
      <c r="J116" s="11" t="b">
        <f aca="false">TRUE()</f>
        <v>1</v>
      </c>
      <c r="K116" s="4" t="s">
        <v>1769</v>
      </c>
      <c r="L116" s="4" t="n">
        <v>4</v>
      </c>
      <c r="M116" s="4" t="n">
        <v>4</v>
      </c>
      <c r="N116" s="4" t="n">
        <v>4</v>
      </c>
      <c r="O116" s="4" t="n">
        <v>4</v>
      </c>
      <c r="P116" s="0" t="str">
        <f aca="false">IF(E116=0,"not_reached",IF(AND(F116&gt;0,G116=0),"allowed","blocked"))</f>
        <v>allowed</v>
      </c>
      <c r="Q116" s="0" t="str">
        <f aca="false">IF(C116="success","published",IF(E116&gt;0,"blocked_at_gate","failed_before_gate"))</f>
        <v>published</v>
      </c>
      <c r="R116" s="0" t="str">
        <f aca="false">IF(C116="success","",IF(E116&gt;0,IF(I116="freshness_within_target","freshness",IF(I116="relationships_intact","relationships",IF(I116="reconciliation_residual_zero","residual",I116))),IF(H116="quality_gate","gate_infra",H116)))</f>
        <v/>
      </c>
    </row>
    <row r="117" customFormat="false" ht="15" hidden="false" customHeight="false" outlineLevel="0" collapsed="false">
      <c r="A117" s="4" t="s">
        <v>1770</v>
      </c>
      <c r="B117" s="10" t="n">
        <v>46248.7604166667</v>
      </c>
      <c r="C117" s="4" t="s">
        <v>1544</v>
      </c>
      <c r="D117" s="4" t="n">
        <v>720</v>
      </c>
      <c r="E117" s="4" t="n">
        <v>7</v>
      </c>
      <c r="F117" s="4" t="n">
        <v>6</v>
      </c>
      <c r="G117" s="4" t="n">
        <v>0</v>
      </c>
      <c r="J117" s="11" t="b">
        <f aca="false">TRUE()</f>
        <v>1</v>
      </c>
      <c r="K117" s="4" t="s">
        <v>1771</v>
      </c>
      <c r="L117" s="4" t="n">
        <v>4</v>
      </c>
      <c r="M117" s="4" t="n">
        <v>4</v>
      </c>
      <c r="N117" s="4" t="n">
        <v>4</v>
      </c>
      <c r="O117" s="4" t="n">
        <v>4</v>
      </c>
      <c r="P117" s="0" t="str">
        <f aca="false">IF(E117=0,"not_reached",IF(AND(F117&gt;0,G117=0),"allowed","blocked"))</f>
        <v>allowed</v>
      </c>
      <c r="Q117" s="0" t="str">
        <f aca="false">IF(C117="success","published",IF(E117&gt;0,"blocked_at_gate","failed_before_gate"))</f>
        <v>published</v>
      </c>
      <c r="R117" s="0" t="str">
        <f aca="false">IF(C117="success","",IF(E117&gt;0,IF(I117="freshness_within_target","freshness",IF(I117="relationships_intact","relationships",IF(I117="reconciliation_residual_zero","residual",I117))),IF(H117="quality_gate","gate_infra",H117)))</f>
        <v/>
      </c>
    </row>
    <row r="118" customFormat="false" ht="15" hidden="false" customHeight="false" outlineLevel="0" collapsed="false">
      <c r="A118" s="4" t="s">
        <v>1772</v>
      </c>
      <c r="B118" s="10" t="n">
        <v>46248.8020833333</v>
      </c>
      <c r="C118" s="4" t="s">
        <v>1544</v>
      </c>
      <c r="D118" s="4" t="n">
        <v>838</v>
      </c>
      <c r="E118" s="4" t="n">
        <v>7</v>
      </c>
      <c r="F118" s="4" t="n">
        <v>6</v>
      </c>
      <c r="G118" s="4" t="n">
        <v>0</v>
      </c>
      <c r="J118" s="11" t="b">
        <f aca="false">TRUE()</f>
        <v>1</v>
      </c>
      <c r="K118" s="4" t="s">
        <v>1773</v>
      </c>
      <c r="L118" s="4" t="n">
        <v>4</v>
      </c>
      <c r="M118" s="4" t="n">
        <v>4</v>
      </c>
      <c r="N118" s="4" t="n">
        <v>4</v>
      </c>
      <c r="O118" s="4" t="n">
        <v>4</v>
      </c>
      <c r="P118" s="0" t="str">
        <f aca="false">IF(E118=0,"not_reached",IF(AND(F118&gt;0,G118=0),"allowed","blocked"))</f>
        <v>allowed</v>
      </c>
      <c r="Q118" s="0" t="str">
        <f aca="false">IF(C118="success","published",IF(E118&gt;0,"blocked_at_gate","failed_before_gate"))</f>
        <v>published</v>
      </c>
      <c r="R118" s="0" t="str">
        <f aca="false">IF(C118="success","",IF(E118&gt;0,IF(I118="freshness_within_target","freshness",IF(I118="relationships_intact","relationships",IF(I118="reconciliation_residual_zero","residual",I118))),IF(H118="quality_gate","gate_infra",H118)))</f>
        <v/>
      </c>
    </row>
    <row r="119" customFormat="false" ht="15" hidden="false" customHeight="false" outlineLevel="0" collapsed="false">
      <c r="A119" s="4" t="s">
        <v>1774</v>
      </c>
      <c r="B119" s="10" t="n">
        <v>46248.84375</v>
      </c>
      <c r="C119" s="4" t="s">
        <v>1544</v>
      </c>
      <c r="D119" s="4" t="n">
        <v>797</v>
      </c>
      <c r="E119" s="4" t="n">
        <v>7</v>
      </c>
      <c r="F119" s="4" t="n">
        <v>6</v>
      </c>
      <c r="G119" s="4" t="n">
        <v>0</v>
      </c>
      <c r="J119" s="11" t="b">
        <f aca="false">TRUE()</f>
        <v>1</v>
      </c>
      <c r="K119" s="4" t="s">
        <v>1775</v>
      </c>
      <c r="L119" s="4" t="n">
        <v>4</v>
      </c>
      <c r="M119" s="4" t="n">
        <v>4</v>
      </c>
      <c r="N119" s="4" t="n">
        <v>4</v>
      </c>
      <c r="O119" s="4" t="n">
        <v>4</v>
      </c>
      <c r="P119" s="0" t="str">
        <f aca="false">IF(E119=0,"not_reached",IF(AND(F119&gt;0,G119=0),"allowed","blocked"))</f>
        <v>allowed</v>
      </c>
      <c r="Q119" s="0" t="str">
        <f aca="false">IF(C119="success","published",IF(E119&gt;0,"blocked_at_gate","failed_before_gate"))</f>
        <v>published</v>
      </c>
      <c r="R119" s="0" t="str">
        <f aca="false">IF(C119="success","",IF(E119&gt;0,IF(I119="freshness_within_target","freshness",IF(I119="relationships_intact","relationships",IF(I119="reconciliation_residual_zero","residual",I119))),IF(H119="quality_gate","gate_infra",H119)))</f>
        <v/>
      </c>
    </row>
    <row r="120" customFormat="false" ht="15" hidden="false" customHeight="false" outlineLevel="0" collapsed="false">
      <c r="A120" s="4" t="s">
        <v>1776</v>
      </c>
      <c r="B120" s="10" t="n">
        <v>46248.8854166667</v>
      </c>
      <c r="C120" s="4" t="s">
        <v>1544</v>
      </c>
      <c r="D120" s="4" t="n">
        <v>899</v>
      </c>
      <c r="E120" s="4" t="n">
        <v>7</v>
      </c>
      <c r="F120" s="4" t="n">
        <v>6</v>
      </c>
      <c r="G120" s="4" t="n">
        <v>0</v>
      </c>
      <c r="J120" s="11" t="b">
        <f aca="false">TRUE()</f>
        <v>1</v>
      </c>
      <c r="K120" s="4" t="s">
        <v>1777</v>
      </c>
      <c r="L120" s="4" t="n">
        <v>4</v>
      </c>
      <c r="M120" s="4" t="n">
        <v>4</v>
      </c>
      <c r="N120" s="4" t="n">
        <v>4</v>
      </c>
      <c r="O120" s="4" t="n">
        <v>4</v>
      </c>
      <c r="P120" s="0" t="str">
        <f aca="false">IF(E120=0,"not_reached",IF(AND(F120&gt;0,G120=0),"allowed","blocked"))</f>
        <v>allowed</v>
      </c>
      <c r="Q120" s="0" t="str">
        <f aca="false">IF(C120="success","published",IF(E120&gt;0,"blocked_at_gate","failed_before_gate"))</f>
        <v>published</v>
      </c>
      <c r="R120" s="0" t="str">
        <f aca="false">IF(C120="success","",IF(E120&gt;0,IF(I120="freshness_within_target","freshness",IF(I120="relationships_intact","relationships",IF(I120="reconciliation_residual_zero","residual",I120))),IF(H120="quality_gate","gate_infra",H120)))</f>
        <v/>
      </c>
    </row>
    <row r="121" customFormat="false" ht="15" hidden="false" customHeight="false" outlineLevel="0" collapsed="false">
      <c r="A121" s="4" t="s">
        <v>1778</v>
      </c>
      <c r="B121" s="10" t="n">
        <v>46248.9270833333</v>
      </c>
      <c r="C121" s="4" t="s">
        <v>1544</v>
      </c>
      <c r="D121" s="4" t="n">
        <v>954</v>
      </c>
      <c r="E121" s="4" t="n">
        <v>7</v>
      </c>
      <c r="F121" s="4" t="n">
        <v>6</v>
      </c>
      <c r="G121" s="4" t="n">
        <v>0</v>
      </c>
      <c r="J121" s="11" t="b">
        <f aca="false">TRUE()</f>
        <v>1</v>
      </c>
      <c r="K121" s="4" t="s">
        <v>1779</v>
      </c>
      <c r="L121" s="4" t="n">
        <v>4</v>
      </c>
      <c r="M121" s="4" t="n">
        <v>4</v>
      </c>
      <c r="N121" s="4" t="n">
        <v>4</v>
      </c>
      <c r="O121" s="4" t="n">
        <v>4</v>
      </c>
      <c r="P121" s="0" t="str">
        <f aca="false">IF(E121=0,"not_reached",IF(AND(F121&gt;0,G121=0),"allowed","blocked"))</f>
        <v>allowed</v>
      </c>
      <c r="Q121" s="0" t="str">
        <f aca="false">IF(C121="success","published",IF(E121&gt;0,"blocked_at_gate","failed_before_gate"))</f>
        <v>published</v>
      </c>
      <c r="R121" s="0" t="str">
        <f aca="false">IF(C121="success","",IF(E121&gt;0,IF(I121="freshness_within_target","freshness",IF(I121="relationships_intact","relationships",IF(I121="reconciliation_residual_zero","residual",I121))),IF(H121="quality_gate","gate_infra",H121)))</f>
        <v/>
      </c>
    </row>
    <row r="122" customFormat="false" ht="15" hidden="false" customHeight="false" outlineLevel="0" collapsed="false">
      <c r="A122" s="4" t="s">
        <v>1780</v>
      </c>
      <c r="B122" s="10" t="n">
        <v>46248.96875</v>
      </c>
      <c r="C122" s="4" t="s">
        <v>1544</v>
      </c>
      <c r="D122" s="4" t="n">
        <v>776</v>
      </c>
      <c r="E122" s="4" t="n">
        <v>7</v>
      </c>
      <c r="F122" s="4" t="n">
        <v>6</v>
      </c>
      <c r="G122" s="4" t="n">
        <v>0</v>
      </c>
      <c r="J122" s="11" t="b">
        <f aca="false">TRUE()</f>
        <v>1</v>
      </c>
      <c r="K122" s="4" t="s">
        <v>1781</v>
      </c>
      <c r="L122" s="4" t="n">
        <v>4</v>
      </c>
      <c r="M122" s="4" t="n">
        <v>4</v>
      </c>
      <c r="N122" s="4" t="n">
        <v>4</v>
      </c>
      <c r="O122" s="4" t="n">
        <v>4</v>
      </c>
      <c r="P122" s="0" t="str">
        <f aca="false">IF(E122=0,"not_reached",IF(AND(F122&gt;0,G122=0),"allowed","blocked"))</f>
        <v>allowed</v>
      </c>
      <c r="Q122" s="0" t="str">
        <f aca="false">IF(C122="success","published",IF(E122&gt;0,"blocked_at_gate","failed_before_gate"))</f>
        <v>published</v>
      </c>
      <c r="R122" s="0" t="str">
        <f aca="false">IF(C122="success","",IF(E122&gt;0,IF(I122="freshness_within_target","freshness",IF(I122="relationships_intact","relationships",IF(I122="reconciliation_residual_zero","residual",I122))),IF(H122="quality_gate","gate_infra",H122)))</f>
        <v/>
      </c>
    </row>
    <row r="123" customFormat="false" ht="15" hidden="false" customHeight="false" outlineLevel="0" collapsed="false">
      <c r="A123" s="4" t="s">
        <v>1782</v>
      </c>
      <c r="B123" s="10" t="n">
        <v>46249.0104166667</v>
      </c>
      <c r="C123" s="4" t="s">
        <v>1544</v>
      </c>
      <c r="D123" s="4" t="n">
        <v>681</v>
      </c>
      <c r="E123" s="4" t="n">
        <v>7</v>
      </c>
      <c r="F123" s="4" t="n">
        <v>6</v>
      </c>
      <c r="G123" s="4" t="n">
        <v>0</v>
      </c>
      <c r="J123" s="11" t="b">
        <f aca="false">TRUE()</f>
        <v>1</v>
      </c>
      <c r="K123" s="4" t="s">
        <v>1783</v>
      </c>
      <c r="L123" s="4" t="n">
        <v>4</v>
      </c>
      <c r="M123" s="4" t="n">
        <v>4</v>
      </c>
      <c r="N123" s="4" t="n">
        <v>4</v>
      </c>
      <c r="O123" s="4" t="n">
        <v>4</v>
      </c>
      <c r="P123" s="0" t="str">
        <f aca="false">IF(E123=0,"not_reached",IF(AND(F123&gt;0,G123=0),"allowed","blocked"))</f>
        <v>allowed</v>
      </c>
      <c r="Q123" s="0" t="str">
        <f aca="false">IF(C123="success","published",IF(E123&gt;0,"blocked_at_gate","failed_before_gate"))</f>
        <v>published</v>
      </c>
      <c r="R123" s="0" t="str">
        <f aca="false">IF(C123="success","",IF(E123&gt;0,IF(I123="freshness_within_target","freshness",IF(I123="relationships_intact","relationships",IF(I123="reconciliation_residual_zero","residual",I123))),IF(H123="quality_gate","gate_infra",H123)))</f>
        <v/>
      </c>
    </row>
    <row r="124" customFormat="false" ht="15" hidden="false" customHeight="false" outlineLevel="0" collapsed="false">
      <c r="A124" s="4" t="s">
        <v>1784</v>
      </c>
      <c r="B124" s="10" t="n">
        <v>46249.0520833333</v>
      </c>
      <c r="C124" s="4" t="s">
        <v>1544</v>
      </c>
      <c r="D124" s="4" t="n">
        <v>867</v>
      </c>
      <c r="E124" s="4" t="n">
        <v>7</v>
      </c>
      <c r="F124" s="4" t="n">
        <v>6</v>
      </c>
      <c r="G124" s="4" t="n">
        <v>0</v>
      </c>
      <c r="J124" s="11" t="b">
        <f aca="false">TRUE()</f>
        <v>1</v>
      </c>
      <c r="K124" s="4" t="s">
        <v>1785</v>
      </c>
      <c r="L124" s="4" t="n">
        <v>4</v>
      </c>
      <c r="M124" s="4" t="n">
        <v>4</v>
      </c>
      <c r="N124" s="4" t="n">
        <v>4</v>
      </c>
      <c r="O124" s="4" t="n">
        <v>4</v>
      </c>
      <c r="P124" s="0" t="str">
        <f aca="false">IF(E124=0,"not_reached",IF(AND(F124&gt;0,G124=0),"allowed","blocked"))</f>
        <v>allowed</v>
      </c>
      <c r="Q124" s="0" t="str">
        <f aca="false">IF(C124="success","published",IF(E124&gt;0,"blocked_at_gate","failed_before_gate"))</f>
        <v>published</v>
      </c>
      <c r="R124" s="0" t="str">
        <f aca="false">IF(C124="success","",IF(E124&gt;0,IF(I124="freshness_within_target","freshness",IF(I124="relationships_intact","relationships",IF(I124="reconciliation_residual_zero","residual",I124))),IF(H124="quality_gate","gate_infra",H124)))</f>
        <v/>
      </c>
    </row>
    <row r="125" customFormat="false" ht="15" hidden="false" customHeight="false" outlineLevel="0" collapsed="false">
      <c r="A125" s="4" t="s">
        <v>1786</v>
      </c>
      <c r="B125" s="10" t="n">
        <v>46249.09375</v>
      </c>
      <c r="C125" s="4" t="s">
        <v>1544</v>
      </c>
      <c r="D125" s="4" t="n">
        <v>1101</v>
      </c>
      <c r="E125" s="4" t="n">
        <v>7</v>
      </c>
      <c r="F125" s="4" t="n">
        <v>6</v>
      </c>
      <c r="G125" s="4" t="n">
        <v>0</v>
      </c>
      <c r="J125" s="11" t="b">
        <f aca="false">TRUE()</f>
        <v>1</v>
      </c>
      <c r="K125" s="4" t="s">
        <v>1787</v>
      </c>
      <c r="L125" s="4" t="n">
        <v>4</v>
      </c>
      <c r="M125" s="4" t="n">
        <v>4</v>
      </c>
      <c r="N125" s="4" t="n">
        <v>5</v>
      </c>
      <c r="O125" s="4" t="n">
        <v>4</v>
      </c>
      <c r="P125" s="0" t="str">
        <f aca="false">IF(E125=0,"not_reached",IF(AND(F125&gt;0,G125=0),"allowed","blocked"))</f>
        <v>allowed</v>
      </c>
      <c r="Q125" s="0" t="str">
        <f aca="false">IF(C125="success","published",IF(E125&gt;0,"blocked_at_gate","failed_before_gate"))</f>
        <v>published</v>
      </c>
      <c r="R125" s="0" t="str">
        <f aca="false">IF(C125="success","",IF(E125&gt;0,IF(I125="freshness_within_target","freshness",IF(I125="relationships_intact","relationships",IF(I125="reconciliation_residual_zero","residual",I125))),IF(H125="quality_gate","gate_infra",H125)))</f>
        <v/>
      </c>
    </row>
    <row r="126" customFormat="false" ht="15" hidden="false" customHeight="false" outlineLevel="0" collapsed="false">
      <c r="A126" s="4" t="s">
        <v>1788</v>
      </c>
      <c r="B126" s="10" t="n">
        <v>46249.1354166667</v>
      </c>
      <c r="C126" s="4" t="s">
        <v>1544</v>
      </c>
      <c r="D126" s="4" t="n">
        <v>890</v>
      </c>
      <c r="E126" s="4" t="n">
        <v>7</v>
      </c>
      <c r="F126" s="4" t="n">
        <v>6</v>
      </c>
      <c r="G126" s="4" t="n">
        <v>0</v>
      </c>
      <c r="J126" s="11" t="b">
        <f aca="false">TRUE()</f>
        <v>1</v>
      </c>
      <c r="K126" s="4" t="s">
        <v>1789</v>
      </c>
      <c r="L126" s="4" t="n">
        <v>4</v>
      </c>
      <c r="M126" s="4" t="n">
        <v>4</v>
      </c>
      <c r="N126" s="4" t="n">
        <v>4</v>
      </c>
      <c r="O126" s="4" t="n">
        <v>4</v>
      </c>
      <c r="P126" s="0" t="str">
        <f aca="false">IF(E126=0,"not_reached",IF(AND(F126&gt;0,G126=0),"allowed","blocked"))</f>
        <v>allowed</v>
      </c>
      <c r="Q126" s="0" t="str">
        <f aca="false">IF(C126="success","published",IF(E126&gt;0,"blocked_at_gate","failed_before_gate"))</f>
        <v>published</v>
      </c>
      <c r="R126" s="0" t="str">
        <f aca="false">IF(C126="success","",IF(E126&gt;0,IF(I126="freshness_within_target","freshness",IF(I126="relationships_intact","relationships",IF(I126="reconciliation_residual_zero","residual",I126))),IF(H126="quality_gate","gate_infra",H126)))</f>
        <v/>
      </c>
    </row>
    <row r="127" customFormat="false" ht="15" hidden="false" customHeight="false" outlineLevel="0" collapsed="false">
      <c r="A127" s="4" t="s">
        <v>1790</v>
      </c>
      <c r="B127" s="10" t="n">
        <v>46249.1770833333</v>
      </c>
      <c r="C127" s="4" t="s">
        <v>1544</v>
      </c>
      <c r="D127" s="4" t="n">
        <v>968</v>
      </c>
      <c r="E127" s="4" t="n">
        <v>7</v>
      </c>
      <c r="F127" s="4" t="n">
        <v>6</v>
      </c>
      <c r="G127" s="4" t="n">
        <v>0</v>
      </c>
      <c r="J127" s="11" t="b">
        <f aca="false">TRUE()</f>
        <v>1</v>
      </c>
      <c r="K127" s="4" t="s">
        <v>1791</v>
      </c>
      <c r="L127" s="4" t="n">
        <v>4</v>
      </c>
      <c r="M127" s="4" t="n">
        <v>4</v>
      </c>
      <c r="N127" s="4" t="n">
        <v>5</v>
      </c>
      <c r="O127" s="4" t="n">
        <v>4</v>
      </c>
      <c r="P127" s="0" t="str">
        <f aca="false">IF(E127=0,"not_reached",IF(AND(F127&gt;0,G127=0),"allowed","blocked"))</f>
        <v>allowed</v>
      </c>
      <c r="Q127" s="0" t="str">
        <f aca="false">IF(C127="success","published",IF(E127&gt;0,"blocked_at_gate","failed_before_gate"))</f>
        <v>published</v>
      </c>
      <c r="R127" s="0" t="str">
        <f aca="false">IF(C127="success","",IF(E127&gt;0,IF(I127="freshness_within_target","freshness",IF(I127="relationships_intact","relationships",IF(I127="reconciliation_residual_zero","residual",I127))),IF(H127="quality_gate","gate_infra",H127)))</f>
        <v/>
      </c>
    </row>
    <row r="128" customFormat="false" ht="15" hidden="false" customHeight="false" outlineLevel="0" collapsed="false">
      <c r="A128" s="4" t="s">
        <v>1792</v>
      </c>
      <c r="B128" s="10" t="n">
        <v>46249.21875</v>
      </c>
      <c r="C128" s="4" t="s">
        <v>1544</v>
      </c>
      <c r="D128" s="4" t="n">
        <v>1230</v>
      </c>
      <c r="E128" s="4" t="n">
        <v>7</v>
      </c>
      <c r="F128" s="4" t="n">
        <v>6</v>
      </c>
      <c r="G128" s="4" t="n">
        <v>0</v>
      </c>
      <c r="J128" s="11" t="b">
        <f aca="false">TRUE()</f>
        <v>1</v>
      </c>
      <c r="K128" s="4" t="s">
        <v>1793</v>
      </c>
      <c r="L128" s="4" t="n">
        <v>4</v>
      </c>
      <c r="M128" s="4" t="n">
        <v>4</v>
      </c>
      <c r="N128" s="4" t="n">
        <v>5</v>
      </c>
      <c r="O128" s="4" t="n">
        <v>4</v>
      </c>
      <c r="P128" s="0" t="str">
        <f aca="false">IF(E128=0,"not_reached",IF(AND(F128&gt;0,G128=0),"allowed","blocked"))</f>
        <v>allowed</v>
      </c>
      <c r="Q128" s="0" t="str">
        <f aca="false">IF(C128="success","published",IF(E128&gt;0,"blocked_at_gate","failed_before_gate"))</f>
        <v>published</v>
      </c>
      <c r="R128" s="0" t="str">
        <f aca="false">IF(C128="success","",IF(E128&gt;0,IF(I128="freshness_within_target","freshness",IF(I128="relationships_intact","relationships",IF(I128="reconciliation_residual_zero","residual",I128))),IF(H128="quality_gate","gate_infra",H128)))</f>
        <v/>
      </c>
    </row>
    <row r="129" customFormat="false" ht="15" hidden="false" customHeight="false" outlineLevel="0" collapsed="false">
      <c r="A129" s="4" t="s">
        <v>1794</v>
      </c>
      <c r="B129" s="10" t="n">
        <v>46249.2604166667</v>
      </c>
      <c r="C129" s="4" t="s">
        <v>1544</v>
      </c>
      <c r="D129" s="4" t="n">
        <v>790</v>
      </c>
      <c r="E129" s="4" t="n">
        <v>7</v>
      </c>
      <c r="F129" s="4" t="n">
        <v>6</v>
      </c>
      <c r="G129" s="4" t="n">
        <v>0</v>
      </c>
      <c r="J129" s="11" t="b">
        <f aca="false">TRUE()</f>
        <v>1</v>
      </c>
      <c r="K129" s="4" t="s">
        <v>1795</v>
      </c>
      <c r="L129" s="4" t="n">
        <v>4</v>
      </c>
      <c r="M129" s="4" t="n">
        <v>4</v>
      </c>
      <c r="N129" s="4" t="n">
        <v>4</v>
      </c>
      <c r="O129" s="4" t="n">
        <v>4</v>
      </c>
      <c r="P129" s="0" t="str">
        <f aca="false">IF(E129=0,"not_reached",IF(AND(F129&gt;0,G129=0),"allowed","blocked"))</f>
        <v>allowed</v>
      </c>
      <c r="Q129" s="0" t="str">
        <f aca="false">IF(C129="success","published",IF(E129&gt;0,"blocked_at_gate","failed_before_gate"))</f>
        <v>published</v>
      </c>
      <c r="R129" s="0" t="str">
        <f aca="false">IF(C129="success","",IF(E129&gt;0,IF(I129="freshness_within_target","freshness",IF(I129="relationships_intact","relationships",IF(I129="reconciliation_residual_zero","residual",I129))),IF(H129="quality_gate","gate_infra",H129)))</f>
        <v/>
      </c>
    </row>
    <row r="130" customFormat="false" ht="15" hidden="false" customHeight="false" outlineLevel="0" collapsed="false">
      <c r="A130" s="4" t="s">
        <v>1796</v>
      </c>
      <c r="B130" s="10" t="n">
        <v>46249.3020833333</v>
      </c>
      <c r="C130" s="4" t="s">
        <v>1544</v>
      </c>
      <c r="D130" s="4" t="n">
        <v>673</v>
      </c>
      <c r="E130" s="4" t="n">
        <v>7</v>
      </c>
      <c r="F130" s="4" t="n">
        <v>6</v>
      </c>
      <c r="G130" s="4" t="n">
        <v>0</v>
      </c>
      <c r="J130" s="11" t="b">
        <f aca="false">TRUE()</f>
        <v>1</v>
      </c>
      <c r="K130" s="4" t="s">
        <v>1797</v>
      </c>
      <c r="L130" s="4" t="n">
        <v>4</v>
      </c>
      <c r="M130" s="4" t="n">
        <v>4</v>
      </c>
      <c r="N130" s="4" t="n">
        <v>4</v>
      </c>
      <c r="O130" s="4" t="n">
        <v>4</v>
      </c>
      <c r="P130" s="0" t="str">
        <f aca="false">IF(E130=0,"not_reached",IF(AND(F130&gt;0,G130=0),"allowed","blocked"))</f>
        <v>allowed</v>
      </c>
      <c r="Q130" s="0" t="str">
        <f aca="false">IF(C130="success","published",IF(E130&gt;0,"blocked_at_gate","failed_before_gate"))</f>
        <v>published</v>
      </c>
      <c r="R130" s="0" t="str">
        <f aca="false">IF(C130="success","",IF(E130&gt;0,IF(I130="freshness_within_target","freshness",IF(I130="relationships_intact","relationships",IF(I130="reconciliation_residual_zero","residual",I130))),IF(H130="quality_gate","gate_infra",H130)))</f>
        <v/>
      </c>
    </row>
    <row r="131" customFormat="false" ht="15" hidden="false" customHeight="false" outlineLevel="0" collapsed="false">
      <c r="A131" s="4" t="s">
        <v>1798</v>
      </c>
      <c r="B131" s="10" t="n">
        <v>46249.34375</v>
      </c>
      <c r="C131" s="4" t="s">
        <v>1544</v>
      </c>
      <c r="D131" s="4" t="n">
        <v>815</v>
      </c>
      <c r="E131" s="4" t="n">
        <v>7</v>
      </c>
      <c r="F131" s="4" t="n">
        <v>6</v>
      </c>
      <c r="G131" s="4" t="n">
        <v>0</v>
      </c>
      <c r="J131" s="11" t="b">
        <f aca="false">TRUE()</f>
        <v>1</v>
      </c>
      <c r="K131" s="4" t="s">
        <v>1799</v>
      </c>
      <c r="L131" s="4" t="n">
        <v>4</v>
      </c>
      <c r="M131" s="4" t="n">
        <v>4</v>
      </c>
      <c r="N131" s="4" t="n">
        <v>4</v>
      </c>
      <c r="O131" s="4" t="n">
        <v>4</v>
      </c>
      <c r="P131" s="0" t="str">
        <f aca="false">IF(E131=0,"not_reached",IF(AND(F131&gt;0,G131=0),"allowed","blocked"))</f>
        <v>allowed</v>
      </c>
      <c r="Q131" s="0" t="str">
        <f aca="false">IF(C131="success","published",IF(E131&gt;0,"blocked_at_gate","failed_before_gate"))</f>
        <v>published</v>
      </c>
      <c r="R131" s="0" t="str">
        <f aca="false">IF(C131="success","",IF(E131&gt;0,IF(I131="freshness_within_target","freshness",IF(I131="relationships_intact","relationships",IF(I131="reconciliation_residual_zero","residual",I131))),IF(H131="quality_gate","gate_infra",H131)))</f>
        <v/>
      </c>
    </row>
    <row r="132" customFormat="false" ht="15" hidden="false" customHeight="false" outlineLevel="0" collapsed="false">
      <c r="A132" s="4" t="s">
        <v>1800</v>
      </c>
      <c r="B132" s="10" t="n">
        <v>46249.3854166667</v>
      </c>
      <c r="C132" s="4" t="s">
        <v>1544</v>
      </c>
      <c r="D132" s="4" t="n">
        <v>960</v>
      </c>
      <c r="E132" s="4" t="n">
        <v>7</v>
      </c>
      <c r="F132" s="4" t="n">
        <v>6</v>
      </c>
      <c r="G132" s="4" t="n">
        <v>0</v>
      </c>
      <c r="J132" s="11" t="b">
        <f aca="false">TRUE()</f>
        <v>1</v>
      </c>
      <c r="K132" s="4" t="s">
        <v>1801</v>
      </c>
      <c r="L132" s="4" t="n">
        <v>4</v>
      </c>
      <c r="M132" s="4" t="n">
        <v>4</v>
      </c>
      <c r="N132" s="4" t="n">
        <v>4</v>
      </c>
      <c r="O132" s="4" t="n">
        <v>4</v>
      </c>
      <c r="P132" s="0" t="str">
        <f aca="false">IF(E132=0,"not_reached",IF(AND(F132&gt;0,G132=0),"allowed","blocked"))</f>
        <v>allowed</v>
      </c>
      <c r="Q132" s="0" t="str">
        <f aca="false">IF(C132="success","published",IF(E132&gt;0,"blocked_at_gate","failed_before_gate"))</f>
        <v>published</v>
      </c>
      <c r="R132" s="0" t="str">
        <f aca="false">IF(C132="success","",IF(E132&gt;0,IF(I132="freshness_within_target","freshness",IF(I132="relationships_intact","relationships",IF(I132="reconciliation_residual_zero","residual",I132))),IF(H132="quality_gate","gate_infra",H132)))</f>
        <v/>
      </c>
    </row>
    <row r="133" customFormat="false" ht="15" hidden="false" customHeight="false" outlineLevel="0" collapsed="false">
      <c r="A133" s="4" t="s">
        <v>1802</v>
      </c>
      <c r="B133" s="10" t="n">
        <v>46249.4270833333</v>
      </c>
      <c r="C133" s="4" t="s">
        <v>1544</v>
      </c>
      <c r="D133" s="4" t="n">
        <v>709</v>
      </c>
      <c r="E133" s="4" t="n">
        <v>7</v>
      </c>
      <c r="F133" s="4" t="n">
        <v>6</v>
      </c>
      <c r="G133" s="4" t="n">
        <v>0</v>
      </c>
      <c r="J133" s="11" t="b">
        <f aca="false">TRUE()</f>
        <v>1</v>
      </c>
      <c r="K133" s="4" t="s">
        <v>1803</v>
      </c>
      <c r="L133" s="4" t="n">
        <v>4</v>
      </c>
      <c r="M133" s="4" t="n">
        <v>4</v>
      </c>
      <c r="N133" s="4" t="n">
        <v>4</v>
      </c>
      <c r="O133" s="4" t="n">
        <v>4</v>
      </c>
      <c r="P133" s="0" t="str">
        <f aca="false">IF(E133=0,"not_reached",IF(AND(F133&gt;0,G133=0),"allowed","blocked"))</f>
        <v>allowed</v>
      </c>
      <c r="Q133" s="0" t="str">
        <f aca="false">IF(C133="success","published",IF(E133&gt;0,"blocked_at_gate","failed_before_gate"))</f>
        <v>published</v>
      </c>
      <c r="R133" s="0" t="str">
        <f aca="false">IF(C133="success","",IF(E133&gt;0,IF(I133="freshness_within_target","freshness",IF(I133="relationships_intact","relationships",IF(I133="reconciliation_residual_zero","residual",I133))),IF(H133="quality_gate","gate_infra",H133)))</f>
        <v/>
      </c>
    </row>
    <row r="134" customFormat="false" ht="15" hidden="false" customHeight="false" outlineLevel="0" collapsed="false">
      <c r="A134" s="4" t="s">
        <v>1804</v>
      </c>
      <c r="B134" s="10" t="n">
        <v>46249.46875</v>
      </c>
      <c r="C134" s="4" t="s">
        <v>1544</v>
      </c>
      <c r="D134" s="4" t="n">
        <v>817</v>
      </c>
      <c r="E134" s="4" t="n">
        <v>7</v>
      </c>
      <c r="F134" s="4" t="n">
        <v>6</v>
      </c>
      <c r="G134" s="4" t="n">
        <v>0</v>
      </c>
      <c r="J134" s="11" t="b">
        <f aca="false">TRUE()</f>
        <v>1</v>
      </c>
      <c r="K134" s="4" t="s">
        <v>1805</v>
      </c>
      <c r="L134" s="4" t="n">
        <v>4</v>
      </c>
      <c r="M134" s="4" t="n">
        <v>4</v>
      </c>
      <c r="N134" s="4" t="n">
        <v>4</v>
      </c>
      <c r="O134" s="4" t="n">
        <v>4</v>
      </c>
      <c r="P134" s="0" t="str">
        <f aca="false">IF(E134=0,"not_reached",IF(AND(F134&gt;0,G134=0),"allowed","blocked"))</f>
        <v>allowed</v>
      </c>
      <c r="Q134" s="0" t="str">
        <f aca="false">IF(C134="success","published",IF(E134&gt;0,"blocked_at_gate","failed_before_gate"))</f>
        <v>published</v>
      </c>
      <c r="R134" s="0" t="str">
        <f aca="false">IF(C134="success","",IF(E134&gt;0,IF(I134="freshness_within_target","freshness",IF(I134="relationships_intact","relationships",IF(I134="reconciliation_residual_zero","residual",I134))),IF(H134="quality_gate","gate_infra",H134)))</f>
        <v/>
      </c>
    </row>
    <row r="135" customFormat="false" ht="15" hidden="false" customHeight="false" outlineLevel="0" collapsed="false">
      <c r="A135" s="4" t="s">
        <v>1806</v>
      </c>
      <c r="B135" s="10" t="n">
        <v>46249.5104166667</v>
      </c>
      <c r="C135" s="4" t="s">
        <v>1544</v>
      </c>
      <c r="D135" s="4" t="n">
        <v>767</v>
      </c>
      <c r="E135" s="4" t="n">
        <v>7</v>
      </c>
      <c r="F135" s="4" t="n">
        <v>6</v>
      </c>
      <c r="G135" s="4" t="n">
        <v>0</v>
      </c>
      <c r="J135" s="11" t="b">
        <f aca="false">TRUE()</f>
        <v>1</v>
      </c>
      <c r="K135" s="4" t="s">
        <v>1807</v>
      </c>
      <c r="L135" s="4" t="n">
        <v>4</v>
      </c>
      <c r="M135" s="4" t="n">
        <v>4</v>
      </c>
      <c r="N135" s="4" t="n">
        <v>4</v>
      </c>
      <c r="O135" s="4" t="n">
        <v>4</v>
      </c>
      <c r="P135" s="0" t="str">
        <f aca="false">IF(E135=0,"not_reached",IF(AND(F135&gt;0,G135=0),"allowed","blocked"))</f>
        <v>allowed</v>
      </c>
      <c r="Q135" s="0" t="str">
        <f aca="false">IF(C135="success","published",IF(E135&gt;0,"blocked_at_gate","failed_before_gate"))</f>
        <v>published</v>
      </c>
      <c r="R135" s="0" t="str">
        <f aca="false">IF(C135="success","",IF(E135&gt;0,IF(I135="freshness_within_target","freshness",IF(I135="relationships_intact","relationships",IF(I135="reconciliation_residual_zero","residual",I135))),IF(H135="quality_gate","gate_infra",H135)))</f>
        <v/>
      </c>
    </row>
    <row r="136" customFormat="false" ht="15" hidden="false" customHeight="false" outlineLevel="0" collapsed="false">
      <c r="A136" s="4" t="s">
        <v>1808</v>
      </c>
      <c r="B136" s="10" t="n">
        <v>46249.5520833333</v>
      </c>
      <c r="C136" s="4" t="s">
        <v>1544</v>
      </c>
      <c r="D136" s="4" t="n">
        <v>923</v>
      </c>
      <c r="E136" s="4" t="n">
        <v>7</v>
      </c>
      <c r="F136" s="4" t="n">
        <v>6</v>
      </c>
      <c r="G136" s="4" t="n">
        <v>0</v>
      </c>
      <c r="J136" s="11" t="b">
        <f aca="false">TRUE()</f>
        <v>1</v>
      </c>
      <c r="K136" s="4" t="s">
        <v>1809</v>
      </c>
      <c r="L136" s="4" t="n">
        <v>4</v>
      </c>
      <c r="M136" s="4" t="n">
        <v>4</v>
      </c>
      <c r="N136" s="4" t="n">
        <v>4</v>
      </c>
      <c r="O136" s="4" t="n">
        <v>4</v>
      </c>
      <c r="P136" s="0" t="str">
        <f aca="false">IF(E136=0,"not_reached",IF(AND(F136&gt;0,G136=0),"allowed","blocked"))</f>
        <v>allowed</v>
      </c>
      <c r="Q136" s="0" t="str">
        <f aca="false">IF(C136="success","published",IF(E136&gt;0,"blocked_at_gate","failed_before_gate"))</f>
        <v>published</v>
      </c>
      <c r="R136" s="0" t="str">
        <f aca="false">IF(C136="success","",IF(E136&gt;0,IF(I136="freshness_within_target","freshness",IF(I136="relationships_intact","relationships",IF(I136="reconciliation_residual_zero","residual",I136))),IF(H136="quality_gate","gate_infra",H136)))</f>
        <v/>
      </c>
    </row>
    <row r="137" customFormat="false" ht="15" hidden="false" customHeight="false" outlineLevel="0" collapsed="false">
      <c r="A137" s="4" t="s">
        <v>1810</v>
      </c>
      <c r="B137" s="10" t="n">
        <v>46249.59375</v>
      </c>
      <c r="C137" s="4" t="s">
        <v>1544</v>
      </c>
      <c r="D137" s="4" t="n">
        <v>698</v>
      </c>
      <c r="E137" s="4" t="n">
        <v>7</v>
      </c>
      <c r="F137" s="4" t="n">
        <v>6</v>
      </c>
      <c r="G137" s="4" t="n">
        <v>0</v>
      </c>
      <c r="J137" s="11" t="b">
        <f aca="false">TRUE()</f>
        <v>1</v>
      </c>
      <c r="K137" s="4" t="s">
        <v>1811</v>
      </c>
      <c r="L137" s="4" t="n">
        <v>4</v>
      </c>
      <c r="M137" s="4" t="n">
        <v>4</v>
      </c>
      <c r="N137" s="4" t="n">
        <v>4</v>
      </c>
      <c r="O137" s="4" t="n">
        <v>4</v>
      </c>
      <c r="P137" s="0" t="str">
        <f aca="false">IF(E137=0,"not_reached",IF(AND(F137&gt;0,G137=0),"allowed","blocked"))</f>
        <v>allowed</v>
      </c>
      <c r="Q137" s="0" t="str">
        <f aca="false">IF(C137="success","published",IF(E137&gt;0,"blocked_at_gate","failed_before_gate"))</f>
        <v>published</v>
      </c>
      <c r="R137" s="0" t="str">
        <f aca="false">IF(C137="success","",IF(E137&gt;0,IF(I137="freshness_within_target","freshness",IF(I137="relationships_intact","relationships",IF(I137="reconciliation_residual_zero","residual",I137))),IF(H137="quality_gate","gate_infra",H137)))</f>
        <v/>
      </c>
    </row>
    <row r="138" customFormat="false" ht="15" hidden="false" customHeight="false" outlineLevel="0" collapsed="false">
      <c r="A138" s="4" t="s">
        <v>1812</v>
      </c>
      <c r="B138" s="10" t="n">
        <v>46249.6354166667</v>
      </c>
      <c r="C138" s="4" t="s">
        <v>1544</v>
      </c>
      <c r="D138" s="4" t="n">
        <v>727</v>
      </c>
      <c r="E138" s="4" t="n">
        <v>7</v>
      </c>
      <c r="F138" s="4" t="n">
        <v>6</v>
      </c>
      <c r="G138" s="4" t="n">
        <v>0</v>
      </c>
      <c r="J138" s="11" t="b">
        <f aca="false">TRUE()</f>
        <v>1</v>
      </c>
      <c r="K138" s="4" t="s">
        <v>1813</v>
      </c>
      <c r="L138" s="4" t="n">
        <v>4</v>
      </c>
      <c r="M138" s="4" t="n">
        <v>4</v>
      </c>
      <c r="N138" s="4" t="n">
        <v>4</v>
      </c>
      <c r="O138" s="4" t="n">
        <v>4</v>
      </c>
      <c r="P138" s="0" t="str">
        <f aca="false">IF(E138=0,"not_reached",IF(AND(F138&gt;0,G138=0),"allowed","blocked"))</f>
        <v>allowed</v>
      </c>
      <c r="Q138" s="0" t="str">
        <f aca="false">IF(C138="success","published",IF(E138&gt;0,"blocked_at_gate","failed_before_gate"))</f>
        <v>published</v>
      </c>
      <c r="R138" s="0" t="str">
        <f aca="false">IF(C138="success","",IF(E138&gt;0,IF(I138="freshness_within_target","freshness",IF(I138="relationships_intact","relationships",IF(I138="reconciliation_residual_zero","residual",I138))),IF(H138="quality_gate","gate_infra",H138)))</f>
        <v/>
      </c>
    </row>
    <row r="139" customFormat="false" ht="15" hidden="false" customHeight="false" outlineLevel="0" collapsed="false">
      <c r="A139" s="4" t="s">
        <v>1814</v>
      </c>
      <c r="B139" s="10" t="n">
        <v>46249.6770833333</v>
      </c>
      <c r="C139" s="4" t="s">
        <v>1544</v>
      </c>
      <c r="D139" s="4" t="n">
        <v>864</v>
      </c>
      <c r="E139" s="4" t="n">
        <v>7</v>
      </c>
      <c r="F139" s="4" t="n">
        <v>6</v>
      </c>
      <c r="G139" s="4" t="n">
        <v>0</v>
      </c>
      <c r="J139" s="11" t="b">
        <f aca="false">TRUE()</f>
        <v>1</v>
      </c>
      <c r="K139" s="4" t="s">
        <v>1815</v>
      </c>
      <c r="L139" s="4" t="n">
        <v>4</v>
      </c>
      <c r="M139" s="4" t="n">
        <v>4</v>
      </c>
      <c r="N139" s="4" t="n">
        <v>4</v>
      </c>
      <c r="O139" s="4" t="n">
        <v>4</v>
      </c>
      <c r="P139" s="0" t="str">
        <f aca="false">IF(E139=0,"not_reached",IF(AND(F139&gt;0,G139=0),"allowed","blocked"))</f>
        <v>allowed</v>
      </c>
      <c r="Q139" s="0" t="str">
        <f aca="false">IF(C139="success","published",IF(E139&gt;0,"blocked_at_gate","failed_before_gate"))</f>
        <v>published</v>
      </c>
      <c r="R139" s="0" t="str">
        <f aca="false">IF(C139="success","",IF(E139&gt;0,IF(I139="freshness_within_target","freshness",IF(I139="relationships_intact","relationships",IF(I139="reconciliation_residual_zero","residual",I139))),IF(H139="quality_gate","gate_infra",H139)))</f>
        <v/>
      </c>
    </row>
    <row r="140" customFormat="false" ht="15" hidden="false" customHeight="false" outlineLevel="0" collapsed="false">
      <c r="A140" s="4" t="s">
        <v>1816</v>
      </c>
      <c r="B140" s="10" t="n">
        <v>46249.71875</v>
      </c>
      <c r="C140" s="4" t="s">
        <v>1544</v>
      </c>
      <c r="D140" s="4" t="n">
        <v>832</v>
      </c>
      <c r="E140" s="4" t="n">
        <v>7</v>
      </c>
      <c r="F140" s="4" t="n">
        <v>6</v>
      </c>
      <c r="G140" s="4" t="n">
        <v>0</v>
      </c>
      <c r="J140" s="11" t="b">
        <f aca="false">TRUE()</f>
        <v>1</v>
      </c>
      <c r="K140" s="4" t="s">
        <v>1817</v>
      </c>
      <c r="L140" s="4" t="n">
        <v>4</v>
      </c>
      <c r="M140" s="4" t="n">
        <v>4</v>
      </c>
      <c r="N140" s="4" t="n">
        <v>4</v>
      </c>
      <c r="O140" s="4" t="n">
        <v>4</v>
      </c>
      <c r="P140" s="0" t="str">
        <f aca="false">IF(E140=0,"not_reached",IF(AND(F140&gt;0,G140=0),"allowed","blocked"))</f>
        <v>allowed</v>
      </c>
      <c r="Q140" s="0" t="str">
        <f aca="false">IF(C140="success","published",IF(E140&gt;0,"blocked_at_gate","failed_before_gate"))</f>
        <v>published</v>
      </c>
      <c r="R140" s="0" t="str">
        <f aca="false">IF(C140="success","",IF(E140&gt;0,IF(I140="freshness_within_target","freshness",IF(I140="relationships_intact","relationships",IF(I140="reconciliation_residual_zero","residual",I140))),IF(H140="quality_gate","gate_infra",H140)))</f>
        <v/>
      </c>
    </row>
    <row r="141" customFormat="false" ht="15" hidden="false" customHeight="false" outlineLevel="0" collapsed="false">
      <c r="A141" s="4" t="s">
        <v>1818</v>
      </c>
      <c r="B141" s="10" t="n">
        <v>46249.7604166667</v>
      </c>
      <c r="C141" s="4" t="s">
        <v>1544</v>
      </c>
      <c r="D141" s="4" t="n">
        <v>910</v>
      </c>
      <c r="E141" s="4" t="n">
        <v>7</v>
      </c>
      <c r="F141" s="4" t="n">
        <v>6</v>
      </c>
      <c r="G141" s="4" t="n">
        <v>0</v>
      </c>
      <c r="J141" s="11" t="b">
        <f aca="false">TRUE()</f>
        <v>1</v>
      </c>
      <c r="K141" s="4" t="s">
        <v>1819</v>
      </c>
      <c r="L141" s="4" t="n">
        <v>4</v>
      </c>
      <c r="M141" s="4" t="n">
        <v>4</v>
      </c>
      <c r="N141" s="4" t="n">
        <v>4</v>
      </c>
      <c r="O141" s="4" t="n">
        <v>4</v>
      </c>
      <c r="P141" s="0" t="str">
        <f aca="false">IF(E141=0,"not_reached",IF(AND(F141&gt;0,G141=0),"allowed","blocked"))</f>
        <v>allowed</v>
      </c>
      <c r="Q141" s="0" t="str">
        <f aca="false">IF(C141="success","published",IF(E141&gt;0,"blocked_at_gate","failed_before_gate"))</f>
        <v>published</v>
      </c>
      <c r="R141" s="0" t="str">
        <f aca="false">IF(C141="success","",IF(E141&gt;0,IF(I141="freshness_within_target","freshness",IF(I141="relationships_intact","relationships",IF(I141="reconciliation_residual_zero","residual",I141))),IF(H141="quality_gate","gate_infra",H141)))</f>
        <v/>
      </c>
    </row>
    <row r="142" customFormat="false" ht="15" hidden="false" customHeight="false" outlineLevel="0" collapsed="false">
      <c r="A142" s="4" t="s">
        <v>1820</v>
      </c>
      <c r="B142" s="10" t="n">
        <v>46249.8020833333</v>
      </c>
      <c r="C142" s="4" t="s">
        <v>1544</v>
      </c>
      <c r="D142" s="4" t="n">
        <v>815</v>
      </c>
      <c r="E142" s="4" t="n">
        <v>7</v>
      </c>
      <c r="F142" s="4" t="n">
        <v>6</v>
      </c>
      <c r="G142" s="4" t="n">
        <v>0</v>
      </c>
      <c r="J142" s="11" t="b">
        <f aca="false">TRUE()</f>
        <v>1</v>
      </c>
      <c r="K142" s="4" t="s">
        <v>1821</v>
      </c>
      <c r="L142" s="4" t="n">
        <v>4</v>
      </c>
      <c r="M142" s="4" t="n">
        <v>4</v>
      </c>
      <c r="N142" s="4" t="n">
        <v>4</v>
      </c>
      <c r="O142" s="4" t="n">
        <v>4</v>
      </c>
      <c r="P142" s="0" t="str">
        <f aca="false">IF(E142=0,"not_reached",IF(AND(F142&gt;0,G142=0),"allowed","blocked"))</f>
        <v>allowed</v>
      </c>
      <c r="Q142" s="0" t="str">
        <f aca="false">IF(C142="success","published",IF(E142&gt;0,"blocked_at_gate","failed_before_gate"))</f>
        <v>published</v>
      </c>
      <c r="R142" s="0" t="str">
        <f aca="false">IF(C142="success","",IF(E142&gt;0,IF(I142="freshness_within_target","freshness",IF(I142="relationships_intact","relationships",IF(I142="reconciliation_residual_zero","residual",I142))),IF(H142="quality_gate","gate_infra",H142)))</f>
        <v/>
      </c>
    </row>
    <row r="143" customFormat="false" ht="15" hidden="false" customHeight="false" outlineLevel="0" collapsed="false">
      <c r="A143" s="4" t="s">
        <v>1822</v>
      </c>
      <c r="B143" s="10" t="n">
        <v>46249.84375</v>
      </c>
      <c r="C143" s="4" t="s">
        <v>1544</v>
      </c>
      <c r="D143" s="4" t="n">
        <v>803</v>
      </c>
      <c r="E143" s="4" t="n">
        <v>7</v>
      </c>
      <c r="F143" s="4" t="n">
        <v>6</v>
      </c>
      <c r="G143" s="4" t="n">
        <v>0</v>
      </c>
      <c r="J143" s="11" t="b">
        <f aca="false">TRUE()</f>
        <v>1</v>
      </c>
      <c r="K143" s="4" t="s">
        <v>1823</v>
      </c>
      <c r="L143" s="4" t="n">
        <v>4</v>
      </c>
      <c r="M143" s="4" t="n">
        <v>4</v>
      </c>
      <c r="N143" s="4" t="n">
        <v>4</v>
      </c>
      <c r="O143" s="4" t="n">
        <v>4</v>
      </c>
      <c r="P143" s="0" t="str">
        <f aca="false">IF(E143=0,"not_reached",IF(AND(F143&gt;0,G143=0),"allowed","blocked"))</f>
        <v>allowed</v>
      </c>
      <c r="Q143" s="0" t="str">
        <f aca="false">IF(C143="success","published",IF(E143&gt;0,"blocked_at_gate","failed_before_gate"))</f>
        <v>published</v>
      </c>
      <c r="R143" s="0" t="str">
        <f aca="false">IF(C143="success","",IF(E143&gt;0,IF(I143="freshness_within_target","freshness",IF(I143="relationships_intact","relationships",IF(I143="reconciliation_residual_zero","residual",I143))),IF(H143="quality_gate","gate_infra",H143)))</f>
        <v/>
      </c>
    </row>
    <row r="144" customFormat="false" ht="15" hidden="false" customHeight="false" outlineLevel="0" collapsed="false">
      <c r="A144" s="4" t="s">
        <v>1824</v>
      </c>
      <c r="B144" s="10" t="n">
        <v>46249.8854166667</v>
      </c>
      <c r="C144" s="4" t="s">
        <v>1544</v>
      </c>
      <c r="D144" s="4" t="n">
        <v>687</v>
      </c>
      <c r="E144" s="4" t="n">
        <v>7</v>
      </c>
      <c r="F144" s="4" t="n">
        <v>6</v>
      </c>
      <c r="G144" s="4" t="n">
        <v>0</v>
      </c>
      <c r="J144" s="11" t="b">
        <f aca="false">TRUE()</f>
        <v>1</v>
      </c>
      <c r="K144" s="4" t="s">
        <v>1825</v>
      </c>
      <c r="L144" s="4" t="n">
        <v>4</v>
      </c>
      <c r="M144" s="4" t="n">
        <v>4</v>
      </c>
      <c r="N144" s="4" t="n">
        <v>4</v>
      </c>
      <c r="O144" s="4" t="n">
        <v>4</v>
      </c>
      <c r="P144" s="0" t="str">
        <f aca="false">IF(E144=0,"not_reached",IF(AND(F144&gt;0,G144=0),"allowed","blocked"))</f>
        <v>allowed</v>
      </c>
      <c r="Q144" s="0" t="str">
        <f aca="false">IF(C144="success","published",IF(E144&gt;0,"blocked_at_gate","failed_before_gate"))</f>
        <v>published</v>
      </c>
      <c r="R144" s="0" t="str">
        <f aca="false">IF(C144="success","",IF(E144&gt;0,IF(I144="freshness_within_target","freshness",IF(I144="relationships_intact","relationships",IF(I144="reconciliation_residual_zero","residual",I144))),IF(H144="quality_gate","gate_infra",H144)))</f>
        <v/>
      </c>
    </row>
    <row r="145" customFormat="false" ht="15" hidden="false" customHeight="false" outlineLevel="0" collapsed="false">
      <c r="A145" s="4" t="s">
        <v>1826</v>
      </c>
      <c r="B145" s="10" t="n">
        <v>46249.9270833333</v>
      </c>
      <c r="C145" s="4" t="s">
        <v>1544</v>
      </c>
      <c r="D145" s="4" t="n">
        <v>705</v>
      </c>
      <c r="E145" s="4" t="n">
        <v>7</v>
      </c>
      <c r="F145" s="4" t="n">
        <v>6</v>
      </c>
      <c r="G145" s="4" t="n">
        <v>0</v>
      </c>
      <c r="J145" s="11" t="b">
        <f aca="false">TRUE()</f>
        <v>1</v>
      </c>
      <c r="K145" s="4" t="s">
        <v>1827</v>
      </c>
      <c r="L145" s="4" t="n">
        <v>4</v>
      </c>
      <c r="M145" s="4" t="n">
        <v>4</v>
      </c>
      <c r="N145" s="4" t="n">
        <v>4</v>
      </c>
      <c r="O145" s="4" t="n">
        <v>4</v>
      </c>
      <c r="P145" s="0" t="str">
        <f aca="false">IF(E145=0,"not_reached",IF(AND(F145&gt;0,G145=0),"allowed","blocked"))</f>
        <v>allowed</v>
      </c>
      <c r="Q145" s="0" t="str">
        <f aca="false">IF(C145="success","published",IF(E145&gt;0,"blocked_at_gate","failed_before_gate"))</f>
        <v>published</v>
      </c>
      <c r="R145" s="0" t="str">
        <f aca="false">IF(C145="success","",IF(E145&gt;0,IF(I145="freshness_within_target","freshness",IF(I145="relationships_intact","relationships",IF(I145="reconciliation_residual_zero","residual",I145))),IF(H145="quality_gate","gate_infra",H145)))</f>
        <v/>
      </c>
    </row>
    <row r="146" customFormat="false" ht="15" hidden="false" customHeight="false" outlineLevel="0" collapsed="false">
      <c r="A146" s="4" t="s">
        <v>1828</v>
      </c>
      <c r="B146" s="10" t="n">
        <v>46249.96875</v>
      </c>
      <c r="C146" s="4" t="s">
        <v>1544</v>
      </c>
      <c r="D146" s="4" t="n">
        <v>758</v>
      </c>
      <c r="E146" s="4" t="n">
        <v>7</v>
      </c>
      <c r="F146" s="4" t="n">
        <v>6</v>
      </c>
      <c r="G146" s="4" t="n">
        <v>0</v>
      </c>
      <c r="J146" s="11" t="b">
        <f aca="false">TRUE()</f>
        <v>1</v>
      </c>
      <c r="K146" s="4" t="s">
        <v>1829</v>
      </c>
      <c r="L146" s="4" t="n">
        <v>4</v>
      </c>
      <c r="M146" s="4" t="n">
        <v>4</v>
      </c>
      <c r="N146" s="4" t="n">
        <v>4</v>
      </c>
      <c r="O146" s="4" t="n">
        <v>4</v>
      </c>
      <c r="P146" s="0" t="str">
        <f aca="false">IF(E146=0,"not_reached",IF(AND(F146&gt;0,G146=0),"allowed","blocked"))</f>
        <v>allowed</v>
      </c>
      <c r="Q146" s="0" t="str">
        <f aca="false">IF(C146="success","published",IF(E146&gt;0,"blocked_at_gate","failed_before_gate"))</f>
        <v>published</v>
      </c>
      <c r="R146" s="0" t="str">
        <f aca="false">IF(C146="success","",IF(E146&gt;0,IF(I146="freshness_within_target","freshness",IF(I146="relationships_intact","relationships",IF(I146="reconciliation_residual_zero","residual",I146))),IF(H146="quality_gate","gate_infra",H146)))</f>
        <v/>
      </c>
    </row>
    <row r="147" customFormat="false" ht="15" hidden="false" customHeight="false" outlineLevel="0" collapsed="false">
      <c r="A147" s="4" t="s">
        <v>1830</v>
      </c>
      <c r="B147" s="10" t="n">
        <v>46250.0104166667</v>
      </c>
      <c r="C147" s="4" t="s">
        <v>1544</v>
      </c>
      <c r="D147" s="4" t="n">
        <v>1131</v>
      </c>
      <c r="E147" s="4" t="n">
        <v>7</v>
      </c>
      <c r="F147" s="4" t="n">
        <v>6</v>
      </c>
      <c r="G147" s="4" t="n">
        <v>0</v>
      </c>
      <c r="J147" s="11" t="b">
        <f aca="false">TRUE()</f>
        <v>1</v>
      </c>
      <c r="K147" s="4" t="s">
        <v>1831</v>
      </c>
      <c r="L147" s="4" t="n">
        <v>4</v>
      </c>
      <c r="M147" s="4" t="n">
        <v>4</v>
      </c>
      <c r="N147" s="4" t="n">
        <v>5</v>
      </c>
      <c r="O147" s="4" t="n">
        <v>4</v>
      </c>
      <c r="P147" s="0" t="str">
        <f aca="false">IF(E147=0,"not_reached",IF(AND(F147&gt;0,G147=0),"allowed","blocked"))</f>
        <v>allowed</v>
      </c>
      <c r="Q147" s="0" t="str">
        <f aca="false">IF(C147="success","published",IF(E147&gt;0,"blocked_at_gate","failed_before_gate"))</f>
        <v>published</v>
      </c>
      <c r="R147" s="0" t="str">
        <f aca="false">IF(C147="success","",IF(E147&gt;0,IF(I147="freshness_within_target","freshness",IF(I147="relationships_intact","relationships",IF(I147="reconciliation_residual_zero","residual",I147))),IF(H147="quality_gate","gate_infra",H147)))</f>
        <v/>
      </c>
    </row>
    <row r="148" customFormat="false" ht="15" hidden="false" customHeight="false" outlineLevel="0" collapsed="false">
      <c r="A148" s="4" t="s">
        <v>1832</v>
      </c>
      <c r="B148" s="10" t="n">
        <v>46250.0520833333</v>
      </c>
      <c r="C148" s="4" t="s">
        <v>1544</v>
      </c>
      <c r="D148" s="4" t="n">
        <v>955</v>
      </c>
      <c r="E148" s="4" t="n">
        <v>7</v>
      </c>
      <c r="F148" s="4" t="n">
        <v>6</v>
      </c>
      <c r="G148" s="4" t="n">
        <v>0</v>
      </c>
      <c r="J148" s="11" t="b">
        <f aca="false">TRUE()</f>
        <v>1</v>
      </c>
      <c r="K148" s="4" t="s">
        <v>1833</v>
      </c>
      <c r="L148" s="4" t="n">
        <v>4</v>
      </c>
      <c r="M148" s="4" t="n">
        <v>4</v>
      </c>
      <c r="N148" s="4" t="n">
        <v>4</v>
      </c>
      <c r="O148" s="4" t="n">
        <v>4</v>
      </c>
      <c r="P148" s="0" t="str">
        <f aca="false">IF(E148=0,"not_reached",IF(AND(F148&gt;0,G148=0),"allowed","blocked"))</f>
        <v>allowed</v>
      </c>
      <c r="Q148" s="0" t="str">
        <f aca="false">IF(C148="success","published",IF(E148&gt;0,"blocked_at_gate","failed_before_gate"))</f>
        <v>published</v>
      </c>
      <c r="R148" s="0" t="str">
        <f aca="false">IF(C148="success","",IF(E148&gt;0,IF(I148="freshness_within_target","freshness",IF(I148="relationships_intact","relationships",IF(I148="reconciliation_residual_zero","residual",I148))),IF(H148="quality_gate","gate_infra",H148)))</f>
        <v/>
      </c>
    </row>
    <row r="149" customFormat="false" ht="15" hidden="false" customHeight="false" outlineLevel="0" collapsed="false">
      <c r="A149" s="4" t="s">
        <v>1834</v>
      </c>
      <c r="B149" s="10" t="n">
        <v>46250.09375</v>
      </c>
      <c r="C149" s="4" t="s">
        <v>1544</v>
      </c>
      <c r="D149" s="4" t="n">
        <v>920</v>
      </c>
      <c r="E149" s="4" t="n">
        <v>7</v>
      </c>
      <c r="F149" s="4" t="n">
        <v>6</v>
      </c>
      <c r="G149" s="4" t="n">
        <v>0</v>
      </c>
      <c r="J149" s="11" t="b">
        <f aca="false">TRUE()</f>
        <v>1</v>
      </c>
      <c r="K149" s="4" t="s">
        <v>1835</v>
      </c>
      <c r="L149" s="4" t="n">
        <v>4</v>
      </c>
      <c r="M149" s="4" t="n">
        <v>4</v>
      </c>
      <c r="N149" s="4" t="n">
        <v>4</v>
      </c>
      <c r="O149" s="4" t="n">
        <v>4</v>
      </c>
      <c r="P149" s="0" t="str">
        <f aca="false">IF(E149=0,"not_reached",IF(AND(F149&gt;0,G149=0),"allowed","blocked"))</f>
        <v>allowed</v>
      </c>
      <c r="Q149" s="0" t="str">
        <f aca="false">IF(C149="success","published",IF(E149&gt;0,"blocked_at_gate","failed_before_gate"))</f>
        <v>published</v>
      </c>
      <c r="R149" s="0" t="str">
        <f aca="false">IF(C149="success","",IF(E149&gt;0,IF(I149="freshness_within_target","freshness",IF(I149="relationships_intact","relationships",IF(I149="reconciliation_residual_zero","residual",I149))),IF(H149="quality_gate","gate_infra",H149)))</f>
        <v/>
      </c>
    </row>
    <row r="150" customFormat="false" ht="15" hidden="false" customHeight="false" outlineLevel="0" collapsed="false">
      <c r="A150" s="4" t="s">
        <v>1836</v>
      </c>
      <c r="B150" s="10" t="n">
        <v>46250.1354166667</v>
      </c>
      <c r="C150" s="4" t="s">
        <v>1544</v>
      </c>
      <c r="D150" s="4" t="n">
        <v>925</v>
      </c>
      <c r="E150" s="4" t="n">
        <v>7</v>
      </c>
      <c r="F150" s="4" t="n">
        <v>6</v>
      </c>
      <c r="G150" s="4" t="n">
        <v>0</v>
      </c>
      <c r="J150" s="11" t="b">
        <f aca="false">TRUE()</f>
        <v>1</v>
      </c>
      <c r="K150" s="4" t="s">
        <v>1837</v>
      </c>
      <c r="L150" s="4" t="n">
        <v>4</v>
      </c>
      <c r="M150" s="4" t="n">
        <v>4</v>
      </c>
      <c r="N150" s="4" t="n">
        <v>4</v>
      </c>
      <c r="O150" s="4" t="n">
        <v>4</v>
      </c>
      <c r="P150" s="0" t="str">
        <f aca="false">IF(E150=0,"not_reached",IF(AND(F150&gt;0,G150=0),"allowed","blocked"))</f>
        <v>allowed</v>
      </c>
      <c r="Q150" s="0" t="str">
        <f aca="false">IF(C150="success","published",IF(E150&gt;0,"blocked_at_gate","failed_before_gate"))</f>
        <v>published</v>
      </c>
      <c r="R150" s="0" t="str">
        <f aca="false">IF(C150="success","",IF(E150&gt;0,IF(I150="freshness_within_target","freshness",IF(I150="relationships_intact","relationships",IF(I150="reconciliation_residual_zero","residual",I150))),IF(H150="quality_gate","gate_infra",H150)))</f>
        <v/>
      </c>
    </row>
    <row r="151" customFormat="false" ht="15" hidden="false" customHeight="false" outlineLevel="0" collapsed="false">
      <c r="A151" s="4" t="s">
        <v>1838</v>
      </c>
      <c r="B151" s="10" t="n">
        <v>46250.1770833333</v>
      </c>
      <c r="C151" s="4" t="s">
        <v>1544</v>
      </c>
      <c r="D151" s="4" t="n">
        <v>1228</v>
      </c>
      <c r="E151" s="4" t="n">
        <v>7</v>
      </c>
      <c r="F151" s="4" t="n">
        <v>6</v>
      </c>
      <c r="G151" s="4" t="n">
        <v>0</v>
      </c>
      <c r="J151" s="11" t="b">
        <f aca="false">TRUE()</f>
        <v>1</v>
      </c>
      <c r="K151" s="4" t="s">
        <v>1839</v>
      </c>
      <c r="L151" s="4" t="n">
        <v>4</v>
      </c>
      <c r="M151" s="4" t="n">
        <v>4</v>
      </c>
      <c r="N151" s="4" t="n">
        <v>5</v>
      </c>
      <c r="O151" s="4" t="n">
        <v>4</v>
      </c>
      <c r="P151" s="0" t="str">
        <f aca="false">IF(E151=0,"not_reached",IF(AND(F151&gt;0,G151=0),"allowed","blocked"))</f>
        <v>allowed</v>
      </c>
      <c r="Q151" s="0" t="str">
        <f aca="false">IF(C151="success","published",IF(E151&gt;0,"blocked_at_gate","failed_before_gate"))</f>
        <v>published</v>
      </c>
      <c r="R151" s="0" t="str">
        <f aca="false">IF(C151="success","",IF(E151&gt;0,IF(I151="freshness_within_target","freshness",IF(I151="relationships_intact","relationships",IF(I151="reconciliation_residual_zero","residual",I151))),IF(H151="quality_gate","gate_infra",H151)))</f>
        <v/>
      </c>
    </row>
    <row r="152" customFormat="false" ht="15" hidden="false" customHeight="false" outlineLevel="0" collapsed="false">
      <c r="A152" s="4" t="s">
        <v>1840</v>
      </c>
      <c r="B152" s="10" t="n">
        <v>46250.21875</v>
      </c>
      <c r="C152" s="4" t="s">
        <v>1544</v>
      </c>
      <c r="D152" s="4" t="n">
        <v>707</v>
      </c>
      <c r="E152" s="4" t="n">
        <v>7</v>
      </c>
      <c r="F152" s="4" t="n">
        <v>6</v>
      </c>
      <c r="G152" s="4" t="n">
        <v>0</v>
      </c>
      <c r="J152" s="11" t="b">
        <f aca="false">TRUE()</f>
        <v>1</v>
      </c>
      <c r="K152" s="4" t="s">
        <v>1841</v>
      </c>
      <c r="L152" s="4" t="n">
        <v>4</v>
      </c>
      <c r="M152" s="4" t="n">
        <v>4</v>
      </c>
      <c r="N152" s="4" t="n">
        <v>4</v>
      </c>
      <c r="O152" s="4" t="n">
        <v>4</v>
      </c>
      <c r="P152" s="0" t="str">
        <f aca="false">IF(E152=0,"not_reached",IF(AND(F152&gt;0,G152=0),"allowed","blocked"))</f>
        <v>allowed</v>
      </c>
      <c r="Q152" s="0" t="str">
        <f aca="false">IF(C152="success","published",IF(E152&gt;0,"blocked_at_gate","failed_before_gate"))</f>
        <v>published</v>
      </c>
      <c r="R152" s="0" t="str">
        <f aca="false">IF(C152="success","",IF(E152&gt;0,IF(I152="freshness_within_target","freshness",IF(I152="relationships_intact","relationships",IF(I152="reconciliation_residual_zero","residual",I152))),IF(H152="quality_gate","gate_infra",H152)))</f>
        <v/>
      </c>
    </row>
    <row r="153" customFormat="false" ht="15" hidden="false" customHeight="false" outlineLevel="0" collapsed="false">
      <c r="A153" s="4" t="s">
        <v>1842</v>
      </c>
      <c r="B153" s="10" t="n">
        <v>46250.2604166667</v>
      </c>
      <c r="C153" s="4" t="s">
        <v>1544</v>
      </c>
      <c r="D153" s="4" t="n">
        <v>879</v>
      </c>
      <c r="E153" s="4" t="n">
        <v>7</v>
      </c>
      <c r="F153" s="4" t="n">
        <v>6</v>
      </c>
      <c r="G153" s="4" t="n">
        <v>0</v>
      </c>
      <c r="J153" s="11" t="b">
        <f aca="false">TRUE()</f>
        <v>1</v>
      </c>
      <c r="K153" s="4" t="s">
        <v>1843</v>
      </c>
      <c r="L153" s="4" t="n">
        <v>4</v>
      </c>
      <c r="M153" s="4" t="n">
        <v>4</v>
      </c>
      <c r="N153" s="4" t="n">
        <v>4</v>
      </c>
      <c r="O153" s="4" t="n">
        <v>4</v>
      </c>
      <c r="P153" s="0" t="str">
        <f aca="false">IF(E153=0,"not_reached",IF(AND(F153&gt;0,G153=0),"allowed","blocked"))</f>
        <v>allowed</v>
      </c>
      <c r="Q153" s="0" t="str">
        <f aca="false">IF(C153="success","published",IF(E153&gt;0,"blocked_at_gate","failed_before_gate"))</f>
        <v>published</v>
      </c>
      <c r="R153" s="0" t="str">
        <f aca="false">IF(C153="success","",IF(E153&gt;0,IF(I153="freshness_within_target","freshness",IF(I153="relationships_intact","relationships",IF(I153="reconciliation_residual_zero","residual",I153))),IF(H153="quality_gate","gate_infra",H153)))</f>
        <v/>
      </c>
    </row>
    <row r="154" customFormat="false" ht="15" hidden="false" customHeight="false" outlineLevel="0" collapsed="false">
      <c r="A154" s="4" t="s">
        <v>1844</v>
      </c>
      <c r="B154" s="10" t="n">
        <v>46250.3020833333</v>
      </c>
      <c r="C154" s="4" t="s">
        <v>1544</v>
      </c>
      <c r="D154" s="4" t="n">
        <v>935</v>
      </c>
      <c r="E154" s="4" t="n">
        <v>7</v>
      </c>
      <c r="F154" s="4" t="n">
        <v>6</v>
      </c>
      <c r="G154" s="4" t="n">
        <v>0</v>
      </c>
      <c r="J154" s="11" t="b">
        <f aca="false">TRUE()</f>
        <v>1</v>
      </c>
      <c r="K154" s="4" t="s">
        <v>1845</v>
      </c>
      <c r="L154" s="4" t="n">
        <v>4</v>
      </c>
      <c r="M154" s="4" t="n">
        <v>4</v>
      </c>
      <c r="N154" s="4" t="n">
        <v>4</v>
      </c>
      <c r="O154" s="4" t="n">
        <v>4</v>
      </c>
      <c r="P154" s="0" t="str">
        <f aca="false">IF(E154=0,"not_reached",IF(AND(F154&gt;0,G154=0),"allowed","blocked"))</f>
        <v>allowed</v>
      </c>
      <c r="Q154" s="0" t="str">
        <f aca="false">IF(C154="success","published",IF(E154&gt;0,"blocked_at_gate","failed_before_gate"))</f>
        <v>published</v>
      </c>
      <c r="R154" s="0" t="str">
        <f aca="false">IF(C154="success","",IF(E154&gt;0,IF(I154="freshness_within_target","freshness",IF(I154="relationships_intact","relationships",IF(I154="reconciliation_residual_zero","residual",I154))),IF(H154="quality_gate","gate_infra",H154)))</f>
        <v/>
      </c>
    </row>
    <row r="155" customFormat="false" ht="15" hidden="false" customHeight="false" outlineLevel="0" collapsed="false">
      <c r="A155" s="4" t="s">
        <v>1846</v>
      </c>
      <c r="B155" s="10" t="n">
        <v>46250.34375</v>
      </c>
      <c r="C155" s="4" t="s">
        <v>1544</v>
      </c>
      <c r="D155" s="4" t="n">
        <v>854</v>
      </c>
      <c r="E155" s="4" t="n">
        <v>7</v>
      </c>
      <c r="F155" s="4" t="n">
        <v>6</v>
      </c>
      <c r="G155" s="4" t="n">
        <v>0</v>
      </c>
      <c r="J155" s="11" t="b">
        <f aca="false">TRUE()</f>
        <v>1</v>
      </c>
      <c r="K155" s="4" t="s">
        <v>1847</v>
      </c>
      <c r="L155" s="4" t="n">
        <v>4</v>
      </c>
      <c r="M155" s="4" t="n">
        <v>4</v>
      </c>
      <c r="N155" s="4" t="n">
        <v>4</v>
      </c>
      <c r="O155" s="4" t="n">
        <v>4</v>
      </c>
      <c r="P155" s="0" t="str">
        <f aca="false">IF(E155=0,"not_reached",IF(AND(F155&gt;0,G155=0),"allowed","blocked"))</f>
        <v>allowed</v>
      </c>
      <c r="Q155" s="0" t="str">
        <f aca="false">IF(C155="success","published",IF(E155&gt;0,"blocked_at_gate","failed_before_gate"))</f>
        <v>published</v>
      </c>
      <c r="R155" s="0" t="str">
        <f aca="false">IF(C155="success","",IF(E155&gt;0,IF(I155="freshness_within_target","freshness",IF(I155="relationships_intact","relationships",IF(I155="reconciliation_residual_zero","residual",I155))),IF(H155="quality_gate","gate_infra",H155)))</f>
        <v/>
      </c>
    </row>
    <row r="156" customFormat="false" ht="15" hidden="false" customHeight="false" outlineLevel="0" collapsed="false">
      <c r="A156" s="4" t="s">
        <v>1848</v>
      </c>
      <c r="B156" s="10" t="n">
        <v>46250.3854166667</v>
      </c>
      <c r="C156" s="4" t="s">
        <v>1544</v>
      </c>
      <c r="D156" s="4" t="n">
        <v>1174</v>
      </c>
      <c r="E156" s="4" t="n">
        <v>7</v>
      </c>
      <c r="F156" s="4" t="n">
        <v>6</v>
      </c>
      <c r="G156" s="4" t="n">
        <v>0</v>
      </c>
      <c r="J156" s="11" t="b">
        <f aca="false">TRUE()</f>
        <v>1</v>
      </c>
      <c r="K156" s="4" t="s">
        <v>1849</v>
      </c>
      <c r="L156" s="4" t="n">
        <v>4</v>
      </c>
      <c r="M156" s="4" t="n">
        <v>4</v>
      </c>
      <c r="N156" s="4" t="n">
        <v>5</v>
      </c>
      <c r="O156" s="4" t="n">
        <v>4</v>
      </c>
      <c r="P156" s="0" t="str">
        <f aca="false">IF(E156=0,"not_reached",IF(AND(F156&gt;0,G156=0),"allowed","blocked"))</f>
        <v>allowed</v>
      </c>
      <c r="Q156" s="0" t="str">
        <f aca="false">IF(C156="success","published",IF(E156&gt;0,"blocked_at_gate","failed_before_gate"))</f>
        <v>published</v>
      </c>
      <c r="R156" s="0" t="str">
        <f aca="false">IF(C156="success","",IF(E156&gt;0,IF(I156="freshness_within_target","freshness",IF(I156="relationships_intact","relationships",IF(I156="reconciliation_residual_zero","residual",I156))),IF(H156="quality_gate","gate_infra",H156)))</f>
        <v/>
      </c>
    </row>
    <row r="157" customFormat="false" ht="15" hidden="false" customHeight="false" outlineLevel="0" collapsed="false">
      <c r="A157" s="4" t="s">
        <v>1850</v>
      </c>
      <c r="B157" s="10" t="n">
        <v>46250.4270833333</v>
      </c>
      <c r="C157" s="4" t="s">
        <v>1544</v>
      </c>
      <c r="D157" s="4" t="n">
        <v>747</v>
      </c>
      <c r="E157" s="4" t="n">
        <v>7</v>
      </c>
      <c r="F157" s="4" t="n">
        <v>6</v>
      </c>
      <c r="G157" s="4" t="n">
        <v>0</v>
      </c>
      <c r="J157" s="11" t="b">
        <f aca="false">TRUE()</f>
        <v>1</v>
      </c>
      <c r="K157" s="4" t="s">
        <v>1851</v>
      </c>
      <c r="L157" s="4" t="n">
        <v>4</v>
      </c>
      <c r="M157" s="4" t="n">
        <v>4</v>
      </c>
      <c r="N157" s="4" t="n">
        <v>4</v>
      </c>
      <c r="O157" s="4" t="n">
        <v>4</v>
      </c>
      <c r="P157" s="0" t="str">
        <f aca="false">IF(E157=0,"not_reached",IF(AND(F157&gt;0,G157=0),"allowed","blocked"))</f>
        <v>allowed</v>
      </c>
      <c r="Q157" s="0" t="str">
        <f aca="false">IF(C157="success","published",IF(E157&gt;0,"blocked_at_gate","failed_before_gate"))</f>
        <v>published</v>
      </c>
      <c r="R157" s="0" t="str">
        <f aca="false">IF(C157="success","",IF(E157&gt;0,IF(I157="freshness_within_target","freshness",IF(I157="relationships_intact","relationships",IF(I157="reconciliation_residual_zero","residual",I157))),IF(H157="quality_gate","gate_infra",H157)))</f>
        <v/>
      </c>
    </row>
    <row r="158" customFormat="false" ht="15" hidden="false" customHeight="false" outlineLevel="0" collapsed="false">
      <c r="A158" s="4" t="s">
        <v>1852</v>
      </c>
      <c r="B158" s="10" t="n">
        <v>46250.46875</v>
      </c>
      <c r="C158" s="4" t="s">
        <v>1544</v>
      </c>
      <c r="D158" s="4" t="n">
        <v>931</v>
      </c>
      <c r="E158" s="4" t="n">
        <v>7</v>
      </c>
      <c r="F158" s="4" t="n">
        <v>6</v>
      </c>
      <c r="G158" s="4" t="n">
        <v>0</v>
      </c>
      <c r="J158" s="11" t="b">
        <f aca="false">TRUE()</f>
        <v>1</v>
      </c>
      <c r="K158" s="4" t="s">
        <v>1853</v>
      </c>
      <c r="L158" s="4" t="n">
        <v>4</v>
      </c>
      <c r="M158" s="4" t="n">
        <v>4</v>
      </c>
      <c r="N158" s="4" t="n">
        <v>4</v>
      </c>
      <c r="O158" s="4" t="n">
        <v>4</v>
      </c>
      <c r="P158" s="0" t="str">
        <f aca="false">IF(E158=0,"not_reached",IF(AND(F158&gt;0,G158=0),"allowed","blocked"))</f>
        <v>allowed</v>
      </c>
      <c r="Q158" s="0" t="str">
        <f aca="false">IF(C158="success","published",IF(E158&gt;0,"blocked_at_gate","failed_before_gate"))</f>
        <v>published</v>
      </c>
      <c r="R158" s="0" t="str">
        <f aca="false">IF(C158="success","",IF(E158&gt;0,IF(I158="freshness_within_target","freshness",IF(I158="relationships_intact","relationships",IF(I158="reconciliation_residual_zero","residual",I158))),IF(H158="quality_gate","gate_infra",H158)))</f>
        <v/>
      </c>
    </row>
    <row r="159" customFormat="false" ht="15" hidden="false" customHeight="false" outlineLevel="0" collapsed="false">
      <c r="A159" s="4" t="s">
        <v>1854</v>
      </c>
      <c r="B159" s="10" t="n">
        <v>46250.5104166667</v>
      </c>
      <c r="C159" s="4" t="s">
        <v>1544</v>
      </c>
      <c r="D159" s="4" t="n">
        <v>695</v>
      </c>
      <c r="E159" s="4" t="n">
        <v>7</v>
      </c>
      <c r="F159" s="4" t="n">
        <v>6</v>
      </c>
      <c r="G159" s="4" t="n">
        <v>0</v>
      </c>
      <c r="J159" s="11" t="b">
        <f aca="false">TRUE()</f>
        <v>1</v>
      </c>
      <c r="K159" s="4" t="s">
        <v>1855</v>
      </c>
      <c r="L159" s="4" t="n">
        <v>4</v>
      </c>
      <c r="M159" s="4" t="n">
        <v>4</v>
      </c>
      <c r="N159" s="4" t="n">
        <v>4</v>
      </c>
      <c r="O159" s="4" t="n">
        <v>4</v>
      </c>
      <c r="P159" s="0" t="str">
        <f aca="false">IF(E159=0,"not_reached",IF(AND(F159&gt;0,G159=0),"allowed","blocked"))</f>
        <v>allowed</v>
      </c>
      <c r="Q159" s="0" t="str">
        <f aca="false">IF(C159="success","published",IF(E159&gt;0,"blocked_at_gate","failed_before_gate"))</f>
        <v>published</v>
      </c>
      <c r="R159" s="0" t="str">
        <f aca="false">IF(C159="success","",IF(E159&gt;0,IF(I159="freshness_within_target","freshness",IF(I159="relationships_intact","relationships",IF(I159="reconciliation_residual_zero","residual",I159))),IF(H159="quality_gate","gate_infra",H159)))</f>
        <v/>
      </c>
    </row>
    <row r="160" customFormat="false" ht="15" hidden="false" customHeight="false" outlineLevel="0" collapsed="false">
      <c r="A160" s="4" t="s">
        <v>1856</v>
      </c>
      <c r="B160" s="10" t="n">
        <v>46250.5520833333</v>
      </c>
      <c r="C160" s="4" t="s">
        <v>1544</v>
      </c>
      <c r="D160" s="4" t="n">
        <v>819</v>
      </c>
      <c r="E160" s="4" t="n">
        <v>7</v>
      </c>
      <c r="F160" s="4" t="n">
        <v>6</v>
      </c>
      <c r="G160" s="4" t="n">
        <v>0</v>
      </c>
      <c r="J160" s="11" t="b">
        <f aca="false">TRUE()</f>
        <v>1</v>
      </c>
      <c r="K160" s="4" t="s">
        <v>1857</v>
      </c>
      <c r="L160" s="4" t="n">
        <v>4</v>
      </c>
      <c r="M160" s="4" t="n">
        <v>4</v>
      </c>
      <c r="N160" s="4" t="n">
        <v>4</v>
      </c>
      <c r="O160" s="4" t="n">
        <v>4</v>
      </c>
      <c r="P160" s="0" t="str">
        <f aca="false">IF(E160=0,"not_reached",IF(AND(F160&gt;0,G160=0),"allowed","blocked"))</f>
        <v>allowed</v>
      </c>
      <c r="Q160" s="0" t="str">
        <f aca="false">IF(C160="success","published",IF(E160&gt;0,"blocked_at_gate","failed_before_gate"))</f>
        <v>published</v>
      </c>
      <c r="R160" s="0" t="str">
        <f aca="false">IF(C160="success","",IF(E160&gt;0,IF(I160="freshness_within_target","freshness",IF(I160="relationships_intact","relationships",IF(I160="reconciliation_residual_zero","residual",I160))),IF(H160="quality_gate","gate_infra",H160)))</f>
        <v/>
      </c>
    </row>
    <row r="161" customFormat="false" ht="15" hidden="false" customHeight="false" outlineLevel="0" collapsed="false">
      <c r="A161" s="4" t="s">
        <v>1858</v>
      </c>
      <c r="B161" s="10" t="n">
        <v>46250.59375</v>
      </c>
      <c r="C161" s="4" t="s">
        <v>1544</v>
      </c>
      <c r="D161" s="4" t="n">
        <v>711</v>
      </c>
      <c r="E161" s="4" t="n">
        <v>7</v>
      </c>
      <c r="F161" s="4" t="n">
        <v>6</v>
      </c>
      <c r="G161" s="4" t="n">
        <v>0</v>
      </c>
      <c r="J161" s="11" t="b">
        <f aca="false">TRUE()</f>
        <v>1</v>
      </c>
      <c r="K161" s="4" t="s">
        <v>1859</v>
      </c>
      <c r="L161" s="4" t="n">
        <v>4</v>
      </c>
      <c r="M161" s="4" t="n">
        <v>4</v>
      </c>
      <c r="N161" s="4" t="n">
        <v>4</v>
      </c>
      <c r="O161" s="4" t="n">
        <v>4</v>
      </c>
      <c r="P161" s="0" t="str">
        <f aca="false">IF(E161=0,"not_reached",IF(AND(F161&gt;0,G161=0),"allowed","blocked"))</f>
        <v>allowed</v>
      </c>
      <c r="Q161" s="0" t="str">
        <f aca="false">IF(C161="success","published",IF(E161&gt;0,"blocked_at_gate","failed_before_gate"))</f>
        <v>published</v>
      </c>
      <c r="R161" s="0" t="str">
        <f aca="false">IF(C161="success","",IF(E161&gt;0,IF(I161="freshness_within_target","freshness",IF(I161="relationships_intact","relationships",IF(I161="reconciliation_residual_zero","residual",I161))),IF(H161="quality_gate","gate_infra",H161)))</f>
        <v/>
      </c>
    </row>
    <row r="162" customFormat="false" ht="15" hidden="false" customHeight="false" outlineLevel="0" collapsed="false">
      <c r="A162" s="4" t="s">
        <v>1860</v>
      </c>
      <c r="B162" s="10" t="n">
        <v>46250.6354166667</v>
      </c>
      <c r="C162" s="4" t="s">
        <v>1544</v>
      </c>
      <c r="D162" s="4" t="n">
        <v>944</v>
      </c>
      <c r="E162" s="4" t="n">
        <v>7</v>
      </c>
      <c r="F162" s="4" t="n">
        <v>6</v>
      </c>
      <c r="G162" s="4" t="n">
        <v>0</v>
      </c>
      <c r="J162" s="11" t="b">
        <f aca="false">TRUE()</f>
        <v>1</v>
      </c>
      <c r="K162" s="4" t="s">
        <v>1861</v>
      </c>
      <c r="L162" s="4" t="n">
        <v>4</v>
      </c>
      <c r="M162" s="4" t="n">
        <v>4</v>
      </c>
      <c r="N162" s="4" t="n">
        <v>4</v>
      </c>
      <c r="O162" s="4" t="n">
        <v>4</v>
      </c>
      <c r="P162" s="0" t="str">
        <f aca="false">IF(E162=0,"not_reached",IF(AND(F162&gt;0,G162=0),"allowed","blocked"))</f>
        <v>allowed</v>
      </c>
      <c r="Q162" s="0" t="str">
        <f aca="false">IF(C162="success","published",IF(E162&gt;0,"blocked_at_gate","failed_before_gate"))</f>
        <v>published</v>
      </c>
      <c r="R162" s="0" t="str">
        <f aca="false">IF(C162="success","",IF(E162&gt;0,IF(I162="freshness_within_target","freshness",IF(I162="relationships_intact","relationships",IF(I162="reconciliation_residual_zero","residual",I162))),IF(H162="quality_gate","gate_infra",H162)))</f>
        <v/>
      </c>
    </row>
    <row r="163" customFormat="false" ht="15" hidden="false" customHeight="false" outlineLevel="0" collapsed="false">
      <c r="A163" s="4" t="s">
        <v>1862</v>
      </c>
      <c r="B163" s="10" t="n">
        <v>46250.6770833333</v>
      </c>
      <c r="C163" s="4" t="s">
        <v>1544</v>
      </c>
      <c r="D163" s="4" t="n">
        <v>790</v>
      </c>
      <c r="E163" s="4" t="n">
        <v>7</v>
      </c>
      <c r="F163" s="4" t="n">
        <v>6</v>
      </c>
      <c r="G163" s="4" t="n">
        <v>0</v>
      </c>
      <c r="J163" s="11" t="b">
        <f aca="false">TRUE()</f>
        <v>1</v>
      </c>
      <c r="K163" s="4" t="s">
        <v>1863</v>
      </c>
      <c r="L163" s="4" t="n">
        <v>4</v>
      </c>
      <c r="M163" s="4" t="n">
        <v>4</v>
      </c>
      <c r="N163" s="4" t="n">
        <v>4</v>
      </c>
      <c r="O163" s="4" t="n">
        <v>4</v>
      </c>
      <c r="P163" s="0" t="str">
        <f aca="false">IF(E163=0,"not_reached",IF(AND(F163&gt;0,G163=0),"allowed","blocked"))</f>
        <v>allowed</v>
      </c>
      <c r="Q163" s="0" t="str">
        <f aca="false">IF(C163="success","published",IF(E163&gt;0,"blocked_at_gate","failed_before_gate"))</f>
        <v>published</v>
      </c>
      <c r="R163" s="0" t="str">
        <f aca="false">IF(C163="success","",IF(E163&gt;0,IF(I163="freshness_within_target","freshness",IF(I163="relationships_intact","relationships",IF(I163="reconciliation_residual_zero","residual",I163))),IF(H163="quality_gate","gate_infra",H163)))</f>
        <v/>
      </c>
    </row>
    <row r="164" customFormat="false" ht="15" hidden="false" customHeight="false" outlineLevel="0" collapsed="false">
      <c r="A164" s="4" t="s">
        <v>1864</v>
      </c>
      <c r="B164" s="10" t="n">
        <v>46250.71875</v>
      </c>
      <c r="C164" s="4" t="s">
        <v>1544</v>
      </c>
      <c r="D164" s="4" t="n">
        <v>719</v>
      </c>
      <c r="E164" s="4" t="n">
        <v>7</v>
      </c>
      <c r="F164" s="4" t="n">
        <v>6</v>
      </c>
      <c r="G164" s="4" t="n">
        <v>0</v>
      </c>
      <c r="J164" s="11" t="b">
        <f aca="false">TRUE()</f>
        <v>1</v>
      </c>
      <c r="K164" s="4" t="s">
        <v>1865</v>
      </c>
      <c r="L164" s="4" t="n">
        <v>4</v>
      </c>
      <c r="M164" s="4" t="n">
        <v>4</v>
      </c>
      <c r="N164" s="4" t="n">
        <v>4</v>
      </c>
      <c r="O164" s="4" t="n">
        <v>4</v>
      </c>
      <c r="P164" s="0" t="str">
        <f aca="false">IF(E164=0,"not_reached",IF(AND(F164&gt;0,G164=0),"allowed","blocked"))</f>
        <v>allowed</v>
      </c>
      <c r="Q164" s="0" t="str">
        <f aca="false">IF(C164="success","published",IF(E164&gt;0,"blocked_at_gate","failed_before_gate"))</f>
        <v>published</v>
      </c>
      <c r="R164" s="0" t="str">
        <f aca="false">IF(C164="success","",IF(E164&gt;0,IF(I164="freshness_within_target","freshness",IF(I164="relationships_intact","relationships",IF(I164="reconciliation_residual_zero","residual",I164))),IF(H164="quality_gate","gate_infra",H164)))</f>
        <v/>
      </c>
    </row>
    <row r="165" customFormat="false" ht="15" hidden="false" customHeight="false" outlineLevel="0" collapsed="false">
      <c r="A165" s="4" t="s">
        <v>1866</v>
      </c>
      <c r="B165" s="10" t="n">
        <v>46250.7604166667</v>
      </c>
      <c r="C165" s="4" t="s">
        <v>1544</v>
      </c>
      <c r="D165" s="4" t="n">
        <v>739</v>
      </c>
      <c r="E165" s="4" t="n">
        <v>7</v>
      </c>
      <c r="F165" s="4" t="n">
        <v>6</v>
      </c>
      <c r="G165" s="4" t="n">
        <v>0</v>
      </c>
      <c r="J165" s="11" t="b">
        <f aca="false">TRUE()</f>
        <v>1</v>
      </c>
      <c r="K165" s="4" t="s">
        <v>1867</v>
      </c>
      <c r="L165" s="4" t="n">
        <v>4</v>
      </c>
      <c r="M165" s="4" t="n">
        <v>4</v>
      </c>
      <c r="N165" s="4" t="n">
        <v>4</v>
      </c>
      <c r="O165" s="4" t="n">
        <v>4</v>
      </c>
      <c r="P165" s="0" t="str">
        <f aca="false">IF(E165=0,"not_reached",IF(AND(F165&gt;0,G165=0),"allowed","blocked"))</f>
        <v>allowed</v>
      </c>
      <c r="Q165" s="0" t="str">
        <f aca="false">IF(C165="success","published",IF(E165&gt;0,"blocked_at_gate","failed_before_gate"))</f>
        <v>published</v>
      </c>
      <c r="R165" s="0" t="str">
        <f aca="false">IF(C165="success","",IF(E165&gt;0,IF(I165="freshness_within_target","freshness",IF(I165="relationships_intact","relationships",IF(I165="reconciliation_residual_zero","residual",I165))),IF(H165="quality_gate","gate_infra",H165)))</f>
        <v/>
      </c>
    </row>
    <row r="166" customFormat="false" ht="15" hidden="false" customHeight="false" outlineLevel="0" collapsed="false">
      <c r="A166" s="4" t="s">
        <v>1868</v>
      </c>
      <c r="B166" s="10" t="n">
        <v>46250.8020833333</v>
      </c>
      <c r="C166" s="4" t="s">
        <v>1544</v>
      </c>
      <c r="D166" s="4" t="n">
        <v>919</v>
      </c>
      <c r="E166" s="4" t="n">
        <v>7</v>
      </c>
      <c r="F166" s="4" t="n">
        <v>6</v>
      </c>
      <c r="G166" s="4" t="n">
        <v>0</v>
      </c>
      <c r="J166" s="11" t="b">
        <f aca="false">TRUE()</f>
        <v>1</v>
      </c>
      <c r="K166" s="4" t="s">
        <v>1869</v>
      </c>
      <c r="L166" s="4" t="n">
        <v>4</v>
      </c>
      <c r="M166" s="4" t="n">
        <v>4</v>
      </c>
      <c r="N166" s="4" t="n">
        <v>4</v>
      </c>
      <c r="O166" s="4" t="n">
        <v>4</v>
      </c>
      <c r="P166" s="0" t="str">
        <f aca="false">IF(E166=0,"not_reached",IF(AND(F166&gt;0,G166=0),"allowed","blocked"))</f>
        <v>allowed</v>
      </c>
      <c r="Q166" s="0" t="str">
        <f aca="false">IF(C166="success","published",IF(E166&gt;0,"blocked_at_gate","failed_before_gate"))</f>
        <v>published</v>
      </c>
      <c r="R166" s="0" t="str">
        <f aca="false">IF(C166="success","",IF(E166&gt;0,IF(I166="freshness_within_target","freshness",IF(I166="relationships_intact","relationships",IF(I166="reconciliation_residual_zero","residual",I166))),IF(H166="quality_gate","gate_infra",H166)))</f>
        <v/>
      </c>
    </row>
    <row r="167" customFormat="false" ht="15" hidden="false" customHeight="false" outlineLevel="0" collapsed="false">
      <c r="A167" s="4" t="s">
        <v>1870</v>
      </c>
      <c r="B167" s="10" t="n">
        <v>46250.84375</v>
      </c>
      <c r="C167" s="4" t="s">
        <v>1544</v>
      </c>
      <c r="D167" s="4" t="n">
        <v>910</v>
      </c>
      <c r="E167" s="4" t="n">
        <v>7</v>
      </c>
      <c r="F167" s="4" t="n">
        <v>6</v>
      </c>
      <c r="G167" s="4" t="n">
        <v>0</v>
      </c>
      <c r="J167" s="11" t="b">
        <f aca="false">TRUE()</f>
        <v>1</v>
      </c>
      <c r="K167" s="4" t="s">
        <v>1871</v>
      </c>
      <c r="L167" s="4" t="n">
        <v>4</v>
      </c>
      <c r="M167" s="4" t="n">
        <v>4</v>
      </c>
      <c r="N167" s="4" t="n">
        <v>4</v>
      </c>
      <c r="O167" s="4" t="n">
        <v>4</v>
      </c>
      <c r="P167" s="0" t="str">
        <f aca="false">IF(E167=0,"not_reached",IF(AND(F167&gt;0,G167=0),"allowed","blocked"))</f>
        <v>allowed</v>
      </c>
      <c r="Q167" s="0" t="str">
        <f aca="false">IF(C167="success","published",IF(E167&gt;0,"blocked_at_gate","failed_before_gate"))</f>
        <v>published</v>
      </c>
      <c r="R167" s="0" t="str">
        <f aca="false">IF(C167="success","",IF(E167&gt;0,IF(I167="freshness_within_target","freshness",IF(I167="relationships_intact","relationships",IF(I167="reconciliation_residual_zero","residual",I167))),IF(H167="quality_gate","gate_infra",H167)))</f>
        <v/>
      </c>
    </row>
    <row r="168" customFormat="false" ht="15" hidden="false" customHeight="false" outlineLevel="0" collapsed="false">
      <c r="A168" s="4" t="s">
        <v>1872</v>
      </c>
      <c r="B168" s="10" t="n">
        <v>46250.8854166667</v>
      </c>
      <c r="C168" s="4" t="s">
        <v>1544</v>
      </c>
      <c r="D168" s="4" t="n">
        <v>849</v>
      </c>
      <c r="E168" s="4" t="n">
        <v>7</v>
      </c>
      <c r="F168" s="4" t="n">
        <v>6</v>
      </c>
      <c r="G168" s="4" t="n">
        <v>0</v>
      </c>
      <c r="J168" s="11" t="b">
        <f aca="false">TRUE()</f>
        <v>1</v>
      </c>
      <c r="K168" s="4" t="s">
        <v>1873</v>
      </c>
      <c r="L168" s="4" t="n">
        <v>4</v>
      </c>
      <c r="M168" s="4" t="n">
        <v>4</v>
      </c>
      <c r="N168" s="4" t="n">
        <v>4</v>
      </c>
      <c r="O168" s="4" t="n">
        <v>4</v>
      </c>
      <c r="P168" s="0" t="str">
        <f aca="false">IF(E168=0,"not_reached",IF(AND(F168&gt;0,G168=0),"allowed","blocked"))</f>
        <v>allowed</v>
      </c>
      <c r="Q168" s="0" t="str">
        <f aca="false">IF(C168="success","published",IF(E168&gt;0,"blocked_at_gate","failed_before_gate"))</f>
        <v>published</v>
      </c>
      <c r="R168" s="0" t="str">
        <f aca="false">IF(C168="success","",IF(E168&gt;0,IF(I168="freshness_within_target","freshness",IF(I168="relationships_intact","relationships",IF(I168="reconciliation_residual_zero","residual",I168))),IF(H168="quality_gate","gate_infra",H168)))</f>
        <v/>
      </c>
    </row>
    <row r="169" customFormat="false" ht="15" hidden="false" customHeight="false" outlineLevel="0" collapsed="false">
      <c r="A169" s="4" t="s">
        <v>1874</v>
      </c>
      <c r="B169" s="10" t="n">
        <v>46250.9270833333</v>
      </c>
      <c r="C169" s="4" t="s">
        <v>1544</v>
      </c>
      <c r="D169" s="4" t="n">
        <v>904</v>
      </c>
      <c r="E169" s="4" t="n">
        <v>7</v>
      </c>
      <c r="F169" s="4" t="n">
        <v>6</v>
      </c>
      <c r="G169" s="4" t="n">
        <v>0</v>
      </c>
      <c r="J169" s="11" t="b">
        <f aca="false">TRUE()</f>
        <v>1</v>
      </c>
      <c r="K169" s="4" t="s">
        <v>1875</v>
      </c>
      <c r="L169" s="4" t="n">
        <v>4</v>
      </c>
      <c r="M169" s="4" t="n">
        <v>4</v>
      </c>
      <c r="N169" s="4" t="n">
        <v>4</v>
      </c>
      <c r="O169" s="4" t="n">
        <v>4</v>
      </c>
      <c r="P169" s="0" t="str">
        <f aca="false">IF(E169=0,"not_reached",IF(AND(F169&gt;0,G169=0),"allowed","blocked"))</f>
        <v>allowed</v>
      </c>
      <c r="Q169" s="0" t="str">
        <f aca="false">IF(C169="success","published",IF(E169&gt;0,"blocked_at_gate","failed_before_gate"))</f>
        <v>published</v>
      </c>
      <c r="R169" s="0" t="str">
        <f aca="false">IF(C169="success","",IF(E169&gt;0,IF(I169="freshness_within_target","freshness",IF(I169="relationships_intact","relationships",IF(I169="reconciliation_residual_zero","residual",I169))),IF(H169="quality_gate","gate_infra",H169)))</f>
        <v/>
      </c>
    </row>
    <row r="170" customFormat="false" ht="15" hidden="false" customHeight="false" outlineLevel="0" collapsed="false">
      <c r="A170" s="4" t="s">
        <v>1876</v>
      </c>
      <c r="B170" s="10" t="n">
        <v>46250.96875</v>
      </c>
      <c r="C170" s="4" t="s">
        <v>1544</v>
      </c>
      <c r="D170" s="4" t="n">
        <v>666</v>
      </c>
      <c r="E170" s="4" t="n">
        <v>7</v>
      </c>
      <c r="F170" s="4" t="n">
        <v>6</v>
      </c>
      <c r="G170" s="4" t="n">
        <v>0</v>
      </c>
      <c r="J170" s="11" t="b">
        <f aca="false">TRUE()</f>
        <v>1</v>
      </c>
      <c r="K170" s="4" t="s">
        <v>1877</v>
      </c>
      <c r="L170" s="4" t="n">
        <v>4</v>
      </c>
      <c r="M170" s="4" t="n">
        <v>4</v>
      </c>
      <c r="N170" s="4" t="n">
        <v>4</v>
      </c>
      <c r="O170" s="4" t="n">
        <v>4</v>
      </c>
      <c r="P170" s="0" t="str">
        <f aca="false">IF(E170=0,"not_reached",IF(AND(F170&gt;0,G170=0),"allowed","blocked"))</f>
        <v>allowed</v>
      </c>
      <c r="Q170" s="0" t="str">
        <f aca="false">IF(C170="success","published",IF(E170&gt;0,"blocked_at_gate","failed_before_gate"))</f>
        <v>published</v>
      </c>
      <c r="R170" s="0" t="str">
        <f aca="false">IF(C170="success","",IF(E170&gt;0,IF(I170="freshness_within_target","freshness",IF(I170="relationships_intact","relationships",IF(I170="reconciliation_residual_zero","residual",I170))),IF(H170="quality_gate","gate_infra",H170)))</f>
        <v/>
      </c>
    </row>
    <row r="171" customFormat="false" ht="15" hidden="false" customHeight="false" outlineLevel="0" collapsed="false">
      <c r="A171" s="4" t="s">
        <v>1878</v>
      </c>
      <c r="B171" s="10" t="n">
        <v>46251.0104166667</v>
      </c>
      <c r="C171" s="4" t="s">
        <v>1544</v>
      </c>
      <c r="D171" s="4" t="n">
        <v>680</v>
      </c>
      <c r="E171" s="4" t="n">
        <v>7</v>
      </c>
      <c r="F171" s="4" t="n">
        <v>6</v>
      </c>
      <c r="G171" s="4" t="n">
        <v>0</v>
      </c>
      <c r="J171" s="11" t="b">
        <f aca="false">TRUE()</f>
        <v>1</v>
      </c>
      <c r="K171" s="4" t="s">
        <v>1879</v>
      </c>
      <c r="L171" s="4" t="n">
        <v>4</v>
      </c>
      <c r="M171" s="4" t="n">
        <v>4</v>
      </c>
      <c r="N171" s="4" t="n">
        <v>4</v>
      </c>
      <c r="O171" s="4" t="n">
        <v>4</v>
      </c>
      <c r="P171" s="0" t="str">
        <f aca="false">IF(E171=0,"not_reached",IF(AND(F171&gt;0,G171=0),"allowed","blocked"))</f>
        <v>allowed</v>
      </c>
      <c r="Q171" s="0" t="str">
        <f aca="false">IF(C171="success","published",IF(E171&gt;0,"blocked_at_gate","failed_before_gate"))</f>
        <v>published</v>
      </c>
      <c r="R171" s="0" t="str">
        <f aca="false">IF(C171="success","",IF(E171&gt;0,IF(I171="freshness_within_target","freshness",IF(I171="relationships_intact","relationships",IF(I171="reconciliation_residual_zero","residual",I171))),IF(H171="quality_gate","gate_infra",H171)))</f>
        <v/>
      </c>
    </row>
    <row r="172" customFormat="false" ht="15" hidden="false" customHeight="false" outlineLevel="0" collapsed="false">
      <c r="A172" s="4" t="s">
        <v>1880</v>
      </c>
      <c r="B172" s="10" t="n">
        <v>46251.0520833333</v>
      </c>
      <c r="C172" s="4" t="s">
        <v>1544</v>
      </c>
      <c r="D172" s="4" t="n">
        <v>924</v>
      </c>
      <c r="E172" s="4" t="n">
        <v>7</v>
      </c>
      <c r="F172" s="4" t="n">
        <v>6</v>
      </c>
      <c r="G172" s="4" t="n">
        <v>0</v>
      </c>
      <c r="J172" s="11" t="b">
        <f aca="false">TRUE()</f>
        <v>1</v>
      </c>
      <c r="K172" s="4" t="s">
        <v>1881</v>
      </c>
      <c r="L172" s="4" t="n">
        <v>4</v>
      </c>
      <c r="M172" s="4" t="n">
        <v>4</v>
      </c>
      <c r="N172" s="4" t="n">
        <v>4</v>
      </c>
      <c r="O172" s="4" t="n">
        <v>4</v>
      </c>
      <c r="P172" s="0" t="str">
        <f aca="false">IF(E172=0,"not_reached",IF(AND(F172&gt;0,G172=0),"allowed","blocked"))</f>
        <v>allowed</v>
      </c>
      <c r="Q172" s="0" t="str">
        <f aca="false">IF(C172="success","published",IF(E172&gt;0,"blocked_at_gate","failed_before_gate"))</f>
        <v>published</v>
      </c>
      <c r="R172" s="0" t="str">
        <f aca="false">IF(C172="success","",IF(E172&gt;0,IF(I172="freshness_within_target","freshness",IF(I172="relationships_intact","relationships",IF(I172="reconciliation_residual_zero","residual",I172))),IF(H172="quality_gate","gate_infra",H172)))</f>
        <v/>
      </c>
    </row>
    <row r="173" customFormat="false" ht="15" hidden="false" customHeight="false" outlineLevel="0" collapsed="false">
      <c r="A173" s="4" t="s">
        <v>1882</v>
      </c>
      <c r="B173" s="10" t="n">
        <v>46251.09375</v>
      </c>
      <c r="C173" s="4" t="s">
        <v>1544</v>
      </c>
      <c r="D173" s="4" t="n">
        <v>928</v>
      </c>
      <c r="E173" s="4" t="n">
        <v>7</v>
      </c>
      <c r="F173" s="4" t="n">
        <v>6</v>
      </c>
      <c r="G173" s="4" t="n">
        <v>0</v>
      </c>
      <c r="J173" s="11" t="b">
        <f aca="false">TRUE()</f>
        <v>1</v>
      </c>
      <c r="K173" s="4" t="s">
        <v>1883</v>
      </c>
      <c r="L173" s="4" t="n">
        <v>4</v>
      </c>
      <c r="M173" s="4" t="n">
        <v>4</v>
      </c>
      <c r="N173" s="4" t="n">
        <v>4</v>
      </c>
      <c r="O173" s="4" t="n">
        <v>4</v>
      </c>
      <c r="P173" s="0" t="str">
        <f aca="false">IF(E173=0,"not_reached",IF(AND(F173&gt;0,G173=0),"allowed","blocked"))</f>
        <v>allowed</v>
      </c>
      <c r="Q173" s="0" t="str">
        <f aca="false">IF(C173="success","published",IF(E173&gt;0,"blocked_at_gate","failed_before_gate"))</f>
        <v>published</v>
      </c>
      <c r="R173" s="0" t="str">
        <f aca="false">IF(C173="success","",IF(E173&gt;0,IF(I173="freshness_within_target","freshness",IF(I173="relationships_intact","relationships",IF(I173="reconciliation_residual_zero","residual",I173))),IF(H173="quality_gate","gate_infra",H173)))</f>
        <v/>
      </c>
    </row>
    <row r="174" customFormat="false" ht="15" hidden="false" customHeight="false" outlineLevel="0" collapsed="false">
      <c r="A174" s="4" t="s">
        <v>1884</v>
      </c>
      <c r="B174" s="10" t="n">
        <v>46251.1354166667</v>
      </c>
      <c r="C174" s="4" t="s">
        <v>1544</v>
      </c>
      <c r="D174" s="4" t="n">
        <v>772</v>
      </c>
      <c r="E174" s="4" t="n">
        <v>7</v>
      </c>
      <c r="F174" s="4" t="n">
        <v>6</v>
      </c>
      <c r="G174" s="4" t="n">
        <v>0</v>
      </c>
      <c r="J174" s="11" t="b">
        <f aca="false">TRUE()</f>
        <v>1</v>
      </c>
      <c r="K174" s="4" t="s">
        <v>1885</v>
      </c>
      <c r="L174" s="4" t="n">
        <v>4</v>
      </c>
      <c r="M174" s="4" t="n">
        <v>4</v>
      </c>
      <c r="N174" s="4" t="n">
        <v>4</v>
      </c>
      <c r="O174" s="4" t="n">
        <v>4</v>
      </c>
      <c r="P174" s="0" t="str">
        <f aca="false">IF(E174=0,"not_reached",IF(AND(F174&gt;0,G174=0),"allowed","blocked"))</f>
        <v>allowed</v>
      </c>
      <c r="Q174" s="0" t="str">
        <f aca="false">IF(C174="success","published",IF(E174&gt;0,"blocked_at_gate","failed_before_gate"))</f>
        <v>published</v>
      </c>
      <c r="R174" s="0" t="str">
        <f aca="false">IF(C174="success","",IF(E174&gt;0,IF(I174="freshness_within_target","freshness",IF(I174="relationships_intact","relationships",IF(I174="reconciliation_residual_zero","residual",I174))),IF(H174="quality_gate","gate_infra",H174)))</f>
        <v/>
      </c>
    </row>
    <row r="175" customFormat="false" ht="15" hidden="false" customHeight="false" outlineLevel="0" collapsed="false">
      <c r="A175" s="4" t="s">
        <v>1886</v>
      </c>
      <c r="B175" s="10" t="n">
        <v>46251.1770833333</v>
      </c>
      <c r="C175" s="4" t="s">
        <v>1544</v>
      </c>
      <c r="D175" s="4" t="n">
        <v>1100</v>
      </c>
      <c r="E175" s="4" t="n">
        <v>7</v>
      </c>
      <c r="F175" s="4" t="n">
        <v>6</v>
      </c>
      <c r="G175" s="4" t="n">
        <v>0</v>
      </c>
      <c r="J175" s="11" t="b">
        <f aca="false">TRUE()</f>
        <v>1</v>
      </c>
      <c r="K175" s="4" t="s">
        <v>1887</v>
      </c>
      <c r="L175" s="4" t="n">
        <v>4</v>
      </c>
      <c r="M175" s="4" t="n">
        <v>4</v>
      </c>
      <c r="N175" s="4" t="n">
        <v>5</v>
      </c>
      <c r="O175" s="4" t="n">
        <v>4</v>
      </c>
      <c r="P175" s="0" t="str">
        <f aca="false">IF(E175=0,"not_reached",IF(AND(F175&gt;0,G175=0),"allowed","blocked"))</f>
        <v>allowed</v>
      </c>
      <c r="Q175" s="0" t="str">
        <f aca="false">IF(C175="success","published",IF(E175&gt;0,"blocked_at_gate","failed_before_gate"))</f>
        <v>published</v>
      </c>
      <c r="R175" s="0" t="str">
        <f aca="false">IF(C175="success","",IF(E175&gt;0,IF(I175="freshness_within_target","freshness",IF(I175="relationships_intact","relationships",IF(I175="reconciliation_residual_zero","residual",I175))),IF(H175="quality_gate","gate_infra",H175)))</f>
        <v/>
      </c>
    </row>
    <row r="176" customFormat="false" ht="15" hidden="false" customHeight="false" outlineLevel="0" collapsed="false">
      <c r="A176" s="4" t="s">
        <v>1888</v>
      </c>
      <c r="B176" s="10" t="n">
        <v>46251.21875</v>
      </c>
      <c r="C176" s="4" t="s">
        <v>1544</v>
      </c>
      <c r="D176" s="4" t="n">
        <v>914</v>
      </c>
      <c r="E176" s="4" t="n">
        <v>7</v>
      </c>
      <c r="F176" s="4" t="n">
        <v>6</v>
      </c>
      <c r="G176" s="4" t="n">
        <v>0</v>
      </c>
      <c r="J176" s="11" t="b">
        <f aca="false">TRUE()</f>
        <v>1</v>
      </c>
      <c r="K176" s="4" t="s">
        <v>1889</v>
      </c>
      <c r="L176" s="4" t="n">
        <v>4</v>
      </c>
      <c r="M176" s="4" t="n">
        <v>4</v>
      </c>
      <c r="N176" s="4" t="n">
        <v>4</v>
      </c>
      <c r="O176" s="4" t="n">
        <v>4</v>
      </c>
      <c r="P176" s="0" t="str">
        <f aca="false">IF(E176=0,"not_reached",IF(AND(F176&gt;0,G176=0),"allowed","blocked"))</f>
        <v>allowed</v>
      </c>
      <c r="Q176" s="0" t="str">
        <f aca="false">IF(C176="success","published",IF(E176&gt;0,"blocked_at_gate","failed_before_gate"))</f>
        <v>published</v>
      </c>
      <c r="R176" s="0" t="str">
        <f aca="false">IF(C176="success","",IF(E176&gt;0,IF(I176="freshness_within_target","freshness",IF(I176="relationships_intact","relationships",IF(I176="reconciliation_residual_zero","residual",I176))),IF(H176="quality_gate","gate_infra",H176)))</f>
        <v/>
      </c>
    </row>
    <row r="177" customFormat="false" ht="15" hidden="false" customHeight="false" outlineLevel="0" collapsed="false">
      <c r="A177" s="4" t="s">
        <v>1890</v>
      </c>
      <c r="B177" s="10" t="n">
        <v>46251.2604166667</v>
      </c>
      <c r="C177" s="4" t="s">
        <v>1544</v>
      </c>
      <c r="D177" s="4" t="n">
        <v>950</v>
      </c>
      <c r="E177" s="4" t="n">
        <v>7</v>
      </c>
      <c r="F177" s="4" t="n">
        <v>6</v>
      </c>
      <c r="G177" s="4" t="n">
        <v>0</v>
      </c>
      <c r="J177" s="11" t="b">
        <f aca="false">TRUE()</f>
        <v>1</v>
      </c>
      <c r="K177" s="4" t="s">
        <v>1891</v>
      </c>
      <c r="L177" s="4" t="n">
        <v>4</v>
      </c>
      <c r="M177" s="4" t="n">
        <v>4</v>
      </c>
      <c r="N177" s="4" t="n">
        <v>4</v>
      </c>
      <c r="O177" s="4" t="n">
        <v>4</v>
      </c>
      <c r="P177" s="0" t="str">
        <f aca="false">IF(E177=0,"not_reached",IF(AND(F177&gt;0,G177=0),"allowed","blocked"))</f>
        <v>allowed</v>
      </c>
      <c r="Q177" s="0" t="str">
        <f aca="false">IF(C177="success","published",IF(E177&gt;0,"blocked_at_gate","failed_before_gate"))</f>
        <v>published</v>
      </c>
      <c r="R177" s="0" t="str">
        <f aca="false">IF(C177="success","",IF(E177&gt;0,IF(I177="freshness_within_target","freshness",IF(I177="relationships_intact","relationships",IF(I177="reconciliation_residual_zero","residual",I177))),IF(H177="quality_gate","gate_infra",H177)))</f>
        <v/>
      </c>
    </row>
    <row r="178" customFormat="false" ht="15" hidden="false" customHeight="false" outlineLevel="0" collapsed="false">
      <c r="A178" s="4" t="s">
        <v>1892</v>
      </c>
      <c r="B178" s="10" t="n">
        <v>46251.3020833333</v>
      </c>
      <c r="C178" s="4" t="s">
        <v>1544</v>
      </c>
      <c r="D178" s="4" t="n">
        <v>883</v>
      </c>
      <c r="E178" s="4" t="n">
        <v>7</v>
      </c>
      <c r="F178" s="4" t="n">
        <v>6</v>
      </c>
      <c r="G178" s="4" t="n">
        <v>0</v>
      </c>
      <c r="J178" s="11" t="b">
        <f aca="false">TRUE()</f>
        <v>1</v>
      </c>
      <c r="K178" s="4" t="s">
        <v>1893</v>
      </c>
      <c r="L178" s="4" t="n">
        <v>4</v>
      </c>
      <c r="M178" s="4" t="n">
        <v>4</v>
      </c>
      <c r="N178" s="4" t="n">
        <v>4</v>
      </c>
      <c r="O178" s="4" t="n">
        <v>4</v>
      </c>
      <c r="P178" s="0" t="str">
        <f aca="false">IF(E178=0,"not_reached",IF(AND(F178&gt;0,G178=0),"allowed","blocked"))</f>
        <v>allowed</v>
      </c>
      <c r="Q178" s="0" t="str">
        <f aca="false">IF(C178="success","published",IF(E178&gt;0,"blocked_at_gate","failed_before_gate"))</f>
        <v>published</v>
      </c>
      <c r="R178" s="0" t="str">
        <f aca="false">IF(C178="success","",IF(E178&gt;0,IF(I178="freshness_within_target","freshness",IF(I178="relationships_intact","relationships",IF(I178="reconciliation_residual_zero","residual",I178))),IF(H178="quality_gate","gate_infra",H178)))</f>
        <v/>
      </c>
    </row>
    <row r="179" customFormat="false" ht="15" hidden="false" customHeight="false" outlineLevel="0" collapsed="false">
      <c r="A179" s="4" t="s">
        <v>1894</v>
      </c>
      <c r="B179" s="10" t="n">
        <v>46251.34375</v>
      </c>
      <c r="C179" s="4" t="s">
        <v>1544</v>
      </c>
      <c r="D179" s="4" t="n">
        <v>910</v>
      </c>
      <c r="E179" s="4" t="n">
        <v>7</v>
      </c>
      <c r="F179" s="4" t="n">
        <v>6</v>
      </c>
      <c r="G179" s="4" t="n">
        <v>0</v>
      </c>
      <c r="J179" s="11" t="b">
        <f aca="false">TRUE()</f>
        <v>1</v>
      </c>
      <c r="K179" s="4" t="s">
        <v>1895</v>
      </c>
      <c r="L179" s="4" t="n">
        <v>4</v>
      </c>
      <c r="M179" s="4" t="n">
        <v>4</v>
      </c>
      <c r="N179" s="4" t="n">
        <v>4</v>
      </c>
      <c r="O179" s="4" t="n">
        <v>4</v>
      </c>
      <c r="P179" s="0" t="str">
        <f aca="false">IF(E179=0,"not_reached",IF(AND(F179&gt;0,G179=0),"allowed","blocked"))</f>
        <v>allowed</v>
      </c>
      <c r="Q179" s="0" t="str">
        <f aca="false">IF(C179="success","published",IF(E179&gt;0,"blocked_at_gate","failed_before_gate"))</f>
        <v>published</v>
      </c>
      <c r="R179" s="0" t="str">
        <f aca="false">IF(C179="success","",IF(E179&gt;0,IF(I179="freshness_within_target","freshness",IF(I179="relationships_intact","relationships",IF(I179="reconciliation_residual_zero","residual",I179))),IF(H179="quality_gate","gate_infra",H179)))</f>
        <v/>
      </c>
    </row>
    <row r="180" customFormat="false" ht="15" hidden="false" customHeight="false" outlineLevel="0" collapsed="false">
      <c r="A180" s="4" t="s">
        <v>1896</v>
      </c>
      <c r="B180" s="10" t="n">
        <v>46251.3854166667</v>
      </c>
      <c r="C180" s="4" t="s">
        <v>1544</v>
      </c>
      <c r="D180" s="4" t="n">
        <v>835</v>
      </c>
      <c r="E180" s="4" t="n">
        <v>7</v>
      </c>
      <c r="F180" s="4" t="n">
        <v>6</v>
      </c>
      <c r="G180" s="4" t="n">
        <v>0</v>
      </c>
      <c r="J180" s="11" t="b">
        <f aca="false">TRUE()</f>
        <v>1</v>
      </c>
      <c r="K180" s="4" t="s">
        <v>1897</v>
      </c>
      <c r="L180" s="4" t="n">
        <v>4</v>
      </c>
      <c r="M180" s="4" t="n">
        <v>4</v>
      </c>
      <c r="N180" s="4" t="n">
        <v>4</v>
      </c>
      <c r="O180" s="4" t="n">
        <v>4</v>
      </c>
      <c r="P180" s="0" t="str">
        <f aca="false">IF(E180=0,"not_reached",IF(AND(F180&gt;0,G180=0),"allowed","blocked"))</f>
        <v>allowed</v>
      </c>
      <c r="Q180" s="0" t="str">
        <f aca="false">IF(C180="success","published",IF(E180&gt;0,"blocked_at_gate","failed_before_gate"))</f>
        <v>published</v>
      </c>
      <c r="R180" s="0" t="str">
        <f aca="false">IF(C180="success","",IF(E180&gt;0,IF(I180="freshness_within_target","freshness",IF(I180="relationships_intact","relationships",IF(I180="reconciliation_residual_zero","residual",I180))),IF(H180="quality_gate","gate_infra",H180)))</f>
        <v/>
      </c>
    </row>
    <row r="181" customFormat="false" ht="15" hidden="false" customHeight="false" outlineLevel="0" collapsed="false">
      <c r="A181" s="4" t="s">
        <v>1898</v>
      </c>
      <c r="B181" s="10" t="n">
        <v>46251.4270833333</v>
      </c>
      <c r="C181" s="4" t="s">
        <v>1544</v>
      </c>
      <c r="D181" s="4" t="n">
        <v>721</v>
      </c>
      <c r="E181" s="4" t="n">
        <v>7</v>
      </c>
      <c r="F181" s="4" t="n">
        <v>6</v>
      </c>
      <c r="G181" s="4" t="n">
        <v>0</v>
      </c>
      <c r="J181" s="11" t="b">
        <f aca="false">TRUE()</f>
        <v>1</v>
      </c>
      <c r="K181" s="4" t="s">
        <v>1899</v>
      </c>
      <c r="L181" s="4" t="n">
        <v>4</v>
      </c>
      <c r="M181" s="4" t="n">
        <v>4</v>
      </c>
      <c r="N181" s="4" t="n">
        <v>4</v>
      </c>
      <c r="O181" s="4" t="n">
        <v>4</v>
      </c>
      <c r="P181" s="0" t="str">
        <f aca="false">IF(E181=0,"not_reached",IF(AND(F181&gt;0,G181=0),"allowed","blocked"))</f>
        <v>allowed</v>
      </c>
      <c r="Q181" s="0" t="str">
        <f aca="false">IF(C181="success","published",IF(E181&gt;0,"blocked_at_gate","failed_before_gate"))</f>
        <v>published</v>
      </c>
      <c r="R181" s="0" t="str">
        <f aca="false">IF(C181="success","",IF(E181&gt;0,IF(I181="freshness_within_target","freshness",IF(I181="relationships_intact","relationships",IF(I181="reconciliation_residual_zero","residual",I181))),IF(H181="quality_gate","gate_infra",H181)))</f>
        <v/>
      </c>
    </row>
    <row r="182" customFormat="false" ht="15" hidden="false" customHeight="false" outlineLevel="0" collapsed="false">
      <c r="A182" s="4" t="s">
        <v>1900</v>
      </c>
      <c r="B182" s="10" t="n">
        <v>46251.46875</v>
      </c>
      <c r="C182" s="4" t="s">
        <v>1901</v>
      </c>
      <c r="D182" s="4" t="n">
        <v>428</v>
      </c>
      <c r="E182" s="4" t="n">
        <v>0</v>
      </c>
      <c r="F182" s="4" t="n">
        <v>0</v>
      </c>
      <c r="G182" s="4" t="n">
        <v>0</v>
      </c>
      <c r="H182" s="4" t="s">
        <v>60</v>
      </c>
      <c r="J182" s="11" t="b">
        <f aca="false">FALSE()</f>
        <v>0</v>
      </c>
      <c r="L182" s="4" t="n">
        <v>1</v>
      </c>
      <c r="M182" s="4" t="n">
        <v>0</v>
      </c>
      <c r="N182" s="4" t="n">
        <v>3</v>
      </c>
      <c r="O182" s="4" t="n">
        <v>0</v>
      </c>
      <c r="P182" s="0" t="str">
        <f aca="false">IF(E182=0,"not_reached",IF(AND(F182&gt;0,G182=0),"allowed","blocked"))</f>
        <v>not_reached</v>
      </c>
      <c r="Q182" s="0" t="str">
        <f aca="false">IF(C182="success","published",IF(E182&gt;0,"blocked_at_gate","failed_before_gate"))</f>
        <v>failed_before_gate</v>
      </c>
      <c r="R182" s="0" t="str">
        <f aca="false">IF(C182="success","",IF(E182&gt;0,IF(I182="freshness_within_target","freshness",IF(I182="relationships_intact","relationships",IF(I182="reconciliation_residual_zero","residual",I182))),IF(H182="quality_gate","gate_infra",H182)))</f>
        <v>ingest</v>
      </c>
    </row>
    <row r="183" customFormat="false" ht="15" hidden="false" customHeight="false" outlineLevel="0" collapsed="false">
      <c r="A183" s="4" t="s">
        <v>1902</v>
      </c>
      <c r="B183" s="10" t="n">
        <v>46251.5104166667</v>
      </c>
      <c r="C183" s="4" t="s">
        <v>1544</v>
      </c>
      <c r="D183" s="4" t="n">
        <v>874</v>
      </c>
      <c r="E183" s="4" t="n">
        <v>7</v>
      </c>
      <c r="F183" s="4" t="n">
        <v>6</v>
      </c>
      <c r="G183" s="4" t="n">
        <v>0</v>
      </c>
      <c r="J183" s="11" t="b">
        <f aca="false">TRUE()</f>
        <v>1</v>
      </c>
      <c r="K183" s="4" t="s">
        <v>1903</v>
      </c>
      <c r="L183" s="4" t="n">
        <v>4</v>
      </c>
      <c r="M183" s="4" t="n">
        <v>4</v>
      </c>
      <c r="N183" s="4" t="n">
        <v>4</v>
      </c>
      <c r="O183" s="4" t="n">
        <v>4</v>
      </c>
      <c r="P183" s="0" t="str">
        <f aca="false">IF(E183=0,"not_reached",IF(AND(F183&gt;0,G183=0),"allowed","blocked"))</f>
        <v>allowed</v>
      </c>
      <c r="Q183" s="0" t="str">
        <f aca="false">IF(C183="success","published",IF(E183&gt;0,"blocked_at_gate","failed_before_gate"))</f>
        <v>published</v>
      </c>
      <c r="R183" s="0" t="str">
        <f aca="false">IF(C183="success","",IF(E183&gt;0,IF(I183="freshness_within_target","freshness",IF(I183="relationships_intact","relationships",IF(I183="reconciliation_residual_zero","residual",I183))),IF(H183="quality_gate","gate_infra",H183)))</f>
        <v/>
      </c>
    </row>
    <row r="184" customFormat="false" ht="15" hidden="false" customHeight="false" outlineLevel="0" collapsed="false">
      <c r="A184" s="4" t="s">
        <v>1904</v>
      </c>
      <c r="B184" s="10" t="n">
        <v>46251.5520833333</v>
      </c>
      <c r="C184" s="4" t="s">
        <v>1544</v>
      </c>
      <c r="D184" s="4" t="n">
        <v>694</v>
      </c>
      <c r="E184" s="4" t="n">
        <v>7</v>
      </c>
      <c r="F184" s="4" t="n">
        <v>6</v>
      </c>
      <c r="G184" s="4" t="n">
        <v>0</v>
      </c>
      <c r="J184" s="11" t="b">
        <f aca="false">TRUE()</f>
        <v>1</v>
      </c>
      <c r="K184" s="4" t="s">
        <v>1905</v>
      </c>
      <c r="L184" s="4" t="n">
        <v>4</v>
      </c>
      <c r="M184" s="4" t="n">
        <v>4</v>
      </c>
      <c r="N184" s="4" t="n">
        <v>4</v>
      </c>
      <c r="O184" s="4" t="n">
        <v>4</v>
      </c>
      <c r="P184" s="0" t="str">
        <f aca="false">IF(E184=0,"not_reached",IF(AND(F184&gt;0,G184=0),"allowed","blocked"))</f>
        <v>allowed</v>
      </c>
      <c r="Q184" s="0" t="str">
        <f aca="false">IF(C184="success","published",IF(E184&gt;0,"blocked_at_gate","failed_before_gate"))</f>
        <v>published</v>
      </c>
      <c r="R184" s="0" t="str">
        <f aca="false">IF(C184="success","",IF(E184&gt;0,IF(I184="freshness_within_target","freshness",IF(I184="relationships_intact","relationships",IF(I184="reconciliation_residual_zero","residual",I184))),IF(H184="quality_gate","gate_infra",H184)))</f>
        <v/>
      </c>
    </row>
    <row r="185" customFormat="false" ht="15" hidden="false" customHeight="false" outlineLevel="0" collapsed="false">
      <c r="A185" s="4" t="s">
        <v>1906</v>
      </c>
      <c r="B185" s="10" t="n">
        <v>46251.59375</v>
      </c>
      <c r="C185" s="4" t="s">
        <v>1544</v>
      </c>
      <c r="D185" s="4" t="n">
        <v>686</v>
      </c>
      <c r="E185" s="4" t="n">
        <v>7</v>
      </c>
      <c r="F185" s="4" t="n">
        <v>6</v>
      </c>
      <c r="G185" s="4" t="n">
        <v>0</v>
      </c>
      <c r="J185" s="11" t="b">
        <f aca="false">TRUE()</f>
        <v>1</v>
      </c>
      <c r="K185" s="4" t="s">
        <v>1907</v>
      </c>
      <c r="L185" s="4" t="n">
        <v>4</v>
      </c>
      <c r="M185" s="4" t="n">
        <v>4</v>
      </c>
      <c r="N185" s="4" t="n">
        <v>4</v>
      </c>
      <c r="O185" s="4" t="n">
        <v>4</v>
      </c>
      <c r="P185" s="0" t="str">
        <f aca="false">IF(E185=0,"not_reached",IF(AND(F185&gt;0,G185=0),"allowed","blocked"))</f>
        <v>allowed</v>
      </c>
      <c r="Q185" s="0" t="str">
        <f aca="false">IF(C185="success","published",IF(E185&gt;0,"blocked_at_gate","failed_before_gate"))</f>
        <v>published</v>
      </c>
      <c r="R185" s="0" t="str">
        <f aca="false">IF(C185="success","",IF(E185&gt;0,IF(I185="freshness_within_target","freshness",IF(I185="relationships_intact","relationships",IF(I185="reconciliation_residual_zero","residual",I185))),IF(H185="quality_gate","gate_infra",H185)))</f>
        <v/>
      </c>
    </row>
    <row r="186" customFormat="false" ht="15" hidden="false" customHeight="false" outlineLevel="0" collapsed="false">
      <c r="A186" s="4" t="s">
        <v>1908</v>
      </c>
      <c r="B186" s="10" t="n">
        <v>46251.6354166667</v>
      </c>
      <c r="C186" s="4" t="s">
        <v>1544</v>
      </c>
      <c r="D186" s="4" t="n">
        <v>1072</v>
      </c>
      <c r="E186" s="4" t="n">
        <v>7</v>
      </c>
      <c r="F186" s="4" t="n">
        <v>6</v>
      </c>
      <c r="G186" s="4" t="n">
        <v>0</v>
      </c>
      <c r="J186" s="11" t="b">
        <f aca="false">TRUE()</f>
        <v>1</v>
      </c>
      <c r="K186" s="4" t="s">
        <v>1909</v>
      </c>
      <c r="L186" s="4" t="n">
        <v>4</v>
      </c>
      <c r="M186" s="4" t="n">
        <v>4</v>
      </c>
      <c r="N186" s="4" t="n">
        <v>5</v>
      </c>
      <c r="O186" s="4" t="n">
        <v>4</v>
      </c>
      <c r="P186" s="0" t="str">
        <f aca="false">IF(E186=0,"not_reached",IF(AND(F186&gt;0,G186=0),"allowed","blocked"))</f>
        <v>allowed</v>
      </c>
      <c r="Q186" s="0" t="str">
        <f aca="false">IF(C186="success","published",IF(E186&gt;0,"blocked_at_gate","failed_before_gate"))</f>
        <v>published</v>
      </c>
      <c r="R186" s="0" t="str">
        <f aca="false">IF(C186="success","",IF(E186&gt;0,IF(I186="freshness_within_target","freshness",IF(I186="relationships_intact","relationships",IF(I186="reconciliation_residual_zero","residual",I186))),IF(H186="quality_gate","gate_infra",H186)))</f>
        <v/>
      </c>
    </row>
    <row r="187" customFormat="false" ht="15" hidden="false" customHeight="false" outlineLevel="0" collapsed="false">
      <c r="A187" s="4" t="s">
        <v>1910</v>
      </c>
      <c r="B187" s="10" t="n">
        <v>46251.6770833333</v>
      </c>
      <c r="C187" s="4" t="s">
        <v>1544</v>
      </c>
      <c r="D187" s="4" t="n">
        <v>844</v>
      </c>
      <c r="E187" s="4" t="n">
        <v>7</v>
      </c>
      <c r="F187" s="4" t="n">
        <v>6</v>
      </c>
      <c r="G187" s="4" t="n">
        <v>0</v>
      </c>
      <c r="J187" s="11" t="b">
        <f aca="false">TRUE()</f>
        <v>1</v>
      </c>
      <c r="K187" s="4" t="s">
        <v>1911</v>
      </c>
      <c r="L187" s="4" t="n">
        <v>4</v>
      </c>
      <c r="M187" s="4" t="n">
        <v>4</v>
      </c>
      <c r="N187" s="4" t="n">
        <v>4</v>
      </c>
      <c r="O187" s="4" t="n">
        <v>4</v>
      </c>
      <c r="P187" s="0" t="str">
        <f aca="false">IF(E187=0,"not_reached",IF(AND(F187&gt;0,G187=0),"allowed","blocked"))</f>
        <v>allowed</v>
      </c>
      <c r="Q187" s="0" t="str">
        <f aca="false">IF(C187="success","published",IF(E187&gt;0,"blocked_at_gate","failed_before_gate"))</f>
        <v>published</v>
      </c>
      <c r="R187" s="0" t="str">
        <f aca="false">IF(C187="success","",IF(E187&gt;0,IF(I187="freshness_within_target","freshness",IF(I187="relationships_intact","relationships",IF(I187="reconciliation_residual_zero","residual",I187))),IF(H187="quality_gate","gate_infra",H187)))</f>
        <v/>
      </c>
    </row>
    <row r="188" customFormat="false" ht="15" hidden="false" customHeight="false" outlineLevel="0" collapsed="false">
      <c r="A188" s="4" t="s">
        <v>1912</v>
      </c>
      <c r="B188" s="10" t="n">
        <v>46251.71875</v>
      </c>
      <c r="C188" s="4" t="s">
        <v>1901</v>
      </c>
      <c r="D188" s="4" t="n">
        <v>941</v>
      </c>
      <c r="E188" s="4" t="n">
        <v>0</v>
      </c>
      <c r="F188" s="4" t="n">
        <v>0</v>
      </c>
      <c r="G188" s="4" t="n">
        <v>0</v>
      </c>
      <c r="H188" s="4" t="s">
        <v>61</v>
      </c>
      <c r="J188" s="11" t="b">
        <f aca="false">FALSE()</f>
        <v>0</v>
      </c>
      <c r="L188" s="4" t="n">
        <v>2</v>
      </c>
      <c r="M188" s="4" t="n">
        <v>1</v>
      </c>
      <c r="N188" s="4" t="n">
        <v>4</v>
      </c>
      <c r="O188" s="4" t="n">
        <v>1</v>
      </c>
      <c r="P188" s="0" t="str">
        <f aca="false">IF(E188=0,"not_reached",IF(AND(F188&gt;0,G188=0),"allowed","blocked"))</f>
        <v>not_reached</v>
      </c>
      <c r="Q188" s="0" t="str">
        <f aca="false">IF(C188="success","published",IF(E188&gt;0,"blocked_at_gate","failed_before_gate"))</f>
        <v>failed_before_gate</v>
      </c>
      <c r="R188" s="0" t="str">
        <f aca="false">IF(C188="success","",IF(E188&gt;0,IF(I188="freshness_within_target","freshness",IF(I188="relationships_intact","relationships",IF(I188="reconciliation_residual_zero","residual",I188))),IF(H188="quality_gate","gate_infra",H188)))</f>
        <v>transform</v>
      </c>
    </row>
    <row r="189" customFormat="false" ht="15" hidden="false" customHeight="false" outlineLevel="0" collapsed="false">
      <c r="A189" s="4" t="s">
        <v>1913</v>
      </c>
      <c r="B189" s="10" t="n">
        <v>46251.7604166667</v>
      </c>
      <c r="C189" s="4" t="s">
        <v>1544</v>
      </c>
      <c r="D189" s="4" t="n">
        <v>902</v>
      </c>
      <c r="E189" s="4" t="n">
        <v>7</v>
      </c>
      <c r="F189" s="4" t="n">
        <v>6</v>
      </c>
      <c r="G189" s="4" t="n">
        <v>0</v>
      </c>
      <c r="J189" s="11" t="b">
        <f aca="false">TRUE()</f>
        <v>1</v>
      </c>
      <c r="K189" s="4" t="s">
        <v>1914</v>
      </c>
      <c r="L189" s="4" t="n">
        <v>4</v>
      </c>
      <c r="M189" s="4" t="n">
        <v>4</v>
      </c>
      <c r="N189" s="4" t="n">
        <v>4</v>
      </c>
      <c r="O189" s="4" t="n">
        <v>4</v>
      </c>
      <c r="P189" s="0" t="str">
        <f aca="false">IF(E189=0,"not_reached",IF(AND(F189&gt;0,G189=0),"allowed","blocked"))</f>
        <v>allowed</v>
      </c>
      <c r="Q189" s="0" t="str">
        <f aca="false">IF(C189="success","published",IF(E189&gt;0,"blocked_at_gate","failed_before_gate"))</f>
        <v>published</v>
      </c>
      <c r="R189" s="0" t="str">
        <f aca="false">IF(C189="success","",IF(E189&gt;0,IF(I189="freshness_within_target","freshness",IF(I189="relationships_intact","relationships",IF(I189="reconciliation_residual_zero","residual",I189))),IF(H189="quality_gate","gate_infra",H189)))</f>
        <v/>
      </c>
    </row>
    <row r="190" customFormat="false" ht="15" hidden="false" customHeight="false" outlineLevel="0" collapsed="false">
      <c r="A190" s="4" t="s">
        <v>1915</v>
      </c>
      <c r="B190" s="10" t="n">
        <v>46251.8020833333</v>
      </c>
      <c r="C190" s="4" t="s">
        <v>1544</v>
      </c>
      <c r="D190" s="4" t="n">
        <v>757</v>
      </c>
      <c r="E190" s="4" t="n">
        <v>7</v>
      </c>
      <c r="F190" s="4" t="n">
        <v>6</v>
      </c>
      <c r="G190" s="4" t="n">
        <v>0</v>
      </c>
      <c r="J190" s="11" t="b">
        <f aca="false">TRUE()</f>
        <v>1</v>
      </c>
      <c r="K190" s="4" t="s">
        <v>1916</v>
      </c>
      <c r="L190" s="4" t="n">
        <v>4</v>
      </c>
      <c r="M190" s="4" t="n">
        <v>4</v>
      </c>
      <c r="N190" s="4" t="n">
        <v>4</v>
      </c>
      <c r="O190" s="4" t="n">
        <v>4</v>
      </c>
      <c r="P190" s="0" t="str">
        <f aca="false">IF(E190=0,"not_reached",IF(AND(F190&gt;0,G190=0),"allowed","blocked"))</f>
        <v>allowed</v>
      </c>
      <c r="Q190" s="0" t="str">
        <f aca="false">IF(C190="success","published",IF(E190&gt;0,"blocked_at_gate","failed_before_gate"))</f>
        <v>published</v>
      </c>
      <c r="R190" s="0" t="str">
        <f aca="false">IF(C190="success","",IF(E190&gt;0,IF(I190="freshness_within_target","freshness",IF(I190="relationships_intact","relationships",IF(I190="reconciliation_residual_zero","residual",I190))),IF(H190="quality_gate","gate_infra",H190)))</f>
        <v/>
      </c>
    </row>
    <row r="191" customFormat="false" ht="15" hidden="false" customHeight="false" outlineLevel="0" collapsed="false">
      <c r="A191" s="4" t="s">
        <v>1917</v>
      </c>
      <c r="B191" s="10" t="n">
        <v>46251.84375</v>
      </c>
      <c r="C191" s="4" t="s">
        <v>1544</v>
      </c>
      <c r="D191" s="4" t="n">
        <v>769</v>
      </c>
      <c r="E191" s="4" t="n">
        <v>7</v>
      </c>
      <c r="F191" s="4" t="n">
        <v>6</v>
      </c>
      <c r="G191" s="4" t="n">
        <v>0</v>
      </c>
      <c r="J191" s="11" t="b">
        <f aca="false">TRUE()</f>
        <v>1</v>
      </c>
      <c r="K191" s="4" t="s">
        <v>1918</v>
      </c>
      <c r="L191" s="4" t="n">
        <v>4</v>
      </c>
      <c r="M191" s="4" t="n">
        <v>4</v>
      </c>
      <c r="N191" s="4" t="n">
        <v>4</v>
      </c>
      <c r="O191" s="4" t="n">
        <v>4</v>
      </c>
      <c r="P191" s="0" t="str">
        <f aca="false">IF(E191=0,"not_reached",IF(AND(F191&gt;0,G191=0),"allowed","blocked"))</f>
        <v>allowed</v>
      </c>
      <c r="Q191" s="0" t="str">
        <f aca="false">IF(C191="success","published",IF(E191&gt;0,"blocked_at_gate","failed_before_gate"))</f>
        <v>published</v>
      </c>
      <c r="R191" s="0" t="str">
        <f aca="false">IF(C191="success","",IF(E191&gt;0,IF(I191="freshness_within_target","freshness",IF(I191="relationships_intact","relationships",IF(I191="reconciliation_residual_zero","residual",I191))),IF(H191="quality_gate","gate_infra",H191)))</f>
        <v/>
      </c>
    </row>
    <row r="192" customFormat="false" ht="15" hidden="false" customHeight="false" outlineLevel="0" collapsed="false">
      <c r="A192" s="4" t="s">
        <v>1919</v>
      </c>
      <c r="B192" s="10" t="n">
        <v>46251.8854166667</v>
      </c>
      <c r="C192" s="4" t="s">
        <v>1544</v>
      </c>
      <c r="D192" s="4" t="n">
        <v>899</v>
      </c>
      <c r="E192" s="4" t="n">
        <v>7</v>
      </c>
      <c r="F192" s="4" t="n">
        <v>6</v>
      </c>
      <c r="G192" s="4" t="n">
        <v>0</v>
      </c>
      <c r="J192" s="11" t="b">
        <f aca="false">TRUE()</f>
        <v>1</v>
      </c>
      <c r="K192" s="4" t="s">
        <v>1920</v>
      </c>
      <c r="L192" s="4" t="n">
        <v>4</v>
      </c>
      <c r="M192" s="4" t="n">
        <v>4</v>
      </c>
      <c r="N192" s="4" t="n">
        <v>5</v>
      </c>
      <c r="O192" s="4" t="n">
        <v>4</v>
      </c>
      <c r="P192" s="0" t="str">
        <f aca="false">IF(E192=0,"not_reached",IF(AND(F192&gt;0,G192=0),"allowed","blocked"))</f>
        <v>allowed</v>
      </c>
      <c r="Q192" s="0" t="str">
        <f aca="false">IF(C192="success","published",IF(E192&gt;0,"blocked_at_gate","failed_before_gate"))</f>
        <v>published</v>
      </c>
      <c r="R192" s="0" t="str">
        <f aca="false">IF(C192="success","",IF(E192&gt;0,IF(I192="freshness_within_target","freshness",IF(I192="relationships_intact","relationships",IF(I192="reconciliation_residual_zero","residual",I192))),IF(H192="quality_gate","gate_infra",H192)))</f>
        <v/>
      </c>
    </row>
    <row r="193" customFormat="false" ht="15" hidden="false" customHeight="false" outlineLevel="0" collapsed="false">
      <c r="A193" s="4" t="s">
        <v>1921</v>
      </c>
      <c r="B193" s="10" t="n">
        <v>46251.9270833333</v>
      </c>
      <c r="C193" s="4" t="s">
        <v>1544</v>
      </c>
      <c r="D193" s="4" t="n">
        <v>766</v>
      </c>
      <c r="E193" s="4" t="n">
        <v>7</v>
      </c>
      <c r="F193" s="4" t="n">
        <v>6</v>
      </c>
      <c r="G193" s="4" t="n">
        <v>0</v>
      </c>
      <c r="J193" s="11" t="b">
        <f aca="false">TRUE()</f>
        <v>1</v>
      </c>
      <c r="K193" s="4" t="s">
        <v>1922</v>
      </c>
      <c r="L193" s="4" t="n">
        <v>4</v>
      </c>
      <c r="M193" s="4" t="n">
        <v>4</v>
      </c>
      <c r="N193" s="4" t="n">
        <v>4</v>
      </c>
      <c r="O193" s="4" t="n">
        <v>4</v>
      </c>
      <c r="P193" s="0" t="str">
        <f aca="false">IF(E193=0,"not_reached",IF(AND(F193&gt;0,G193=0),"allowed","blocked"))</f>
        <v>allowed</v>
      </c>
      <c r="Q193" s="0" t="str">
        <f aca="false">IF(C193="success","published",IF(E193&gt;0,"blocked_at_gate","failed_before_gate"))</f>
        <v>published</v>
      </c>
      <c r="R193" s="0" t="str">
        <f aca="false">IF(C193="success","",IF(E193&gt;0,IF(I193="freshness_within_target","freshness",IF(I193="relationships_intact","relationships",IF(I193="reconciliation_residual_zero","residual",I193))),IF(H193="quality_gate","gate_infra",H193)))</f>
        <v/>
      </c>
    </row>
    <row r="194" customFormat="false" ht="15" hidden="false" customHeight="false" outlineLevel="0" collapsed="false">
      <c r="A194" s="4" t="s">
        <v>1923</v>
      </c>
      <c r="B194" s="10" t="n">
        <v>46251.96875</v>
      </c>
      <c r="C194" s="4" t="s">
        <v>1544</v>
      </c>
      <c r="D194" s="4" t="n">
        <v>864</v>
      </c>
      <c r="E194" s="4" t="n">
        <v>7</v>
      </c>
      <c r="F194" s="4" t="n">
        <v>6</v>
      </c>
      <c r="G194" s="4" t="n">
        <v>0</v>
      </c>
      <c r="J194" s="11" t="b">
        <f aca="false">TRUE()</f>
        <v>1</v>
      </c>
      <c r="K194" s="4" t="s">
        <v>1924</v>
      </c>
      <c r="L194" s="4" t="n">
        <v>4</v>
      </c>
      <c r="M194" s="4" t="n">
        <v>4</v>
      </c>
      <c r="N194" s="4" t="n">
        <v>4</v>
      </c>
      <c r="O194" s="4" t="n">
        <v>4</v>
      </c>
      <c r="P194" s="0" t="str">
        <f aca="false">IF(E194=0,"not_reached",IF(AND(F194&gt;0,G194=0),"allowed","blocked"))</f>
        <v>allowed</v>
      </c>
      <c r="Q194" s="0" t="str">
        <f aca="false">IF(C194="success","published",IF(E194&gt;0,"blocked_at_gate","failed_before_gate"))</f>
        <v>published</v>
      </c>
      <c r="R194" s="0" t="str">
        <f aca="false">IF(C194="success","",IF(E194&gt;0,IF(I194="freshness_within_target","freshness",IF(I194="relationships_intact","relationships",IF(I194="reconciliation_residual_zero","residual",I194))),IF(H194="quality_gate","gate_infra",H194)))</f>
        <v/>
      </c>
    </row>
    <row r="195" customFormat="false" ht="15" hidden="false" customHeight="false" outlineLevel="0" collapsed="false">
      <c r="A195" s="4" t="s">
        <v>1925</v>
      </c>
      <c r="B195" s="10" t="n">
        <v>46252.0104166667</v>
      </c>
      <c r="C195" s="4" t="s">
        <v>1544</v>
      </c>
      <c r="D195" s="4" t="n">
        <v>777</v>
      </c>
      <c r="E195" s="4" t="n">
        <v>7</v>
      </c>
      <c r="F195" s="4" t="n">
        <v>6</v>
      </c>
      <c r="G195" s="4" t="n">
        <v>0</v>
      </c>
      <c r="J195" s="11" t="b">
        <f aca="false">TRUE()</f>
        <v>1</v>
      </c>
      <c r="K195" s="4" t="s">
        <v>1926</v>
      </c>
      <c r="L195" s="4" t="n">
        <v>4</v>
      </c>
      <c r="M195" s="4" t="n">
        <v>4</v>
      </c>
      <c r="N195" s="4" t="n">
        <v>4</v>
      </c>
      <c r="O195" s="4" t="n">
        <v>4</v>
      </c>
      <c r="P195" s="0" t="str">
        <f aca="false">IF(E195=0,"not_reached",IF(AND(F195&gt;0,G195=0),"allowed","blocked"))</f>
        <v>allowed</v>
      </c>
      <c r="Q195" s="0" t="str">
        <f aca="false">IF(C195="success","published",IF(E195&gt;0,"blocked_at_gate","failed_before_gate"))</f>
        <v>published</v>
      </c>
      <c r="R195" s="0" t="str">
        <f aca="false">IF(C195="success","",IF(E195&gt;0,IF(I195="freshness_within_target","freshness",IF(I195="relationships_intact","relationships",IF(I195="reconciliation_residual_zero","residual",I195))),IF(H195="quality_gate","gate_infra",H195)))</f>
        <v/>
      </c>
    </row>
    <row r="196" customFormat="false" ht="15" hidden="false" customHeight="false" outlineLevel="0" collapsed="false">
      <c r="A196" s="4" t="s">
        <v>1927</v>
      </c>
      <c r="B196" s="10" t="n">
        <v>46252.0520833333</v>
      </c>
      <c r="C196" s="4" t="s">
        <v>1544</v>
      </c>
      <c r="D196" s="4" t="n">
        <v>763</v>
      </c>
      <c r="E196" s="4" t="n">
        <v>7</v>
      </c>
      <c r="F196" s="4" t="n">
        <v>6</v>
      </c>
      <c r="G196" s="4" t="n">
        <v>0</v>
      </c>
      <c r="J196" s="11" t="b">
        <f aca="false">TRUE()</f>
        <v>1</v>
      </c>
      <c r="K196" s="4" t="s">
        <v>1928</v>
      </c>
      <c r="L196" s="4" t="n">
        <v>4</v>
      </c>
      <c r="M196" s="4" t="n">
        <v>4</v>
      </c>
      <c r="N196" s="4" t="n">
        <v>4</v>
      </c>
      <c r="O196" s="4" t="n">
        <v>4</v>
      </c>
      <c r="P196" s="0" t="str">
        <f aca="false">IF(E196=0,"not_reached",IF(AND(F196&gt;0,G196=0),"allowed","blocked"))</f>
        <v>allowed</v>
      </c>
      <c r="Q196" s="0" t="str">
        <f aca="false">IF(C196="success","published",IF(E196&gt;0,"blocked_at_gate","failed_before_gate"))</f>
        <v>published</v>
      </c>
      <c r="R196" s="0" t="str">
        <f aca="false">IF(C196="success","",IF(E196&gt;0,IF(I196="freshness_within_target","freshness",IF(I196="relationships_intact","relationships",IF(I196="reconciliation_residual_zero","residual",I196))),IF(H196="quality_gate","gate_infra",H196)))</f>
        <v/>
      </c>
    </row>
    <row r="197" customFormat="false" ht="15" hidden="false" customHeight="false" outlineLevel="0" collapsed="false">
      <c r="A197" s="4" t="s">
        <v>1929</v>
      </c>
      <c r="B197" s="10" t="n">
        <v>46252.09375</v>
      </c>
      <c r="C197" s="4" t="s">
        <v>1544</v>
      </c>
      <c r="D197" s="4" t="n">
        <v>763</v>
      </c>
      <c r="E197" s="4" t="n">
        <v>7</v>
      </c>
      <c r="F197" s="4" t="n">
        <v>6</v>
      </c>
      <c r="G197" s="4" t="n">
        <v>0</v>
      </c>
      <c r="J197" s="11" t="b">
        <f aca="false">TRUE()</f>
        <v>1</v>
      </c>
      <c r="K197" s="4" t="s">
        <v>1930</v>
      </c>
      <c r="L197" s="4" t="n">
        <v>4</v>
      </c>
      <c r="M197" s="4" t="n">
        <v>4</v>
      </c>
      <c r="N197" s="4" t="n">
        <v>4</v>
      </c>
      <c r="O197" s="4" t="n">
        <v>4</v>
      </c>
      <c r="P197" s="0" t="str">
        <f aca="false">IF(E197=0,"not_reached",IF(AND(F197&gt;0,G197=0),"allowed","blocked"))</f>
        <v>allowed</v>
      </c>
      <c r="Q197" s="0" t="str">
        <f aca="false">IF(C197="success","published",IF(E197&gt;0,"blocked_at_gate","failed_before_gate"))</f>
        <v>published</v>
      </c>
      <c r="R197" s="0" t="str">
        <f aca="false">IF(C197="success","",IF(E197&gt;0,IF(I197="freshness_within_target","freshness",IF(I197="relationships_intact","relationships",IF(I197="reconciliation_residual_zero","residual",I197))),IF(H197="quality_gate","gate_infra",H197)))</f>
        <v/>
      </c>
    </row>
    <row r="198" customFormat="false" ht="15" hidden="false" customHeight="false" outlineLevel="0" collapsed="false">
      <c r="A198" s="4" t="s">
        <v>1931</v>
      </c>
      <c r="B198" s="10" t="n">
        <v>46252.1354166667</v>
      </c>
      <c r="C198" s="4" t="s">
        <v>1544</v>
      </c>
      <c r="D198" s="4" t="n">
        <v>936</v>
      </c>
      <c r="E198" s="4" t="n">
        <v>7</v>
      </c>
      <c r="F198" s="4" t="n">
        <v>6</v>
      </c>
      <c r="G198" s="4" t="n">
        <v>0</v>
      </c>
      <c r="J198" s="11" t="b">
        <f aca="false">TRUE()</f>
        <v>1</v>
      </c>
      <c r="K198" s="4" t="s">
        <v>1932</v>
      </c>
      <c r="L198" s="4" t="n">
        <v>4</v>
      </c>
      <c r="M198" s="4" t="n">
        <v>4</v>
      </c>
      <c r="N198" s="4" t="n">
        <v>4</v>
      </c>
      <c r="O198" s="4" t="n">
        <v>4</v>
      </c>
      <c r="P198" s="0" t="str">
        <f aca="false">IF(E198=0,"not_reached",IF(AND(F198&gt;0,G198=0),"allowed","blocked"))</f>
        <v>allowed</v>
      </c>
      <c r="Q198" s="0" t="str">
        <f aca="false">IF(C198="success","published",IF(E198&gt;0,"blocked_at_gate","failed_before_gate"))</f>
        <v>published</v>
      </c>
      <c r="R198" s="0" t="str">
        <f aca="false">IF(C198="success","",IF(E198&gt;0,IF(I198="freshness_within_target","freshness",IF(I198="relationships_intact","relationships",IF(I198="reconciliation_residual_zero","residual",I198))),IF(H198="quality_gate","gate_infra",H198)))</f>
        <v/>
      </c>
    </row>
    <row r="199" customFormat="false" ht="15" hidden="false" customHeight="false" outlineLevel="0" collapsed="false">
      <c r="A199" s="4" t="s">
        <v>1933</v>
      </c>
      <c r="B199" s="10" t="n">
        <v>46252.1770833333</v>
      </c>
      <c r="C199" s="4" t="s">
        <v>1544</v>
      </c>
      <c r="D199" s="4" t="n">
        <v>929</v>
      </c>
      <c r="E199" s="4" t="n">
        <v>7</v>
      </c>
      <c r="F199" s="4" t="n">
        <v>6</v>
      </c>
      <c r="G199" s="4" t="n">
        <v>0</v>
      </c>
      <c r="J199" s="11" t="b">
        <f aca="false">TRUE()</f>
        <v>1</v>
      </c>
      <c r="K199" s="4" t="s">
        <v>1934</v>
      </c>
      <c r="L199" s="4" t="n">
        <v>4</v>
      </c>
      <c r="M199" s="4" t="n">
        <v>4</v>
      </c>
      <c r="N199" s="4" t="n">
        <v>4</v>
      </c>
      <c r="O199" s="4" t="n">
        <v>4</v>
      </c>
      <c r="P199" s="0" t="str">
        <f aca="false">IF(E199=0,"not_reached",IF(AND(F199&gt;0,G199=0),"allowed","blocked"))</f>
        <v>allowed</v>
      </c>
      <c r="Q199" s="0" t="str">
        <f aca="false">IF(C199="success","published",IF(E199&gt;0,"blocked_at_gate","failed_before_gate"))</f>
        <v>published</v>
      </c>
      <c r="R199" s="0" t="str">
        <f aca="false">IF(C199="success","",IF(E199&gt;0,IF(I199="freshness_within_target","freshness",IF(I199="relationships_intact","relationships",IF(I199="reconciliation_residual_zero","residual",I199))),IF(H199="quality_gate","gate_infra",H199)))</f>
        <v/>
      </c>
    </row>
    <row r="200" customFormat="false" ht="15" hidden="false" customHeight="false" outlineLevel="0" collapsed="false">
      <c r="A200" s="4" t="s">
        <v>1935</v>
      </c>
      <c r="B200" s="10" t="n">
        <v>46252.21875</v>
      </c>
      <c r="C200" s="4" t="s">
        <v>1544</v>
      </c>
      <c r="D200" s="4" t="n">
        <v>793</v>
      </c>
      <c r="E200" s="4" t="n">
        <v>7</v>
      </c>
      <c r="F200" s="4" t="n">
        <v>6</v>
      </c>
      <c r="G200" s="4" t="n">
        <v>0</v>
      </c>
      <c r="J200" s="11" t="b">
        <f aca="false">TRUE()</f>
        <v>1</v>
      </c>
      <c r="K200" s="4" t="s">
        <v>1936</v>
      </c>
      <c r="L200" s="4" t="n">
        <v>4</v>
      </c>
      <c r="M200" s="4" t="n">
        <v>4</v>
      </c>
      <c r="N200" s="4" t="n">
        <v>4</v>
      </c>
      <c r="O200" s="4" t="n">
        <v>4</v>
      </c>
      <c r="P200" s="0" t="str">
        <f aca="false">IF(E200=0,"not_reached",IF(AND(F200&gt;0,G200=0),"allowed","blocked"))</f>
        <v>allowed</v>
      </c>
      <c r="Q200" s="0" t="str">
        <f aca="false">IF(C200="success","published",IF(E200&gt;0,"blocked_at_gate","failed_before_gate"))</f>
        <v>published</v>
      </c>
      <c r="R200" s="0" t="str">
        <f aca="false">IF(C200="success","",IF(E200&gt;0,IF(I200="freshness_within_target","freshness",IF(I200="relationships_intact","relationships",IF(I200="reconciliation_residual_zero","residual",I200))),IF(H200="quality_gate","gate_infra",H200)))</f>
        <v/>
      </c>
    </row>
    <row r="201" customFormat="false" ht="15" hidden="false" customHeight="false" outlineLevel="0" collapsed="false">
      <c r="A201" s="4" t="s">
        <v>1937</v>
      </c>
      <c r="B201" s="10" t="n">
        <v>46252.2604166667</v>
      </c>
      <c r="C201" s="4" t="s">
        <v>1544</v>
      </c>
      <c r="D201" s="4" t="n">
        <v>894</v>
      </c>
      <c r="E201" s="4" t="n">
        <v>7</v>
      </c>
      <c r="F201" s="4" t="n">
        <v>6</v>
      </c>
      <c r="G201" s="4" t="n">
        <v>0</v>
      </c>
      <c r="J201" s="11" t="b">
        <f aca="false">TRUE()</f>
        <v>1</v>
      </c>
      <c r="K201" s="4" t="s">
        <v>1938</v>
      </c>
      <c r="L201" s="4" t="n">
        <v>4</v>
      </c>
      <c r="M201" s="4" t="n">
        <v>4</v>
      </c>
      <c r="N201" s="4" t="n">
        <v>4</v>
      </c>
      <c r="O201" s="4" t="n">
        <v>4</v>
      </c>
      <c r="P201" s="0" t="str">
        <f aca="false">IF(E201=0,"not_reached",IF(AND(F201&gt;0,G201=0),"allowed","blocked"))</f>
        <v>allowed</v>
      </c>
      <c r="Q201" s="0" t="str">
        <f aca="false">IF(C201="success","published",IF(E201&gt;0,"blocked_at_gate","failed_before_gate"))</f>
        <v>published</v>
      </c>
      <c r="R201" s="0" t="str">
        <f aca="false">IF(C201="success","",IF(E201&gt;0,IF(I201="freshness_within_target","freshness",IF(I201="relationships_intact","relationships",IF(I201="reconciliation_residual_zero","residual",I201))),IF(H201="quality_gate","gate_infra",H201)))</f>
        <v/>
      </c>
    </row>
    <row r="202" customFormat="false" ht="15" hidden="false" customHeight="false" outlineLevel="0" collapsed="false">
      <c r="A202" s="4" t="s">
        <v>1939</v>
      </c>
      <c r="B202" s="10" t="n">
        <v>46252.3020833333</v>
      </c>
      <c r="C202" s="4" t="s">
        <v>1544</v>
      </c>
      <c r="D202" s="4" t="n">
        <v>899</v>
      </c>
      <c r="E202" s="4" t="n">
        <v>7</v>
      </c>
      <c r="F202" s="4" t="n">
        <v>6</v>
      </c>
      <c r="G202" s="4" t="n">
        <v>0</v>
      </c>
      <c r="J202" s="11" t="b">
        <f aca="false">TRUE()</f>
        <v>1</v>
      </c>
      <c r="K202" s="4" t="s">
        <v>1940</v>
      </c>
      <c r="L202" s="4" t="n">
        <v>4</v>
      </c>
      <c r="M202" s="4" t="n">
        <v>4</v>
      </c>
      <c r="N202" s="4" t="n">
        <v>4</v>
      </c>
      <c r="O202" s="4" t="n">
        <v>4</v>
      </c>
      <c r="P202" s="0" t="str">
        <f aca="false">IF(E202=0,"not_reached",IF(AND(F202&gt;0,G202=0),"allowed","blocked"))</f>
        <v>allowed</v>
      </c>
      <c r="Q202" s="0" t="str">
        <f aca="false">IF(C202="success","published",IF(E202&gt;0,"blocked_at_gate","failed_before_gate"))</f>
        <v>published</v>
      </c>
      <c r="R202" s="0" t="str">
        <f aca="false">IF(C202="success","",IF(E202&gt;0,IF(I202="freshness_within_target","freshness",IF(I202="relationships_intact","relationships",IF(I202="reconciliation_residual_zero","residual",I202))),IF(H202="quality_gate","gate_infra",H202)))</f>
        <v/>
      </c>
    </row>
    <row r="203" customFormat="false" ht="15" hidden="false" customHeight="false" outlineLevel="0" collapsed="false">
      <c r="A203" s="4" t="s">
        <v>1941</v>
      </c>
      <c r="B203" s="10" t="n">
        <v>46252.34375</v>
      </c>
      <c r="C203" s="4" t="s">
        <v>1544</v>
      </c>
      <c r="D203" s="4" t="n">
        <v>1198</v>
      </c>
      <c r="E203" s="4" t="n">
        <v>7</v>
      </c>
      <c r="F203" s="4" t="n">
        <v>6</v>
      </c>
      <c r="G203" s="4" t="n">
        <v>0</v>
      </c>
      <c r="J203" s="11" t="b">
        <f aca="false">TRUE()</f>
        <v>1</v>
      </c>
      <c r="K203" s="4" t="s">
        <v>1942</v>
      </c>
      <c r="L203" s="4" t="n">
        <v>4</v>
      </c>
      <c r="M203" s="4" t="n">
        <v>4</v>
      </c>
      <c r="N203" s="4" t="n">
        <v>5</v>
      </c>
      <c r="O203" s="4" t="n">
        <v>4</v>
      </c>
      <c r="P203" s="0" t="str">
        <f aca="false">IF(E203=0,"not_reached",IF(AND(F203&gt;0,G203=0),"allowed","blocked"))</f>
        <v>allowed</v>
      </c>
      <c r="Q203" s="0" t="str">
        <f aca="false">IF(C203="success","published",IF(E203&gt;0,"blocked_at_gate","failed_before_gate"))</f>
        <v>published</v>
      </c>
      <c r="R203" s="0" t="str">
        <f aca="false">IF(C203="success","",IF(E203&gt;0,IF(I203="freshness_within_target","freshness",IF(I203="relationships_intact","relationships",IF(I203="reconciliation_residual_zero","residual",I203))),IF(H203="quality_gate","gate_infra",H203)))</f>
        <v/>
      </c>
    </row>
    <row r="204" customFormat="false" ht="15" hidden="false" customHeight="false" outlineLevel="0" collapsed="false">
      <c r="A204" s="4" t="s">
        <v>1943</v>
      </c>
      <c r="B204" s="10" t="n">
        <v>46252.3854166667</v>
      </c>
      <c r="C204" s="4" t="s">
        <v>1544</v>
      </c>
      <c r="D204" s="4" t="n">
        <v>788</v>
      </c>
      <c r="E204" s="4" t="n">
        <v>7</v>
      </c>
      <c r="F204" s="4" t="n">
        <v>6</v>
      </c>
      <c r="G204" s="4" t="n">
        <v>0</v>
      </c>
      <c r="J204" s="11" t="b">
        <f aca="false">TRUE()</f>
        <v>1</v>
      </c>
      <c r="K204" s="4" t="s">
        <v>1944</v>
      </c>
      <c r="L204" s="4" t="n">
        <v>4</v>
      </c>
      <c r="M204" s="4" t="n">
        <v>4</v>
      </c>
      <c r="N204" s="4" t="n">
        <v>4</v>
      </c>
      <c r="O204" s="4" t="n">
        <v>4</v>
      </c>
      <c r="P204" s="0" t="str">
        <f aca="false">IF(E204=0,"not_reached",IF(AND(F204&gt;0,G204=0),"allowed","blocked"))</f>
        <v>allowed</v>
      </c>
      <c r="Q204" s="0" t="str">
        <f aca="false">IF(C204="success","published",IF(E204&gt;0,"blocked_at_gate","failed_before_gate"))</f>
        <v>published</v>
      </c>
      <c r="R204" s="0" t="str">
        <f aca="false">IF(C204="success","",IF(E204&gt;0,IF(I204="freshness_within_target","freshness",IF(I204="relationships_intact","relationships",IF(I204="reconciliation_residual_zero","residual",I204))),IF(H204="quality_gate","gate_infra",H204)))</f>
        <v/>
      </c>
    </row>
    <row r="205" customFormat="false" ht="15" hidden="false" customHeight="false" outlineLevel="0" collapsed="false">
      <c r="A205" s="4" t="s">
        <v>1945</v>
      </c>
      <c r="B205" s="10" t="n">
        <v>46252.4270833333</v>
      </c>
      <c r="C205" s="4" t="s">
        <v>1544</v>
      </c>
      <c r="D205" s="4" t="n">
        <v>750</v>
      </c>
      <c r="E205" s="4" t="n">
        <v>7</v>
      </c>
      <c r="F205" s="4" t="n">
        <v>6</v>
      </c>
      <c r="G205" s="4" t="n">
        <v>0</v>
      </c>
      <c r="J205" s="11" t="b">
        <f aca="false">TRUE()</f>
        <v>1</v>
      </c>
      <c r="K205" s="4" t="s">
        <v>1946</v>
      </c>
      <c r="L205" s="4" t="n">
        <v>4</v>
      </c>
      <c r="M205" s="4" t="n">
        <v>4</v>
      </c>
      <c r="N205" s="4" t="n">
        <v>4</v>
      </c>
      <c r="O205" s="4" t="n">
        <v>4</v>
      </c>
      <c r="P205" s="0" t="str">
        <f aca="false">IF(E205=0,"not_reached",IF(AND(F205&gt;0,G205=0),"allowed","blocked"))</f>
        <v>allowed</v>
      </c>
      <c r="Q205" s="0" t="str">
        <f aca="false">IF(C205="success","published",IF(E205&gt;0,"blocked_at_gate","failed_before_gate"))</f>
        <v>published</v>
      </c>
      <c r="R205" s="0" t="str">
        <f aca="false">IF(C205="success","",IF(E205&gt;0,IF(I205="freshness_within_target","freshness",IF(I205="relationships_intact","relationships",IF(I205="reconciliation_residual_zero","residual",I205))),IF(H205="quality_gate","gate_infra",H205)))</f>
        <v/>
      </c>
    </row>
    <row r="206" customFormat="false" ht="15" hidden="false" customHeight="false" outlineLevel="0" collapsed="false">
      <c r="A206" s="4" t="s">
        <v>1947</v>
      </c>
      <c r="B206" s="10" t="n">
        <v>46252.46875</v>
      </c>
      <c r="C206" s="4" t="s">
        <v>1544</v>
      </c>
      <c r="D206" s="4" t="n">
        <v>888</v>
      </c>
      <c r="E206" s="4" t="n">
        <v>7</v>
      </c>
      <c r="F206" s="4" t="n">
        <v>6</v>
      </c>
      <c r="G206" s="4" t="n">
        <v>0</v>
      </c>
      <c r="J206" s="11" t="b">
        <f aca="false">TRUE()</f>
        <v>1</v>
      </c>
      <c r="K206" s="4" t="s">
        <v>1948</v>
      </c>
      <c r="L206" s="4" t="n">
        <v>4</v>
      </c>
      <c r="M206" s="4" t="n">
        <v>4</v>
      </c>
      <c r="N206" s="4" t="n">
        <v>4</v>
      </c>
      <c r="O206" s="4" t="n">
        <v>4</v>
      </c>
      <c r="P206" s="0" t="str">
        <f aca="false">IF(E206=0,"not_reached",IF(AND(F206&gt;0,G206=0),"allowed","blocked"))</f>
        <v>allowed</v>
      </c>
      <c r="Q206" s="0" t="str">
        <f aca="false">IF(C206="success","published",IF(E206&gt;0,"blocked_at_gate","failed_before_gate"))</f>
        <v>published</v>
      </c>
      <c r="R206" s="0" t="str">
        <f aca="false">IF(C206="success","",IF(E206&gt;0,IF(I206="freshness_within_target","freshness",IF(I206="relationships_intact","relationships",IF(I206="reconciliation_residual_zero","residual",I206))),IF(H206="quality_gate","gate_infra",H206)))</f>
        <v/>
      </c>
    </row>
    <row r="207" customFormat="false" ht="15" hidden="false" customHeight="false" outlineLevel="0" collapsed="false">
      <c r="A207" s="4" t="s">
        <v>1949</v>
      </c>
      <c r="B207" s="10" t="n">
        <v>46252.5104166667</v>
      </c>
      <c r="C207" s="4" t="s">
        <v>1544</v>
      </c>
      <c r="D207" s="4" t="n">
        <v>955</v>
      </c>
      <c r="E207" s="4" t="n">
        <v>7</v>
      </c>
      <c r="F207" s="4" t="n">
        <v>6</v>
      </c>
      <c r="G207" s="4" t="n">
        <v>0</v>
      </c>
      <c r="J207" s="11" t="b">
        <f aca="false">TRUE()</f>
        <v>1</v>
      </c>
      <c r="K207" s="4" t="s">
        <v>1950</v>
      </c>
      <c r="L207" s="4" t="n">
        <v>4</v>
      </c>
      <c r="M207" s="4" t="n">
        <v>4</v>
      </c>
      <c r="N207" s="4" t="n">
        <v>4</v>
      </c>
      <c r="O207" s="4" t="n">
        <v>4</v>
      </c>
      <c r="P207" s="0" t="str">
        <f aca="false">IF(E207=0,"not_reached",IF(AND(F207&gt;0,G207=0),"allowed","blocked"))</f>
        <v>allowed</v>
      </c>
      <c r="Q207" s="0" t="str">
        <f aca="false">IF(C207="success","published",IF(E207&gt;0,"blocked_at_gate","failed_before_gate"))</f>
        <v>published</v>
      </c>
      <c r="R207" s="0" t="str">
        <f aca="false">IF(C207="success","",IF(E207&gt;0,IF(I207="freshness_within_target","freshness",IF(I207="relationships_intact","relationships",IF(I207="reconciliation_residual_zero","residual",I207))),IF(H207="quality_gate","gate_infra",H207)))</f>
        <v/>
      </c>
    </row>
    <row r="208" customFormat="false" ht="15" hidden="false" customHeight="false" outlineLevel="0" collapsed="false">
      <c r="A208" s="4" t="s">
        <v>1951</v>
      </c>
      <c r="B208" s="10" t="n">
        <v>46252.5520833333</v>
      </c>
      <c r="C208" s="4" t="s">
        <v>1544</v>
      </c>
      <c r="D208" s="4" t="n">
        <v>947</v>
      </c>
      <c r="E208" s="4" t="n">
        <v>7</v>
      </c>
      <c r="F208" s="4" t="n">
        <v>6</v>
      </c>
      <c r="G208" s="4" t="n">
        <v>0</v>
      </c>
      <c r="J208" s="11" t="b">
        <f aca="false">TRUE()</f>
        <v>1</v>
      </c>
      <c r="K208" s="4" t="s">
        <v>1952</v>
      </c>
      <c r="L208" s="4" t="n">
        <v>4</v>
      </c>
      <c r="M208" s="4" t="n">
        <v>4</v>
      </c>
      <c r="N208" s="4" t="n">
        <v>4</v>
      </c>
      <c r="O208" s="4" t="n">
        <v>4</v>
      </c>
      <c r="P208" s="0" t="str">
        <f aca="false">IF(E208=0,"not_reached",IF(AND(F208&gt;0,G208=0),"allowed","blocked"))</f>
        <v>allowed</v>
      </c>
      <c r="Q208" s="0" t="str">
        <f aca="false">IF(C208="success","published",IF(E208&gt;0,"blocked_at_gate","failed_before_gate"))</f>
        <v>published</v>
      </c>
      <c r="R208" s="0" t="str">
        <f aca="false">IF(C208="success","",IF(E208&gt;0,IF(I208="freshness_within_target","freshness",IF(I208="relationships_intact","relationships",IF(I208="reconciliation_residual_zero","residual",I208))),IF(H208="quality_gate","gate_infra",H208)))</f>
        <v/>
      </c>
    </row>
    <row r="209" customFormat="false" ht="15" hidden="false" customHeight="false" outlineLevel="0" collapsed="false">
      <c r="A209" s="4" t="s">
        <v>1953</v>
      </c>
      <c r="B209" s="10" t="n">
        <v>46252.59375</v>
      </c>
      <c r="C209" s="4" t="s">
        <v>1901</v>
      </c>
      <c r="D209" s="4" t="n">
        <v>1065</v>
      </c>
      <c r="E209" s="4" t="n">
        <v>0</v>
      </c>
      <c r="F209" s="4" t="n">
        <v>0</v>
      </c>
      <c r="G209" s="4" t="n">
        <v>0</v>
      </c>
      <c r="H209" s="4" t="s">
        <v>1954</v>
      </c>
      <c r="J209" s="11" t="b">
        <f aca="false">FALSE()</f>
        <v>0</v>
      </c>
      <c r="L209" s="4" t="n">
        <v>3</v>
      </c>
      <c r="M209" s="4" t="n">
        <v>2</v>
      </c>
      <c r="N209" s="4" t="n">
        <v>5</v>
      </c>
      <c r="O209" s="4" t="n">
        <v>2</v>
      </c>
      <c r="P209" s="0" t="str">
        <f aca="false">IF(E209=0,"not_reached",IF(AND(F209&gt;0,G209=0),"allowed","blocked"))</f>
        <v>not_reached</v>
      </c>
      <c r="Q209" s="0" t="str">
        <f aca="false">IF(C209="success","published",IF(E209&gt;0,"blocked_at_gate","failed_before_gate"))</f>
        <v>failed_before_gate</v>
      </c>
      <c r="R209" s="0" t="str">
        <f aca="false">IF(C209="success","",IF(E209&gt;0,IF(I209="freshness_within_target","freshness",IF(I209="relationships_intact","relationships",IF(I209="reconciliation_residual_zero","residual",I209))),IF(H209="quality_gate","gate_infra",H209)))</f>
        <v>gate_infra</v>
      </c>
    </row>
    <row r="210" customFormat="false" ht="15" hidden="false" customHeight="false" outlineLevel="0" collapsed="false">
      <c r="A210" s="4" t="s">
        <v>1955</v>
      </c>
      <c r="B210" s="10" t="n">
        <v>46252.6354166667</v>
      </c>
      <c r="C210" s="4" t="s">
        <v>1544</v>
      </c>
      <c r="D210" s="4" t="n">
        <v>852</v>
      </c>
      <c r="E210" s="4" t="n">
        <v>7</v>
      </c>
      <c r="F210" s="4" t="n">
        <v>6</v>
      </c>
      <c r="G210" s="4" t="n">
        <v>0</v>
      </c>
      <c r="J210" s="11" t="b">
        <f aca="false">TRUE()</f>
        <v>1</v>
      </c>
      <c r="K210" s="4" t="s">
        <v>1956</v>
      </c>
      <c r="L210" s="4" t="n">
        <v>4</v>
      </c>
      <c r="M210" s="4" t="n">
        <v>4</v>
      </c>
      <c r="N210" s="4" t="n">
        <v>4</v>
      </c>
      <c r="O210" s="4" t="n">
        <v>4</v>
      </c>
      <c r="P210" s="0" t="str">
        <f aca="false">IF(E210=0,"not_reached",IF(AND(F210&gt;0,G210=0),"allowed","blocked"))</f>
        <v>allowed</v>
      </c>
      <c r="Q210" s="0" t="str">
        <f aca="false">IF(C210="success","published",IF(E210&gt;0,"blocked_at_gate","failed_before_gate"))</f>
        <v>published</v>
      </c>
      <c r="R210" s="0" t="str">
        <f aca="false">IF(C210="success","",IF(E210&gt;0,IF(I210="freshness_within_target","freshness",IF(I210="relationships_intact","relationships",IF(I210="reconciliation_residual_zero","residual",I210))),IF(H210="quality_gate","gate_infra",H210)))</f>
        <v/>
      </c>
    </row>
    <row r="211" customFormat="false" ht="15" hidden="false" customHeight="false" outlineLevel="0" collapsed="false">
      <c r="A211" s="4" t="s">
        <v>1957</v>
      </c>
      <c r="B211" s="10" t="n">
        <v>46252.6770833333</v>
      </c>
      <c r="C211" s="4" t="s">
        <v>1544</v>
      </c>
      <c r="D211" s="4" t="n">
        <v>901</v>
      </c>
      <c r="E211" s="4" t="n">
        <v>7</v>
      </c>
      <c r="F211" s="4" t="n">
        <v>6</v>
      </c>
      <c r="G211" s="4" t="n">
        <v>0</v>
      </c>
      <c r="J211" s="11" t="b">
        <f aca="false">TRUE()</f>
        <v>1</v>
      </c>
      <c r="K211" s="4" t="s">
        <v>1958</v>
      </c>
      <c r="L211" s="4" t="n">
        <v>4</v>
      </c>
      <c r="M211" s="4" t="n">
        <v>4</v>
      </c>
      <c r="N211" s="4" t="n">
        <v>4</v>
      </c>
      <c r="O211" s="4" t="n">
        <v>4</v>
      </c>
      <c r="P211" s="0" t="str">
        <f aca="false">IF(E211=0,"not_reached",IF(AND(F211&gt;0,G211=0),"allowed","blocked"))</f>
        <v>allowed</v>
      </c>
      <c r="Q211" s="0" t="str">
        <f aca="false">IF(C211="success","published",IF(E211&gt;0,"blocked_at_gate","failed_before_gate"))</f>
        <v>published</v>
      </c>
      <c r="R211" s="0" t="str">
        <f aca="false">IF(C211="success","",IF(E211&gt;0,IF(I211="freshness_within_target","freshness",IF(I211="relationships_intact","relationships",IF(I211="reconciliation_residual_zero","residual",I211))),IF(H211="quality_gate","gate_infra",H211)))</f>
        <v/>
      </c>
    </row>
    <row r="212" customFormat="false" ht="15" hidden="false" customHeight="false" outlineLevel="0" collapsed="false">
      <c r="A212" s="4" t="s">
        <v>1959</v>
      </c>
      <c r="B212" s="10" t="n">
        <v>46252.71875</v>
      </c>
      <c r="C212" s="4" t="s">
        <v>1544</v>
      </c>
      <c r="D212" s="4" t="n">
        <v>771</v>
      </c>
      <c r="E212" s="4" t="n">
        <v>7</v>
      </c>
      <c r="F212" s="4" t="n">
        <v>6</v>
      </c>
      <c r="G212" s="4" t="n">
        <v>0</v>
      </c>
      <c r="J212" s="11" t="b">
        <f aca="false">TRUE()</f>
        <v>1</v>
      </c>
      <c r="K212" s="4" t="s">
        <v>1960</v>
      </c>
      <c r="L212" s="4" t="n">
        <v>4</v>
      </c>
      <c r="M212" s="4" t="n">
        <v>4</v>
      </c>
      <c r="N212" s="4" t="n">
        <v>4</v>
      </c>
      <c r="O212" s="4" t="n">
        <v>4</v>
      </c>
      <c r="P212" s="0" t="str">
        <f aca="false">IF(E212=0,"not_reached",IF(AND(F212&gt;0,G212=0),"allowed","blocked"))</f>
        <v>allowed</v>
      </c>
      <c r="Q212" s="0" t="str">
        <f aca="false">IF(C212="success","published",IF(E212&gt;0,"blocked_at_gate","failed_before_gate"))</f>
        <v>published</v>
      </c>
      <c r="R212" s="0" t="str">
        <f aca="false">IF(C212="success","",IF(E212&gt;0,IF(I212="freshness_within_target","freshness",IF(I212="relationships_intact","relationships",IF(I212="reconciliation_residual_zero","residual",I212))),IF(H212="quality_gate","gate_infra",H212)))</f>
        <v/>
      </c>
    </row>
    <row r="213" customFormat="false" ht="15" hidden="false" customHeight="false" outlineLevel="0" collapsed="false">
      <c r="A213" s="4" t="s">
        <v>1961</v>
      </c>
      <c r="B213" s="10" t="n">
        <v>46252.7604166667</v>
      </c>
      <c r="C213" s="4" t="s">
        <v>1544</v>
      </c>
      <c r="D213" s="4" t="n">
        <v>797</v>
      </c>
      <c r="E213" s="4" t="n">
        <v>7</v>
      </c>
      <c r="F213" s="4" t="n">
        <v>6</v>
      </c>
      <c r="G213" s="4" t="n">
        <v>0</v>
      </c>
      <c r="J213" s="11" t="b">
        <f aca="false">TRUE()</f>
        <v>1</v>
      </c>
      <c r="K213" s="4" t="s">
        <v>1962</v>
      </c>
      <c r="L213" s="4" t="n">
        <v>4</v>
      </c>
      <c r="M213" s="4" t="n">
        <v>4</v>
      </c>
      <c r="N213" s="4" t="n">
        <v>4</v>
      </c>
      <c r="O213" s="4" t="n">
        <v>4</v>
      </c>
      <c r="P213" s="0" t="str">
        <f aca="false">IF(E213=0,"not_reached",IF(AND(F213&gt;0,G213=0),"allowed","blocked"))</f>
        <v>allowed</v>
      </c>
      <c r="Q213" s="0" t="str">
        <f aca="false">IF(C213="success","published",IF(E213&gt;0,"blocked_at_gate","failed_before_gate"))</f>
        <v>published</v>
      </c>
      <c r="R213" s="0" t="str">
        <f aca="false">IF(C213="success","",IF(E213&gt;0,IF(I213="freshness_within_target","freshness",IF(I213="relationships_intact","relationships",IF(I213="reconciliation_residual_zero","residual",I213))),IF(H213="quality_gate","gate_infra",H213)))</f>
        <v/>
      </c>
    </row>
    <row r="214" customFormat="false" ht="15" hidden="false" customHeight="false" outlineLevel="0" collapsed="false">
      <c r="A214" s="4" t="s">
        <v>1963</v>
      </c>
      <c r="B214" s="10" t="n">
        <v>46252.8020833333</v>
      </c>
      <c r="C214" s="4" t="s">
        <v>1544</v>
      </c>
      <c r="D214" s="4" t="n">
        <v>875</v>
      </c>
      <c r="E214" s="4" t="n">
        <v>7</v>
      </c>
      <c r="F214" s="4" t="n">
        <v>6</v>
      </c>
      <c r="G214" s="4" t="n">
        <v>0</v>
      </c>
      <c r="J214" s="11" t="b">
        <f aca="false">TRUE()</f>
        <v>1</v>
      </c>
      <c r="K214" s="4" t="s">
        <v>1964</v>
      </c>
      <c r="L214" s="4" t="n">
        <v>4</v>
      </c>
      <c r="M214" s="4" t="n">
        <v>4</v>
      </c>
      <c r="N214" s="4" t="n">
        <v>4</v>
      </c>
      <c r="O214" s="4" t="n">
        <v>4</v>
      </c>
      <c r="P214" s="0" t="str">
        <f aca="false">IF(E214=0,"not_reached",IF(AND(F214&gt;0,G214=0),"allowed","blocked"))</f>
        <v>allowed</v>
      </c>
      <c r="Q214" s="0" t="str">
        <f aca="false">IF(C214="success","published",IF(E214&gt;0,"blocked_at_gate","failed_before_gate"))</f>
        <v>published</v>
      </c>
      <c r="R214" s="0" t="str">
        <f aca="false">IF(C214="success","",IF(E214&gt;0,IF(I214="freshness_within_target","freshness",IF(I214="relationships_intact","relationships",IF(I214="reconciliation_residual_zero","residual",I214))),IF(H214="quality_gate","gate_infra",H214)))</f>
        <v/>
      </c>
    </row>
    <row r="215" customFormat="false" ht="15" hidden="false" customHeight="false" outlineLevel="0" collapsed="false">
      <c r="A215" s="4" t="s">
        <v>1965</v>
      </c>
      <c r="B215" s="10" t="n">
        <v>46252.84375</v>
      </c>
      <c r="C215" s="4" t="s">
        <v>1544</v>
      </c>
      <c r="D215" s="4" t="n">
        <v>685</v>
      </c>
      <c r="E215" s="4" t="n">
        <v>7</v>
      </c>
      <c r="F215" s="4" t="n">
        <v>6</v>
      </c>
      <c r="G215" s="4" t="n">
        <v>0</v>
      </c>
      <c r="J215" s="11" t="b">
        <f aca="false">TRUE()</f>
        <v>1</v>
      </c>
      <c r="K215" s="4" t="s">
        <v>1966</v>
      </c>
      <c r="L215" s="4" t="n">
        <v>4</v>
      </c>
      <c r="M215" s="4" t="n">
        <v>4</v>
      </c>
      <c r="N215" s="4" t="n">
        <v>4</v>
      </c>
      <c r="O215" s="4" t="n">
        <v>4</v>
      </c>
      <c r="P215" s="0" t="str">
        <f aca="false">IF(E215=0,"not_reached",IF(AND(F215&gt;0,G215=0),"allowed","blocked"))</f>
        <v>allowed</v>
      </c>
      <c r="Q215" s="0" t="str">
        <f aca="false">IF(C215="success","published",IF(E215&gt;0,"blocked_at_gate","failed_before_gate"))</f>
        <v>published</v>
      </c>
      <c r="R215" s="0" t="str">
        <f aca="false">IF(C215="success","",IF(E215&gt;0,IF(I215="freshness_within_target","freshness",IF(I215="relationships_intact","relationships",IF(I215="reconciliation_residual_zero","residual",I215))),IF(H215="quality_gate","gate_infra",H215)))</f>
        <v/>
      </c>
    </row>
    <row r="216" customFormat="false" ht="15" hidden="false" customHeight="false" outlineLevel="0" collapsed="false">
      <c r="A216" s="4" t="s">
        <v>1967</v>
      </c>
      <c r="B216" s="10" t="n">
        <v>46252.8854166667</v>
      </c>
      <c r="C216" s="4" t="s">
        <v>1544</v>
      </c>
      <c r="D216" s="4" t="n">
        <v>761</v>
      </c>
      <c r="E216" s="4" t="n">
        <v>7</v>
      </c>
      <c r="F216" s="4" t="n">
        <v>6</v>
      </c>
      <c r="G216" s="4" t="n">
        <v>0</v>
      </c>
      <c r="J216" s="11" t="b">
        <f aca="false">TRUE()</f>
        <v>1</v>
      </c>
      <c r="K216" s="4" t="s">
        <v>1968</v>
      </c>
      <c r="L216" s="4" t="n">
        <v>4</v>
      </c>
      <c r="M216" s="4" t="n">
        <v>4</v>
      </c>
      <c r="N216" s="4" t="n">
        <v>4</v>
      </c>
      <c r="O216" s="4" t="n">
        <v>4</v>
      </c>
      <c r="P216" s="0" t="str">
        <f aca="false">IF(E216=0,"not_reached",IF(AND(F216&gt;0,G216=0),"allowed","blocked"))</f>
        <v>allowed</v>
      </c>
      <c r="Q216" s="0" t="str">
        <f aca="false">IF(C216="success","published",IF(E216&gt;0,"blocked_at_gate","failed_before_gate"))</f>
        <v>published</v>
      </c>
      <c r="R216" s="0" t="str">
        <f aca="false">IF(C216="success","",IF(E216&gt;0,IF(I216="freshness_within_target","freshness",IF(I216="relationships_intact","relationships",IF(I216="reconciliation_residual_zero","residual",I216))),IF(H216="quality_gate","gate_infra",H216)))</f>
        <v/>
      </c>
    </row>
    <row r="217" customFormat="false" ht="15" hidden="false" customHeight="false" outlineLevel="0" collapsed="false">
      <c r="A217" s="4" t="s">
        <v>1969</v>
      </c>
      <c r="B217" s="10" t="n">
        <v>46252.9270833333</v>
      </c>
      <c r="C217" s="4" t="s">
        <v>1544</v>
      </c>
      <c r="D217" s="4" t="n">
        <v>917</v>
      </c>
      <c r="E217" s="4" t="n">
        <v>7</v>
      </c>
      <c r="F217" s="4" t="n">
        <v>6</v>
      </c>
      <c r="G217" s="4" t="n">
        <v>0</v>
      </c>
      <c r="J217" s="11" t="b">
        <f aca="false">TRUE()</f>
        <v>1</v>
      </c>
      <c r="K217" s="4" t="s">
        <v>1970</v>
      </c>
      <c r="L217" s="4" t="n">
        <v>4</v>
      </c>
      <c r="M217" s="4" t="n">
        <v>4</v>
      </c>
      <c r="N217" s="4" t="n">
        <v>4</v>
      </c>
      <c r="O217" s="4" t="n">
        <v>4</v>
      </c>
      <c r="P217" s="0" t="str">
        <f aca="false">IF(E217=0,"not_reached",IF(AND(F217&gt;0,G217=0),"allowed","blocked"))</f>
        <v>allowed</v>
      </c>
      <c r="Q217" s="0" t="str">
        <f aca="false">IF(C217="success","published",IF(E217&gt;0,"blocked_at_gate","failed_before_gate"))</f>
        <v>published</v>
      </c>
      <c r="R217" s="0" t="str">
        <f aca="false">IF(C217="success","",IF(E217&gt;0,IF(I217="freshness_within_target","freshness",IF(I217="relationships_intact","relationships",IF(I217="reconciliation_residual_zero","residual",I217))),IF(H217="quality_gate","gate_infra",H217)))</f>
        <v/>
      </c>
    </row>
    <row r="218" customFormat="false" ht="15" hidden="false" customHeight="false" outlineLevel="0" collapsed="false">
      <c r="A218" s="4" t="s">
        <v>1971</v>
      </c>
      <c r="B218" s="10" t="n">
        <v>46252.96875</v>
      </c>
      <c r="C218" s="4" t="s">
        <v>1544</v>
      </c>
      <c r="D218" s="4" t="n">
        <v>759</v>
      </c>
      <c r="E218" s="4" t="n">
        <v>7</v>
      </c>
      <c r="F218" s="4" t="n">
        <v>6</v>
      </c>
      <c r="G218" s="4" t="n">
        <v>0</v>
      </c>
      <c r="J218" s="11" t="b">
        <f aca="false">TRUE()</f>
        <v>1</v>
      </c>
      <c r="K218" s="4" t="s">
        <v>1972</v>
      </c>
      <c r="L218" s="4" t="n">
        <v>4</v>
      </c>
      <c r="M218" s="4" t="n">
        <v>4</v>
      </c>
      <c r="N218" s="4" t="n">
        <v>4</v>
      </c>
      <c r="O218" s="4" t="n">
        <v>4</v>
      </c>
      <c r="P218" s="0" t="str">
        <f aca="false">IF(E218=0,"not_reached",IF(AND(F218&gt;0,G218=0),"allowed","blocked"))</f>
        <v>allowed</v>
      </c>
      <c r="Q218" s="0" t="str">
        <f aca="false">IF(C218="success","published",IF(E218&gt;0,"blocked_at_gate","failed_before_gate"))</f>
        <v>published</v>
      </c>
      <c r="R218" s="0" t="str">
        <f aca="false">IF(C218="success","",IF(E218&gt;0,IF(I218="freshness_within_target","freshness",IF(I218="relationships_intact","relationships",IF(I218="reconciliation_residual_zero","residual",I218))),IF(H218="quality_gate","gate_infra",H218)))</f>
        <v/>
      </c>
    </row>
    <row r="219" customFormat="false" ht="15" hidden="false" customHeight="false" outlineLevel="0" collapsed="false">
      <c r="A219" s="4" t="s">
        <v>1973</v>
      </c>
      <c r="B219" s="10" t="n">
        <v>46253.0104166667</v>
      </c>
      <c r="C219" s="4" t="s">
        <v>1544</v>
      </c>
      <c r="D219" s="4" t="n">
        <v>889</v>
      </c>
      <c r="E219" s="4" t="n">
        <v>7</v>
      </c>
      <c r="F219" s="4" t="n">
        <v>6</v>
      </c>
      <c r="G219" s="4" t="n">
        <v>0</v>
      </c>
      <c r="J219" s="11" t="b">
        <f aca="false">TRUE()</f>
        <v>1</v>
      </c>
      <c r="K219" s="4" t="s">
        <v>1974</v>
      </c>
      <c r="L219" s="4" t="n">
        <v>4</v>
      </c>
      <c r="M219" s="4" t="n">
        <v>4</v>
      </c>
      <c r="N219" s="4" t="n">
        <v>4</v>
      </c>
      <c r="O219" s="4" t="n">
        <v>4</v>
      </c>
      <c r="P219" s="0" t="str">
        <f aca="false">IF(E219=0,"not_reached",IF(AND(F219&gt;0,G219=0),"allowed","blocked"))</f>
        <v>allowed</v>
      </c>
      <c r="Q219" s="0" t="str">
        <f aca="false">IF(C219="success","published",IF(E219&gt;0,"blocked_at_gate","failed_before_gate"))</f>
        <v>published</v>
      </c>
      <c r="R219" s="0" t="str">
        <f aca="false">IF(C219="success","",IF(E219&gt;0,IF(I219="freshness_within_target","freshness",IF(I219="relationships_intact","relationships",IF(I219="reconciliation_residual_zero","residual",I219))),IF(H219="quality_gate","gate_infra",H219)))</f>
        <v/>
      </c>
    </row>
    <row r="220" customFormat="false" ht="15" hidden="false" customHeight="false" outlineLevel="0" collapsed="false">
      <c r="A220" s="4" t="s">
        <v>1975</v>
      </c>
      <c r="B220" s="10" t="n">
        <v>46253.0520833333</v>
      </c>
      <c r="C220" s="4" t="s">
        <v>1544</v>
      </c>
      <c r="D220" s="4" t="n">
        <v>864</v>
      </c>
      <c r="E220" s="4" t="n">
        <v>7</v>
      </c>
      <c r="F220" s="4" t="n">
        <v>6</v>
      </c>
      <c r="G220" s="4" t="n">
        <v>0</v>
      </c>
      <c r="J220" s="11" t="b">
        <f aca="false">TRUE()</f>
        <v>1</v>
      </c>
      <c r="K220" s="4" t="s">
        <v>1976</v>
      </c>
      <c r="L220" s="4" t="n">
        <v>4</v>
      </c>
      <c r="M220" s="4" t="n">
        <v>4</v>
      </c>
      <c r="N220" s="4" t="n">
        <v>4</v>
      </c>
      <c r="O220" s="4" t="n">
        <v>4</v>
      </c>
      <c r="P220" s="0" t="str">
        <f aca="false">IF(E220=0,"not_reached",IF(AND(F220&gt;0,G220=0),"allowed","blocked"))</f>
        <v>allowed</v>
      </c>
      <c r="Q220" s="0" t="str">
        <f aca="false">IF(C220="success","published",IF(E220&gt;0,"blocked_at_gate","failed_before_gate"))</f>
        <v>published</v>
      </c>
      <c r="R220" s="0" t="str">
        <f aca="false">IF(C220="success","",IF(E220&gt;0,IF(I220="freshness_within_target","freshness",IF(I220="relationships_intact","relationships",IF(I220="reconciliation_residual_zero","residual",I220))),IF(H220="quality_gate","gate_infra",H220)))</f>
        <v/>
      </c>
    </row>
    <row r="221" customFormat="false" ht="15" hidden="false" customHeight="false" outlineLevel="0" collapsed="false">
      <c r="A221" s="4" t="s">
        <v>1977</v>
      </c>
      <c r="B221" s="10" t="n">
        <v>46253.09375</v>
      </c>
      <c r="C221" s="4" t="s">
        <v>1544</v>
      </c>
      <c r="D221" s="4" t="n">
        <v>1051</v>
      </c>
      <c r="E221" s="4" t="n">
        <v>7</v>
      </c>
      <c r="F221" s="4" t="n">
        <v>6</v>
      </c>
      <c r="G221" s="4" t="n">
        <v>0</v>
      </c>
      <c r="J221" s="11" t="b">
        <f aca="false">TRUE()</f>
        <v>1</v>
      </c>
      <c r="K221" s="4" t="s">
        <v>1978</v>
      </c>
      <c r="L221" s="4" t="n">
        <v>4</v>
      </c>
      <c r="M221" s="4" t="n">
        <v>4</v>
      </c>
      <c r="N221" s="4" t="n">
        <v>5</v>
      </c>
      <c r="O221" s="4" t="n">
        <v>4</v>
      </c>
      <c r="P221" s="0" t="str">
        <f aca="false">IF(E221=0,"not_reached",IF(AND(F221&gt;0,G221=0),"allowed","blocked"))</f>
        <v>allowed</v>
      </c>
      <c r="Q221" s="0" t="str">
        <f aca="false">IF(C221="success","published",IF(E221&gt;0,"blocked_at_gate","failed_before_gate"))</f>
        <v>published</v>
      </c>
      <c r="R221" s="0" t="str">
        <f aca="false">IF(C221="success","",IF(E221&gt;0,IF(I221="freshness_within_target","freshness",IF(I221="relationships_intact","relationships",IF(I221="reconciliation_residual_zero","residual",I221))),IF(H221="quality_gate","gate_infra",H221)))</f>
        <v/>
      </c>
    </row>
    <row r="222" customFormat="false" ht="15" hidden="false" customHeight="false" outlineLevel="0" collapsed="false">
      <c r="A222" s="4" t="s">
        <v>1979</v>
      </c>
      <c r="B222" s="10" t="n">
        <v>46253.1354166667</v>
      </c>
      <c r="C222" s="4" t="s">
        <v>1544</v>
      </c>
      <c r="D222" s="4" t="n">
        <v>893</v>
      </c>
      <c r="E222" s="4" t="n">
        <v>7</v>
      </c>
      <c r="F222" s="4" t="n">
        <v>6</v>
      </c>
      <c r="G222" s="4" t="n">
        <v>0</v>
      </c>
      <c r="J222" s="11" t="b">
        <f aca="false">TRUE()</f>
        <v>1</v>
      </c>
      <c r="K222" s="4" t="s">
        <v>1980</v>
      </c>
      <c r="L222" s="4" t="n">
        <v>4</v>
      </c>
      <c r="M222" s="4" t="n">
        <v>4</v>
      </c>
      <c r="N222" s="4" t="n">
        <v>4</v>
      </c>
      <c r="O222" s="4" t="n">
        <v>4</v>
      </c>
      <c r="P222" s="0" t="str">
        <f aca="false">IF(E222=0,"not_reached",IF(AND(F222&gt;0,G222=0),"allowed","blocked"))</f>
        <v>allowed</v>
      </c>
      <c r="Q222" s="0" t="str">
        <f aca="false">IF(C222="success","published",IF(E222&gt;0,"blocked_at_gate","failed_before_gate"))</f>
        <v>published</v>
      </c>
      <c r="R222" s="0" t="str">
        <f aca="false">IF(C222="success","",IF(E222&gt;0,IF(I222="freshness_within_target","freshness",IF(I222="relationships_intact","relationships",IF(I222="reconciliation_residual_zero","residual",I222))),IF(H222="quality_gate","gate_infra",H222)))</f>
        <v/>
      </c>
    </row>
    <row r="223" customFormat="false" ht="15" hidden="false" customHeight="false" outlineLevel="0" collapsed="false">
      <c r="A223" s="4" t="s">
        <v>1981</v>
      </c>
      <c r="B223" s="10" t="n">
        <v>46253.1770833333</v>
      </c>
      <c r="C223" s="4" t="s">
        <v>1544</v>
      </c>
      <c r="D223" s="4" t="n">
        <v>705</v>
      </c>
      <c r="E223" s="4" t="n">
        <v>7</v>
      </c>
      <c r="F223" s="4" t="n">
        <v>6</v>
      </c>
      <c r="G223" s="4" t="n">
        <v>0</v>
      </c>
      <c r="J223" s="11" t="b">
        <f aca="false">TRUE()</f>
        <v>1</v>
      </c>
      <c r="K223" s="4" t="s">
        <v>1982</v>
      </c>
      <c r="L223" s="4" t="n">
        <v>4</v>
      </c>
      <c r="M223" s="4" t="n">
        <v>4</v>
      </c>
      <c r="N223" s="4" t="n">
        <v>4</v>
      </c>
      <c r="O223" s="4" t="n">
        <v>4</v>
      </c>
      <c r="P223" s="0" t="str">
        <f aca="false">IF(E223=0,"not_reached",IF(AND(F223&gt;0,G223=0),"allowed","blocked"))</f>
        <v>allowed</v>
      </c>
      <c r="Q223" s="0" t="str">
        <f aca="false">IF(C223="success","published",IF(E223&gt;0,"blocked_at_gate","failed_before_gate"))</f>
        <v>published</v>
      </c>
      <c r="R223" s="0" t="str">
        <f aca="false">IF(C223="success","",IF(E223&gt;0,IF(I223="freshness_within_target","freshness",IF(I223="relationships_intact","relationships",IF(I223="reconciliation_residual_zero","residual",I223))),IF(H223="quality_gate","gate_infra",H223)))</f>
        <v/>
      </c>
    </row>
    <row r="224" customFormat="false" ht="15" hidden="false" customHeight="false" outlineLevel="0" collapsed="false">
      <c r="A224" s="4" t="s">
        <v>1983</v>
      </c>
      <c r="B224" s="10" t="n">
        <v>46253.21875</v>
      </c>
      <c r="C224" s="4" t="s">
        <v>1544</v>
      </c>
      <c r="D224" s="4" t="n">
        <v>752</v>
      </c>
      <c r="E224" s="4" t="n">
        <v>7</v>
      </c>
      <c r="F224" s="4" t="n">
        <v>6</v>
      </c>
      <c r="G224" s="4" t="n">
        <v>0</v>
      </c>
      <c r="J224" s="11" t="b">
        <f aca="false">TRUE()</f>
        <v>1</v>
      </c>
      <c r="K224" s="4" t="s">
        <v>1984</v>
      </c>
      <c r="L224" s="4" t="n">
        <v>4</v>
      </c>
      <c r="M224" s="4" t="n">
        <v>4</v>
      </c>
      <c r="N224" s="4" t="n">
        <v>4</v>
      </c>
      <c r="O224" s="4" t="n">
        <v>4</v>
      </c>
      <c r="P224" s="0" t="str">
        <f aca="false">IF(E224=0,"not_reached",IF(AND(F224&gt;0,G224=0),"allowed","blocked"))</f>
        <v>allowed</v>
      </c>
      <c r="Q224" s="0" t="str">
        <f aca="false">IF(C224="success","published",IF(E224&gt;0,"blocked_at_gate","failed_before_gate"))</f>
        <v>published</v>
      </c>
      <c r="R224" s="0" t="str">
        <f aca="false">IF(C224="success","",IF(E224&gt;0,IF(I224="freshness_within_target","freshness",IF(I224="relationships_intact","relationships",IF(I224="reconciliation_residual_zero","residual",I224))),IF(H224="quality_gate","gate_infra",H224)))</f>
        <v/>
      </c>
    </row>
    <row r="225" customFormat="false" ht="15" hidden="false" customHeight="false" outlineLevel="0" collapsed="false">
      <c r="A225" s="4" t="s">
        <v>1985</v>
      </c>
      <c r="B225" s="10" t="n">
        <v>46253.2604166667</v>
      </c>
      <c r="C225" s="4" t="s">
        <v>1544</v>
      </c>
      <c r="D225" s="4" t="n">
        <v>760</v>
      </c>
      <c r="E225" s="4" t="n">
        <v>7</v>
      </c>
      <c r="F225" s="4" t="n">
        <v>6</v>
      </c>
      <c r="G225" s="4" t="n">
        <v>0</v>
      </c>
      <c r="J225" s="11" t="b">
        <f aca="false">TRUE()</f>
        <v>1</v>
      </c>
      <c r="K225" s="4" t="s">
        <v>1986</v>
      </c>
      <c r="L225" s="4" t="n">
        <v>4</v>
      </c>
      <c r="M225" s="4" t="n">
        <v>4</v>
      </c>
      <c r="N225" s="4" t="n">
        <v>4</v>
      </c>
      <c r="O225" s="4" t="n">
        <v>4</v>
      </c>
      <c r="P225" s="0" t="str">
        <f aca="false">IF(E225=0,"not_reached",IF(AND(F225&gt;0,G225=0),"allowed","blocked"))</f>
        <v>allowed</v>
      </c>
      <c r="Q225" s="0" t="str">
        <f aca="false">IF(C225="success","published",IF(E225&gt;0,"blocked_at_gate","failed_before_gate"))</f>
        <v>published</v>
      </c>
      <c r="R225" s="0" t="str">
        <f aca="false">IF(C225="success","",IF(E225&gt;0,IF(I225="freshness_within_target","freshness",IF(I225="relationships_intact","relationships",IF(I225="reconciliation_residual_zero","residual",I225))),IF(H225="quality_gate","gate_infra",H225)))</f>
        <v/>
      </c>
    </row>
    <row r="226" customFormat="false" ht="15" hidden="false" customHeight="false" outlineLevel="0" collapsed="false">
      <c r="A226" s="4" t="s">
        <v>1987</v>
      </c>
      <c r="B226" s="10" t="n">
        <v>46253.3020833333</v>
      </c>
      <c r="C226" s="4" t="s">
        <v>1544</v>
      </c>
      <c r="D226" s="4" t="n">
        <v>660</v>
      </c>
      <c r="E226" s="4" t="n">
        <v>7</v>
      </c>
      <c r="F226" s="4" t="n">
        <v>6</v>
      </c>
      <c r="G226" s="4" t="n">
        <v>0</v>
      </c>
      <c r="J226" s="11" t="b">
        <f aca="false">TRUE()</f>
        <v>1</v>
      </c>
      <c r="K226" s="4" t="s">
        <v>1988</v>
      </c>
      <c r="L226" s="4" t="n">
        <v>4</v>
      </c>
      <c r="M226" s="4" t="n">
        <v>4</v>
      </c>
      <c r="N226" s="4" t="n">
        <v>4</v>
      </c>
      <c r="O226" s="4" t="n">
        <v>4</v>
      </c>
      <c r="P226" s="0" t="str">
        <f aca="false">IF(E226=0,"not_reached",IF(AND(F226&gt;0,G226=0),"allowed","blocked"))</f>
        <v>allowed</v>
      </c>
      <c r="Q226" s="0" t="str">
        <f aca="false">IF(C226="success","published",IF(E226&gt;0,"blocked_at_gate","failed_before_gate"))</f>
        <v>published</v>
      </c>
      <c r="R226" s="0" t="str">
        <f aca="false">IF(C226="success","",IF(E226&gt;0,IF(I226="freshness_within_target","freshness",IF(I226="relationships_intact","relationships",IF(I226="reconciliation_residual_zero","residual",I226))),IF(H226="quality_gate","gate_infra",H226)))</f>
        <v/>
      </c>
    </row>
    <row r="227" customFormat="false" ht="15" hidden="false" customHeight="false" outlineLevel="0" collapsed="false">
      <c r="A227" s="4" t="s">
        <v>1989</v>
      </c>
      <c r="B227" s="10" t="n">
        <v>46253.34375</v>
      </c>
      <c r="C227" s="4" t="s">
        <v>1544</v>
      </c>
      <c r="D227" s="4" t="n">
        <v>842</v>
      </c>
      <c r="E227" s="4" t="n">
        <v>7</v>
      </c>
      <c r="F227" s="4" t="n">
        <v>6</v>
      </c>
      <c r="G227" s="4" t="n">
        <v>0</v>
      </c>
      <c r="J227" s="11" t="b">
        <f aca="false">TRUE()</f>
        <v>1</v>
      </c>
      <c r="K227" s="4" t="s">
        <v>1990</v>
      </c>
      <c r="L227" s="4" t="n">
        <v>4</v>
      </c>
      <c r="M227" s="4" t="n">
        <v>4</v>
      </c>
      <c r="N227" s="4" t="n">
        <v>4</v>
      </c>
      <c r="O227" s="4" t="n">
        <v>4</v>
      </c>
      <c r="P227" s="0" t="str">
        <f aca="false">IF(E227=0,"not_reached",IF(AND(F227&gt;0,G227=0),"allowed","blocked"))</f>
        <v>allowed</v>
      </c>
      <c r="Q227" s="0" t="str">
        <f aca="false">IF(C227="success","published",IF(E227&gt;0,"blocked_at_gate","failed_before_gate"))</f>
        <v>published</v>
      </c>
      <c r="R227" s="0" t="str">
        <f aca="false">IF(C227="success","",IF(E227&gt;0,IF(I227="freshness_within_target","freshness",IF(I227="relationships_intact","relationships",IF(I227="reconciliation_residual_zero","residual",I227))),IF(H227="quality_gate","gate_infra",H227)))</f>
        <v/>
      </c>
    </row>
    <row r="228" customFormat="false" ht="15" hidden="false" customHeight="false" outlineLevel="0" collapsed="false">
      <c r="A228" s="4" t="s">
        <v>1991</v>
      </c>
      <c r="B228" s="10" t="n">
        <v>46253.3854166667</v>
      </c>
      <c r="C228" s="4" t="s">
        <v>1901</v>
      </c>
      <c r="D228" s="4" t="n">
        <v>566</v>
      </c>
      <c r="E228" s="4" t="n">
        <v>7</v>
      </c>
      <c r="F228" s="4" t="n">
        <v>6</v>
      </c>
      <c r="G228" s="4" t="n">
        <v>1</v>
      </c>
      <c r="H228" s="4" t="s">
        <v>1954</v>
      </c>
      <c r="I228" s="4" t="s">
        <v>1992</v>
      </c>
      <c r="J228" s="11" t="b">
        <f aca="false">FALSE()</f>
        <v>0</v>
      </c>
      <c r="L228" s="4" t="n">
        <v>3</v>
      </c>
      <c r="M228" s="4" t="n">
        <v>2</v>
      </c>
      <c r="N228" s="4" t="n">
        <v>3</v>
      </c>
      <c r="O228" s="4" t="n">
        <v>2</v>
      </c>
      <c r="P228" s="0" t="str">
        <f aca="false">IF(E228=0,"not_reached",IF(AND(F228&gt;0,G228=0),"allowed","blocked"))</f>
        <v>blocked</v>
      </c>
      <c r="Q228" s="0" t="str">
        <f aca="false">IF(C228="success","published",IF(E228&gt;0,"blocked_at_gate","failed_before_gate"))</f>
        <v>blocked_at_gate</v>
      </c>
      <c r="R228" s="0" t="str">
        <f aca="false">IF(C228="success","",IF(E228&gt;0,IF(I228="freshness_within_target","freshness",IF(I228="relationships_intact","relationships",IF(I228="reconciliation_residual_zero","residual",I228))),IF(H228="quality_gate","gate_infra",H228)))</f>
        <v>freshness</v>
      </c>
    </row>
    <row r="229" customFormat="false" ht="15" hidden="false" customHeight="false" outlineLevel="0" collapsed="false">
      <c r="A229" s="4" t="s">
        <v>1993</v>
      </c>
      <c r="B229" s="10" t="n">
        <v>46253.4270833333</v>
      </c>
      <c r="C229" s="4" t="s">
        <v>1544</v>
      </c>
      <c r="D229" s="4" t="n">
        <v>775</v>
      </c>
      <c r="E229" s="4" t="n">
        <v>7</v>
      </c>
      <c r="F229" s="4" t="n">
        <v>6</v>
      </c>
      <c r="G229" s="4" t="n">
        <v>0</v>
      </c>
      <c r="J229" s="11" t="b">
        <f aca="false">TRUE()</f>
        <v>1</v>
      </c>
      <c r="K229" s="4" t="s">
        <v>1994</v>
      </c>
      <c r="L229" s="4" t="n">
        <v>4</v>
      </c>
      <c r="M229" s="4" t="n">
        <v>4</v>
      </c>
      <c r="N229" s="4" t="n">
        <v>4</v>
      </c>
      <c r="O229" s="4" t="n">
        <v>4</v>
      </c>
      <c r="P229" s="0" t="str">
        <f aca="false">IF(E229=0,"not_reached",IF(AND(F229&gt;0,G229=0),"allowed","blocked"))</f>
        <v>allowed</v>
      </c>
      <c r="Q229" s="0" t="str">
        <f aca="false">IF(C229="success","published",IF(E229&gt;0,"blocked_at_gate","failed_before_gate"))</f>
        <v>published</v>
      </c>
      <c r="R229" s="0" t="str">
        <f aca="false">IF(C229="success","",IF(E229&gt;0,IF(I229="freshness_within_target","freshness",IF(I229="relationships_intact","relationships",IF(I229="reconciliation_residual_zero","residual",I229))),IF(H229="quality_gate","gate_infra",H229)))</f>
        <v/>
      </c>
    </row>
    <row r="230" customFormat="false" ht="15" hidden="false" customHeight="false" outlineLevel="0" collapsed="false">
      <c r="A230" s="4" t="s">
        <v>1995</v>
      </c>
      <c r="B230" s="10" t="n">
        <v>46253.46875</v>
      </c>
      <c r="C230" s="4" t="s">
        <v>1544</v>
      </c>
      <c r="D230" s="4" t="n">
        <v>893</v>
      </c>
      <c r="E230" s="4" t="n">
        <v>7</v>
      </c>
      <c r="F230" s="4" t="n">
        <v>6</v>
      </c>
      <c r="G230" s="4" t="n">
        <v>0</v>
      </c>
      <c r="J230" s="11" t="b">
        <f aca="false">TRUE()</f>
        <v>1</v>
      </c>
      <c r="K230" s="4" t="s">
        <v>1996</v>
      </c>
      <c r="L230" s="4" t="n">
        <v>4</v>
      </c>
      <c r="M230" s="4" t="n">
        <v>4</v>
      </c>
      <c r="N230" s="4" t="n">
        <v>4</v>
      </c>
      <c r="O230" s="4" t="n">
        <v>4</v>
      </c>
      <c r="P230" s="0" t="str">
        <f aca="false">IF(E230=0,"not_reached",IF(AND(F230&gt;0,G230=0),"allowed","blocked"))</f>
        <v>allowed</v>
      </c>
      <c r="Q230" s="0" t="str">
        <f aca="false">IF(C230="success","published",IF(E230&gt;0,"blocked_at_gate","failed_before_gate"))</f>
        <v>published</v>
      </c>
      <c r="R230" s="0" t="str">
        <f aca="false">IF(C230="success","",IF(E230&gt;0,IF(I230="freshness_within_target","freshness",IF(I230="relationships_intact","relationships",IF(I230="reconciliation_residual_zero","residual",I230))),IF(H230="quality_gate","gate_infra",H230)))</f>
        <v/>
      </c>
    </row>
    <row r="231" customFormat="false" ht="15" hidden="false" customHeight="false" outlineLevel="0" collapsed="false">
      <c r="A231" s="4" t="s">
        <v>1997</v>
      </c>
      <c r="B231" s="10" t="n">
        <v>46253.5104166667</v>
      </c>
      <c r="C231" s="4" t="s">
        <v>1544</v>
      </c>
      <c r="D231" s="4" t="n">
        <v>906</v>
      </c>
      <c r="E231" s="4" t="n">
        <v>7</v>
      </c>
      <c r="F231" s="4" t="n">
        <v>6</v>
      </c>
      <c r="G231" s="4" t="n">
        <v>0</v>
      </c>
      <c r="J231" s="11" t="b">
        <f aca="false">TRUE()</f>
        <v>1</v>
      </c>
      <c r="K231" s="4" t="s">
        <v>1998</v>
      </c>
      <c r="L231" s="4" t="n">
        <v>4</v>
      </c>
      <c r="M231" s="4" t="n">
        <v>4</v>
      </c>
      <c r="N231" s="4" t="n">
        <v>4</v>
      </c>
      <c r="O231" s="4" t="n">
        <v>4</v>
      </c>
      <c r="P231" s="0" t="str">
        <f aca="false">IF(E231=0,"not_reached",IF(AND(F231&gt;0,G231=0),"allowed","blocked"))</f>
        <v>allowed</v>
      </c>
      <c r="Q231" s="0" t="str">
        <f aca="false">IF(C231="success","published",IF(E231&gt;0,"blocked_at_gate","failed_before_gate"))</f>
        <v>published</v>
      </c>
      <c r="R231" s="0" t="str">
        <f aca="false">IF(C231="success","",IF(E231&gt;0,IF(I231="freshness_within_target","freshness",IF(I231="relationships_intact","relationships",IF(I231="reconciliation_residual_zero","residual",I231))),IF(H231="quality_gate","gate_infra",H231)))</f>
        <v/>
      </c>
    </row>
    <row r="232" customFormat="false" ht="15" hidden="false" customHeight="false" outlineLevel="0" collapsed="false">
      <c r="A232" s="4" t="s">
        <v>1999</v>
      </c>
      <c r="B232" s="10" t="n">
        <v>46253.5520833333</v>
      </c>
      <c r="C232" s="4" t="s">
        <v>1544</v>
      </c>
      <c r="D232" s="4" t="n">
        <v>754</v>
      </c>
      <c r="E232" s="4" t="n">
        <v>7</v>
      </c>
      <c r="F232" s="4" t="n">
        <v>6</v>
      </c>
      <c r="G232" s="4" t="n">
        <v>0</v>
      </c>
      <c r="J232" s="11" t="b">
        <f aca="false">TRUE()</f>
        <v>1</v>
      </c>
      <c r="K232" s="4" t="s">
        <v>2000</v>
      </c>
      <c r="L232" s="4" t="n">
        <v>4</v>
      </c>
      <c r="M232" s="4" t="n">
        <v>4</v>
      </c>
      <c r="N232" s="4" t="n">
        <v>4</v>
      </c>
      <c r="O232" s="4" t="n">
        <v>4</v>
      </c>
      <c r="P232" s="0" t="str">
        <f aca="false">IF(E232=0,"not_reached",IF(AND(F232&gt;0,G232=0),"allowed","blocked"))</f>
        <v>allowed</v>
      </c>
      <c r="Q232" s="0" t="str">
        <f aca="false">IF(C232="success","published",IF(E232&gt;0,"blocked_at_gate","failed_before_gate"))</f>
        <v>published</v>
      </c>
      <c r="R232" s="0" t="str">
        <f aca="false">IF(C232="success","",IF(E232&gt;0,IF(I232="freshness_within_target","freshness",IF(I232="relationships_intact","relationships",IF(I232="reconciliation_residual_zero","residual",I232))),IF(H232="quality_gate","gate_infra",H232)))</f>
        <v/>
      </c>
    </row>
    <row r="233" customFormat="false" ht="15" hidden="false" customHeight="false" outlineLevel="0" collapsed="false">
      <c r="A233" s="4" t="s">
        <v>2001</v>
      </c>
      <c r="B233" s="10" t="n">
        <v>46253.59375</v>
      </c>
      <c r="C233" s="4" t="s">
        <v>1544</v>
      </c>
      <c r="D233" s="4" t="n">
        <v>854</v>
      </c>
      <c r="E233" s="4" t="n">
        <v>7</v>
      </c>
      <c r="F233" s="4" t="n">
        <v>6</v>
      </c>
      <c r="G233" s="4" t="n">
        <v>0</v>
      </c>
      <c r="J233" s="11" t="b">
        <f aca="false">TRUE()</f>
        <v>1</v>
      </c>
      <c r="K233" s="4" t="s">
        <v>2002</v>
      </c>
      <c r="L233" s="4" t="n">
        <v>4</v>
      </c>
      <c r="M233" s="4" t="n">
        <v>4</v>
      </c>
      <c r="N233" s="4" t="n">
        <v>4</v>
      </c>
      <c r="O233" s="4" t="n">
        <v>4</v>
      </c>
      <c r="P233" s="0" t="str">
        <f aca="false">IF(E233=0,"not_reached",IF(AND(F233&gt;0,G233=0),"allowed","blocked"))</f>
        <v>allowed</v>
      </c>
      <c r="Q233" s="0" t="str">
        <f aca="false">IF(C233="success","published",IF(E233&gt;0,"blocked_at_gate","failed_before_gate"))</f>
        <v>published</v>
      </c>
      <c r="R233" s="0" t="str">
        <f aca="false">IF(C233="success","",IF(E233&gt;0,IF(I233="freshness_within_target","freshness",IF(I233="relationships_intact","relationships",IF(I233="reconciliation_residual_zero","residual",I233))),IF(H233="quality_gate","gate_infra",H233)))</f>
        <v/>
      </c>
    </row>
    <row r="234" customFormat="false" ht="15" hidden="false" customHeight="false" outlineLevel="0" collapsed="false">
      <c r="A234" s="4" t="s">
        <v>2003</v>
      </c>
      <c r="B234" s="10" t="n">
        <v>46253.6354166667</v>
      </c>
      <c r="C234" s="4" t="s">
        <v>1544</v>
      </c>
      <c r="D234" s="4" t="n">
        <v>895</v>
      </c>
      <c r="E234" s="4" t="n">
        <v>7</v>
      </c>
      <c r="F234" s="4" t="n">
        <v>6</v>
      </c>
      <c r="G234" s="4" t="n">
        <v>0</v>
      </c>
      <c r="J234" s="11" t="b">
        <f aca="false">TRUE()</f>
        <v>1</v>
      </c>
      <c r="K234" s="4" t="s">
        <v>2004</v>
      </c>
      <c r="L234" s="4" t="n">
        <v>4</v>
      </c>
      <c r="M234" s="4" t="n">
        <v>4</v>
      </c>
      <c r="N234" s="4" t="n">
        <v>4</v>
      </c>
      <c r="O234" s="4" t="n">
        <v>4</v>
      </c>
      <c r="P234" s="0" t="str">
        <f aca="false">IF(E234=0,"not_reached",IF(AND(F234&gt;0,G234=0),"allowed","blocked"))</f>
        <v>allowed</v>
      </c>
      <c r="Q234" s="0" t="str">
        <f aca="false">IF(C234="success","published",IF(E234&gt;0,"blocked_at_gate","failed_before_gate"))</f>
        <v>published</v>
      </c>
      <c r="R234" s="0" t="str">
        <f aca="false">IF(C234="success","",IF(E234&gt;0,IF(I234="freshness_within_target","freshness",IF(I234="relationships_intact","relationships",IF(I234="reconciliation_residual_zero","residual",I234))),IF(H234="quality_gate","gate_infra",H234)))</f>
        <v/>
      </c>
    </row>
    <row r="235" customFormat="false" ht="15" hidden="false" customHeight="false" outlineLevel="0" collapsed="false">
      <c r="A235" s="4" t="s">
        <v>2005</v>
      </c>
      <c r="B235" s="10" t="n">
        <v>46253.6770833333</v>
      </c>
      <c r="C235" s="4" t="s">
        <v>1544</v>
      </c>
      <c r="D235" s="4" t="n">
        <v>704</v>
      </c>
      <c r="E235" s="4" t="n">
        <v>7</v>
      </c>
      <c r="F235" s="4" t="n">
        <v>6</v>
      </c>
      <c r="G235" s="4" t="n">
        <v>0</v>
      </c>
      <c r="J235" s="11" t="b">
        <f aca="false">TRUE()</f>
        <v>1</v>
      </c>
      <c r="K235" s="4" t="s">
        <v>2006</v>
      </c>
      <c r="L235" s="4" t="n">
        <v>4</v>
      </c>
      <c r="M235" s="4" t="n">
        <v>4</v>
      </c>
      <c r="N235" s="4" t="n">
        <v>4</v>
      </c>
      <c r="O235" s="4" t="n">
        <v>4</v>
      </c>
      <c r="P235" s="0" t="str">
        <f aca="false">IF(E235=0,"not_reached",IF(AND(F235&gt;0,G235=0),"allowed","blocked"))</f>
        <v>allowed</v>
      </c>
      <c r="Q235" s="0" t="str">
        <f aca="false">IF(C235="success","published",IF(E235&gt;0,"blocked_at_gate","failed_before_gate"))</f>
        <v>published</v>
      </c>
      <c r="R235" s="0" t="str">
        <f aca="false">IF(C235="success","",IF(E235&gt;0,IF(I235="freshness_within_target","freshness",IF(I235="relationships_intact","relationships",IF(I235="reconciliation_residual_zero","residual",I235))),IF(H235="quality_gate","gate_infra",H235)))</f>
        <v/>
      </c>
    </row>
    <row r="236" customFormat="false" ht="15" hidden="false" customHeight="false" outlineLevel="0" collapsed="false">
      <c r="A236" s="4" t="s">
        <v>2007</v>
      </c>
      <c r="B236" s="10" t="n">
        <v>46253.71875</v>
      </c>
      <c r="C236" s="4" t="s">
        <v>1544</v>
      </c>
      <c r="D236" s="4" t="n">
        <v>913</v>
      </c>
      <c r="E236" s="4" t="n">
        <v>7</v>
      </c>
      <c r="F236" s="4" t="n">
        <v>6</v>
      </c>
      <c r="G236" s="4" t="n">
        <v>0</v>
      </c>
      <c r="J236" s="11" t="b">
        <f aca="false">TRUE()</f>
        <v>1</v>
      </c>
      <c r="K236" s="4" t="s">
        <v>2008</v>
      </c>
      <c r="L236" s="4" t="n">
        <v>4</v>
      </c>
      <c r="M236" s="4" t="n">
        <v>4</v>
      </c>
      <c r="N236" s="4" t="n">
        <v>4</v>
      </c>
      <c r="O236" s="4" t="n">
        <v>4</v>
      </c>
      <c r="P236" s="0" t="str">
        <f aca="false">IF(E236=0,"not_reached",IF(AND(F236&gt;0,G236=0),"allowed","blocked"))</f>
        <v>allowed</v>
      </c>
      <c r="Q236" s="0" t="str">
        <f aca="false">IF(C236="success","published",IF(E236&gt;0,"blocked_at_gate","failed_before_gate"))</f>
        <v>published</v>
      </c>
      <c r="R236" s="0" t="str">
        <f aca="false">IF(C236="success","",IF(E236&gt;0,IF(I236="freshness_within_target","freshness",IF(I236="relationships_intact","relationships",IF(I236="reconciliation_residual_zero","residual",I236))),IF(H236="quality_gate","gate_infra",H236)))</f>
        <v/>
      </c>
    </row>
    <row r="237" customFormat="false" ht="15" hidden="false" customHeight="false" outlineLevel="0" collapsed="false">
      <c r="A237" s="4" t="s">
        <v>2009</v>
      </c>
      <c r="B237" s="10" t="n">
        <v>46253.7604166667</v>
      </c>
      <c r="C237" s="4" t="s">
        <v>1544</v>
      </c>
      <c r="D237" s="4" t="n">
        <v>718</v>
      </c>
      <c r="E237" s="4" t="n">
        <v>7</v>
      </c>
      <c r="F237" s="4" t="n">
        <v>6</v>
      </c>
      <c r="G237" s="4" t="n">
        <v>0</v>
      </c>
      <c r="J237" s="11" t="b">
        <f aca="false">TRUE()</f>
        <v>1</v>
      </c>
      <c r="K237" s="4" t="s">
        <v>2010</v>
      </c>
      <c r="L237" s="4" t="n">
        <v>4</v>
      </c>
      <c r="M237" s="4" t="n">
        <v>4</v>
      </c>
      <c r="N237" s="4" t="n">
        <v>4</v>
      </c>
      <c r="O237" s="4" t="n">
        <v>4</v>
      </c>
      <c r="P237" s="0" t="str">
        <f aca="false">IF(E237=0,"not_reached",IF(AND(F237&gt;0,G237=0),"allowed","blocked"))</f>
        <v>allowed</v>
      </c>
      <c r="Q237" s="0" t="str">
        <f aca="false">IF(C237="success","published",IF(E237&gt;0,"blocked_at_gate","failed_before_gate"))</f>
        <v>published</v>
      </c>
      <c r="R237" s="0" t="str">
        <f aca="false">IF(C237="success","",IF(E237&gt;0,IF(I237="freshness_within_target","freshness",IF(I237="relationships_intact","relationships",IF(I237="reconciliation_residual_zero","residual",I237))),IF(H237="quality_gate","gate_infra",H237)))</f>
        <v/>
      </c>
    </row>
    <row r="238" customFormat="false" ht="15" hidden="false" customHeight="false" outlineLevel="0" collapsed="false">
      <c r="A238" s="4" t="s">
        <v>2011</v>
      </c>
      <c r="B238" s="10" t="n">
        <v>46253.8020833333</v>
      </c>
      <c r="C238" s="4" t="s">
        <v>1544</v>
      </c>
      <c r="D238" s="4" t="n">
        <v>866</v>
      </c>
      <c r="E238" s="4" t="n">
        <v>7</v>
      </c>
      <c r="F238" s="4" t="n">
        <v>6</v>
      </c>
      <c r="G238" s="4" t="n">
        <v>0</v>
      </c>
      <c r="J238" s="11" t="b">
        <f aca="false">TRUE()</f>
        <v>1</v>
      </c>
      <c r="K238" s="4" t="s">
        <v>2012</v>
      </c>
      <c r="L238" s="4" t="n">
        <v>4</v>
      </c>
      <c r="M238" s="4" t="n">
        <v>4</v>
      </c>
      <c r="N238" s="4" t="n">
        <v>4</v>
      </c>
      <c r="O238" s="4" t="n">
        <v>4</v>
      </c>
      <c r="P238" s="0" t="str">
        <f aca="false">IF(E238=0,"not_reached",IF(AND(F238&gt;0,G238=0),"allowed","blocked"))</f>
        <v>allowed</v>
      </c>
      <c r="Q238" s="0" t="str">
        <f aca="false">IF(C238="success","published",IF(E238&gt;0,"blocked_at_gate","failed_before_gate"))</f>
        <v>published</v>
      </c>
      <c r="R238" s="0" t="str">
        <f aca="false">IF(C238="success","",IF(E238&gt;0,IF(I238="freshness_within_target","freshness",IF(I238="relationships_intact","relationships",IF(I238="reconciliation_residual_zero","residual",I238))),IF(H238="quality_gate","gate_infra",H238)))</f>
        <v/>
      </c>
    </row>
    <row r="239" customFormat="false" ht="15" hidden="false" customHeight="false" outlineLevel="0" collapsed="false">
      <c r="A239" s="4" t="s">
        <v>2013</v>
      </c>
      <c r="B239" s="10" t="n">
        <v>46253.84375</v>
      </c>
      <c r="C239" s="4" t="s">
        <v>1544</v>
      </c>
      <c r="D239" s="4" t="n">
        <v>705</v>
      </c>
      <c r="E239" s="4" t="n">
        <v>7</v>
      </c>
      <c r="F239" s="4" t="n">
        <v>6</v>
      </c>
      <c r="G239" s="4" t="n">
        <v>0</v>
      </c>
      <c r="J239" s="11" t="b">
        <f aca="false">TRUE()</f>
        <v>1</v>
      </c>
      <c r="K239" s="4" t="s">
        <v>2014</v>
      </c>
      <c r="L239" s="4" t="n">
        <v>4</v>
      </c>
      <c r="M239" s="4" t="n">
        <v>4</v>
      </c>
      <c r="N239" s="4" t="n">
        <v>4</v>
      </c>
      <c r="O239" s="4" t="n">
        <v>4</v>
      </c>
      <c r="P239" s="0" t="str">
        <f aca="false">IF(E239=0,"not_reached",IF(AND(F239&gt;0,G239=0),"allowed","blocked"))</f>
        <v>allowed</v>
      </c>
      <c r="Q239" s="0" t="str">
        <f aca="false">IF(C239="success","published",IF(E239&gt;0,"blocked_at_gate","failed_before_gate"))</f>
        <v>published</v>
      </c>
      <c r="R239" s="0" t="str">
        <f aca="false">IF(C239="success","",IF(E239&gt;0,IF(I239="freshness_within_target","freshness",IF(I239="relationships_intact","relationships",IF(I239="reconciliation_residual_zero","residual",I239))),IF(H239="quality_gate","gate_infra",H239)))</f>
        <v/>
      </c>
    </row>
    <row r="240" customFormat="false" ht="15" hidden="false" customHeight="false" outlineLevel="0" collapsed="false">
      <c r="A240" s="4" t="s">
        <v>2015</v>
      </c>
      <c r="B240" s="10" t="n">
        <v>46253.8854166667</v>
      </c>
      <c r="C240" s="4" t="s">
        <v>1544</v>
      </c>
      <c r="D240" s="4" t="n">
        <v>853</v>
      </c>
      <c r="E240" s="4" t="n">
        <v>7</v>
      </c>
      <c r="F240" s="4" t="n">
        <v>6</v>
      </c>
      <c r="G240" s="4" t="n">
        <v>0</v>
      </c>
      <c r="J240" s="11" t="b">
        <f aca="false">TRUE()</f>
        <v>1</v>
      </c>
      <c r="K240" s="4" t="s">
        <v>2016</v>
      </c>
      <c r="L240" s="4" t="n">
        <v>4</v>
      </c>
      <c r="M240" s="4" t="n">
        <v>4</v>
      </c>
      <c r="N240" s="4" t="n">
        <v>4</v>
      </c>
      <c r="O240" s="4" t="n">
        <v>4</v>
      </c>
      <c r="P240" s="0" t="str">
        <f aca="false">IF(E240=0,"not_reached",IF(AND(F240&gt;0,G240=0),"allowed","blocked"))</f>
        <v>allowed</v>
      </c>
      <c r="Q240" s="0" t="str">
        <f aca="false">IF(C240="success","published",IF(E240&gt;0,"blocked_at_gate","failed_before_gate"))</f>
        <v>published</v>
      </c>
      <c r="R240" s="0" t="str">
        <f aca="false">IF(C240="success","",IF(E240&gt;0,IF(I240="freshness_within_target","freshness",IF(I240="relationships_intact","relationships",IF(I240="reconciliation_residual_zero","residual",I240))),IF(H240="quality_gate","gate_infra",H240)))</f>
        <v/>
      </c>
    </row>
    <row r="241" customFormat="false" ht="15" hidden="false" customHeight="false" outlineLevel="0" collapsed="false">
      <c r="A241" s="4" t="s">
        <v>2017</v>
      </c>
      <c r="B241" s="10" t="n">
        <v>46253.9270833333</v>
      </c>
      <c r="C241" s="4" t="s">
        <v>1544</v>
      </c>
      <c r="D241" s="4" t="n">
        <v>1086</v>
      </c>
      <c r="E241" s="4" t="n">
        <v>7</v>
      </c>
      <c r="F241" s="4" t="n">
        <v>6</v>
      </c>
      <c r="G241" s="4" t="n">
        <v>0</v>
      </c>
      <c r="J241" s="11" t="b">
        <f aca="false">TRUE()</f>
        <v>1</v>
      </c>
      <c r="K241" s="4" t="s">
        <v>2018</v>
      </c>
      <c r="L241" s="4" t="n">
        <v>4</v>
      </c>
      <c r="M241" s="4" t="n">
        <v>4</v>
      </c>
      <c r="N241" s="4" t="n">
        <v>5</v>
      </c>
      <c r="O241" s="4" t="n">
        <v>4</v>
      </c>
      <c r="P241" s="0" t="str">
        <f aca="false">IF(E241=0,"not_reached",IF(AND(F241&gt;0,G241=0),"allowed","blocked"))</f>
        <v>allowed</v>
      </c>
      <c r="Q241" s="0" t="str">
        <f aca="false">IF(C241="success","published",IF(E241&gt;0,"blocked_at_gate","failed_before_gate"))</f>
        <v>published</v>
      </c>
      <c r="R241" s="0" t="str">
        <f aca="false">IF(C241="success","",IF(E241&gt;0,IF(I241="freshness_within_target","freshness",IF(I241="relationships_intact","relationships",IF(I241="reconciliation_residual_zero","residual",I241))),IF(H241="quality_gate","gate_infra",H241)))</f>
        <v/>
      </c>
    </row>
    <row r="242" customFormat="false" ht="15" hidden="false" customHeight="false" outlineLevel="0" collapsed="false">
      <c r="A242" s="4" t="s">
        <v>2019</v>
      </c>
      <c r="B242" s="10" t="n">
        <v>46253.96875</v>
      </c>
      <c r="C242" s="4" t="s">
        <v>1544</v>
      </c>
      <c r="D242" s="4" t="n">
        <v>702</v>
      </c>
      <c r="E242" s="4" t="n">
        <v>7</v>
      </c>
      <c r="F242" s="4" t="n">
        <v>6</v>
      </c>
      <c r="G242" s="4" t="n">
        <v>0</v>
      </c>
      <c r="J242" s="11" t="b">
        <f aca="false">TRUE()</f>
        <v>1</v>
      </c>
      <c r="K242" s="4" t="s">
        <v>2020</v>
      </c>
      <c r="L242" s="4" t="n">
        <v>4</v>
      </c>
      <c r="M242" s="4" t="n">
        <v>4</v>
      </c>
      <c r="N242" s="4" t="n">
        <v>4</v>
      </c>
      <c r="O242" s="4" t="n">
        <v>4</v>
      </c>
      <c r="P242" s="0" t="str">
        <f aca="false">IF(E242=0,"not_reached",IF(AND(F242&gt;0,G242=0),"allowed","blocked"))</f>
        <v>allowed</v>
      </c>
      <c r="Q242" s="0" t="str">
        <f aca="false">IF(C242="success","published",IF(E242&gt;0,"blocked_at_gate","failed_before_gate"))</f>
        <v>published</v>
      </c>
      <c r="R242" s="0" t="str">
        <f aca="false">IF(C242="success","",IF(E242&gt;0,IF(I242="freshness_within_target","freshness",IF(I242="relationships_intact","relationships",IF(I242="reconciliation_residual_zero","residual",I242))),IF(H242="quality_gate","gate_infra",H242)))</f>
        <v/>
      </c>
    </row>
    <row r="243" customFormat="false" ht="15" hidden="false" customHeight="false" outlineLevel="0" collapsed="false">
      <c r="A243" s="4" t="s">
        <v>2021</v>
      </c>
      <c r="B243" s="10" t="n">
        <v>46254.0104166667</v>
      </c>
      <c r="C243" s="4" t="s">
        <v>1544</v>
      </c>
      <c r="D243" s="4" t="n">
        <v>820</v>
      </c>
      <c r="E243" s="4" t="n">
        <v>7</v>
      </c>
      <c r="F243" s="4" t="n">
        <v>6</v>
      </c>
      <c r="G243" s="4" t="n">
        <v>0</v>
      </c>
      <c r="J243" s="11" t="b">
        <f aca="false">TRUE()</f>
        <v>1</v>
      </c>
      <c r="K243" s="4" t="s">
        <v>2022</v>
      </c>
      <c r="L243" s="4" t="n">
        <v>4</v>
      </c>
      <c r="M243" s="4" t="n">
        <v>4</v>
      </c>
      <c r="N243" s="4" t="n">
        <v>4</v>
      </c>
      <c r="O243" s="4" t="n">
        <v>4</v>
      </c>
      <c r="P243" s="0" t="str">
        <f aca="false">IF(E243=0,"not_reached",IF(AND(F243&gt;0,G243=0),"allowed","blocked"))</f>
        <v>allowed</v>
      </c>
      <c r="Q243" s="0" t="str">
        <f aca="false">IF(C243="success","published",IF(E243&gt;0,"blocked_at_gate","failed_before_gate"))</f>
        <v>published</v>
      </c>
      <c r="R243" s="0" t="str">
        <f aca="false">IF(C243="success","",IF(E243&gt;0,IF(I243="freshness_within_target","freshness",IF(I243="relationships_intact","relationships",IF(I243="reconciliation_residual_zero","residual",I243))),IF(H243="quality_gate","gate_infra",H243)))</f>
        <v/>
      </c>
    </row>
    <row r="244" customFormat="false" ht="15" hidden="false" customHeight="false" outlineLevel="0" collapsed="false">
      <c r="A244" s="4" t="s">
        <v>2023</v>
      </c>
      <c r="B244" s="10" t="n">
        <v>46254.0520833333</v>
      </c>
      <c r="C244" s="4" t="s">
        <v>1544</v>
      </c>
      <c r="D244" s="4" t="n">
        <v>785</v>
      </c>
      <c r="E244" s="4" t="n">
        <v>7</v>
      </c>
      <c r="F244" s="4" t="n">
        <v>6</v>
      </c>
      <c r="G244" s="4" t="n">
        <v>0</v>
      </c>
      <c r="J244" s="11" t="b">
        <f aca="false">TRUE()</f>
        <v>1</v>
      </c>
      <c r="K244" s="4" t="s">
        <v>2024</v>
      </c>
      <c r="L244" s="4" t="n">
        <v>4</v>
      </c>
      <c r="M244" s="4" t="n">
        <v>4</v>
      </c>
      <c r="N244" s="4" t="n">
        <v>4</v>
      </c>
      <c r="O244" s="4" t="n">
        <v>4</v>
      </c>
      <c r="P244" s="0" t="str">
        <f aca="false">IF(E244=0,"not_reached",IF(AND(F244&gt;0,G244=0),"allowed","blocked"))</f>
        <v>allowed</v>
      </c>
      <c r="Q244" s="0" t="str">
        <f aca="false">IF(C244="success","published",IF(E244&gt;0,"blocked_at_gate","failed_before_gate"))</f>
        <v>published</v>
      </c>
      <c r="R244" s="0" t="str">
        <f aca="false">IF(C244="success","",IF(E244&gt;0,IF(I244="freshness_within_target","freshness",IF(I244="relationships_intact","relationships",IF(I244="reconciliation_residual_zero","residual",I244))),IF(H244="quality_gate","gate_infra",H244)))</f>
        <v/>
      </c>
    </row>
    <row r="245" customFormat="false" ht="15" hidden="false" customHeight="false" outlineLevel="0" collapsed="false">
      <c r="A245" s="4" t="s">
        <v>2025</v>
      </c>
      <c r="B245" s="10" t="n">
        <v>46254.09375</v>
      </c>
      <c r="C245" s="4" t="s">
        <v>1544</v>
      </c>
      <c r="D245" s="4" t="n">
        <v>676</v>
      </c>
      <c r="E245" s="4" t="n">
        <v>7</v>
      </c>
      <c r="F245" s="4" t="n">
        <v>6</v>
      </c>
      <c r="G245" s="4" t="n">
        <v>0</v>
      </c>
      <c r="J245" s="11" t="b">
        <f aca="false">TRUE()</f>
        <v>1</v>
      </c>
      <c r="K245" s="4" t="s">
        <v>2026</v>
      </c>
      <c r="L245" s="4" t="n">
        <v>4</v>
      </c>
      <c r="M245" s="4" t="n">
        <v>4</v>
      </c>
      <c r="N245" s="4" t="n">
        <v>4</v>
      </c>
      <c r="O245" s="4" t="n">
        <v>4</v>
      </c>
      <c r="P245" s="0" t="str">
        <f aca="false">IF(E245=0,"not_reached",IF(AND(F245&gt;0,G245=0),"allowed","blocked"))</f>
        <v>allowed</v>
      </c>
      <c r="Q245" s="0" t="str">
        <f aca="false">IF(C245="success","published",IF(E245&gt;0,"blocked_at_gate","failed_before_gate"))</f>
        <v>published</v>
      </c>
      <c r="R245" s="0" t="str">
        <f aca="false">IF(C245="success","",IF(E245&gt;0,IF(I245="freshness_within_target","freshness",IF(I245="relationships_intact","relationships",IF(I245="reconciliation_residual_zero","residual",I245))),IF(H245="quality_gate","gate_infra",H245)))</f>
        <v/>
      </c>
    </row>
    <row r="246" customFormat="false" ht="15" hidden="false" customHeight="false" outlineLevel="0" collapsed="false">
      <c r="A246" s="4" t="s">
        <v>2027</v>
      </c>
      <c r="B246" s="10" t="n">
        <v>46254.1354166667</v>
      </c>
      <c r="C246" s="4" t="s">
        <v>1544</v>
      </c>
      <c r="D246" s="4" t="n">
        <v>960</v>
      </c>
      <c r="E246" s="4" t="n">
        <v>7</v>
      </c>
      <c r="F246" s="4" t="n">
        <v>6</v>
      </c>
      <c r="G246" s="4" t="n">
        <v>0</v>
      </c>
      <c r="J246" s="11" t="b">
        <f aca="false">TRUE()</f>
        <v>1</v>
      </c>
      <c r="K246" s="4" t="s">
        <v>2028</v>
      </c>
      <c r="L246" s="4" t="n">
        <v>4</v>
      </c>
      <c r="M246" s="4" t="n">
        <v>4</v>
      </c>
      <c r="N246" s="4" t="n">
        <v>4</v>
      </c>
      <c r="O246" s="4" t="n">
        <v>4</v>
      </c>
      <c r="P246" s="0" t="str">
        <f aca="false">IF(E246=0,"not_reached",IF(AND(F246&gt;0,G246=0),"allowed","blocked"))</f>
        <v>allowed</v>
      </c>
      <c r="Q246" s="0" t="str">
        <f aca="false">IF(C246="success","published",IF(E246&gt;0,"blocked_at_gate","failed_before_gate"))</f>
        <v>published</v>
      </c>
      <c r="R246" s="0" t="str">
        <f aca="false">IF(C246="success","",IF(E246&gt;0,IF(I246="freshness_within_target","freshness",IF(I246="relationships_intact","relationships",IF(I246="reconciliation_residual_zero","residual",I246))),IF(H246="quality_gate","gate_infra",H246)))</f>
        <v/>
      </c>
    </row>
    <row r="247" customFormat="false" ht="15" hidden="false" customHeight="false" outlineLevel="0" collapsed="false">
      <c r="A247" s="4" t="s">
        <v>2029</v>
      </c>
      <c r="B247" s="10" t="n">
        <v>46254.1770833333</v>
      </c>
      <c r="C247" s="4" t="s">
        <v>1544</v>
      </c>
      <c r="D247" s="4" t="n">
        <v>1215</v>
      </c>
      <c r="E247" s="4" t="n">
        <v>7</v>
      </c>
      <c r="F247" s="4" t="n">
        <v>6</v>
      </c>
      <c r="G247" s="4" t="n">
        <v>0</v>
      </c>
      <c r="J247" s="11" t="b">
        <f aca="false">TRUE()</f>
        <v>1</v>
      </c>
      <c r="K247" s="4" t="s">
        <v>2030</v>
      </c>
      <c r="L247" s="4" t="n">
        <v>4</v>
      </c>
      <c r="M247" s="4" t="n">
        <v>4</v>
      </c>
      <c r="N247" s="4" t="n">
        <v>5</v>
      </c>
      <c r="O247" s="4" t="n">
        <v>4</v>
      </c>
      <c r="P247" s="0" t="str">
        <f aca="false">IF(E247=0,"not_reached",IF(AND(F247&gt;0,G247=0),"allowed","blocked"))</f>
        <v>allowed</v>
      </c>
      <c r="Q247" s="0" t="str">
        <f aca="false">IF(C247="success","published",IF(E247&gt;0,"blocked_at_gate","failed_before_gate"))</f>
        <v>published</v>
      </c>
      <c r="R247" s="0" t="str">
        <f aca="false">IF(C247="success","",IF(E247&gt;0,IF(I247="freshness_within_target","freshness",IF(I247="relationships_intact","relationships",IF(I247="reconciliation_residual_zero","residual",I247))),IF(H247="quality_gate","gate_infra",H247)))</f>
        <v/>
      </c>
    </row>
    <row r="248" customFormat="false" ht="15" hidden="false" customHeight="false" outlineLevel="0" collapsed="false">
      <c r="A248" s="4" t="s">
        <v>2031</v>
      </c>
      <c r="B248" s="10" t="n">
        <v>46254.21875</v>
      </c>
      <c r="C248" s="4" t="s">
        <v>1544</v>
      </c>
      <c r="D248" s="4" t="n">
        <v>884</v>
      </c>
      <c r="E248" s="4" t="n">
        <v>7</v>
      </c>
      <c r="F248" s="4" t="n">
        <v>6</v>
      </c>
      <c r="G248" s="4" t="n">
        <v>0</v>
      </c>
      <c r="J248" s="11" t="b">
        <f aca="false">TRUE()</f>
        <v>1</v>
      </c>
      <c r="K248" s="4" t="s">
        <v>2032</v>
      </c>
      <c r="L248" s="4" t="n">
        <v>4</v>
      </c>
      <c r="M248" s="4" t="n">
        <v>4</v>
      </c>
      <c r="N248" s="4" t="n">
        <v>4</v>
      </c>
      <c r="O248" s="4" t="n">
        <v>4</v>
      </c>
      <c r="P248" s="0" t="str">
        <f aca="false">IF(E248=0,"not_reached",IF(AND(F248&gt;0,G248=0),"allowed","blocked"))</f>
        <v>allowed</v>
      </c>
      <c r="Q248" s="0" t="str">
        <f aca="false">IF(C248="success","published",IF(E248&gt;0,"blocked_at_gate","failed_before_gate"))</f>
        <v>published</v>
      </c>
      <c r="R248" s="0" t="str">
        <f aca="false">IF(C248="success","",IF(E248&gt;0,IF(I248="freshness_within_target","freshness",IF(I248="relationships_intact","relationships",IF(I248="reconciliation_residual_zero","residual",I248))),IF(H248="quality_gate","gate_infra",H248)))</f>
        <v/>
      </c>
    </row>
    <row r="249" customFormat="false" ht="15" hidden="false" customHeight="false" outlineLevel="0" collapsed="false">
      <c r="A249" s="4" t="s">
        <v>2033</v>
      </c>
      <c r="B249" s="10" t="n">
        <v>46254.2604166667</v>
      </c>
      <c r="C249" s="4" t="s">
        <v>1544</v>
      </c>
      <c r="D249" s="4" t="n">
        <v>884</v>
      </c>
      <c r="E249" s="4" t="n">
        <v>7</v>
      </c>
      <c r="F249" s="4" t="n">
        <v>6</v>
      </c>
      <c r="G249" s="4" t="n">
        <v>0</v>
      </c>
      <c r="J249" s="11" t="b">
        <f aca="false">TRUE()</f>
        <v>1</v>
      </c>
      <c r="K249" s="4" t="s">
        <v>2034</v>
      </c>
      <c r="L249" s="4" t="n">
        <v>4</v>
      </c>
      <c r="M249" s="4" t="n">
        <v>4</v>
      </c>
      <c r="N249" s="4" t="n">
        <v>4</v>
      </c>
      <c r="O249" s="4" t="n">
        <v>4</v>
      </c>
      <c r="P249" s="0" t="str">
        <f aca="false">IF(E249=0,"not_reached",IF(AND(F249&gt;0,G249=0),"allowed","blocked"))</f>
        <v>allowed</v>
      </c>
      <c r="Q249" s="0" t="str">
        <f aca="false">IF(C249="success","published",IF(E249&gt;0,"blocked_at_gate","failed_before_gate"))</f>
        <v>published</v>
      </c>
      <c r="R249" s="0" t="str">
        <f aca="false">IF(C249="success","",IF(E249&gt;0,IF(I249="freshness_within_target","freshness",IF(I249="relationships_intact","relationships",IF(I249="reconciliation_residual_zero","residual",I249))),IF(H249="quality_gate","gate_infra",H249)))</f>
        <v/>
      </c>
    </row>
    <row r="250" customFormat="false" ht="15" hidden="false" customHeight="false" outlineLevel="0" collapsed="false">
      <c r="A250" s="4" t="s">
        <v>2035</v>
      </c>
      <c r="B250" s="10" t="n">
        <v>46254.3020833333</v>
      </c>
      <c r="C250" s="4" t="s">
        <v>1544</v>
      </c>
      <c r="D250" s="4" t="n">
        <v>661</v>
      </c>
      <c r="E250" s="4" t="n">
        <v>7</v>
      </c>
      <c r="F250" s="4" t="n">
        <v>6</v>
      </c>
      <c r="G250" s="4" t="n">
        <v>0</v>
      </c>
      <c r="J250" s="11" t="b">
        <f aca="false">TRUE()</f>
        <v>1</v>
      </c>
      <c r="K250" s="4" t="s">
        <v>2036</v>
      </c>
      <c r="L250" s="4" t="n">
        <v>4</v>
      </c>
      <c r="M250" s="4" t="n">
        <v>4</v>
      </c>
      <c r="N250" s="4" t="n">
        <v>4</v>
      </c>
      <c r="O250" s="4" t="n">
        <v>4</v>
      </c>
      <c r="P250" s="0" t="str">
        <f aca="false">IF(E250=0,"not_reached",IF(AND(F250&gt;0,G250=0),"allowed","blocked"))</f>
        <v>allowed</v>
      </c>
      <c r="Q250" s="0" t="str">
        <f aca="false">IF(C250="success","published",IF(E250&gt;0,"blocked_at_gate","failed_before_gate"))</f>
        <v>published</v>
      </c>
      <c r="R250" s="0" t="str">
        <f aca="false">IF(C250="success","",IF(E250&gt;0,IF(I250="freshness_within_target","freshness",IF(I250="relationships_intact","relationships",IF(I250="reconciliation_residual_zero","residual",I250))),IF(H250="quality_gate","gate_infra",H250)))</f>
        <v/>
      </c>
    </row>
    <row r="251" customFormat="false" ht="15" hidden="false" customHeight="false" outlineLevel="0" collapsed="false">
      <c r="A251" s="4" t="s">
        <v>2037</v>
      </c>
      <c r="B251" s="10" t="n">
        <v>46254.34375</v>
      </c>
      <c r="C251" s="4" t="s">
        <v>1544</v>
      </c>
      <c r="D251" s="4" t="n">
        <v>907</v>
      </c>
      <c r="E251" s="4" t="n">
        <v>7</v>
      </c>
      <c r="F251" s="4" t="n">
        <v>6</v>
      </c>
      <c r="G251" s="4" t="n">
        <v>0</v>
      </c>
      <c r="J251" s="11" t="b">
        <f aca="false">TRUE()</f>
        <v>1</v>
      </c>
      <c r="K251" s="4" t="s">
        <v>2038</v>
      </c>
      <c r="L251" s="4" t="n">
        <v>4</v>
      </c>
      <c r="M251" s="4" t="n">
        <v>4</v>
      </c>
      <c r="N251" s="4" t="n">
        <v>4</v>
      </c>
      <c r="O251" s="4" t="n">
        <v>4</v>
      </c>
      <c r="P251" s="0" t="str">
        <f aca="false">IF(E251=0,"not_reached",IF(AND(F251&gt;0,G251=0),"allowed","blocked"))</f>
        <v>allowed</v>
      </c>
      <c r="Q251" s="0" t="str">
        <f aca="false">IF(C251="success","published",IF(E251&gt;0,"blocked_at_gate","failed_before_gate"))</f>
        <v>published</v>
      </c>
      <c r="R251" s="0" t="str">
        <f aca="false">IF(C251="success","",IF(E251&gt;0,IF(I251="freshness_within_target","freshness",IF(I251="relationships_intact","relationships",IF(I251="reconciliation_residual_zero","residual",I251))),IF(H251="quality_gate","gate_infra",H251)))</f>
        <v/>
      </c>
    </row>
    <row r="252" customFormat="false" ht="15" hidden="false" customHeight="false" outlineLevel="0" collapsed="false">
      <c r="A252" s="4" t="s">
        <v>2039</v>
      </c>
      <c r="B252" s="10" t="n">
        <v>46254.3854166667</v>
      </c>
      <c r="C252" s="4" t="s">
        <v>1544</v>
      </c>
      <c r="D252" s="4" t="n">
        <v>763</v>
      </c>
      <c r="E252" s="4" t="n">
        <v>7</v>
      </c>
      <c r="F252" s="4" t="n">
        <v>6</v>
      </c>
      <c r="G252" s="4" t="n">
        <v>0</v>
      </c>
      <c r="J252" s="11" t="b">
        <f aca="false">TRUE()</f>
        <v>1</v>
      </c>
      <c r="K252" s="4" t="s">
        <v>2040</v>
      </c>
      <c r="L252" s="4" t="n">
        <v>4</v>
      </c>
      <c r="M252" s="4" t="n">
        <v>4</v>
      </c>
      <c r="N252" s="4" t="n">
        <v>4</v>
      </c>
      <c r="O252" s="4" t="n">
        <v>4</v>
      </c>
      <c r="P252" s="0" t="str">
        <f aca="false">IF(E252=0,"not_reached",IF(AND(F252&gt;0,G252=0),"allowed","blocked"))</f>
        <v>allowed</v>
      </c>
      <c r="Q252" s="0" t="str">
        <f aca="false">IF(C252="success","published",IF(E252&gt;0,"blocked_at_gate","failed_before_gate"))</f>
        <v>published</v>
      </c>
      <c r="R252" s="0" t="str">
        <f aca="false">IF(C252="success","",IF(E252&gt;0,IF(I252="freshness_within_target","freshness",IF(I252="relationships_intact","relationships",IF(I252="reconciliation_residual_zero","residual",I252))),IF(H252="quality_gate","gate_infra",H252)))</f>
        <v/>
      </c>
    </row>
    <row r="253" customFormat="false" ht="15" hidden="false" customHeight="false" outlineLevel="0" collapsed="false">
      <c r="A253" s="4" t="s">
        <v>2041</v>
      </c>
      <c r="B253" s="10" t="n">
        <v>46254.4270833333</v>
      </c>
      <c r="C253" s="4" t="s">
        <v>1901</v>
      </c>
      <c r="D253" s="4" t="n">
        <v>1218</v>
      </c>
      <c r="E253" s="4" t="n">
        <v>0</v>
      </c>
      <c r="F253" s="4" t="n">
        <v>0</v>
      </c>
      <c r="G253" s="4" t="n">
        <v>0</v>
      </c>
      <c r="H253" s="4" t="s">
        <v>61</v>
      </c>
      <c r="J253" s="11" t="b">
        <f aca="false">FALSE()</f>
        <v>0</v>
      </c>
      <c r="L253" s="4" t="n">
        <v>2</v>
      </c>
      <c r="M253" s="4" t="n">
        <v>1</v>
      </c>
      <c r="N253" s="4" t="n">
        <v>4</v>
      </c>
      <c r="O253" s="4" t="n">
        <v>1</v>
      </c>
      <c r="P253" s="0" t="str">
        <f aca="false">IF(E253=0,"not_reached",IF(AND(F253&gt;0,G253=0),"allowed","blocked"))</f>
        <v>not_reached</v>
      </c>
      <c r="Q253" s="0" t="str">
        <f aca="false">IF(C253="success","published",IF(E253&gt;0,"blocked_at_gate","failed_before_gate"))</f>
        <v>failed_before_gate</v>
      </c>
      <c r="R253" s="0" t="str">
        <f aca="false">IF(C253="success","",IF(E253&gt;0,IF(I253="freshness_within_target","freshness",IF(I253="relationships_intact","relationships",IF(I253="reconciliation_residual_zero","residual",I253))),IF(H253="quality_gate","gate_infra",H253)))</f>
        <v>transform</v>
      </c>
    </row>
    <row r="254" customFormat="false" ht="15" hidden="false" customHeight="false" outlineLevel="0" collapsed="false">
      <c r="A254" s="4" t="s">
        <v>2042</v>
      </c>
      <c r="B254" s="10" t="n">
        <v>46254.46875</v>
      </c>
      <c r="C254" s="4" t="s">
        <v>1544</v>
      </c>
      <c r="D254" s="4" t="n">
        <v>960</v>
      </c>
      <c r="E254" s="4" t="n">
        <v>7</v>
      </c>
      <c r="F254" s="4" t="n">
        <v>6</v>
      </c>
      <c r="G254" s="4" t="n">
        <v>0</v>
      </c>
      <c r="J254" s="11" t="b">
        <f aca="false">TRUE()</f>
        <v>1</v>
      </c>
      <c r="K254" s="4" t="s">
        <v>2043</v>
      </c>
      <c r="L254" s="4" t="n">
        <v>4</v>
      </c>
      <c r="M254" s="4" t="n">
        <v>4</v>
      </c>
      <c r="N254" s="4" t="n">
        <v>4</v>
      </c>
      <c r="O254" s="4" t="n">
        <v>4</v>
      </c>
      <c r="P254" s="0" t="str">
        <f aca="false">IF(E254=0,"not_reached",IF(AND(F254&gt;0,G254=0),"allowed","blocked"))</f>
        <v>allowed</v>
      </c>
      <c r="Q254" s="0" t="str">
        <f aca="false">IF(C254="success","published",IF(E254&gt;0,"blocked_at_gate","failed_before_gate"))</f>
        <v>published</v>
      </c>
      <c r="R254" s="0" t="str">
        <f aca="false">IF(C254="success","",IF(E254&gt;0,IF(I254="freshness_within_target","freshness",IF(I254="relationships_intact","relationships",IF(I254="reconciliation_residual_zero","residual",I254))),IF(H254="quality_gate","gate_infra",H254)))</f>
        <v/>
      </c>
    </row>
    <row r="255" customFormat="false" ht="15" hidden="false" customHeight="false" outlineLevel="0" collapsed="false">
      <c r="A255" s="4" t="s">
        <v>2044</v>
      </c>
      <c r="B255" s="10" t="n">
        <v>46254.5104166667</v>
      </c>
      <c r="C255" s="4" t="s">
        <v>1544</v>
      </c>
      <c r="D255" s="4" t="n">
        <v>700</v>
      </c>
      <c r="E255" s="4" t="n">
        <v>7</v>
      </c>
      <c r="F255" s="4" t="n">
        <v>6</v>
      </c>
      <c r="G255" s="4" t="n">
        <v>0</v>
      </c>
      <c r="J255" s="11" t="b">
        <f aca="false">TRUE()</f>
        <v>1</v>
      </c>
      <c r="K255" s="4" t="s">
        <v>2045</v>
      </c>
      <c r="L255" s="4" t="n">
        <v>4</v>
      </c>
      <c r="M255" s="4" t="n">
        <v>4</v>
      </c>
      <c r="N255" s="4" t="n">
        <v>4</v>
      </c>
      <c r="O255" s="4" t="n">
        <v>4</v>
      </c>
      <c r="P255" s="0" t="str">
        <f aca="false">IF(E255=0,"not_reached",IF(AND(F255&gt;0,G255=0),"allowed","blocked"))</f>
        <v>allowed</v>
      </c>
      <c r="Q255" s="0" t="str">
        <f aca="false">IF(C255="success","published",IF(E255&gt;0,"blocked_at_gate","failed_before_gate"))</f>
        <v>published</v>
      </c>
      <c r="R255" s="0" t="str">
        <f aca="false">IF(C255="success","",IF(E255&gt;0,IF(I255="freshness_within_target","freshness",IF(I255="relationships_intact","relationships",IF(I255="reconciliation_residual_zero","residual",I255))),IF(H255="quality_gate","gate_infra",H255)))</f>
        <v/>
      </c>
    </row>
    <row r="256" customFormat="false" ht="15" hidden="false" customHeight="false" outlineLevel="0" collapsed="false">
      <c r="A256" s="4" t="s">
        <v>2046</v>
      </c>
      <c r="B256" s="10" t="n">
        <v>46254.5520833333</v>
      </c>
      <c r="C256" s="4" t="s">
        <v>1544</v>
      </c>
      <c r="D256" s="4" t="n">
        <v>883</v>
      </c>
      <c r="E256" s="4" t="n">
        <v>7</v>
      </c>
      <c r="F256" s="4" t="n">
        <v>6</v>
      </c>
      <c r="G256" s="4" t="n">
        <v>0</v>
      </c>
      <c r="J256" s="11" t="b">
        <f aca="false">TRUE()</f>
        <v>1</v>
      </c>
      <c r="K256" s="4" t="s">
        <v>2047</v>
      </c>
      <c r="L256" s="4" t="n">
        <v>4</v>
      </c>
      <c r="M256" s="4" t="n">
        <v>4</v>
      </c>
      <c r="N256" s="4" t="n">
        <v>4</v>
      </c>
      <c r="O256" s="4" t="n">
        <v>4</v>
      </c>
      <c r="P256" s="0" t="str">
        <f aca="false">IF(E256=0,"not_reached",IF(AND(F256&gt;0,G256=0),"allowed","blocked"))</f>
        <v>allowed</v>
      </c>
      <c r="Q256" s="0" t="str">
        <f aca="false">IF(C256="success","published",IF(E256&gt;0,"blocked_at_gate","failed_before_gate"))</f>
        <v>published</v>
      </c>
      <c r="R256" s="0" t="str">
        <f aca="false">IF(C256="success","",IF(E256&gt;0,IF(I256="freshness_within_target","freshness",IF(I256="relationships_intact","relationships",IF(I256="reconciliation_residual_zero","residual",I256))),IF(H256="quality_gate","gate_infra",H256)))</f>
        <v/>
      </c>
    </row>
    <row r="257" customFormat="false" ht="15" hidden="false" customHeight="false" outlineLevel="0" collapsed="false">
      <c r="A257" s="4" t="s">
        <v>2048</v>
      </c>
      <c r="B257" s="10" t="n">
        <v>46254.59375</v>
      </c>
      <c r="C257" s="4" t="s">
        <v>1544</v>
      </c>
      <c r="D257" s="4" t="n">
        <v>760</v>
      </c>
      <c r="E257" s="4" t="n">
        <v>7</v>
      </c>
      <c r="F257" s="4" t="n">
        <v>6</v>
      </c>
      <c r="G257" s="4" t="n">
        <v>0</v>
      </c>
      <c r="J257" s="11" t="b">
        <f aca="false">TRUE()</f>
        <v>1</v>
      </c>
      <c r="K257" s="4" t="s">
        <v>2049</v>
      </c>
      <c r="L257" s="4" t="n">
        <v>4</v>
      </c>
      <c r="M257" s="4" t="n">
        <v>4</v>
      </c>
      <c r="N257" s="4" t="n">
        <v>4</v>
      </c>
      <c r="O257" s="4" t="n">
        <v>4</v>
      </c>
      <c r="P257" s="0" t="str">
        <f aca="false">IF(E257=0,"not_reached",IF(AND(F257&gt;0,G257=0),"allowed","blocked"))</f>
        <v>allowed</v>
      </c>
      <c r="Q257" s="0" t="str">
        <f aca="false">IF(C257="success","published",IF(E257&gt;0,"blocked_at_gate","failed_before_gate"))</f>
        <v>published</v>
      </c>
      <c r="R257" s="0" t="str">
        <f aca="false">IF(C257="success","",IF(E257&gt;0,IF(I257="freshness_within_target","freshness",IF(I257="relationships_intact","relationships",IF(I257="reconciliation_residual_zero","residual",I257))),IF(H257="quality_gate","gate_infra",H257)))</f>
        <v/>
      </c>
    </row>
    <row r="258" customFormat="false" ht="15" hidden="false" customHeight="false" outlineLevel="0" collapsed="false">
      <c r="A258" s="4" t="s">
        <v>2050</v>
      </c>
      <c r="B258" s="10" t="n">
        <v>46254.6354166667</v>
      </c>
      <c r="C258" s="4" t="s">
        <v>1544</v>
      </c>
      <c r="D258" s="4" t="n">
        <v>941</v>
      </c>
      <c r="E258" s="4" t="n">
        <v>7</v>
      </c>
      <c r="F258" s="4" t="n">
        <v>6</v>
      </c>
      <c r="G258" s="4" t="n">
        <v>0</v>
      </c>
      <c r="J258" s="11" t="b">
        <f aca="false">TRUE()</f>
        <v>1</v>
      </c>
      <c r="K258" s="4" t="s">
        <v>2051</v>
      </c>
      <c r="L258" s="4" t="n">
        <v>4</v>
      </c>
      <c r="M258" s="4" t="n">
        <v>4</v>
      </c>
      <c r="N258" s="4" t="n">
        <v>4</v>
      </c>
      <c r="O258" s="4" t="n">
        <v>4</v>
      </c>
      <c r="P258" s="0" t="str">
        <f aca="false">IF(E258=0,"not_reached",IF(AND(F258&gt;0,G258=0),"allowed","blocked"))</f>
        <v>allowed</v>
      </c>
      <c r="Q258" s="0" t="str">
        <f aca="false">IF(C258="success","published",IF(E258&gt;0,"blocked_at_gate","failed_before_gate"))</f>
        <v>published</v>
      </c>
      <c r="R258" s="0" t="str">
        <f aca="false">IF(C258="success","",IF(E258&gt;0,IF(I258="freshness_within_target","freshness",IF(I258="relationships_intact","relationships",IF(I258="reconciliation_residual_zero","residual",I258))),IF(H258="quality_gate","gate_infra",H258)))</f>
        <v/>
      </c>
    </row>
    <row r="259" customFormat="false" ht="15" hidden="false" customHeight="false" outlineLevel="0" collapsed="false">
      <c r="A259" s="4" t="s">
        <v>2052</v>
      </c>
      <c r="B259" s="10" t="n">
        <v>46254.6770833333</v>
      </c>
      <c r="C259" s="4" t="s">
        <v>1544</v>
      </c>
      <c r="D259" s="4" t="n">
        <v>770</v>
      </c>
      <c r="E259" s="4" t="n">
        <v>7</v>
      </c>
      <c r="F259" s="4" t="n">
        <v>6</v>
      </c>
      <c r="G259" s="4" t="n">
        <v>0</v>
      </c>
      <c r="J259" s="11" t="b">
        <f aca="false">TRUE()</f>
        <v>1</v>
      </c>
      <c r="K259" s="4" t="s">
        <v>2053</v>
      </c>
      <c r="L259" s="4" t="n">
        <v>4</v>
      </c>
      <c r="M259" s="4" t="n">
        <v>4</v>
      </c>
      <c r="N259" s="4" t="n">
        <v>4</v>
      </c>
      <c r="O259" s="4" t="n">
        <v>4</v>
      </c>
      <c r="P259" s="0" t="str">
        <f aca="false">IF(E259=0,"not_reached",IF(AND(F259&gt;0,G259=0),"allowed","blocked"))</f>
        <v>allowed</v>
      </c>
      <c r="Q259" s="0" t="str">
        <f aca="false">IF(C259="success","published",IF(E259&gt;0,"blocked_at_gate","failed_before_gate"))</f>
        <v>published</v>
      </c>
      <c r="R259" s="0" t="str">
        <f aca="false">IF(C259="success","",IF(E259&gt;0,IF(I259="freshness_within_target","freshness",IF(I259="relationships_intact","relationships",IF(I259="reconciliation_residual_zero","residual",I259))),IF(H259="quality_gate","gate_infra",H259)))</f>
        <v/>
      </c>
    </row>
    <row r="260" customFormat="false" ht="15" hidden="false" customHeight="false" outlineLevel="0" collapsed="false">
      <c r="A260" s="4" t="s">
        <v>2054</v>
      </c>
      <c r="B260" s="10" t="n">
        <v>46254.71875</v>
      </c>
      <c r="C260" s="4" t="s">
        <v>1544</v>
      </c>
      <c r="D260" s="4" t="n">
        <v>813</v>
      </c>
      <c r="E260" s="4" t="n">
        <v>7</v>
      </c>
      <c r="F260" s="4" t="n">
        <v>6</v>
      </c>
      <c r="G260" s="4" t="n">
        <v>0</v>
      </c>
      <c r="J260" s="11" t="b">
        <f aca="false">TRUE()</f>
        <v>1</v>
      </c>
      <c r="K260" s="4" t="s">
        <v>2055</v>
      </c>
      <c r="L260" s="4" t="n">
        <v>4</v>
      </c>
      <c r="M260" s="4" t="n">
        <v>4</v>
      </c>
      <c r="N260" s="4" t="n">
        <v>4</v>
      </c>
      <c r="O260" s="4" t="n">
        <v>4</v>
      </c>
      <c r="P260" s="0" t="str">
        <f aca="false">IF(E260=0,"not_reached",IF(AND(F260&gt;0,G260=0),"allowed","blocked"))</f>
        <v>allowed</v>
      </c>
      <c r="Q260" s="0" t="str">
        <f aca="false">IF(C260="success","published",IF(E260&gt;0,"blocked_at_gate","failed_before_gate"))</f>
        <v>published</v>
      </c>
      <c r="R260" s="0" t="str">
        <f aca="false">IF(C260="success","",IF(E260&gt;0,IF(I260="freshness_within_target","freshness",IF(I260="relationships_intact","relationships",IF(I260="reconciliation_residual_zero","residual",I260))),IF(H260="quality_gate","gate_infra",H260)))</f>
        <v/>
      </c>
    </row>
    <row r="261" customFormat="false" ht="15" hidden="false" customHeight="false" outlineLevel="0" collapsed="false">
      <c r="A261" s="4" t="s">
        <v>2056</v>
      </c>
      <c r="B261" s="10" t="n">
        <v>46254.7604166667</v>
      </c>
      <c r="C261" s="4" t="s">
        <v>1544</v>
      </c>
      <c r="D261" s="4" t="n">
        <v>886</v>
      </c>
      <c r="E261" s="4" t="n">
        <v>7</v>
      </c>
      <c r="F261" s="4" t="n">
        <v>6</v>
      </c>
      <c r="G261" s="4" t="n">
        <v>0</v>
      </c>
      <c r="J261" s="11" t="b">
        <f aca="false">TRUE()</f>
        <v>1</v>
      </c>
      <c r="K261" s="4" t="s">
        <v>2057</v>
      </c>
      <c r="L261" s="4" t="n">
        <v>4</v>
      </c>
      <c r="M261" s="4" t="n">
        <v>4</v>
      </c>
      <c r="N261" s="4" t="n">
        <v>4</v>
      </c>
      <c r="O261" s="4" t="n">
        <v>4</v>
      </c>
      <c r="P261" s="0" t="str">
        <f aca="false">IF(E261=0,"not_reached",IF(AND(F261&gt;0,G261=0),"allowed","blocked"))</f>
        <v>allowed</v>
      </c>
      <c r="Q261" s="0" t="str">
        <f aca="false">IF(C261="success","published",IF(E261&gt;0,"blocked_at_gate","failed_before_gate"))</f>
        <v>published</v>
      </c>
      <c r="R261" s="0" t="str">
        <f aca="false">IF(C261="success","",IF(E261&gt;0,IF(I261="freshness_within_target","freshness",IF(I261="relationships_intact","relationships",IF(I261="reconciliation_residual_zero","residual",I261))),IF(H261="quality_gate","gate_infra",H261)))</f>
        <v/>
      </c>
    </row>
    <row r="262" customFormat="false" ht="15" hidden="false" customHeight="false" outlineLevel="0" collapsed="false">
      <c r="A262" s="4" t="s">
        <v>2058</v>
      </c>
      <c r="B262" s="10" t="n">
        <v>46254.8020833333</v>
      </c>
      <c r="C262" s="4" t="s">
        <v>1544</v>
      </c>
      <c r="D262" s="4" t="n">
        <v>905</v>
      </c>
      <c r="E262" s="4" t="n">
        <v>7</v>
      </c>
      <c r="F262" s="4" t="n">
        <v>6</v>
      </c>
      <c r="G262" s="4" t="n">
        <v>0</v>
      </c>
      <c r="J262" s="11" t="b">
        <f aca="false">TRUE()</f>
        <v>1</v>
      </c>
      <c r="K262" s="4" t="s">
        <v>2059</v>
      </c>
      <c r="L262" s="4" t="n">
        <v>4</v>
      </c>
      <c r="M262" s="4" t="n">
        <v>4</v>
      </c>
      <c r="N262" s="4" t="n">
        <v>4</v>
      </c>
      <c r="O262" s="4" t="n">
        <v>4</v>
      </c>
      <c r="P262" s="0" t="str">
        <f aca="false">IF(E262=0,"not_reached",IF(AND(F262&gt;0,G262=0),"allowed","blocked"))</f>
        <v>allowed</v>
      </c>
      <c r="Q262" s="0" t="str">
        <f aca="false">IF(C262="success","published",IF(E262&gt;0,"blocked_at_gate","failed_before_gate"))</f>
        <v>published</v>
      </c>
      <c r="R262" s="0" t="str">
        <f aca="false">IF(C262="success","",IF(E262&gt;0,IF(I262="freshness_within_target","freshness",IF(I262="relationships_intact","relationships",IF(I262="reconciliation_residual_zero","residual",I262))),IF(H262="quality_gate","gate_infra",H262)))</f>
        <v/>
      </c>
    </row>
    <row r="263" customFormat="false" ht="15" hidden="false" customHeight="false" outlineLevel="0" collapsed="false">
      <c r="A263" s="4" t="s">
        <v>2060</v>
      </c>
      <c r="B263" s="10" t="n">
        <v>46254.84375</v>
      </c>
      <c r="C263" s="4" t="s">
        <v>1544</v>
      </c>
      <c r="D263" s="4" t="n">
        <v>850</v>
      </c>
      <c r="E263" s="4" t="n">
        <v>7</v>
      </c>
      <c r="F263" s="4" t="n">
        <v>6</v>
      </c>
      <c r="G263" s="4" t="n">
        <v>0</v>
      </c>
      <c r="J263" s="11" t="b">
        <f aca="false">TRUE()</f>
        <v>1</v>
      </c>
      <c r="K263" s="4" t="s">
        <v>2061</v>
      </c>
      <c r="L263" s="4" t="n">
        <v>4</v>
      </c>
      <c r="M263" s="4" t="n">
        <v>4</v>
      </c>
      <c r="N263" s="4" t="n">
        <v>4</v>
      </c>
      <c r="O263" s="4" t="n">
        <v>4</v>
      </c>
      <c r="P263" s="0" t="str">
        <f aca="false">IF(E263=0,"not_reached",IF(AND(F263&gt;0,G263=0),"allowed","blocked"))</f>
        <v>allowed</v>
      </c>
      <c r="Q263" s="0" t="str">
        <f aca="false">IF(C263="success","published",IF(E263&gt;0,"blocked_at_gate","failed_before_gate"))</f>
        <v>published</v>
      </c>
      <c r="R263" s="0" t="str">
        <f aca="false">IF(C263="success","",IF(E263&gt;0,IF(I263="freshness_within_target","freshness",IF(I263="relationships_intact","relationships",IF(I263="reconciliation_residual_zero","residual",I263))),IF(H263="quality_gate","gate_infra",H263)))</f>
        <v/>
      </c>
    </row>
    <row r="264" customFormat="false" ht="15" hidden="false" customHeight="false" outlineLevel="0" collapsed="false">
      <c r="A264" s="4" t="s">
        <v>2062</v>
      </c>
      <c r="B264" s="10" t="n">
        <v>46254.8854166667</v>
      </c>
      <c r="C264" s="4" t="s">
        <v>1544</v>
      </c>
      <c r="D264" s="4" t="n">
        <v>874</v>
      </c>
      <c r="E264" s="4" t="n">
        <v>7</v>
      </c>
      <c r="F264" s="4" t="n">
        <v>6</v>
      </c>
      <c r="G264" s="4" t="n">
        <v>0</v>
      </c>
      <c r="J264" s="11" t="b">
        <f aca="false">TRUE()</f>
        <v>1</v>
      </c>
      <c r="K264" s="4" t="s">
        <v>2063</v>
      </c>
      <c r="L264" s="4" t="n">
        <v>4</v>
      </c>
      <c r="M264" s="4" t="n">
        <v>4</v>
      </c>
      <c r="N264" s="4" t="n">
        <v>4</v>
      </c>
      <c r="O264" s="4" t="n">
        <v>4</v>
      </c>
      <c r="P264" s="0" t="str">
        <f aca="false">IF(E264=0,"not_reached",IF(AND(F264&gt;0,G264=0),"allowed","blocked"))</f>
        <v>allowed</v>
      </c>
      <c r="Q264" s="0" t="str">
        <f aca="false">IF(C264="success","published",IF(E264&gt;0,"blocked_at_gate","failed_before_gate"))</f>
        <v>published</v>
      </c>
      <c r="R264" s="0" t="str">
        <f aca="false">IF(C264="success","",IF(E264&gt;0,IF(I264="freshness_within_target","freshness",IF(I264="relationships_intact","relationships",IF(I264="reconciliation_residual_zero","residual",I264))),IF(H264="quality_gate","gate_infra",H264)))</f>
        <v/>
      </c>
    </row>
    <row r="265" customFormat="false" ht="15" hidden="false" customHeight="false" outlineLevel="0" collapsed="false">
      <c r="A265" s="4" t="s">
        <v>2064</v>
      </c>
      <c r="B265" s="10" t="n">
        <v>46254.9270833333</v>
      </c>
      <c r="C265" s="4" t="s">
        <v>1544</v>
      </c>
      <c r="D265" s="4" t="n">
        <v>775</v>
      </c>
      <c r="E265" s="4" t="n">
        <v>7</v>
      </c>
      <c r="F265" s="4" t="n">
        <v>6</v>
      </c>
      <c r="G265" s="4" t="n">
        <v>0</v>
      </c>
      <c r="J265" s="11" t="b">
        <f aca="false">TRUE()</f>
        <v>1</v>
      </c>
      <c r="K265" s="4" t="s">
        <v>2065</v>
      </c>
      <c r="L265" s="4" t="n">
        <v>4</v>
      </c>
      <c r="M265" s="4" t="n">
        <v>4</v>
      </c>
      <c r="N265" s="4" t="n">
        <v>4</v>
      </c>
      <c r="O265" s="4" t="n">
        <v>4</v>
      </c>
      <c r="P265" s="0" t="str">
        <f aca="false">IF(E265=0,"not_reached",IF(AND(F265&gt;0,G265=0),"allowed","blocked"))</f>
        <v>allowed</v>
      </c>
      <c r="Q265" s="0" t="str">
        <f aca="false">IF(C265="success","published",IF(E265&gt;0,"blocked_at_gate","failed_before_gate"))</f>
        <v>published</v>
      </c>
      <c r="R265" s="0" t="str">
        <f aca="false">IF(C265="success","",IF(E265&gt;0,IF(I265="freshness_within_target","freshness",IF(I265="relationships_intact","relationships",IF(I265="reconciliation_residual_zero","residual",I265))),IF(H265="quality_gate","gate_infra",H265)))</f>
        <v/>
      </c>
    </row>
    <row r="266" customFormat="false" ht="15" hidden="false" customHeight="false" outlineLevel="0" collapsed="false">
      <c r="A266" s="4" t="s">
        <v>2066</v>
      </c>
      <c r="B266" s="10" t="n">
        <v>46254.96875</v>
      </c>
      <c r="C266" s="4" t="s">
        <v>1544</v>
      </c>
      <c r="D266" s="4" t="n">
        <v>676</v>
      </c>
      <c r="E266" s="4" t="n">
        <v>7</v>
      </c>
      <c r="F266" s="4" t="n">
        <v>6</v>
      </c>
      <c r="G266" s="4" t="n">
        <v>0</v>
      </c>
      <c r="J266" s="11" t="b">
        <f aca="false">TRUE()</f>
        <v>1</v>
      </c>
      <c r="K266" s="4" t="s">
        <v>2067</v>
      </c>
      <c r="L266" s="4" t="n">
        <v>4</v>
      </c>
      <c r="M266" s="4" t="n">
        <v>4</v>
      </c>
      <c r="N266" s="4" t="n">
        <v>4</v>
      </c>
      <c r="O266" s="4" t="n">
        <v>4</v>
      </c>
      <c r="P266" s="0" t="str">
        <f aca="false">IF(E266=0,"not_reached",IF(AND(F266&gt;0,G266=0),"allowed","blocked"))</f>
        <v>allowed</v>
      </c>
      <c r="Q266" s="0" t="str">
        <f aca="false">IF(C266="success","published",IF(E266&gt;0,"blocked_at_gate","failed_before_gate"))</f>
        <v>published</v>
      </c>
      <c r="R266" s="0" t="str">
        <f aca="false">IF(C266="success","",IF(E266&gt;0,IF(I266="freshness_within_target","freshness",IF(I266="relationships_intact","relationships",IF(I266="reconciliation_residual_zero","residual",I266))),IF(H266="quality_gate","gate_infra",H266)))</f>
        <v/>
      </c>
    </row>
    <row r="267" customFormat="false" ht="15" hidden="false" customHeight="false" outlineLevel="0" collapsed="false">
      <c r="A267" s="4" t="s">
        <v>2068</v>
      </c>
      <c r="B267" s="10" t="n">
        <v>46255.0104166667</v>
      </c>
      <c r="C267" s="4" t="s">
        <v>1544</v>
      </c>
      <c r="D267" s="4" t="n">
        <v>799</v>
      </c>
      <c r="E267" s="4" t="n">
        <v>7</v>
      </c>
      <c r="F267" s="4" t="n">
        <v>6</v>
      </c>
      <c r="G267" s="4" t="n">
        <v>0</v>
      </c>
      <c r="J267" s="11" t="b">
        <f aca="false">TRUE()</f>
        <v>1</v>
      </c>
      <c r="K267" s="4" t="s">
        <v>2069</v>
      </c>
      <c r="L267" s="4" t="n">
        <v>4</v>
      </c>
      <c r="M267" s="4" t="n">
        <v>4</v>
      </c>
      <c r="N267" s="4" t="n">
        <v>4</v>
      </c>
      <c r="O267" s="4" t="n">
        <v>4</v>
      </c>
      <c r="P267" s="0" t="str">
        <f aca="false">IF(E267=0,"not_reached",IF(AND(F267&gt;0,G267=0),"allowed","blocked"))</f>
        <v>allowed</v>
      </c>
      <c r="Q267" s="0" t="str">
        <f aca="false">IF(C267="success","published",IF(E267&gt;0,"blocked_at_gate","failed_before_gate"))</f>
        <v>published</v>
      </c>
      <c r="R267" s="0" t="str">
        <f aca="false">IF(C267="success","",IF(E267&gt;0,IF(I267="freshness_within_target","freshness",IF(I267="relationships_intact","relationships",IF(I267="reconciliation_residual_zero","residual",I267))),IF(H267="quality_gate","gate_infra",H267)))</f>
        <v/>
      </c>
    </row>
    <row r="268" customFormat="false" ht="15" hidden="false" customHeight="false" outlineLevel="0" collapsed="false">
      <c r="A268" s="4" t="s">
        <v>2070</v>
      </c>
      <c r="B268" s="10" t="n">
        <v>46255.0520833333</v>
      </c>
      <c r="C268" s="4" t="s">
        <v>1544</v>
      </c>
      <c r="D268" s="4" t="n">
        <v>877</v>
      </c>
      <c r="E268" s="4" t="n">
        <v>7</v>
      </c>
      <c r="F268" s="4" t="n">
        <v>6</v>
      </c>
      <c r="G268" s="4" t="n">
        <v>0</v>
      </c>
      <c r="J268" s="11" t="b">
        <f aca="false">TRUE()</f>
        <v>1</v>
      </c>
      <c r="K268" s="4" t="s">
        <v>2071</v>
      </c>
      <c r="L268" s="4" t="n">
        <v>4</v>
      </c>
      <c r="M268" s="4" t="n">
        <v>4</v>
      </c>
      <c r="N268" s="4" t="n">
        <v>4</v>
      </c>
      <c r="O268" s="4" t="n">
        <v>4</v>
      </c>
      <c r="P268" s="0" t="str">
        <f aca="false">IF(E268=0,"not_reached",IF(AND(F268&gt;0,G268=0),"allowed","blocked"))</f>
        <v>allowed</v>
      </c>
      <c r="Q268" s="0" t="str">
        <f aca="false">IF(C268="success","published",IF(E268&gt;0,"blocked_at_gate","failed_before_gate"))</f>
        <v>published</v>
      </c>
      <c r="R268" s="0" t="str">
        <f aca="false">IF(C268="success","",IF(E268&gt;0,IF(I268="freshness_within_target","freshness",IF(I268="relationships_intact","relationships",IF(I268="reconciliation_residual_zero","residual",I268))),IF(H268="quality_gate","gate_infra",H268)))</f>
        <v/>
      </c>
    </row>
    <row r="269" customFormat="false" ht="15" hidden="false" customHeight="false" outlineLevel="0" collapsed="false">
      <c r="A269" s="4" t="s">
        <v>2072</v>
      </c>
      <c r="B269" s="10" t="n">
        <v>46255.09375</v>
      </c>
      <c r="C269" s="4" t="s">
        <v>1544</v>
      </c>
      <c r="D269" s="4" t="n">
        <v>743</v>
      </c>
      <c r="E269" s="4" t="n">
        <v>7</v>
      </c>
      <c r="F269" s="4" t="n">
        <v>6</v>
      </c>
      <c r="G269" s="4" t="n">
        <v>0</v>
      </c>
      <c r="J269" s="11" t="b">
        <f aca="false">TRUE()</f>
        <v>1</v>
      </c>
      <c r="K269" s="4" t="s">
        <v>2073</v>
      </c>
      <c r="L269" s="4" t="n">
        <v>4</v>
      </c>
      <c r="M269" s="4" t="n">
        <v>4</v>
      </c>
      <c r="N269" s="4" t="n">
        <v>4</v>
      </c>
      <c r="O269" s="4" t="n">
        <v>4</v>
      </c>
      <c r="P269" s="0" t="str">
        <f aca="false">IF(E269=0,"not_reached",IF(AND(F269&gt;0,G269=0),"allowed","blocked"))</f>
        <v>allowed</v>
      </c>
      <c r="Q269" s="0" t="str">
        <f aca="false">IF(C269="success","published",IF(E269&gt;0,"blocked_at_gate","failed_before_gate"))</f>
        <v>published</v>
      </c>
      <c r="R269" s="0" t="str">
        <f aca="false">IF(C269="success","",IF(E269&gt;0,IF(I269="freshness_within_target","freshness",IF(I269="relationships_intact","relationships",IF(I269="reconciliation_residual_zero","residual",I269))),IF(H269="quality_gate","gate_infra",H269)))</f>
        <v/>
      </c>
    </row>
    <row r="270" customFormat="false" ht="15" hidden="false" customHeight="false" outlineLevel="0" collapsed="false">
      <c r="A270" s="4" t="s">
        <v>2074</v>
      </c>
      <c r="B270" s="10" t="n">
        <v>46255.1354166667</v>
      </c>
      <c r="C270" s="4" t="s">
        <v>1544</v>
      </c>
      <c r="D270" s="4" t="n">
        <v>778</v>
      </c>
      <c r="E270" s="4" t="n">
        <v>7</v>
      </c>
      <c r="F270" s="4" t="n">
        <v>6</v>
      </c>
      <c r="G270" s="4" t="n">
        <v>0</v>
      </c>
      <c r="J270" s="11" t="b">
        <f aca="false">TRUE()</f>
        <v>1</v>
      </c>
      <c r="K270" s="4" t="s">
        <v>2075</v>
      </c>
      <c r="L270" s="4" t="n">
        <v>4</v>
      </c>
      <c r="M270" s="4" t="n">
        <v>4</v>
      </c>
      <c r="N270" s="4" t="n">
        <v>4</v>
      </c>
      <c r="O270" s="4" t="n">
        <v>4</v>
      </c>
      <c r="P270" s="0" t="str">
        <f aca="false">IF(E270=0,"not_reached",IF(AND(F270&gt;0,G270=0),"allowed","blocked"))</f>
        <v>allowed</v>
      </c>
      <c r="Q270" s="0" t="str">
        <f aca="false">IF(C270="success","published",IF(E270&gt;0,"blocked_at_gate","failed_before_gate"))</f>
        <v>published</v>
      </c>
      <c r="R270" s="0" t="str">
        <f aca="false">IF(C270="success","",IF(E270&gt;0,IF(I270="freshness_within_target","freshness",IF(I270="relationships_intact","relationships",IF(I270="reconciliation_residual_zero","residual",I270))),IF(H270="quality_gate","gate_infra",H270)))</f>
        <v/>
      </c>
    </row>
    <row r="271" customFormat="false" ht="15" hidden="false" customHeight="false" outlineLevel="0" collapsed="false">
      <c r="A271" s="4" t="s">
        <v>2076</v>
      </c>
      <c r="B271" s="10" t="n">
        <v>46255.1770833333</v>
      </c>
      <c r="C271" s="4" t="s">
        <v>1544</v>
      </c>
      <c r="D271" s="4" t="n">
        <v>681</v>
      </c>
      <c r="E271" s="4" t="n">
        <v>7</v>
      </c>
      <c r="F271" s="4" t="n">
        <v>6</v>
      </c>
      <c r="G271" s="4" t="n">
        <v>0</v>
      </c>
      <c r="J271" s="11" t="b">
        <f aca="false">TRUE()</f>
        <v>1</v>
      </c>
      <c r="K271" s="4" t="s">
        <v>2077</v>
      </c>
      <c r="L271" s="4" t="n">
        <v>4</v>
      </c>
      <c r="M271" s="4" t="n">
        <v>4</v>
      </c>
      <c r="N271" s="4" t="n">
        <v>4</v>
      </c>
      <c r="O271" s="4" t="n">
        <v>4</v>
      </c>
      <c r="P271" s="0" t="str">
        <f aca="false">IF(E271=0,"not_reached",IF(AND(F271&gt;0,G271=0),"allowed","blocked"))</f>
        <v>allowed</v>
      </c>
      <c r="Q271" s="0" t="str">
        <f aca="false">IF(C271="success","published",IF(E271&gt;0,"blocked_at_gate","failed_before_gate"))</f>
        <v>published</v>
      </c>
      <c r="R271" s="0" t="str">
        <f aca="false">IF(C271="success","",IF(E271&gt;0,IF(I271="freshness_within_target","freshness",IF(I271="relationships_intact","relationships",IF(I271="reconciliation_residual_zero","residual",I271))),IF(H271="quality_gate","gate_infra",H271)))</f>
        <v/>
      </c>
    </row>
    <row r="272" customFormat="false" ht="15" hidden="false" customHeight="false" outlineLevel="0" collapsed="false">
      <c r="A272" s="4" t="s">
        <v>2078</v>
      </c>
      <c r="B272" s="10" t="n">
        <v>46255.21875</v>
      </c>
      <c r="C272" s="4" t="s">
        <v>1544</v>
      </c>
      <c r="D272" s="4" t="n">
        <v>876</v>
      </c>
      <c r="E272" s="4" t="n">
        <v>7</v>
      </c>
      <c r="F272" s="4" t="n">
        <v>6</v>
      </c>
      <c r="G272" s="4" t="n">
        <v>0</v>
      </c>
      <c r="J272" s="11" t="b">
        <f aca="false">TRUE()</f>
        <v>1</v>
      </c>
      <c r="K272" s="4" t="s">
        <v>2079</v>
      </c>
      <c r="L272" s="4" t="n">
        <v>4</v>
      </c>
      <c r="M272" s="4" t="n">
        <v>4</v>
      </c>
      <c r="N272" s="4" t="n">
        <v>4</v>
      </c>
      <c r="O272" s="4" t="n">
        <v>4</v>
      </c>
      <c r="P272" s="0" t="str">
        <f aca="false">IF(E272=0,"not_reached",IF(AND(F272&gt;0,G272=0),"allowed","blocked"))</f>
        <v>allowed</v>
      </c>
      <c r="Q272" s="0" t="str">
        <f aca="false">IF(C272="success","published",IF(E272&gt;0,"blocked_at_gate","failed_before_gate"))</f>
        <v>published</v>
      </c>
      <c r="R272" s="0" t="str">
        <f aca="false">IF(C272="success","",IF(E272&gt;0,IF(I272="freshness_within_target","freshness",IF(I272="relationships_intact","relationships",IF(I272="reconciliation_residual_zero","residual",I272))),IF(H272="quality_gate","gate_infra",H272)))</f>
        <v/>
      </c>
    </row>
    <row r="273" customFormat="false" ht="15" hidden="false" customHeight="false" outlineLevel="0" collapsed="false">
      <c r="A273" s="4" t="s">
        <v>2080</v>
      </c>
      <c r="B273" s="10" t="n">
        <v>46255.2604166667</v>
      </c>
      <c r="C273" s="4" t="s">
        <v>1544</v>
      </c>
      <c r="D273" s="4" t="n">
        <v>758</v>
      </c>
      <c r="E273" s="4" t="n">
        <v>7</v>
      </c>
      <c r="F273" s="4" t="n">
        <v>6</v>
      </c>
      <c r="G273" s="4" t="n">
        <v>0</v>
      </c>
      <c r="J273" s="11" t="b">
        <f aca="false">TRUE()</f>
        <v>1</v>
      </c>
      <c r="K273" s="4" t="s">
        <v>2081</v>
      </c>
      <c r="L273" s="4" t="n">
        <v>4</v>
      </c>
      <c r="M273" s="4" t="n">
        <v>4</v>
      </c>
      <c r="N273" s="4" t="n">
        <v>4</v>
      </c>
      <c r="O273" s="4" t="n">
        <v>4</v>
      </c>
      <c r="P273" s="0" t="str">
        <f aca="false">IF(E273=0,"not_reached",IF(AND(F273&gt;0,G273=0),"allowed","blocked"))</f>
        <v>allowed</v>
      </c>
      <c r="Q273" s="0" t="str">
        <f aca="false">IF(C273="success","published",IF(E273&gt;0,"blocked_at_gate","failed_before_gate"))</f>
        <v>published</v>
      </c>
      <c r="R273" s="0" t="str">
        <f aca="false">IF(C273="success","",IF(E273&gt;0,IF(I273="freshness_within_target","freshness",IF(I273="relationships_intact","relationships",IF(I273="reconciliation_residual_zero","residual",I273))),IF(H273="quality_gate","gate_infra",H273)))</f>
        <v/>
      </c>
    </row>
    <row r="274" customFormat="false" ht="15" hidden="false" customHeight="false" outlineLevel="0" collapsed="false">
      <c r="A274" s="4" t="s">
        <v>2082</v>
      </c>
      <c r="B274" s="10" t="n">
        <v>46255.3020833333</v>
      </c>
      <c r="C274" s="4" t="s">
        <v>1544</v>
      </c>
      <c r="D274" s="4" t="n">
        <v>777</v>
      </c>
      <c r="E274" s="4" t="n">
        <v>7</v>
      </c>
      <c r="F274" s="4" t="n">
        <v>6</v>
      </c>
      <c r="G274" s="4" t="n">
        <v>0</v>
      </c>
      <c r="J274" s="11" t="b">
        <f aca="false">TRUE()</f>
        <v>1</v>
      </c>
      <c r="K274" s="4" t="s">
        <v>2083</v>
      </c>
      <c r="L274" s="4" t="n">
        <v>4</v>
      </c>
      <c r="M274" s="4" t="n">
        <v>4</v>
      </c>
      <c r="N274" s="4" t="n">
        <v>4</v>
      </c>
      <c r="O274" s="4" t="n">
        <v>4</v>
      </c>
      <c r="P274" s="0" t="str">
        <f aca="false">IF(E274=0,"not_reached",IF(AND(F274&gt;0,G274=0),"allowed","blocked"))</f>
        <v>allowed</v>
      </c>
      <c r="Q274" s="0" t="str">
        <f aca="false">IF(C274="success","published",IF(E274&gt;0,"blocked_at_gate","failed_before_gate"))</f>
        <v>published</v>
      </c>
      <c r="R274" s="0" t="str">
        <f aca="false">IF(C274="success","",IF(E274&gt;0,IF(I274="freshness_within_target","freshness",IF(I274="relationships_intact","relationships",IF(I274="reconciliation_residual_zero","residual",I274))),IF(H274="quality_gate","gate_infra",H274)))</f>
        <v/>
      </c>
    </row>
    <row r="275" customFormat="false" ht="15" hidden="false" customHeight="false" outlineLevel="0" collapsed="false">
      <c r="A275" s="4" t="s">
        <v>2084</v>
      </c>
      <c r="B275" s="10" t="n">
        <v>46255.34375</v>
      </c>
      <c r="C275" s="4" t="s">
        <v>1544</v>
      </c>
      <c r="D275" s="4" t="n">
        <v>936</v>
      </c>
      <c r="E275" s="4" t="n">
        <v>7</v>
      </c>
      <c r="F275" s="4" t="n">
        <v>6</v>
      </c>
      <c r="G275" s="4" t="n">
        <v>0</v>
      </c>
      <c r="J275" s="11" t="b">
        <f aca="false">TRUE()</f>
        <v>1</v>
      </c>
      <c r="K275" s="4" t="s">
        <v>2085</v>
      </c>
      <c r="L275" s="4" t="n">
        <v>4</v>
      </c>
      <c r="M275" s="4" t="n">
        <v>4</v>
      </c>
      <c r="N275" s="4" t="n">
        <v>4</v>
      </c>
      <c r="O275" s="4" t="n">
        <v>4</v>
      </c>
      <c r="P275" s="0" t="str">
        <f aca="false">IF(E275=0,"not_reached",IF(AND(F275&gt;0,G275=0),"allowed","blocked"))</f>
        <v>allowed</v>
      </c>
      <c r="Q275" s="0" t="str">
        <f aca="false">IF(C275="success","published",IF(E275&gt;0,"blocked_at_gate","failed_before_gate"))</f>
        <v>published</v>
      </c>
      <c r="R275" s="0" t="str">
        <f aca="false">IF(C275="success","",IF(E275&gt;0,IF(I275="freshness_within_target","freshness",IF(I275="relationships_intact","relationships",IF(I275="reconciliation_residual_zero","residual",I275))),IF(H275="quality_gate","gate_infra",H275)))</f>
        <v/>
      </c>
    </row>
    <row r="276" customFormat="false" ht="15" hidden="false" customHeight="false" outlineLevel="0" collapsed="false">
      <c r="A276" s="4" t="s">
        <v>2086</v>
      </c>
      <c r="B276" s="10" t="n">
        <v>46255.3854166667</v>
      </c>
      <c r="C276" s="4" t="s">
        <v>1544</v>
      </c>
      <c r="D276" s="4" t="n">
        <v>711</v>
      </c>
      <c r="E276" s="4" t="n">
        <v>7</v>
      </c>
      <c r="F276" s="4" t="n">
        <v>6</v>
      </c>
      <c r="G276" s="4" t="n">
        <v>0</v>
      </c>
      <c r="J276" s="11" t="b">
        <f aca="false">TRUE()</f>
        <v>1</v>
      </c>
      <c r="K276" s="4" t="s">
        <v>2087</v>
      </c>
      <c r="L276" s="4" t="n">
        <v>4</v>
      </c>
      <c r="M276" s="4" t="n">
        <v>4</v>
      </c>
      <c r="N276" s="4" t="n">
        <v>4</v>
      </c>
      <c r="O276" s="4" t="n">
        <v>4</v>
      </c>
      <c r="P276" s="0" t="str">
        <f aca="false">IF(E276=0,"not_reached",IF(AND(F276&gt;0,G276=0),"allowed","blocked"))</f>
        <v>allowed</v>
      </c>
      <c r="Q276" s="0" t="str">
        <f aca="false">IF(C276="success","published",IF(E276&gt;0,"blocked_at_gate","failed_before_gate"))</f>
        <v>published</v>
      </c>
      <c r="R276" s="0" t="str">
        <f aca="false">IF(C276="success","",IF(E276&gt;0,IF(I276="freshness_within_target","freshness",IF(I276="relationships_intact","relationships",IF(I276="reconciliation_residual_zero","residual",I276))),IF(H276="quality_gate","gate_infra",H276)))</f>
        <v/>
      </c>
    </row>
    <row r="277" customFormat="false" ht="15" hidden="false" customHeight="false" outlineLevel="0" collapsed="false">
      <c r="A277" s="4" t="s">
        <v>2088</v>
      </c>
      <c r="B277" s="10" t="n">
        <v>46255.4270833333</v>
      </c>
      <c r="C277" s="4" t="s">
        <v>1544</v>
      </c>
      <c r="D277" s="4" t="n">
        <v>935</v>
      </c>
      <c r="E277" s="4" t="n">
        <v>7</v>
      </c>
      <c r="F277" s="4" t="n">
        <v>6</v>
      </c>
      <c r="G277" s="4" t="n">
        <v>0</v>
      </c>
      <c r="J277" s="11" t="b">
        <f aca="false">TRUE()</f>
        <v>1</v>
      </c>
      <c r="K277" s="4" t="s">
        <v>2089</v>
      </c>
      <c r="L277" s="4" t="n">
        <v>4</v>
      </c>
      <c r="M277" s="4" t="n">
        <v>4</v>
      </c>
      <c r="N277" s="4" t="n">
        <v>4</v>
      </c>
      <c r="O277" s="4" t="n">
        <v>4</v>
      </c>
      <c r="P277" s="0" t="str">
        <f aca="false">IF(E277=0,"not_reached",IF(AND(F277&gt;0,G277=0),"allowed","blocked"))</f>
        <v>allowed</v>
      </c>
      <c r="Q277" s="0" t="str">
        <f aca="false">IF(C277="success","published",IF(E277&gt;0,"blocked_at_gate","failed_before_gate"))</f>
        <v>published</v>
      </c>
      <c r="R277" s="0" t="str">
        <f aca="false">IF(C277="success","",IF(E277&gt;0,IF(I277="freshness_within_target","freshness",IF(I277="relationships_intact","relationships",IF(I277="reconciliation_residual_zero","residual",I277))),IF(H277="quality_gate","gate_infra",H277)))</f>
        <v/>
      </c>
    </row>
    <row r="278" customFormat="false" ht="15" hidden="false" customHeight="false" outlineLevel="0" collapsed="false">
      <c r="A278" s="4" t="s">
        <v>2090</v>
      </c>
      <c r="B278" s="10" t="n">
        <v>46255.46875</v>
      </c>
      <c r="C278" s="4" t="s">
        <v>1544</v>
      </c>
      <c r="D278" s="4" t="n">
        <v>1102</v>
      </c>
      <c r="E278" s="4" t="n">
        <v>7</v>
      </c>
      <c r="F278" s="4" t="n">
        <v>6</v>
      </c>
      <c r="G278" s="4" t="n">
        <v>0</v>
      </c>
      <c r="J278" s="11" t="b">
        <f aca="false">TRUE()</f>
        <v>1</v>
      </c>
      <c r="K278" s="4" t="s">
        <v>2091</v>
      </c>
      <c r="L278" s="4" t="n">
        <v>4</v>
      </c>
      <c r="M278" s="4" t="n">
        <v>4</v>
      </c>
      <c r="N278" s="4" t="n">
        <v>5</v>
      </c>
      <c r="O278" s="4" t="n">
        <v>4</v>
      </c>
      <c r="P278" s="0" t="str">
        <f aca="false">IF(E278=0,"not_reached",IF(AND(F278&gt;0,G278=0),"allowed","blocked"))</f>
        <v>allowed</v>
      </c>
      <c r="Q278" s="0" t="str">
        <f aca="false">IF(C278="success","published",IF(E278&gt;0,"blocked_at_gate","failed_before_gate"))</f>
        <v>published</v>
      </c>
      <c r="R278" s="0" t="str">
        <f aca="false">IF(C278="success","",IF(E278&gt;0,IF(I278="freshness_within_target","freshness",IF(I278="relationships_intact","relationships",IF(I278="reconciliation_residual_zero","residual",I278))),IF(H278="quality_gate","gate_infra",H278)))</f>
        <v/>
      </c>
    </row>
    <row r="279" customFormat="false" ht="15" hidden="false" customHeight="false" outlineLevel="0" collapsed="false">
      <c r="A279" s="4" t="s">
        <v>2092</v>
      </c>
      <c r="B279" s="10" t="n">
        <v>46255.5104166667</v>
      </c>
      <c r="C279" s="4" t="s">
        <v>1544</v>
      </c>
      <c r="D279" s="4" t="n">
        <v>862</v>
      </c>
      <c r="E279" s="4" t="n">
        <v>7</v>
      </c>
      <c r="F279" s="4" t="n">
        <v>6</v>
      </c>
      <c r="G279" s="4" t="n">
        <v>0</v>
      </c>
      <c r="J279" s="11" t="b">
        <f aca="false">TRUE()</f>
        <v>1</v>
      </c>
      <c r="K279" s="4" t="s">
        <v>2093</v>
      </c>
      <c r="L279" s="4" t="n">
        <v>4</v>
      </c>
      <c r="M279" s="4" t="n">
        <v>4</v>
      </c>
      <c r="N279" s="4" t="n">
        <v>4</v>
      </c>
      <c r="O279" s="4" t="n">
        <v>4</v>
      </c>
      <c r="P279" s="0" t="str">
        <f aca="false">IF(E279=0,"not_reached",IF(AND(F279&gt;0,G279=0),"allowed","blocked"))</f>
        <v>allowed</v>
      </c>
      <c r="Q279" s="0" t="str">
        <f aca="false">IF(C279="success","published",IF(E279&gt;0,"blocked_at_gate","failed_before_gate"))</f>
        <v>published</v>
      </c>
      <c r="R279" s="0" t="str">
        <f aca="false">IF(C279="success","",IF(E279&gt;0,IF(I279="freshness_within_target","freshness",IF(I279="relationships_intact","relationships",IF(I279="reconciliation_residual_zero","residual",I279))),IF(H279="quality_gate","gate_infra",H279)))</f>
        <v/>
      </c>
    </row>
    <row r="280" customFormat="false" ht="15" hidden="false" customHeight="false" outlineLevel="0" collapsed="false">
      <c r="A280" s="4" t="s">
        <v>2094</v>
      </c>
      <c r="B280" s="10" t="n">
        <v>46255.5520833333</v>
      </c>
      <c r="C280" s="4" t="s">
        <v>1544</v>
      </c>
      <c r="D280" s="4" t="n">
        <v>831</v>
      </c>
      <c r="E280" s="4" t="n">
        <v>7</v>
      </c>
      <c r="F280" s="4" t="n">
        <v>6</v>
      </c>
      <c r="G280" s="4" t="n">
        <v>0</v>
      </c>
      <c r="J280" s="11" t="b">
        <f aca="false">TRUE()</f>
        <v>1</v>
      </c>
      <c r="K280" s="4" t="s">
        <v>2095</v>
      </c>
      <c r="L280" s="4" t="n">
        <v>4</v>
      </c>
      <c r="M280" s="4" t="n">
        <v>4</v>
      </c>
      <c r="N280" s="4" t="n">
        <v>4</v>
      </c>
      <c r="O280" s="4" t="n">
        <v>4</v>
      </c>
      <c r="P280" s="0" t="str">
        <f aca="false">IF(E280=0,"not_reached",IF(AND(F280&gt;0,G280=0),"allowed","blocked"))</f>
        <v>allowed</v>
      </c>
      <c r="Q280" s="0" t="str">
        <f aca="false">IF(C280="success","published",IF(E280&gt;0,"blocked_at_gate","failed_before_gate"))</f>
        <v>published</v>
      </c>
      <c r="R280" s="0" t="str">
        <f aca="false">IF(C280="success","",IF(E280&gt;0,IF(I280="freshness_within_target","freshness",IF(I280="relationships_intact","relationships",IF(I280="reconciliation_residual_zero","residual",I280))),IF(H280="quality_gate","gate_infra",H280)))</f>
        <v/>
      </c>
    </row>
    <row r="281" customFormat="false" ht="15" hidden="false" customHeight="false" outlineLevel="0" collapsed="false">
      <c r="A281" s="4" t="s">
        <v>2096</v>
      </c>
      <c r="B281" s="10" t="n">
        <v>46255.59375</v>
      </c>
      <c r="C281" s="4" t="s">
        <v>1544</v>
      </c>
      <c r="D281" s="4" t="n">
        <v>896</v>
      </c>
      <c r="E281" s="4" t="n">
        <v>7</v>
      </c>
      <c r="F281" s="4" t="n">
        <v>6</v>
      </c>
      <c r="G281" s="4" t="n">
        <v>0</v>
      </c>
      <c r="J281" s="11" t="b">
        <f aca="false">TRUE()</f>
        <v>1</v>
      </c>
      <c r="K281" s="4" t="s">
        <v>2097</v>
      </c>
      <c r="L281" s="4" t="n">
        <v>4</v>
      </c>
      <c r="M281" s="4" t="n">
        <v>4</v>
      </c>
      <c r="N281" s="4" t="n">
        <v>4</v>
      </c>
      <c r="O281" s="4" t="n">
        <v>4</v>
      </c>
      <c r="P281" s="0" t="str">
        <f aca="false">IF(E281=0,"not_reached",IF(AND(F281&gt;0,G281=0),"allowed","blocked"))</f>
        <v>allowed</v>
      </c>
      <c r="Q281" s="0" t="str">
        <f aca="false">IF(C281="success","published",IF(E281&gt;0,"blocked_at_gate","failed_before_gate"))</f>
        <v>published</v>
      </c>
      <c r="R281" s="0" t="str">
        <f aca="false">IF(C281="success","",IF(E281&gt;0,IF(I281="freshness_within_target","freshness",IF(I281="relationships_intact","relationships",IF(I281="reconciliation_residual_zero","residual",I281))),IF(H281="quality_gate","gate_infra",H281)))</f>
        <v/>
      </c>
    </row>
    <row r="282" customFormat="false" ht="15" hidden="false" customHeight="false" outlineLevel="0" collapsed="false">
      <c r="A282" s="4" t="s">
        <v>2098</v>
      </c>
      <c r="B282" s="10" t="n">
        <v>46255.6354166667</v>
      </c>
      <c r="C282" s="4" t="s">
        <v>1544</v>
      </c>
      <c r="D282" s="4" t="n">
        <v>1210</v>
      </c>
      <c r="E282" s="4" t="n">
        <v>7</v>
      </c>
      <c r="F282" s="4" t="n">
        <v>6</v>
      </c>
      <c r="G282" s="4" t="n">
        <v>0</v>
      </c>
      <c r="J282" s="11" t="b">
        <f aca="false">TRUE()</f>
        <v>1</v>
      </c>
      <c r="K282" s="4" t="s">
        <v>2099</v>
      </c>
      <c r="L282" s="4" t="n">
        <v>4</v>
      </c>
      <c r="M282" s="4" t="n">
        <v>4</v>
      </c>
      <c r="N282" s="4" t="n">
        <v>5</v>
      </c>
      <c r="O282" s="4" t="n">
        <v>4</v>
      </c>
      <c r="P282" s="0" t="str">
        <f aca="false">IF(E282=0,"not_reached",IF(AND(F282&gt;0,G282=0),"allowed","blocked"))</f>
        <v>allowed</v>
      </c>
      <c r="Q282" s="0" t="str">
        <f aca="false">IF(C282="success","published",IF(E282&gt;0,"blocked_at_gate","failed_before_gate"))</f>
        <v>published</v>
      </c>
      <c r="R282" s="0" t="str">
        <f aca="false">IF(C282="success","",IF(E282&gt;0,IF(I282="freshness_within_target","freshness",IF(I282="relationships_intact","relationships",IF(I282="reconciliation_residual_zero","residual",I282))),IF(H282="quality_gate","gate_infra",H282)))</f>
        <v/>
      </c>
    </row>
    <row r="283" customFormat="false" ht="15" hidden="false" customHeight="false" outlineLevel="0" collapsed="false">
      <c r="A283" s="4" t="s">
        <v>2100</v>
      </c>
      <c r="B283" s="10" t="n">
        <v>46255.6770833333</v>
      </c>
      <c r="C283" s="4" t="s">
        <v>1544</v>
      </c>
      <c r="D283" s="4" t="n">
        <v>874</v>
      </c>
      <c r="E283" s="4" t="n">
        <v>7</v>
      </c>
      <c r="F283" s="4" t="n">
        <v>6</v>
      </c>
      <c r="G283" s="4" t="n">
        <v>0</v>
      </c>
      <c r="J283" s="11" t="b">
        <f aca="false">TRUE()</f>
        <v>1</v>
      </c>
      <c r="K283" s="4" t="s">
        <v>2101</v>
      </c>
      <c r="L283" s="4" t="n">
        <v>4</v>
      </c>
      <c r="M283" s="4" t="n">
        <v>4</v>
      </c>
      <c r="N283" s="4" t="n">
        <v>4</v>
      </c>
      <c r="O283" s="4" t="n">
        <v>4</v>
      </c>
      <c r="P283" s="0" t="str">
        <f aca="false">IF(E283=0,"not_reached",IF(AND(F283&gt;0,G283=0),"allowed","blocked"))</f>
        <v>allowed</v>
      </c>
      <c r="Q283" s="0" t="str">
        <f aca="false">IF(C283="success","published",IF(E283&gt;0,"blocked_at_gate","failed_before_gate"))</f>
        <v>published</v>
      </c>
      <c r="R283" s="0" t="str">
        <f aca="false">IF(C283="success","",IF(E283&gt;0,IF(I283="freshness_within_target","freshness",IF(I283="relationships_intact","relationships",IF(I283="reconciliation_residual_zero","residual",I283))),IF(H283="quality_gate","gate_infra",H283)))</f>
        <v/>
      </c>
    </row>
    <row r="284" customFormat="false" ht="15" hidden="false" customHeight="false" outlineLevel="0" collapsed="false">
      <c r="A284" s="4" t="s">
        <v>2102</v>
      </c>
      <c r="B284" s="10" t="n">
        <v>46255.71875</v>
      </c>
      <c r="C284" s="4" t="s">
        <v>1544</v>
      </c>
      <c r="D284" s="4" t="n">
        <v>885</v>
      </c>
      <c r="E284" s="4" t="n">
        <v>7</v>
      </c>
      <c r="F284" s="4" t="n">
        <v>6</v>
      </c>
      <c r="G284" s="4" t="n">
        <v>0</v>
      </c>
      <c r="J284" s="11" t="b">
        <f aca="false">TRUE()</f>
        <v>1</v>
      </c>
      <c r="K284" s="4" t="s">
        <v>2103</v>
      </c>
      <c r="L284" s="4" t="n">
        <v>4</v>
      </c>
      <c r="M284" s="4" t="n">
        <v>4</v>
      </c>
      <c r="N284" s="4" t="n">
        <v>4</v>
      </c>
      <c r="O284" s="4" t="n">
        <v>4</v>
      </c>
      <c r="P284" s="0" t="str">
        <f aca="false">IF(E284=0,"not_reached",IF(AND(F284&gt;0,G284=0),"allowed","blocked"))</f>
        <v>allowed</v>
      </c>
      <c r="Q284" s="0" t="str">
        <f aca="false">IF(C284="success","published",IF(E284&gt;0,"blocked_at_gate","failed_before_gate"))</f>
        <v>published</v>
      </c>
      <c r="R284" s="0" t="str">
        <f aca="false">IF(C284="success","",IF(E284&gt;0,IF(I284="freshness_within_target","freshness",IF(I284="relationships_intact","relationships",IF(I284="reconciliation_residual_zero","residual",I284))),IF(H284="quality_gate","gate_infra",H284)))</f>
        <v/>
      </c>
    </row>
    <row r="285" customFormat="false" ht="15" hidden="false" customHeight="false" outlineLevel="0" collapsed="false">
      <c r="A285" s="4" t="s">
        <v>2104</v>
      </c>
      <c r="B285" s="10" t="n">
        <v>46255.7604166667</v>
      </c>
      <c r="C285" s="4" t="s">
        <v>1544</v>
      </c>
      <c r="D285" s="4" t="n">
        <v>845</v>
      </c>
      <c r="E285" s="4" t="n">
        <v>7</v>
      </c>
      <c r="F285" s="4" t="n">
        <v>6</v>
      </c>
      <c r="G285" s="4" t="n">
        <v>0</v>
      </c>
      <c r="J285" s="11" t="b">
        <f aca="false">TRUE()</f>
        <v>1</v>
      </c>
      <c r="K285" s="4" t="s">
        <v>2105</v>
      </c>
      <c r="L285" s="4" t="n">
        <v>4</v>
      </c>
      <c r="M285" s="4" t="n">
        <v>4</v>
      </c>
      <c r="N285" s="4" t="n">
        <v>4</v>
      </c>
      <c r="O285" s="4" t="n">
        <v>4</v>
      </c>
      <c r="P285" s="0" t="str">
        <f aca="false">IF(E285=0,"not_reached",IF(AND(F285&gt;0,G285=0),"allowed","blocked"))</f>
        <v>allowed</v>
      </c>
      <c r="Q285" s="0" t="str">
        <f aca="false">IF(C285="success","published",IF(E285&gt;0,"blocked_at_gate","failed_before_gate"))</f>
        <v>published</v>
      </c>
      <c r="R285" s="0" t="str">
        <f aca="false">IF(C285="success","",IF(E285&gt;0,IF(I285="freshness_within_target","freshness",IF(I285="relationships_intact","relationships",IF(I285="reconciliation_residual_zero","residual",I285))),IF(H285="quality_gate","gate_infra",H285)))</f>
        <v/>
      </c>
    </row>
    <row r="286" customFormat="false" ht="15" hidden="false" customHeight="false" outlineLevel="0" collapsed="false">
      <c r="A286" s="4" t="s">
        <v>2106</v>
      </c>
      <c r="B286" s="10" t="n">
        <v>46255.8020833333</v>
      </c>
      <c r="C286" s="4" t="s">
        <v>1544</v>
      </c>
      <c r="D286" s="4" t="n">
        <v>950</v>
      </c>
      <c r="E286" s="4" t="n">
        <v>7</v>
      </c>
      <c r="F286" s="4" t="n">
        <v>6</v>
      </c>
      <c r="G286" s="4" t="n">
        <v>0</v>
      </c>
      <c r="J286" s="11" t="b">
        <f aca="false">TRUE()</f>
        <v>1</v>
      </c>
      <c r="K286" s="4" t="s">
        <v>2107</v>
      </c>
      <c r="L286" s="4" t="n">
        <v>4</v>
      </c>
      <c r="M286" s="4" t="n">
        <v>4</v>
      </c>
      <c r="N286" s="4" t="n">
        <v>4</v>
      </c>
      <c r="O286" s="4" t="n">
        <v>4</v>
      </c>
      <c r="P286" s="0" t="str">
        <f aca="false">IF(E286=0,"not_reached",IF(AND(F286&gt;0,G286=0),"allowed","blocked"))</f>
        <v>allowed</v>
      </c>
      <c r="Q286" s="0" t="str">
        <f aca="false">IF(C286="success","published",IF(E286&gt;0,"blocked_at_gate","failed_before_gate"))</f>
        <v>published</v>
      </c>
      <c r="R286" s="0" t="str">
        <f aca="false">IF(C286="success","",IF(E286&gt;0,IF(I286="freshness_within_target","freshness",IF(I286="relationships_intact","relationships",IF(I286="reconciliation_residual_zero","residual",I286))),IF(H286="quality_gate","gate_infra",H286)))</f>
        <v/>
      </c>
    </row>
    <row r="287" customFormat="false" ht="15" hidden="false" customHeight="false" outlineLevel="0" collapsed="false">
      <c r="A287" s="4" t="s">
        <v>2108</v>
      </c>
      <c r="B287" s="10" t="n">
        <v>46255.84375</v>
      </c>
      <c r="C287" s="4" t="s">
        <v>1544</v>
      </c>
      <c r="D287" s="4" t="n">
        <v>952</v>
      </c>
      <c r="E287" s="4" t="n">
        <v>7</v>
      </c>
      <c r="F287" s="4" t="n">
        <v>6</v>
      </c>
      <c r="G287" s="4" t="n">
        <v>0</v>
      </c>
      <c r="J287" s="11" t="b">
        <f aca="false">TRUE()</f>
        <v>1</v>
      </c>
      <c r="K287" s="4" t="s">
        <v>2109</v>
      </c>
      <c r="L287" s="4" t="n">
        <v>4</v>
      </c>
      <c r="M287" s="4" t="n">
        <v>4</v>
      </c>
      <c r="N287" s="4" t="n">
        <v>4</v>
      </c>
      <c r="O287" s="4" t="n">
        <v>4</v>
      </c>
      <c r="P287" s="0" t="str">
        <f aca="false">IF(E287=0,"not_reached",IF(AND(F287&gt;0,G287=0),"allowed","blocked"))</f>
        <v>allowed</v>
      </c>
      <c r="Q287" s="0" t="str">
        <f aca="false">IF(C287="success","published",IF(E287&gt;0,"blocked_at_gate","failed_before_gate"))</f>
        <v>published</v>
      </c>
      <c r="R287" s="0" t="str">
        <f aca="false">IF(C287="success","",IF(E287&gt;0,IF(I287="freshness_within_target","freshness",IF(I287="relationships_intact","relationships",IF(I287="reconciliation_residual_zero","residual",I287))),IF(H287="quality_gate","gate_infra",H287)))</f>
        <v/>
      </c>
    </row>
    <row r="288" customFormat="false" ht="15" hidden="false" customHeight="false" outlineLevel="0" collapsed="false">
      <c r="A288" s="4" t="s">
        <v>2110</v>
      </c>
      <c r="B288" s="10" t="n">
        <v>46255.8854166667</v>
      </c>
      <c r="C288" s="4" t="s">
        <v>1544</v>
      </c>
      <c r="D288" s="4" t="n">
        <v>954</v>
      </c>
      <c r="E288" s="4" t="n">
        <v>7</v>
      </c>
      <c r="F288" s="4" t="n">
        <v>6</v>
      </c>
      <c r="G288" s="4" t="n">
        <v>0</v>
      </c>
      <c r="J288" s="11" t="b">
        <f aca="false">TRUE()</f>
        <v>1</v>
      </c>
      <c r="K288" s="4" t="s">
        <v>2111</v>
      </c>
      <c r="L288" s="4" t="n">
        <v>4</v>
      </c>
      <c r="M288" s="4" t="n">
        <v>4</v>
      </c>
      <c r="N288" s="4" t="n">
        <v>4</v>
      </c>
      <c r="O288" s="4" t="n">
        <v>4</v>
      </c>
      <c r="P288" s="0" t="str">
        <f aca="false">IF(E288=0,"not_reached",IF(AND(F288&gt;0,G288=0),"allowed","blocked"))</f>
        <v>allowed</v>
      </c>
      <c r="Q288" s="0" t="str">
        <f aca="false">IF(C288="success","published",IF(E288&gt;0,"blocked_at_gate","failed_before_gate"))</f>
        <v>published</v>
      </c>
      <c r="R288" s="0" t="str">
        <f aca="false">IF(C288="success","",IF(E288&gt;0,IF(I288="freshness_within_target","freshness",IF(I288="relationships_intact","relationships",IF(I288="reconciliation_residual_zero","residual",I288))),IF(H288="quality_gate","gate_infra",H288)))</f>
        <v/>
      </c>
    </row>
    <row r="289" customFormat="false" ht="15" hidden="false" customHeight="false" outlineLevel="0" collapsed="false">
      <c r="A289" s="4" t="s">
        <v>2112</v>
      </c>
      <c r="B289" s="10" t="n">
        <v>46255.9270833333</v>
      </c>
      <c r="C289" s="4" t="s">
        <v>1544</v>
      </c>
      <c r="D289" s="4" t="n">
        <v>1074</v>
      </c>
      <c r="E289" s="4" t="n">
        <v>7</v>
      </c>
      <c r="F289" s="4" t="n">
        <v>6</v>
      </c>
      <c r="G289" s="4" t="n">
        <v>0</v>
      </c>
      <c r="J289" s="11" t="b">
        <f aca="false">TRUE()</f>
        <v>1</v>
      </c>
      <c r="K289" s="4" t="s">
        <v>2113</v>
      </c>
      <c r="L289" s="4" t="n">
        <v>4</v>
      </c>
      <c r="M289" s="4" t="n">
        <v>4</v>
      </c>
      <c r="N289" s="4" t="n">
        <v>5</v>
      </c>
      <c r="O289" s="4" t="n">
        <v>4</v>
      </c>
      <c r="P289" s="0" t="str">
        <f aca="false">IF(E289=0,"not_reached",IF(AND(F289&gt;0,G289=0),"allowed","blocked"))</f>
        <v>allowed</v>
      </c>
      <c r="Q289" s="0" t="str">
        <f aca="false">IF(C289="success","published",IF(E289&gt;0,"blocked_at_gate","failed_before_gate"))</f>
        <v>published</v>
      </c>
      <c r="R289" s="0" t="str">
        <f aca="false">IF(C289="success","",IF(E289&gt;0,IF(I289="freshness_within_target","freshness",IF(I289="relationships_intact","relationships",IF(I289="reconciliation_residual_zero","residual",I289))),IF(H289="quality_gate","gate_infra",H289)))</f>
        <v/>
      </c>
    </row>
    <row r="290" customFormat="false" ht="15" hidden="false" customHeight="false" outlineLevel="0" collapsed="false">
      <c r="A290" s="4" t="s">
        <v>2114</v>
      </c>
      <c r="B290" s="10" t="n">
        <v>46255.96875</v>
      </c>
      <c r="C290" s="4" t="s">
        <v>1544</v>
      </c>
      <c r="D290" s="4" t="n">
        <v>1154</v>
      </c>
      <c r="E290" s="4" t="n">
        <v>7</v>
      </c>
      <c r="F290" s="4" t="n">
        <v>6</v>
      </c>
      <c r="G290" s="4" t="n">
        <v>0</v>
      </c>
      <c r="J290" s="11" t="b">
        <f aca="false">TRUE()</f>
        <v>1</v>
      </c>
      <c r="K290" s="4" t="s">
        <v>2115</v>
      </c>
      <c r="L290" s="4" t="n">
        <v>4</v>
      </c>
      <c r="M290" s="4" t="n">
        <v>4</v>
      </c>
      <c r="N290" s="4" t="n">
        <v>5</v>
      </c>
      <c r="O290" s="4" t="n">
        <v>4</v>
      </c>
      <c r="P290" s="0" t="str">
        <f aca="false">IF(E290=0,"not_reached",IF(AND(F290&gt;0,G290=0),"allowed","blocked"))</f>
        <v>allowed</v>
      </c>
      <c r="Q290" s="0" t="str">
        <f aca="false">IF(C290="success","published",IF(E290&gt;0,"blocked_at_gate","failed_before_gate"))</f>
        <v>published</v>
      </c>
      <c r="R290" s="0" t="str">
        <f aca="false">IF(C290="success","",IF(E290&gt;0,IF(I290="freshness_within_target","freshness",IF(I290="relationships_intact","relationships",IF(I290="reconciliation_residual_zero","residual",I290))),IF(H290="quality_gate","gate_infra",H290)))</f>
        <v/>
      </c>
    </row>
    <row r="291" customFormat="false" ht="15" hidden="false" customHeight="false" outlineLevel="0" collapsed="false">
      <c r="A291" s="4" t="s">
        <v>2116</v>
      </c>
      <c r="B291" s="10" t="n">
        <v>46256.0104166667</v>
      </c>
      <c r="C291" s="4" t="s">
        <v>1544</v>
      </c>
      <c r="D291" s="4" t="n">
        <v>874</v>
      </c>
      <c r="E291" s="4" t="n">
        <v>7</v>
      </c>
      <c r="F291" s="4" t="n">
        <v>6</v>
      </c>
      <c r="G291" s="4" t="n">
        <v>0</v>
      </c>
      <c r="J291" s="11" t="b">
        <f aca="false">TRUE()</f>
        <v>1</v>
      </c>
      <c r="K291" s="4" t="s">
        <v>2117</v>
      </c>
      <c r="L291" s="4" t="n">
        <v>4</v>
      </c>
      <c r="M291" s="4" t="n">
        <v>4</v>
      </c>
      <c r="N291" s="4" t="n">
        <v>4</v>
      </c>
      <c r="O291" s="4" t="n">
        <v>4</v>
      </c>
      <c r="P291" s="0" t="str">
        <f aca="false">IF(E291=0,"not_reached",IF(AND(F291&gt;0,G291=0),"allowed","blocked"))</f>
        <v>allowed</v>
      </c>
      <c r="Q291" s="0" t="str">
        <f aca="false">IF(C291="success","published",IF(E291&gt;0,"blocked_at_gate","failed_before_gate"))</f>
        <v>published</v>
      </c>
      <c r="R291" s="0" t="str">
        <f aca="false">IF(C291="success","",IF(E291&gt;0,IF(I291="freshness_within_target","freshness",IF(I291="relationships_intact","relationships",IF(I291="reconciliation_residual_zero","residual",I291))),IF(H291="quality_gate","gate_infra",H291)))</f>
        <v/>
      </c>
    </row>
    <row r="292" customFormat="false" ht="15" hidden="false" customHeight="false" outlineLevel="0" collapsed="false">
      <c r="A292" s="4" t="s">
        <v>2118</v>
      </c>
      <c r="B292" s="10" t="n">
        <v>46256.0520833333</v>
      </c>
      <c r="C292" s="4" t="s">
        <v>1544</v>
      </c>
      <c r="D292" s="4" t="n">
        <v>695</v>
      </c>
      <c r="E292" s="4" t="n">
        <v>7</v>
      </c>
      <c r="F292" s="4" t="n">
        <v>6</v>
      </c>
      <c r="G292" s="4" t="n">
        <v>0</v>
      </c>
      <c r="J292" s="11" t="b">
        <f aca="false">TRUE()</f>
        <v>1</v>
      </c>
      <c r="K292" s="4" t="s">
        <v>2119</v>
      </c>
      <c r="L292" s="4" t="n">
        <v>4</v>
      </c>
      <c r="M292" s="4" t="n">
        <v>4</v>
      </c>
      <c r="N292" s="4" t="n">
        <v>4</v>
      </c>
      <c r="O292" s="4" t="n">
        <v>4</v>
      </c>
      <c r="P292" s="0" t="str">
        <f aca="false">IF(E292=0,"not_reached",IF(AND(F292&gt;0,G292=0),"allowed","blocked"))</f>
        <v>allowed</v>
      </c>
      <c r="Q292" s="0" t="str">
        <f aca="false">IF(C292="success","published",IF(E292&gt;0,"blocked_at_gate","failed_before_gate"))</f>
        <v>published</v>
      </c>
      <c r="R292" s="0" t="str">
        <f aca="false">IF(C292="success","",IF(E292&gt;0,IF(I292="freshness_within_target","freshness",IF(I292="relationships_intact","relationships",IF(I292="reconciliation_residual_zero","residual",I292))),IF(H292="quality_gate","gate_infra",H292)))</f>
        <v/>
      </c>
    </row>
    <row r="293" customFormat="false" ht="15" hidden="false" customHeight="false" outlineLevel="0" collapsed="false">
      <c r="A293" s="4" t="s">
        <v>2120</v>
      </c>
      <c r="B293" s="10" t="n">
        <v>46256.09375</v>
      </c>
      <c r="C293" s="4" t="s">
        <v>1544</v>
      </c>
      <c r="D293" s="4" t="n">
        <v>761</v>
      </c>
      <c r="E293" s="4" t="n">
        <v>7</v>
      </c>
      <c r="F293" s="4" t="n">
        <v>6</v>
      </c>
      <c r="G293" s="4" t="n">
        <v>0</v>
      </c>
      <c r="J293" s="11" t="b">
        <f aca="false">TRUE()</f>
        <v>1</v>
      </c>
      <c r="K293" s="4" t="s">
        <v>2121</v>
      </c>
      <c r="L293" s="4" t="n">
        <v>4</v>
      </c>
      <c r="M293" s="4" t="n">
        <v>4</v>
      </c>
      <c r="N293" s="4" t="n">
        <v>4</v>
      </c>
      <c r="O293" s="4" t="n">
        <v>4</v>
      </c>
      <c r="P293" s="0" t="str">
        <f aca="false">IF(E293=0,"not_reached",IF(AND(F293&gt;0,G293=0),"allowed","blocked"))</f>
        <v>allowed</v>
      </c>
      <c r="Q293" s="0" t="str">
        <f aca="false">IF(C293="success","published",IF(E293&gt;0,"blocked_at_gate","failed_before_gate"))</f>
        <v>published</v>
      </c>
      <c r="R293" s="0" t="str">
        <f aca="false">IF(C293="success","",IF(E293&gt;0,IF(I293="freshness_within_target","freshness",IF(I293="relationships_intact","relationships",IF(I293="reconciliation_residual_zero","residual",I293))),IF(H293="quality_gate","gate_infra",H293)))</f>
        <v/>
      </c>
    </row>
    <row r="294" customFormat="false" ht="15" hidden="false" customHeight="false" outlineLevel="0" collapsed="false">
      <c r="A294" s="4" t="s">
        <v>2122</v>
      </c>
      <c r="B294" s="10" t="n">
        <v>46256.1354166667</v>
      </c>
      <c r="C294" s="4" t="s">
        <v>1544</v>
      </c>
      <c r="D294" s="4" t="n">
        <v>1261</v>
      </c>
      <c r="E294" s="4" t="n">
        <v>7</v>
      </c>
      <c r="F294" s="4" t="n">
        <v>6</v>
      </c>
      <c r="G294" s="4" t="n">
        <v>0</v>
      </c>
      <c r="J294" s="11" t="b">
        <f aca="false">TRUE()</f>
        <v>1</v>
      </c>
      <c r="K294" s="4" t="s">
        <v>2123</v>
      </c>
      <c r="L294" s="4" t="n">
        <v>4</v>
      </c>
      <c r="M294" s="4" t="n">
        <v>4</v>
      </c>
      <c r="N294" s="4" t="n">
        <v>5</v>
      </c>
      <c r="O294" s="4" t="n">
        <v>4</v>
      </c>
      <c r="P294" s="0" t="str">
        <f aca="false">IF(E294=0,"not_reached",IF(AND(F294&gt;0,G294=0),"allowed","blocked"))</f>
        <v>allowed</v>
      </c>
      <c r="Q294" s="0" t="str">
        <f aca="false">IF(C294="success","published",IF(E294&gt;0,"blocked_at_gate","failed_before_gate"))</f>
        <v>published</v>
      </c>
      <c r="R294" s="0" t="str">
        <f aca="false">IF(C294="success","",IF(E294&gt;0,IF(I294="freshness_within_target","freshness",IF(I294="relationships_intact","relationships",IF(I294="reconciliation_residual_zero","residual",I294))),IF(H294="quality_gate","gate_infra",H294)))</f>
        <v/>
      </c>
    </row>
    <row r="295" customFormat="false" ht="15" hidden="false" customHeight="false" outlineLevel="0" collapsed="false">
      <c r="A295" s="4" t="s">
        <v>2124</v>
      </c>
      <c r="B295" s="10" t="n">
        <v>46256.1770833333</v>
      </c>
      <c r="C295" s="4" t="s">
        <v>1544</v>
      </c>
      <c r="D295" s="4" t="n">
        <v>772</v>
      </c>
      <c r="E295" s="4" t="n">
        <v>7</v>
      </c>
      <c r="F295" s="4" t="n">
        <v>6</v>
      </c>
      <c r="G295" s="4" t="n">
        <v>0</v>
      </c>
      <c r="J295" s="11" t="b">
        <f aca="false">TRUE()</f>
        <v>1</v>
      </c>
      <c r="K295" s="4" t="s">
        <v>2125</v>
      </c>
      <c r="L295" s="4" t="n">
        <v>4</v>
      </c>
      <c r="M295" s="4" t="n">
        <v>4</v>
      </c>
      <c r="N295" s="4" t="n">
        <v>4</v>
      </c>
      <c r="O295" s="4" t="n">
        <v>4</v>
      </c>
      <c r="P295" s="0" t="str">
        <f aca="false">IF(E295=0,"not_reached",IF(AND(F295&gt;0,G295=0),"allowed","blocked"))</f>
        <v>allowed</v>
      </c>
      <c r="Q295" s="0" t="str">
        <f aca="false">IF(C295="success","published",IF(E295&gt;0,"blocked_at_gate","failed_before_gate"))</f>
        <v>published</v>
      </c>
      <c r="R295" s="0" t="str">
        <f aca="false">IF(C295="success","",IF(E295&gt;0,IF(I295="freshness_within_target","freshness",IF(I295="relationships_intact","relationships",IF(I295="reconciliation_residual_zero","residual",I295))),IF(H295="quality_gate","gate_infra",H295)))</f>
        <v/>
      </c>
    </row>
    <row r="296" customFormat="false" ht="15" hidden="false" customHeight="false" outlineLevel="0" collapsed="false">
      <c r="A296" s="4" t="s">
        <v>2126</v>
      </c>
      <c r="B296" s="10" t="n">
        <v>46256.21875</v>
      </c>
      <c r="C296" s="4" t="s">
        <v>1544</v>
      </c>
      <c r="D296" s="4" t="n">
        <v>879</v>
      </c>
      <c r="E296" s="4" t="n">
        <v>7</v>
      </c>
      <c r="F296" s="4" t="n">
        <v>6</v>
      </c>
      <c r="G296" s="4" t="n">
        <v>0</v>
      </c>
      <c r="J296" s="11" t="b">
        <f aca="false">TRUE()</f>
        <v>1</v>
      </c>
      <c r="K296" s="4" t="s">
        <v>2127</v>
      </c>
      <c r="L296" s="4" t="n">
        <v>4</v>
      </c>
      <c r="M296" s="4" t="n">
        <v>4</v>
      </c>
      <c r="N296" s="4" t="n">
        <v>4</v>
      </c>
      <c r="O296" s="4" t="n">
        <v>4</v>
      </c>
      <c r="P296" s="0" t="str">
        <f aca="false">IF(E296=0,"not_reached",IF(AND(F296&gt;0,G296=0),"allowed","blocked"))</f>
        <v>allowed</v>
      </c>
      <c r="Q296" s="0" t="str">
        <f aca="false">IF(C296="success","published",IF(E296&gt;0,"blocked_at_gate","failed_before_gate"))</f>
        <v>published</v>
      </c>
      <c r="R296" s="0" t="str">
        <f aca="false">IF(C296="success","",IF(E296&gt;0,IF(I296="freshness_within_target","freshness",IF(I296="relationships_intact","relationships",IF(I296="reconciliation_residual_zero","residual",I296))),IF(H296="quality_gate","gate_infra",H296)))</f>
        <v/>
      </c>
    </row>
    <row r="297" customFormat="false" ht="15" hidden="false" customHeight="false" outlineLevel="0" collapsed="false">
      <c r="A297" s="4" t="s">
        <v>2128</v>
      </c>
      <c r="B297" s="10" t="n">
        <v>46256.2604166667</v>
      </c>
      <c r="C297" s="4" t="s">
        <v>1544</v>
      </c>
      <c r="D297" s="4" t="n">
        <v>900</v>
      </c>
      <c r="E297" s="4" t="n">
        <v>7</v>
      </c>
      <c r="F297" s="4" t="n">
        <v>6</v>
      </c>
      <c r="G297" s="4" t="n">
        <v>0</v>
      </c>
      <c r="J297" s="11" t="b">
        <f aca="false">TRUE()</f>
        <v>1</v>
      </c>
      <c r="K297" s="4" t="s">
        <v>2129</v>
      </c>
      <c r="L297" s="4" t="n">
        <v>4</v>
      </c>
      <c r="M297" s="4" t="n">
        <v>4</v>
      </c>
      <c r="N297" s="4" t="n">
        <v>4</v>
      </c>
      <c r="O297" s="4" t="n">
        <v>4</v>
      </c>
      <c r="P297" s="0" t="str">
        <f aca="false">IF(E297=0,"not_reached",IF(AND(F297&gt;0,G297=0),"allowed","blocked"))</f>
        <v>allowed</v>
      </c>
      <c r="Q297" s="0" t="str">
        <f aca="false">IF(C297="success","published",IF(E297&gt;0,"blocked_at_gate","failed_before_gate"))</f>
        <v>published</v>
      </c>
      <c r="R297" s="0" t="str">
        <f aca="false">IF(C297="success","",IF(E297&gt;0,IF(I297="freshness_within_target","freshness",IF(I297="relationships_intact","relationships",IF(I297="reconciliation_residual_zero","residual",I297))),IF(H297="quality_gate","gate_infra",H297)))</f>
        <v/>
      </c>
    </row>
    <row r="298" customFormat="false" ht="15" hidden="false" customHeight="false" outlineLevel="0" collapsed="false">
      <c r="A298" s="4" t="s">
        <v>2130</v>
      </c>
      <c r="B298" s="10" t="n">
        <v>46256.3020833333</v>
      </c>
      <c r="C298" s="4" t="s">
        <v>1544</v>
      </c>
      <c r="D298" s="4" t="n">
        <v>758</v>
      </c>
      <c r="E298" s="4" t="n">
        <v>7</v>
      </c>
      <c r="F298" s="4" t="n">
        <v>6</v>
      </c>
      <c r="G298" s="4" t="n">
        <v>0</v>
      </c>
      <c r="J298" s="11" t="b">
        <f aca="false">TRUE()</f>
        <v>1</v>
      </c>
      <c r="K298" s="4" t="s">
        <v>2131</v>
      </c>
      <c r="L298" s="4" t="n">
        <v>4</v>
      </c>
      <c r="M298" s="4" t="n">
        <v>4</v>
      </c>
      <c r="N298" s="4" t="n">
        <v>4</v>
      </c>
      <c r="O298" s="4" t="n">
        <v>4</v>
      </c>
      <c r="P298" s="0" t="str">
        <f aca="false">IF(E298=0,"not_reached",IF(AND(F298&gt;0,G298=0),"allowed","blocked"))</f>
        <v>allowed</v>
      </c>
      <c r="Q298" s="0" t="str">
        <f aca="false">IF(C298="success","published",IF(E298&gt;0,"blocked_at_gate","failed_before_gate"))</f>
        <v>published</v>
      </c>
      <c r="R298" s="0" t="str">
        <f aca="false">IF(C298="success","",IF(E298&gt;0,IF(I298="freshness_within_target","freshness",IF(I298="relationships_intact","relationships",IF(I298="reconciliation_residual_zero","residual",I298))),IF(H298="quality_gate","gate_infra",H298)))</f>
        <v/>
      </c>
    </row>
    <row r="299" customFormat="false" ht="15" hidden="false" customHeight="false" outlineLevel="0" collapsed="false">
      <c r="A299" s="4" t="s">
        <v>2132</v>
      </c>
      <c r="B299" s="10" t="n">
        <v>46256.34375</v>
      </c>
      <c r="C299" s="4" t="s">
        <v>1544</v>
      </c>
      <c r="D299" s="4" t="n">
        <v>733</v>
      </c>
      <c r="E299" s="4" t="n">
        <v>7</v>
      </c>
      <c r="F299" s="4" t="n">
        <v>6</v>
      </c>
      <c r="G299" s="4" t="n">
        <v>0</v>
      </c>
      <c r="J299" s="11" t="b">
        <f aca="false">TRUE()</f>
        <v>1</v>
      </c>
      <c r="K299" s="4" t="s">
        <v>2133</v>
      </c>
      <c r="L299" s="4" t="n">
        <v>4</v>
      </c>
      <c r="M299" s="4" t="n">
        <v>4</v>
      </c>
      <c r="N299" s="4" t="n">
        <v>4</v>
      </c>
      <c r="O299" s="4" t="n">
        <v>4</v>
      </c>
      <c r="P299" s="0" t="str">
        <f aca="false">IF(E299=0,"not_reached",IF(AND(F299&gt;0,G299=0),"allowed","blocked"))</f>
        <v>allowed</v>
      </c>
      <c r="Q299" s="0" t="str">
        <f aca="false">IF(C299="success","published",IF(E299&gt;0,"blocked_at_gate","failed_before_gate"))</f>
        <v>published</v>
      </c>
      <c r="R299" s="0" t="str">
        <f aca="false">IF(C299="success","",IF(E299&gt;0,IF(I299="freshness_within_target","freshness",IF(I299="relationships_intact","relationships",IF(I299="reconciliation_residual_zero","residual",I299))),IF(H299="quality_gate","gate_infra",H299)))</f>
        <v/>
      </c>
    </row>
    <row r="300" customFormat="false" ht="15" hidden="false" customHeight="false" outlineLevel="0" collapsed="false">
      <c r="A300" s="4" t="s">
        <v>2134</v>
      </c>
      <c r="B300" s="10" t="n">
        <v>46256.3854166667</v>
      </c>
      <c r="C300" s="4" t="s">
        <v>1544</v>
      </c>
      <c r="D300" s="4" t="n">
        <v>840</v>
      </c>
      <c r="E300" s="4" t="n">
        <v>7</v>
      </c>
      <c r="F300" s="4" t="n">
        <v>6</v>
      </c>
      <c r="G300" s="4" t="n">
        <v>0</v>
      </c>
      <c r="J300" s="11" t="b">
        <f aca="false">TRUE()</f>
        <v>1</v>
      </c>
      <c r="K300" s="4" t="s">
        <v>2135</v>
      </c>
      <c r="L300" s="4" t="n">
        <v>4</v>
      </c>
      <c r="M300" s="4" t="n">
        <v>4</v>
      </c>
      <c r="N300" s="4" t="n">
        <v>4</v>
      </c>
      <c r="O300" s="4" t="n">
        <v>4</v>
      </c>
      <c r="P300" s="0" t="str">
        <f aca="false">IF(E300=0,"not_reached",IF(AND(F300&gt;0,G300=0),"allowed","blocked"))</f>
        <v>allowed</v>
      </c>
      <c r="Q300" s="0" t="str">
        <f aca="false">IF(C300="success","published",IF(E300&gt;0,"blocked_at_gate","failed_before_gate"))</f>
        <v>published</v>
      </c>
      <c r="R300" s="0" t="str">
        <f aca="false">IF(C300="success","",IF(E300&gt;0,IF(I300="freshness_within_target","freshness",IF(I300="relationships_intact","relationships",IF(I300="reconciliation_residual_zero","residual",I300))),IF(H300="quality_gate","gate_infra",H300)))</f>
        <v/>
      </c>
    </row>
    <row r="301" customFormat="false" ht="15" hidden="false" customHeight="false" outlineLevel="0" collapsed="false">
      <c r="A301" s="4" t="s">
        <v>2136</v>
      </c>
      <c r="B301" s="10" t="n">
        <v>46256.4270833333</v>
      </c>
      <c r="C301" s="4" t="s">
        <v>1544</v>
      </c>
      <c r="D301" s="4" t="n">
        <v>666</v>
      </c>
      <c r="E301" s="4" t="n">
        <v>7</v>
      </c>
      <c r="F301" s="4" t="n">
        <v>6</v>
      </c>
      <c r="G301" s="4" t="n">
        <v>0</v>
      </c>
      <c r="J301" s="11" t="b">
        <f aca="false">TRUE()</f>
        <v>1</v>
      </c>
      <c r="K301" s="4" t="s">
        <v>2137</v>
      </c>
      <c r="L301" s="4" t="n">
        <v>4</v>
      </c>
      <c r="M301" s="4" t="n">
        <v>4</v>
      </c>
      <c r="N301" s="4" t="n">
        <v>4</v>
      </c>
      <c r="O301" s="4" t="n">
        <v>4</v>
      </c>
      <c r="P301" s="0" t="str">
        <f aca="false">IF(E301=0,"not_reached",IF(AND(F301&gt;0,G301=0),"allowed","blocked"))</f>
        <v>allowed</v>
      </c>
      <c r="Q301" s="0" t="str">
        <f aca="false">IF(C301="success","published",IF(E301&gt;0,"blocked_at_gate","failed_before_gate"))</f>
        <v>published</v>
      </c>
      <c r="R301" s="0" t="str">
        <f aca="false">IF(C301="success","",IF(E301&gt;0,IF(I301="freshness_within_target","freshness",IF(I301="relationships_intact","relationships",IF(I301="reconciliation_residual_zero","residual",I301))),IF(H301="quality_gate","gate_infra",H301)))</f>
        <v/>
      </c>
    </row>
    <row r="302" customFormat="false" ht="15" hidden="false" customHeight="false" outlineLevel="0" collapsed="false">
      <c r="A302" s="4" t="s">
        <v>2138</v>
      </c>
      <c r="B302" s="10" t="n">
        <v>46256.46875</v>
      </c>
      <c r="C302" s="4" t="s">
        <v>1544</v>
      </c>
      <c r="D302" s="4" t="n">
        <v>943</v>
      </c>
      <c r="E302" s="4" t="n">
        <v>7</v>
      </c>
      <c r="F302" s="4" t="n">
        <v>6</v>
      </c>
      <c r="G302" s="4" t="n">
        <v>0</v>
      </c>
      <c r="J302" s="11" t="b">
        <f aca="false">TRUE()</f>
        <v>1</v>
      </c>
      <c r="K302" s="4" t="s">
        <v>2139</v>
      </c>
      <c r="L302" s="4" t="n">
        <v>4</v>
      </c>
      <c r="M302" s="4" t="n">
        <v>4</v>
      </c>
      <c r="N302" s="4" t="n">
        <v>4</v>
      </c>
      <c r="O302" s="4" t="n">
        <v>4</v>
      </c>
      <c r="P302" s="0" t="str">
        <f aca="false">IF(E302=0,"not_reached",IF(AND(F302&gt;0,G302=0),"allowed","blocked"))</f>
        <v>allowed</v>
      </c>
      <c r="Q302" s="0" t="str">
        <f aca="false">IF(C302="success","published",IF(E302&gt;0,"blocked_at_gate","failed_before_gate"))</f>
        <v>published</v>
      </c>
      <c r="R302" s="0" t="str">
        <f aca="false">IF(C302="success","",IF(E302&gt;0,IF(I302="freshness_within_target","freshness",IF(I302="relationships_intact","relationships",IF(I302="reconciliation_residual_zero","residual",I302))),IF(H302="quality_gate","gate_infra",H302)))</f>
        <v/>
      </c>
    </row>
    <row r="303" customFormat="false" ht="15" hidden="false" customHeight="false" outlineLevel="0" collapsed="false">
      <c r="A303" s="4" t="s">
        <v>2140</v>
      </c>
      <c r="B303" s="10" t="n">
        <v>46256.5104166667</v>
      </c>
      <c r="C303" s="4" t="s">
        <v>1544</v>
      </c>
      <c r="D303" s="4" t="n">
        <v>768</v>
      </c>
      <c r="E303" s="4" t="n">
        <v>7</v>
      </c>
      <c r="F303" s="4" t="n">
        <v>6</v>
      </c>
      <c r="G303" s="4" t="n">
        <v>0</v>
      </c>
      <c r="J303" s="11" t="b">
        <f aca="false">TRUE()</f>
        <v>1</v>
      </c>
      <c r="K303" s="4" t="s">
        <v>2141</v>
      </c>
      <c r="L303" s="4" t="n">
        <v>4</v>
      </c>
      <c r="M303" s="4" t="n">
        <v>4</v>
      </c>
      <c r="N303" s="4" t="n">
        <v>4</v>
      </c>
      <c r="O303" s="4" t="n">
        <v>4</v>
      </c>
      <c r="P303" s="0" t="str">
        <f aca="false">IF(E303=0,"not_reached",IF(AND(F303&gt;0,G303=0),"allowed","blocked"))</f>
        <v>allowed</v>
      </c>
      <c r="Q303" s="0" t="str">
        <f aca="false">IF(C303="success","published",IF(E303&gt;0,"blocked_at_gate","failed_before_gate"))</f>
        <v>published</v>
      </c>
      <c r="R303" s="0" t="str">
        <f aca="false">IF(C303="success","",IF(E303&gt;0,IF(I303="freshness_within_target","freshness",IF(I303="relationships_intact","relationships",IF(I303="reconciliation_residual_zero","residual",I303))),IF(H303="quality_gate","gate_infra",H303)))</f>
        <v/>
      </c>
    </row>
    <row r="304" customFormat="false" ht="15" hidden="false" customHeight="false" outlineLevel="0" collapsed="false">
      <c r="A304" s="4" t="s">
        <v>2142</v>
      </c>
      <c r="B304" s="10" t="n">
        <v>46256.5520833333</v>
      </c>
      <c r="C304" s="4" t="s">
        <v>1544</v>
      </c>
      <c r="D304" s="4" t="n">
        <v>739</v>
      </c>
      <c r="E304" s="4" t="n">
        <v>7</v>
      </c>
      <c r="F304" s="4" t="n">
        <v>6</v>
      </c>
      <c r="G304" s="4" t="n">
        <v>0</v>
      </c>
      <c r="J304" s="11" t="b">
        <f aca="false">TRUE()</f>
        <v>1</v>
      </c>
      <c r="K304" s="4" t="s">
        <v>2143</v>
      </c>
      <c r="L304" s="4" t="n">
        <v>4</v>
      </c>
      <c r="M304" s="4" t="n">
        <v>4</v>
      </c>
      <c r="N304" s="4" t="n">
        <v>4</v>
      </c>
      <c r="O304" s="4" t="n">
        <v>4</v>
      </c>
      <c r="P304" s="0" t="str">
        <f aca="false">IF(E304=0,"not_reached",IF(AND(F304&gt;0,G304=0),"allowed","blocked"))</f>
        <v>allowed</v>
      </c>
      <c r="Q304" s="0" t="str">
        <f aca="false">IF(C304="success","published",IF(E304&gt;0,"blocked_at_gate","failed_before_gate"))</f>
        <v>published</v>
      </c>
      <c r="R304" s="0" t="str">
        <f aca="false">IF(C304="success","",IF(E304&gt;0,IF(I304="freshness_within_target","freshness",IF(I304="relationships_intact","relationships",IF(I304="reconciliation_residual_zero","residual",I304))),IF(H304="quality_gate","gate_infra",H304)))</f>
        <v/>
      </c>
    </row>
    <row r="305" customFormat="false" ht="15" hidden="false" customHeight="false" outlineLevel="0" collapsed="false">
      <c r="A305" s="4" t="s">
        <v>2144</v>
      </c>
      <c r="B305" s="10" t="n">
        <v>46256.59375</v>
      </c>
      <c r="C305" s="4" t="s">
        <v>1901</v>
      </c>
      <c r="D305" s="4" t="n">
        <v>547</v>
      </c>
      <c r="E305" s="4" t="n">
        <v>7</v>
      </c>
      <c r="F305" s="4" t="n">
        <v>6</v>
      </c>
      <c r="G305" s="4" t="n">
        <v>1</v>
      </c>
      <c r="H305" s="4" t="s">
        <v>1954</v>
      </c>
      <c r="I305" s="4" t="s">
        <v>1992</v>
      </c>
      <c r="J305" s="11" t="b">
        <f aca="false">FALSE()</f>
        <v>0</v>
      </c>
      <c r="L305" s="4" t="n">
        <v>3</v>
      </c>
      <c r="M305" s="4" t="n">
        <v>2</v>
      </c>
      <c r="N305" s="4" t="n">
        <v>3</v>
      </c>
      <c r="O305" s="4" t="n">
        <v>2</v>
      </c>
      <c r="P305" s="0" t="str">
        <f aca="false">IF(E305=0,"not_reached",IF(AND(F305&gt;0,G305=0),"allowed","blocked"))</f>
        <v>blocked</v>
      </c>
      <c r="Q305" s="0" t="str">
        <f aca="false">IF(C305="success","published",IF(E305&gt;0,"blocked_at_gate","failed_before_gate"))</f>
        <v>blocked_at_gate</v>
      </c>
      <c r="R305" s="0" t="str">
        <f aca="false">IF(C305="success","",IF(E305&gt;0,IF(I305="freshness_within_target","freshness",IF(I305="relationships_intact","relationships",IF(I305="reconciliation_residual_zero","residual",I305))),IF(H305="quality_gate","gate_infra",H305)))</f>
        <v>freshness</v>
      </c>
    </row>
    <row r="306" customFormat="false" ht="15" hidden="false" customHeight="false" outlineLevel="0" collapsed="false">
      <c r="A306" s="4" t="s">
        <v>2145</v>
      </c>
      <c r="B306" s="10" t="n">
        <v>46256.6354166667</v>
      </c>
      <c r="C306" s="4" t="s">
        <v>1544</v>
      </c>
      <c r="D306" s="4" t="n">
        <v>943</v>
      </c>
      <c r="E306" s="4" t="n">
        <v>7</v>
      </c>
      <c r="F306" s="4" t="n">
        <v>6</v>
      </c>
      <c r="G306" s="4" t="n">
        <v>0</v>
      </c>
      <c r="J306" s="11" t="b">
        <f aca="false">TRUE()</f>
        <v>1</v>
      </c>
      <c r="K306" s="4" t="s">
        <v>2146</v>
      </c>
      <c r="L306" s="4" t="n">
        <v>4</v>
      </c>
      <c r="M306" s="4" t="n">
        <v>4</v>
      </c>
      <c r="N306" s="4" t="n">
        <v>4</v>
      </c>
      <c r="O306" s="4" t="n">
        <v>4</v>
      </c>
      <c r="P306" s="0" t="str">
        <f aca="false">IF(E306=0,"not_reached",IF(AND(F306&gt;0,G306=0),"allowed","blocked"))</f>
        <v>allowed</v>
      </c>
      <c r="Q306" s="0" t="str">
        <f aca="false">IF(C306="success","published",IF(E306&gt;0,"blocked_at_gate","failed_before_gate"))</f>
        <v>published</v>
      </c>
      <c r="R306" s="0" t="str">
        <f aca="false">IF(C306="success","",IF(E306&gt;0,IF(I306="freshness_within_target","freshness",IF(I306="relationships_intact","relationships",IF(I306="reconciliation_residual_zero","residual",I306))),IF(H306="quality_gate","gate_infra",H306)))</f>
        <v/>
      </c>
    </row>
    <row r="307" customFormat="false" ht="15" hidden="false" customHeight="false" outlineLevel="0" collapsed="false">
      <c r="A307" s="4" t="s">
        <v>2147</v>
      </c>
      <c r="B307" s="10" t="n">
        <v>46256.6770833333</v>
      </c>
      <c r="C307" s="4" t="s">
        <v>1544</v>
      </c>
      <c r="D307" s="4" t="n">
        <v>919</v>
      </c>
      <c r="E307" s="4" t="n">
        <v>7</v>
      </c>
      <c r="F307" s="4" t="n">
        <v>6</v>
      </c>
      <c r="G307" s="4" t="n">
        <v>0</v>
      </c>
      <c r="J307" s="11" t="b">
        <f aca="false">TRUE()</f>
        <v>1</v>
      </c>
      <c r="K307" s="4" t="s">
        <v>2148</v>
      </c>
      <c r="L307" s="4" t="n">
        <v>4</v>
      </c>
      <c r="M307" s="4" t="n">
        <v>4</v>
      </c>
      <c r="N307" s="4" t="n">
        <v>4</v>
      </c>
      <c r="O307" s="4" t="n">
        <v>4</v>
      </c>
      <c r="P307" s="0" t="str">
        <f aca="false">IF(E307=0,"not_reached",IF(AND(F307&gt;0,G307=0),"allowed","blocked"))</f>
        <v>allowed</v>
      </c>
      <c r="Q307" s="0" t="str">
        <f aca="false">IF(C307="success","published",IF(E307&gt;0,"blocked_at_gate","failed_before_gate"))</f>
        <v>published</v>
      </c>
      <c r="R307" s="0" t="str">
        <f aca="false">IF(C307="success","",IF(E307&gt;0,IF(I307="freshness_within_target","freshness",IF(I307="relationships_intact","relationships",IF(I307="reconciliation_residual_zero","residual",I307))),IF(H307="quality_gate","gate_infra",H307)))</f>
        <v/>
      </c>
    </row>
    <row r="308" customFormat="false" ht="15" hidden="false" customHeight="false" outlineLevel="0" collapsed="false">
      <c r="A308" s="4" t="s">
        <v>2149</v>
      </c>
      <c r="B308" s="10" t="n">
        <v>46256.71875</v>
      </c>
      <c r="C308" s="4" t="s">
        <v>1544</v>
      </c>
      <c r="D308" s="4" t="n">
        <v>774</v>
      </c>
      <c r="E308" s="4" t="n">
        <v>7</v>
      </c>
      <c r="F308" s="4" t="n">
        <v>6</v>
      </c>
      <c r="G308" s="4" t="n">
        <v>0</v>
      </c>
      <c r="J308" s="11" t="b">
        <f aca="false">TRUE()</f>
        <v>1</v>
      </c>
      <c r="K308" s="4" t="s">
        <v>2150</v>
      </c>
      <c r="L308" s="4" t="n">
        <v>4</v>
      </c>
      <c r="M308" s="4" t="n">
        <v>4</v>
      </c>
      <c r="N308" s="4" t="n">
        <v>4</v>
      </c>
      <c r="O308" s="4" t="n">
        <v>4</v>
      </c>
      <c r="P308" s="0" t="str">
        <f aca="false">IF(E308=0,"not_reached",IF(AND(F308&gt;0,G308=0),"allowed","blocked"))</f>
        <v>allowed</v>
      </c>
      <c r="Q308" s="0" t="str">
        <f aca="false">IF(C308="success","published",IF(E308&gt;0,"blocked_at_gate","failed_before_gate"))</f>
        <v>published</v>
      </c>
      <c r="R308" s="0" t="str">
        <f aca="false">IF(C308="success","",IF(E308&gt;0,IF(I308="freshness_within_target","freshness",IF(I308="relationships_intact","relationships",IF(I308="reconciliation_residual_zero","residual",I308))),IF(H308="quality_gate","gate_infra",H308)))</f>
        <v/>
      </c>
    </row>
    <row r="309" customFormat="false" ht="15" hidden="false" customHeight="false" outlineLevel="0" collapsed="false">
      <c r="A309" s="4" t="s">
        <v>2151</v>
      </c>
      <c r="B309" s="10" t="n">
        <v>46256.7604166667</v>
      </c>
      <c r="C309" s="4" t="s">
        <v>1544</v>
      </c>
      <c r="D309" s="4" t="n">
        <v>721</v>
      </c>
      <c r="E309" s="4" t="n">
        <v>7</v>
      </c>
      <c r="F309" s="4" t="n">
        <v>6</v>
      </c>
      <c r="G309" s="4" t="n">
        <v>0</v>
      </c>
      <c r="J309" s="11" t="b">
        <f aca="false">TRUE()</f>
        <v>1</v>
      </c>
      <c r="K309" s="4" t="s">
        <v>2152</v>
      </c>
      <c r="L309" s="4" t="n">
        <v>4</v>
      </c>
      <c r="M309" s="4" t="n">
        <v>4</v>
      </c>
      <c r="N309" s="4" t="n">
        <v>4</v>
      </c>
      <c r="O309" s="4" t="n">
        <v>4</v>
      </c>
      <c r="P309" s="0" t="str">
        <f aca="false">IF(E309=0,"not_reached",IF(AND(F309&gt;0,G309=0),"allowed","blocked"))</f>
        <v>allowed</v>
      </c>
      <c r="Q309" s="0" t="str">
        <f aca="false">IF(C309="success","published",IF(E309&gt;0,"blocked_at_gate","failed_before_gate"))</f>
        <v>published</v>
      </c>
      <c r="R309" s="0" t="str">
        <f aca="false">IF(C309="success","",IF(E309&gt;0,IF(I309="freshness_within_target","freshness",IF(I309="relationships_intact","relationships",IF(I309="reconciliation_residual_zero","residual",I309))),IF(H309="quality_gate","gate_infra",H309)))</f>
        <v/>
      </c>
    </row>
    <row r="310" customFormat="false" ht="15" hidden="false" customHeight="false" outlineLevel="0" collapsed="false">
      <c r="A310" s="4" t="s">
        <v>2153</v>
      </c>
      <c r="B310" s="10" t="n">
        <v>46256.8020833333</v>
      </c>
      <c r="C310" s="4" t="s">
        <v>1544</v>
      </c>
      <c r="D310" s="4" t="n">
        <v>851</v>
      </c>
      <c r="E310" s="4" t="n">
        <v>7</v>
      </c>
      <c r="F310" s="4" t="n">
        <v>6</v>
      </c>
      <c r="G310" s="4" t="n">
        <v>0</v>
      </c>
      <c r="J310" s="11" t="b">
        <f aca="false">TRUE()</f>
        <v>1</v>
      </c>
      <c r="K310" s="4" t="s">
        <v>2154</v>
      </c>
      <c r="L310" s="4" t="n">
        <v>4</v>
      </c>
      <c r="M310" s="4" t="n">
        <v>4</v>
      </c>
      <c r="N310" s="4" t="n">
        <v>4</v>
      </c>
      <c r="O310" s="4" t="n">
        <v>4</v>
      </c>
      <c r="P310" s="0" t="str">
        <f aca="false">IF(E310=0,"not_reached",IF(AND(F310&gt;0,G310=0),"allowed","blocked"))</f>
        <v>allowed</v>
      </c>
      <c r="Q310" s="0" t="str">
        <f aca="false">IF(C310="success","published",IF(E310&gt;0,"blocked_at_gate","failed_before_gate"))</f>
        <v>published</v>
      </c>
      <c r="R310" s="0" t="str">
        <f aca="false">IF(C310="success","",IF(E310&gt;0,IF(I310="freshness_within_target","freshness",IF(I310="relationships_intact","relationships",IF(I310="reconciliation_residual_zero","residual",I310))),IF(H310="quality_gate","gate_infra",H310)))</f>
        <v/>
      </c>
    </row>
    <row r="311" customFormat="false" ht="15" hidden="false" customHeight="false" outlineLevel="0" collapsed="false">
      <c r="A311" s="4" t="s">
        <v>2155</v>
      </c>
      <c r="B311" s="10" t="n">
        <v>46256.84375</v>
      </c>
      <c r="C311" s="4" t="s">
        <v>1544</v>
      </c>
      <c r="D311" s="4" t="n">
        <v>945</v>
      </c>
      <c r="E311" s="4" t="n">
        <v>7</v>
      </c>
      <c r="F311" s="4" t="n">
        <v>6</v>
      </c>
      <c r="G311" s="4" t="n">
        <v>0</v>
      </c>
      <c r="J311" s="11" t="b">
        <f aca="false">TRUE()</f>
        <v>1</v>
      </c>
      <c r="K311" s="4" t="s">
        <v>2156</v>
      </c>
      <c r="L311" s="4" t="n">
        <v>4</v>
      </c>
      <c r="M311" s="4" t="n">
        <v>4</v>
      </c>
      <c r="N311" s="4" t="n">
        <v>5</v>
      </c>
      <c r="O311" s="4" t="n">
        <v>4</v>
      </c>
      <c r="P311" s="0" t="str">
        <f aca="false">IF(E311=0,"not_reached",IF(AND(F311&gt;0,G311=0),"allowed","blocked"))</f>
        <v>allowed</v>
      </c>
      <c r="Q311" s="0" t="str">
        <f aca="false">IF(C311="success","published",IF(E311&gt;0,"blocked_at_gate","failed_before_gate"))</f>
        <v>published</v>
      </c>
      <c r="R311" s="0" t="str">
        <f aca="false">IF(C311="success","",IF(E311&gt;0,IF(I311="freshness_within_target","freshness",IF(I311="relationships_intact","relationships",IF(I311="reconciliation_residual_zero","residual",I311))),IF(H311="quality_gate","gate_infra",H311)))</f>
        <v/>
      </c>
    </row>
    <row r="312" customFormat="false" ht="15" hidden="false" customHeight="false" outlineLevel="0" collapsed="false">
      <c r="A312" s="4" t="s">
        <v>2157</v>
      </c>
      <c r="B312" s="10" t="n">
        <v>46256.8854166667</v>
      </c>
      <c r="C312" s="4" t="s">
        <v>1544</v>
      </c>
      <c r="D312" s="4" t="n">
        <v>771</v>
      </c>
      <c r="E312" s="4" t="n">
        <v>7</v>
      </c>
      <c r="F312" s="4" t="n">
        <v>6</v>
      </c>
      <c r="G312" s="4" t="n">
        <v>0</v>
      </c>
      <c r="J312" s="11" t="b">
        <f aca="false">TRUE()</f>
        <v>1</v>
      </c>
      <c r="K312" s="4" t="s">
        <v>2158</v>
      </c>
      <c r="L312" s="4" t="n">
        <v>4</v>
      </c>
      <c r="M312" s="4" t="n">
        <v>4</v>
      </c>
      <c r="N312" s="4" t="n">
        <v>4</v>
      </c>
      <c r="O312" s="4" t="n">
        <v>4</v>
      </c>
      <c r="P312" s="0" t="str">
        <f aca="false">IF(E312=0,"not_reached",IF(AND(F312&gt;0,G312=0),"allowed","blocked"))</f>
        <v>allowed</v>
      </c>
      <c r="Q312" s="0" t="str">
        <f aca="false">IF(C312="success","published",IF(E312&gt;0,"blocked_at_gate","failed_before_gate"))</f>
        <v>published</v>
      </c>
      <c r="R312" s="0" t="str">
        <f aca="false">IF(C312="success","",IF(E312&gt;0,IF(I312="freshness_within_target","freshness",IF(I312="relationships_intact","relationships",IF(I312="reconciliation_residual_zero","residual",I312))),IF(H312="quality_gate","gate_infra",H312)))</f>
        <v/>
      </c>
    </row>
    <row r="313" customFormat="false" ht="15" hidden="false" customHeight="false" outlineLevel="0" collapsed="false">
      <c r="A313" s="4" t="s">
        <v>2159</v>
      </c>
      <c r="B313" s="10" t="n">
        <v>46256.9270833333</v>
      </c>
      <c r="C313" s="4" t="s">
        <v>1544</v>
      </c>
      <c r="D313" s="4" t="n">
        <v>705</v>
      </c>
      <c r="E313" s="4" t="n">
        <v>7</v>
      </c>
      <c r="F313" s="4" t="n">
        <v>6</v>
      </c>
      <c r="G313" s="4" t="n">
        <v>0</v>
      </c>
      <c r="J313" s="11" t="b">
        <f aca="false">TRUE()</f>
        <v>1</v>
      </c>
      <c r="K313" s="4" t="s">
        <v>2160</v>
      </c>
      <c r="L313" s="4" t="n">
        <v>4</v>
      </c>
      <c r="M313" s="4" t="n">
        <v>4</v>
      </c>
      <c r="N313" s="4" t="n">
        <v>4</v>
      </c>
      <c r="O313" s="4" t="n">
        <v>4</v>
      </c>
      <c r="P313" s="0" t="str">
        <f aca="false">IF(E313=0,"not_reached",IF(AND(F313&gt;0,G313=0),"allowed","blocked"))</f>
        <v>allowed</v>
      </c>
      <c r="Q313" s="0" t="str">
        <f aca="false">IF(C313="success","published",IF(E313&gt;0,"blocked_at_gate","failed_before_gate"))</f>
        <v>published</v>
      </c>
      <c r="R313" s="0" t="str">
        <f aca="false">IF(C313="success","",IF(E313&gt;0,IF(I313="freshness_within_target","freshness",IF(I313="relationships_intact","relationships",IF(I313="reconciliation_residual_zero","residual",I313))),IF(H313="quality_gate","gate_infra",H313)))</f>
        <v/>
      </c>
    </row>
    <row r="314" customFormat="false" ht="15" hidden="false" customHeight="false" outlineLevel="0" collapsed="false">
      <c r="A314" s="4" t="s">
        <v>2161</v>
      </c>
      <c r="B314" s="10" t="n">
        <v>46256.96875</v>
      </c>
      <c r="C314" s="4" t="s">
        <v>1544</v>
      </c>
      <c r="D314" s="4" t="n">
        <v>772</v>
      </c>
      <c r="E314" s="4" t="n">
        <v>7</v>
      </c>
      <c r="F314" s="4" t="n">
        <v>6</v>
      </c>
      <c r="G314" s="4" t="n">
        <v>0</v>
      </c>
      <c r="J314" s="11" t="b">
        <f aca="false">TRUE()</f>
        <v>1</v>
      </c>
      <c r="K314" s="4" t="s">
        <v>2162</v>
      </c>
      <c r="L314" s="4" t="n">
        <v>4</v>
      </c>
      <c r="M314" s="4" t="n">
        <v>4</v>
      </c>
      <c r="N314" s="4" t="n">
        <v>4</v>
      </c>
      <c r="O314" s="4" t="n">
        <v>4</v>
      </c>
      <c r="P314" s="0" t="str">
        <f aca="false">IF(E314=0,"not_reached",IF(AND(F314&gt;0,G314=0),"allowed","blocked"))</f>
        <v>allowed</v>
      </c>
      <c r="Q314" s="0" t="str">
        <f aca="false">IF(C314="success","published",IF(E314&gt;0,"blocked_at_gate","failed_before_gate"))</f>
        <v>published</v>
      </c>
      <c r="R314" s="0" t="str">
        <f aca="false">IF(C314="success","",IF(E314&gt;0,IF(I314="freshness_within_target","freshness",IF(I314="relationships_intact","relationships",IF(I314="reconciliation_residual_zero","residual",I314))),IF(H314="quality_gate","gate_infra",H314)))</f>
        <v/>
      </c>
    </row>
    <row r="315" customFormat="false" ht="15" hidden="false" customHeight="false" outlineLevel="0" collapsed="false">
      <c r="A315" s="4" t="s">
        <v>2163</v>
      </c>
      <c r="B315" s="10" t="n">
        <v>46257.0104166667</v>
      </c>
      <c r="C315" s="4" t="s">
        <v>1544</v>
      </c>
      <c r="D315" s="4" t="n">
        <v>957</v>
      </c>
      <c r="E315" s="4" t="n">
        <v>7</v>
      </c>
      <c r="F315" s="4" t="n">
        <v>6</v>
      </c>
      <c r="G315" s="4" t="n">
        <v>0</v>
      </c>
      <c r="J315" s="11" t="b">
        <f aca="false">TRUE()</f>
        <v>1</v>
      </c>
      <c r="K315" s="4" t="s">
        <v>2164</v>
      </c>
      <c r="L315" s="4" t="n">
        <v>4</v>
      </c>
      <c r="M315" s="4" t="n">
        <v>4</v>
      </c>
      <c r="N315" s="4" t="n">
        <v>4</v>
      </c>
      <c r="O315" s="4" t="n">
        <v>4</v>
      </c>
      <c r="P315" s="0" t="str">
        <f aca="false">IF(E315=0,"not_reached",IF(AND(F315&gt;0,G315=0),"allowed","blocked"))</f>
        <v>allowed</v>
      </c>
      <c r="Q315" s="0" t="str">
        <f aca="false">IF(C315="success","published",IF(E315&gt;0,"blocked_at_gate","failed_before_gate"))</f>
        <v>published</v>
      </c>
      <c r="R315" s="0" t="str">
        <f aca="false">IF(C315="success","",IF(E315&gt;0,IF(I315="freshness_within_target","freshness",IF(I315="relationships_intact","relationships",IF(I315="reconciliation_residual_zero","residual",I315))),IF(H315="quality_gate","gate_infra",H315)))</f>
        <v/>
      </c>
    </row>
    <row r="316" customFormat="false" ht="15" hidden="false" customHeight="false" outlineLevel="0" collapsed="false">
      <c r="A316" s="4" t="s">
        <v>2165</v>
      </c>
      <c r="B316" s="10" t="n">
        <v>46257.0520833333</v>
      </c>
      <c r="C316" s="4" t="s">
        <v>1544</v>
      </c>
      <c r="D316" s="4" t="n">
        <v>707</v>
      </c>
      <c r="E316" s="4" t="n">
        <v>7</v>
      </c>
      <c r="F316" s="4" t="n">
        <v>6</v>
      </c>
      <c r="G316" s="4" t="n">
        <v>0</v>
      </c>
      <c r="J316" s="11" t="b">
        <f aca="false">TRUE()</f>
        <v>1</v>
      </c>
      <c r="K316" s="4" t="s">
        <v>2166</v>
      </c>
      <c r="L316" s="4" t="n">
        <v>4</v>
      </c>
      <c r="M316" s="4" t="n">
        <v>4</v>
      </c>
      <c r="N316" s="4" t="n">
        <v>4</v>
      </c>
      <c r="O316" s="4" t="n">
        <v>4</v>
      </c>
      <c r="P316" s="0" t="str">
        <f aca="false">IF(E316=0,"not_reached",IF(AND(F316&gt;0,G316=0),"allowed","blocked"))</f>
        <v>allowed</v>
      </c>
      <c r="Q316" s="0" t="str">
        <f aca="false">IF(C316="success","published",IF(E316&gt;0,"blocked_at_gate","failed_before_gate"))</f>
        <v>published</v>
      </c>
      <c r="R316" s="0" t="str">
        <f aca="false">IF(C316="success","",IF(E316&gt;0,IF(I316="freshness_within_target","freshness",IF(I316="relationships_intact","relationships",IF(I316="reconciliation_residual_zero","residual",I316))),IF(H316="quality_gate","gate_infra",H316)))</f>
        <v/>
      </c>
    </row>
    <row r="317" customFormat="false" ht="15" hidden="false" customHeight="false" outlineLevel="0" collapsed="false">
      <c r="A317" s="4" t="s">
        <v>2167</v>
      </c>
      <c r="B317" s="10" t="n">
        <v>46257.09375</v>
      </c>
      <c r="C317" s="4" t="s">
        <v>1544</v>
      </c>
      <c r="D317" s="4" t="n">
        <v>917</v>
      </c>
      <c r="E317" s="4" t="n">
        <v>7</v>
      </c>
      <c r="F317" s="4" t="n">
        <v>6</v>
      </c>
      <c r="G317" s="4" t="n">
        <v>0</v>
      </c>
      <c r="J317" s="11" t="b">
        <f aca="false">TRUE()</f>
        <v>1</v>
      </c>
      <c r="K317" s="4" t="s">
        <v>2168</v>
      </c>
      <c r="L317" s="4" t="n">
        <v>4</v>
      </c>
      <c r="M317" s="4" t="n">
        <v>4</v>
      </c>
      <c r="N317" s="4" t="n">
        <v>4</v>
      </c>
      <c r="O317" s="4" t="n">
        <v>4</v>
      </c>
      <c r="P317" s="0" t="str">
        <f aca="false">IF(E317=0,"not_reached",IF(AND(F317&gt;0,G317=0),"allowed","blocked"))</f>
        <v>allowed</v>
      </c>
      <c r="Q317" s="0" t="str">
        <f aca="false">IF(C317="success","published",IF(E317&gt;0,"blocked_at_gate","failed_before_gate"))</f>
        <v>published</v>
      </c>
      <c r="R317" s="0" t="str">
        <f aca="false">IF(C317="success","",IF(E317&gt;0,IF(I317="freshness_within_target","freshness",IF(I317="relationships_intact","relationships",IF(I317="reconciliation_residual_zero","residual",I317))),IF(H317="quality_gate","gate_infra",H317)))</f>
        <v/>
      </c>
    </row>
    <row r="318" customFormat="false" ht="15" hidden="false" customHeight="false" outlineLevel="0" collapsed="false">
      <c r="A318" s="4" t="s">
        <v>2169</v>
      </c>
      <c r="B318" s="10" t="n">
        <v>46257.1354166667</v>
      </c>
      <c r="C318" s="4" t="s">
        <v>1544</v>
      </c>
      <c r="D318" s="4" t="n">
        <v>777</v>
      </c>
      <c r="E318" s="4" t="n">
        <v>7</v>
      </c>
      <c r="F318" s="4" t="n">
        <v>6</v>
      </c>
      <c r="G318" s="4" t="n">
        <v>0</v>
      </c>
      <c r="J318" s="11" t="b">
        <f aca="false">TRUE()</f>
        <v>1</v>
      </c>
      <c r="K318" s="4" t="s">
        <v>2170</v>
      </c>
      <c r="L318" s="4" t="n">
        <v>4</v>
      </c>
      <c r="M318" s="4" t="n">
        <v>4</v>
      </c>
      <c r="N318" s="4" t="n">
        <v>4</v>
      </c>
      <c r="O318" s="4" t="n">
        <v>4</v>
      </c>
      <c r="P318" s="0" t="str">
        <f aca="false">IF(E318=0,"not_reached",IF(AND(F318&gt;0,G318=0),"allowed","blocked"))</f>
        <v>allowed</v>
      </c>
      <c r="Q318" s="0" t="str">
        <f aca="false">IF(C318="success","published",IF(E318&gt;0,"blocked_at_gate","failed_before_gate"))</f>
        <v>published</v>
      </c>
      <c r="R318" s="0" t="str">
        <f aca="false">IF(C318="success","",IF(E318&gt;0,IF(I318="freshness_within_target","freshness",IF(I318="relationships_intact","relationships",IF(I318="reconciliation_residual_zero","residual",I318))),IF(H318="quality_gate","gate_infra",H318)))</f>
        <v/>
      </c>
    </row>
    <row r="319" customFormat="false" ht="15" hidden="false" customHeight="false" outlineLevel="0" collapsed="false">
      <c r="A319" s="4" t="s">
        <v>2171</v>
      </c>
      <c r="B319" s="10" t="n">
        <v>46257.1770833333</v>
      </c>
      <c r="C319" s="4" t="s">
        <v>1544</v>
      </c>
      <c r="D319" s="4" t="n">
        <v>788</v>
      </c>
      <c r="E319" s="4" t="n">
        <v>7</v>
      </c>
      <c r="F319" s="4" t="n">
        <v>6</v>
      </c>
      <c r="G319" s="4" t="n">
        <v>0</v>
      </c>
      <c r="J319" s="11" t="b">
        <f aca="false">TRUE()</f>
        <v>1</v>
      </c>
      <c r="K319" s="4" t="s">
        <v>2172</v>
      </c>
      <c r="L319" s="4" t="n">
        <v>4</v>
      </c>
      <c r="M319" s="4" t="n">
        <v>4</v>
      </c>
      <c r="N319" s="4" t="n">
        <v>4</v>
      </c>
      <c r="O319" s="4" t="n">
        <v>4</v>
      </c>
      <c r="P319" s="0" t="str">
        <f aca="false">IF(E319=0,"not_reached",IF(AND(F319&gt;0,G319=0),"allowed","blocked"))</f>
        <v>allowed</v>
      </c>
      <c r="Q319" s="0" t="str">
        <f aca="false">IF(C319="success","published",IF(E319&gt;0,"blocked_at_gate","failed_before_gate"))</f>
        <v>published</v>
      </c>
      <c r="R319" s="0" t="str">
        <f aca="false">IF(C319="success","",IF(E319&gt;0,IF(I319="freshness_within_target","freshness",IF(I319="relationships_intact","relationships",IF(I319="reconciliation_residual_zero","residual",I319))),IF(H319="quality_gate","gate_infra",H319)))</f>
        <v/>
      </c>
    </row>
    <row r="320" customFormat="false" ht="15" hidden="false" customHeight="false" outlineLevel="0" collapsed="false">
      <c r="A320" s="4" t="s">
        <v>2173</v>
      </c>
      <c r="B320" s="10" t="n">
        <v>46257.21875</v>
      </c>
      <c r="C320" s="4" t="s">
        <v>1544</v>
      </c>
      <c r="D320" s="4" t="n">
        <v>877</v>
      </c>
      <c r="E320" s="4" t="n">
        <v>7</v>
      </c>
      <c r="F320" s="4" t="n">
        <v>6</v>
      </c>
      <c r="G320" s="4" t="n">
        <v>0</v>
      </c>
      <c r="J320" s="11" t="b">
        <f aca="false">TRUE()</f>
        <v>1</v>
      </c>
      <c r="K320" s="4" t="s">
        <v>2174</v>
      </c>
      <c r="L320" s="4" t="n">
        <v>4</v>
      </c>
      <c r="M320" s="4" t="n">
        <v>4</v>
      </c>
      <c r="N320" s="4" t="n">
        <v>4</v>
      </c>
      <c r="O320" s="4" t="n">
        <v>4</v>
      </c>
      <c r="P320" s="0" t="str">
        <f aca="false">IF(E320=0,"not_reached",IF(AND(F320&gt;0,G320=0),"allowed","blocked"))</f>
        <v>allowed</v>
      </c>
      <c r="Q320" s="0" t="str">
        <f aca="false">IF(C320="success","published",IF(E320&gt;0,"blocked_at_gate","failed_before_gate"))</f>
        <v>published</v>
      </c>
      <c r="R320" s="0" t="str">
        <f aca="false">IF(C320="success","",IF(E320&gt;0,IF(I320="freshness_within_target","freshness",IF(I320="relationships_intact","relationships",IF(I320="reconciliation_residual_zero","residual",I320))),IF(H320="quality_gate","gate_infra",H320)))</f>
        <v/>
      </c>
    </row>
    <row r="321" customFormat="false" ht="15" hidden="false" customHeight="false" outlineLevel="0" collapsed="false">
      <c r="A321" s="4" t="s">
        <v>2175</v>
      </c>
      <c r="B321" s="10" t="n">
        <v>46257.2604166667</v>
      </c>
      <c r="C321" s="4" t="s">
        <v>1544</v>
      </c>
      <c r="D321" s="4" t="n">
        <v>686</v>
      </c>
      <c r="E321" s="4" t="n">
        <v>7</v>
      </c>
      <c r="F321" s="4" t="n">
        <v>6</v>
      </c>
      <c r="G321" s="4" t="n">
        <v>0</v>
      </c>
      <c r="J321" s="11" t="b">
        <f aca="false">TRUE()</f>
        <v>1</v>
      </c>
      <c r="K321" s="4" t="s">
        <v>2176</v>
      </c>
      <c r="L321" s="4" t="n">
        <v>4</v>
      </c>
      <c r="M321" s="4" t="n">
        <v>4</v>
      </c>
      <c r="N321" s="4" t="n">
        <v>4</v>
      </c>
      <c r="O321" s="4" t="n">
        <v>4</v>
      </c>
      <c r="P321" s="0" t="str">
        <f aca="false">IF(E321=0,"not_reached",IF(AND(F321&gt;0,G321=0),"allowed","blocked"))</f>
        <v>allowed</v>
      </c>
      <c r="Q321" s="0" t="str">
        <f aca="false">IF(C321="success","published",IF(E321&gt;0,"blocked_at_gate","failed_before_gate"))</f>
        <v>published</v>
      </c>
      <c r="R321" s="0" t="str">
        <f aca="false">IF(C321="success","",IF(E321&gt;0,IF(I321="freshness_within_target","freshness",IF(I321="relationships_intact","relationships",IF(I321="reconciliation_residual_zero","residual",I321))),IF(H321="quality_gate","gate_infra",H321)))</f>
        <v/>
      </c>
    </row>
    <row r="322" customFormat="false" ht="15" hidden="false" customHeight="false" outlineLevel="0" collapsed="false">
      <c r="A322" s="4" t="s">
        <v>2177</v>
      </c>
      <c r="B322" s="10" t="n">
        <v>46257.3020833333</v>
      </c>
      <c r="C322" s="4" t="s">
        <v>1544</v>
      </c>
      <c r="D322" s="4" t="n">
        <v>823</v>
      </c>
      <c r="E322" s="4" t="n">
        <v>7</v>
      </c>
      <c r="F322" s="4" t="n">
        <v>6</v>
      </c>
      <c r="G322" s="4" t="n">
        <v>0</v>
      </c>
      <c r="J322" s="11" t="b">
        <f aca="false">TRUE()</f>
        <v>1</v>
      </c>
      <c r="K322" s="4" t="s">
        <v>2178</v>
      </c>
      <c r="L322" s="4" t="n">
        <v>4</v>
      </c>
      <c r="M322" s="4" t="n">
        <v>4</v>
      </c>
      <c r="N322" s="4" t="n">
        <v>4</v>
      </c>
      <c r="O322" s="4" t="n">
        <v>4</v>
      </c>
      <c r="P322" s="0" t="str">
        <f aca="false">IF(E322=0,"not_reached",IF(AND(F322&gt;0,G322=0),"allowed","blocked"))</f>
        <v>allowed</v>
      </c>
      <c r="Q322" s="0" t="str">
        <f aca="false">IF(C322="success","published",IF(E322&gt;0,"blocked_at_gate","failed_before_gate"))</f>
        <v>published</v>
      </c>
      <c r="R322" s="0" t="str">
        <f aca="false">IF(C322="success","",IF(E322&gt;0,IF(I322="freshness_within_target","freshness",IF(I322="relationships_intact","relationships",IF(I322="reconciliation_residual_zero","residual",I322))),IF(H322="quality_gate","gate_infra",H322)))</f>
        <v/>
      </c>
    </row>
    <row r="323" customFormat="false" ht="15" hidden="false" customHeight="false" outlineLevel="0" collapsed="false">
      <c r="A323" s="4" t="s">
        <v>2179</v>
      </c>
      <c r="B323" s="10" t="n">
        <v>46257.34375</v>
      </c>
      <c r="C323" s="4" t="s">
        <v>1544</v>
      </c>
      <c r="D323" s="4" t="n">
        <v>682</v>
      </c>
      <c r="E323" s="4" t="n">
        <v>7</v>
      </c>
      <c r="F323" s="4" t="n">
        <v>6</v>
      </c>
      <c r="G323" s="4" t="n">
        <v>0</v>
      </c>
      <c r="J323" s="11" t="b">
        <f aca="false">TRUE()</f>
        <v>1</v>
      </c>
      <c r="K323" s="4" t="s">
        <v>2180</v>
      </c>
      <c r="L323" s="4" t="n">
        <v>4</v>
      </c>
      <c r="M323" s="4" t="n">
        <v>4</v>
      </c>
      <c r="N323" s="4" t="n">
        <v>4</v>
      </c>
      <c r="O323" s="4" t="n">
        <v>4</v>
      </c>
      <c r="P323" s="0" t="str">
        <f aca="false">IF(E323=0,"not_reached",IF(AND(F323&gt;0,G323=0),"allowed","blocked"))</f>
        <v>allowed</v>
      </c>
      <c r="Q323" s="0" t="str">
        <f aca="false">IF(C323="success","published",IF(E323&gt;0,"blocked_at_gate","failed_before_gate"))</f>
        <v>published</v>
      </c>
      <c r="R323" s="0" t="str">
        <f aca="false">IF(C323="success","",IF(E323&gt;0,IF(I323="freshness_within_target","freshness",IF(I323="relationships_intact","relationships",IF(I323="reconciliation_residual_zero","residual",I323))),IF(H323="quality_gate","gate_infra",H323)))</f>
        <v/>
      </c>
    </row>
    <row r="324" customFormat="false" ht="15" hidden="false" customHeight="false" outlineLevel="0" collapsed="false">
      <c r="A324" s="4" t="s">
        <v>2181</v>
      </c>
      <c r="B324" s="10" t="n">
        <v>46257.3854166667</v>
      </c>
      <c r="C324" s="4" t="s">
        <v>1544</v>
      </c>
      <c r="D324" s="4" t="n">
        <v>759</v>
      </c>
      <c r="E324" s="4" t="n">
        <v>7</v>
      </c>
      <c r="F324" s="4" t="n">
        <v>6</v>
      </c>
      <c r="G324" s="4" t="n">
        <v>0</v>
      </c>
      <c r="J324" s="11" t="b">
        <f aca="false">TRUE()</f>
        <v>1</v>
      </c>
      <c r="K324" s="4" t="s">
        <v>2182</v>
      </c>
      <c r="L324" s="4" t="n">
        <v>4</v>
      </c>
      <c r="M324" s="4" t="n">
        <v>4</v>
      </c>
      <c r="N324" s="4" t="n">
        <v>4</v>
      </c>
      <c r="O324" s="4" t="n">
        <v>4</v>
      </c>
      <c r="P324" s="0" t="str">
        <f aca="false">IF(E324=0,"not_reached",IF(AND(F324&gt;0,G324=0),"allowed","blocked"))</f>
        <v>allowed</v>
      </c>
      <c r="Q324" s="0" t="str">
        <f aca="false">IF(C324="success","published",IF(E324&gt;0,"blocked_at_gate","failed_before_gate"))</f>
        <v>published</v>
      </c>
      <c r="R324" s="0" t="str">
        <f aca="false">IF(C324="success","",IF(E324&gt;0,IF(I324="freshness_within_target","freshness",IF(I324="relationships_intact","relationships",IF(I324="reconciliation_residual_zero","residual",I324))),IF(H324="quality_gate","gate_infra",H324)))</f>
        <v/>
      </c>
    </row>
    <row r="325" customFormat="false" ht="15" hidden="false" customHeight="false" outlineLevel="0" collapsed="false">
      <c r="A325" s="4" t="s">
        <v>2183</v>
      </c>
      <c r="B325" s="10" t="n">
        <v>46257.4270833333</v>
      </c>
      <c r="C325" s="4" t="s">
        <v>1544</v>
      </c>
      <c r="D325" s="4" t="n">
        <v>733</v>
      </c>
      <c r="E325" s="4" t="n">
        <v>7</v>
      </c>
      <c r="F325" s="4" t="n">
        <v>6</v>
      </c>
      <c r="G325" s="4" t="n">
        <v>0</v>
      </c>
      <c r="J325" s="11" t="b">
        <f aca="false">TRUE()</f>
        <v>1</v>
      </c>
      <c r="K325" s="4" t="s">
        <v>2184</v>
      </c>
      <c r="L325" s="4" t="n">
        <v>4</v>
      </c>
      <c r="M325" s="4" t="n">
        <v>4</v>
      </c>
      <c r="N325" s="4" t="n">
        <v>4</v>
      </c>
      <c r="O325" s="4" t="n">
        <v>4</v>
      </c>
      <c r="P325" s="0" t="str">
        <f aca="false">IF(E325=0,"not_reached",IF(AND(F325&gt;0,G325=0),"allowed","blocked"))</f>
        <v>allowed</v>
      </c>
      <c r="Q325" s="0" t="str">
        <f aca="false">IF(C325="success","published",IF(E325&gt;0,"blocked_at_gate","failed_before_gate"))</f>
        <v>published</v>
      </c>
      <c r="R325" s="0" t="str">
        <f aca="false">IF(C325="success","",IF(E325&gt;0,IF(I325="freshness_within_target","freshness",IF(I325="relationships_intact","relationships",IF(I325="reconciliation_residual_zero","residual",I325))),IF(H325="quality_gate","gate_infra",H325)))</f>
        <v/>
      </c>
    </row>
    <row r="326" customFormat="false" ht="15" hidden="false" customHeight="false" outlineLevel="0" collapsed="false">
      <c r="A326" s="4" t="s">
        <v>2185</v>
      </c>
      <c r="B326" s="10" t="n">
        <v>46257.46875</v>
      </c>
      <c r="C326" s="4" t="s">
        <v>1544</v>
      </c>
      <c r="D326" s="4" t="n">
        <v>780</v>
      </c>
      <c r="E326" s="4" t="n">
        <v>7</v>
      </c>
      <c r="F326" s="4" t="n">
        <v>6</v>
      </c>
      <c r="G326" s="4" t="n">
        <v>0</v>
      </c>
      <c r="J326" s="11" t="b">
        <f aca="false">TRUE()</f>
        <v>1</v>
      </c>
      <c r="K326" s="4" t="s">
        <v>2186</v>
      </c>
      <c r="L326" s="4" t="n">
        <v>4</v>
      </c>
      <c r="M326" s="4" t="n">
        <v>4</v>
      </c>
      <c r="N326" s="4" t="n">
        <v>4</v>
      </c>
      <c r="O326" s="4" t="n">
        <v>4</v>
      </c>
      <c r="P326" s="0" t="str">
        <f aca="false">IF(E326=0,"not_reached",IF(AND(F326&gt;0,G326=0),"allowed","blocked"))</f>
        <v>allowed</v>
      </c>
      <c r="Q326" s="0" t="str">
        <f aca="false">IF(C326="success","published",IF(E326&gt;0,"blocked_at_gate","failed_before_gate"))</f>
        <v>published</v>
      </c>
      <c r="R326" s="0" t="str">
        <f aca="false">IF(C326="success","",IF(E326&gt;0,IF(I326="freshness_within_target","freshness",IF(I326="relationships_intact","relationships",IF(I326="reconciliation_residual_zero","residual",I326))),IF(H326="quality_gate","gate_infra",H326)))</f>
        <v/>
      </c>
    </row>
    <row r="327" customFormat="false" ht="15" hidden="false" customHeight="false" outlineLevel="0" collapsed="false">
      <c r="A327" s="4" t="s">
        <v>2187</v>
      </c>
      <c r="B327" s="10" t="n">
        <v>46257.5104166667</v>
      </c>
      <c r="C327" s="4" t="s">
        <v>1544</v>
      </c>
      <c r="D327" s="4" t="n">
        <v>785</v>
      </c>
      <c r="E327" s="4" t="n">
        <v>7</v>
      </c>
      <c r="F327" s="4" t="n">
        <v>6</v>
      </c>
      <c r="G327" s="4" t="n">
        <v>0</v>
      </c>
      <c r="J327" s="11" t="b">
        <f aca="false">TRUE()</f>
        <v>1</v>
      </c>
      <c r="K327" s="4" t="s">
        <v>2188</v>
      </c>
      <c r="L327" s="4" t="n">
        <v>4</v>
      </c>
      <c r="M327" s="4" t="n">
        <v>4</v>
      </c>
      <c r="N327" s="4" t="n">
        <v>4</v>
      </c>
      <c r="O327" s="4" t="n">
        <v>4</v>
      </c>
      <c r="P327" s="0" t="str">
        <f aca="false">IF(E327=0,"not_reached",IF(AND(F327&gt;0,G327=0),"allowed","blocked"))</f>
        <v>allowed</v>
      </c>
      <c r="Q327" s="0" t="str">
        <f aca="false">IF(C327="success","published",IF(E327&gt;0,"blocked_at_gate","failed_before_gate"))</f>
        <v>published</v>
      </c>
      <c r="R327" s="0" t="str">
        <f aca="false">IF(C327="success","",IF(E327&gt;0,IF(I327="freshness_within_target","freshness",IF(I327="relationships_intact","relationships",IF(I327="reconciliation_residual_zero","residual",I327))),IF(H327="quality_gate","gate_infra",H327)))</f>
        <v/>
      </c>
    </row>
    <row r="328" customFormat="false" ht="15" hidden="false" customHeight="false" outlineLevel="0" collapsed="false">
      <c r="A328" s="4" t="s">
        <v>2189</v>
      </c>
      <c r="B328" s="10" t="n">
        <v>46257.5520833333</v>
      </c>
      <c r="C328" s="4" t="s">
        <v>1544</v>
      </c>
      <c r="D328" s="4" t="n">
        <v>898</v>
      </c>
      <c r="E328" s="4" t="n">
        <v>7</v>
      </c>
      <c r="F328" s="4" t="n">
        <v>6</v>
      </c>
      <c r="G328" s="4" t="n">
        <v>0</v>
      </c>
      <c r="J328" s="11" t="b">
        <f aca="false">TRUE()</f>
        <v>1</v>
      </c>
      <c r="K328" s="4" t="s">
        <v>2190</v>
      </c>
      <c r="L328" s="4" t="n">
        <v>4</v>
      </c>
      <c r="M328" s="4" t="n">
        <v>4</v>
      </c>
      <c r="N328" s="4" t="n">
        <v>4</v>
      </c>
      <c r="O328" s="4" t="n">
        <v>4</v>
      </c>
      <c r="P328" s="0" t="str">
        <f aca="false">IF(E328=0,"not_reached",IF(AND(F328&gt;0,G328=0),"allowed","blocked"))</f>
        <v>allowed</v>
      </c>
      <c r="Q328" s="0" t="str">
        <f aca="false">IF(C328="success","published",IF(E328&gt;0,"blocked_at_gate","failed_before_gate"))</f>
        <v>published</v>
      </c>
      <c r="R328" s="0" t="str">
        <f aca="false">IF(C328="success","",IF(E328&gt;0,IF(I328="freshness_within_target","freshness",IF(I328="relationships_intact","relationships",IF(I328="reconciliation_residual_zero","residual",I328))),IF(H328="quality_gate","gate_infra",H328)))</f>
        <v/>
      </c>
    </row>
    <row r="329" customFormat="false" ht="15" hidden="false" customHeight="false" outlineLevel="0" collapsed="false">
      <c r="A329" s="4" t="s">
        <v>2191</v>
      </c>
      <c r="B329" s="10" t="n">
        <v>46257.59375</v>
      </c>
      <c r="C329" s="4" t="s">
        <v>1544</v>
      </c>
      <c r="D329" s="4" t="n">
        <v>919</v>
      </c>
      <c r="E329" s="4" t="n">
        <v>7</v>
      </c>
      <c r="F329" s="4" t="n">
        <v>6</v>
      </c>
      <c r="G329" s="4" t="n">
        <v>0</v>
      </c>
      <c r="J329" s="11" t="b">
        <f aca="false">TRUE()</f>
        <v>1</v>
      </c>
      <c r="K329" s="4" t="s">
        <v>2192</v>
      </c>
      <c r="L329" s="4" t="n">
        <v>4</v>
      </c>
      <c r="M329" s="4" t="n">
        <v>4</v>
      </c>
      <c r="N329" s="4" t="n">
        <v>4</v>
      </c>
      <c r="O329" s="4" t="n">
        <v>4</v>
      </c>
      <c r="P329" s="0" t="str">
        <f aca="false">IF(E329=0,"not_reached",IF(AND(F329&gt;0,G329=0),"allowed","blocked"))</f>
        <v>allowed</v>
      </c>
      <c r="Q329" s="0" t="str">
        <f aca="false">IF(C329="success","published",IF(E329&gt;0,"blocked_at_gate","failed_before_gate"))</f>
        <v>published</v>
      </c>
      <c r="R329" s="0" t="str">
        <f aca="false">IF(C329="success","",IF(E329&gt;0,IF(I329="freshness_within_target","freshness",IF(I329="relationships_intact","relationships",IF(I329="reconciliation_residual_zero","residual",I329))),IF(H329="quality_gate","gate_infra",H329)))</f>
        <v/>
      </c>
    </row>
    <row r="330" customFormat="false" ht="15" hidden="false" customHeight="false" outlineLevel="0" collapsed="false">
      <c r="A330" s="4" t="s">
        <v>2193</v>
      </c>
      <c r="B330" s="10" t="n">
        <v>46257.6354166667</v>
      </c>
      <c r="C330" s="4" t="s">
        <v>1544</v>
      </c>
      <c r="D330" s="4" t="n">
        <v>824</v>
      </c>
      <c r="E330" s="4" t="n">
        <v>7</v>
      </c>
      <c r="F330" s="4" t="n">
        <v>6</v>
      </c>
      <c r="G330" s="4" t="n">
        <v>0</v>
      </c>
      <c r="J330" s="11" t="b">
        <f aca="false">TRUE()</f>
        <v>1</v>
      </c>
      <c r="K330" s="4" t="s">
        <v>2194</v>
      </c>
      <c r="L330" s="4" t="n">
        <v>4</v>
      </c>
      <c r="M330" s="4" t="n">
        <v>4</v>
      </c>
      <c r="N330" s="4" t="n">
        <v>4</v>
      </c>
      <c r="O330" s="4" t="n">
        <v>4</v>
      </c>
      <c r="P330" s="0" t="str">
        <f aca="false">IF(E330=0,"not_reached",IF(AND(F330&gt;0,G330=0),"allowed","blocked"))</f>
        <v>allowed</v>
      </c>
      <c r="Q330" s="0" t="str">
        <f aca="false">IF(C330="success","published",IF(E330&gt;0,"blocked_at_gate","failed_before_gate"))</f>
        <v>published</v>
      </c>
      <c r="R330" s="0" t="str">
        <f aca="false">IF(C330="success","",IF(E330&gt;0,IF(I330="freshness_within_target","freshness",IF(I330="relationships_intact","relationships",IF(I330="reconciliation_residual_zero","residual",I330))),IF(H330="quality_gate","gate_infra",H330)))</f>
        <v/>
      </c>
    </row>
    <row r="331" customFormat="false" ht="15" hidden="false" customHeight="false" outlineLevel="0" collapsed="false">
      <c r="A331" s="4" t="s">
        <v>2195</v>
      </c>
      <c r="B331" s="10" t="n">
        <v>46257.6770833333</v>
      </c>
      <c r="C331" s="4" t="s">
        <v>1544</v>
      </c>
      <c r="D331" s="4" t="n">
        <v>804</v>
      </c>
      <c r="E331" s="4" t="n">
        <v>7</v>
      </c>
      <c r="F331" s="4" t="n">
        <v>6</v>
      </c>
      <c r="G331" s="4" t="n">
        <v>0</v>
      </c>
      <c r="J331" s="11" t="b">
        <f aca="false">TRUE()</f>
        <v>1</v>
      </c>
      <c r="K331" s="4" t="s">
        <v>2196</v>
      </c>
      <c r="L331" s="4" t="n">
        <v>4</v>
      </c>
      <c r="M331" s="4" t="n">
        <v>4</v>
      </c>
      <c r="N331" s="4" t="n">
        <v>4</v>
      </c>
      <c r="O331" s="4" t="n">
        <v>4</v>
      </c>
      <c r="P331" s="0" t="str">
        <f aca="false">IF(E331=0,"not_reached",IF(AND(F331&gt;0,G331=0),"allowed","blocked"))</f>
        <v>allowed</v>
      </c>
      <c r="Q331" s="0" t="str">
        <f aca="false">IF(C331="success","published",IF(E331&gt;0,"blocked_at_gate","failed_before_gate"))</f>
        <v>published</v>
      </c>
      <c r="R331" s="0" t="str">
        <f aca="false">IF(C331="success","",IF(E331&gt;0,IF(I331="freshness_within_target","freshness",IF(I331="relationships_intact","relationships",IF(I331="reconciliation_residual_zero","residual",I331))),IF(H331="quality_gate","gate_infra",H331)))</f>
        <v/>
      </c>
    </row>
    <row r="332" customFormat="false" ht="15" hidden="false" customHeight="false" outlineLevel="0" collapsed="false">
      <c r="A332" s="4" t="s">
        <v>2197</v>
      </c>
      <c r="B332" s="10" t="n">
        <v>46257.71875</v>
      </c>
      <c r="C332" s="4" t="s">
        <v>1544</v>
      </c>
      <c r="D332" s="4" t="n">
        <v>716</v>
      </c>
      <c r="E332" s="4" t="n">
        <v>7</v>
      </c>
      <c r="F332" s="4" t="n">
        <v>6</v>
      </c>
      <c r="G332" s="4" t="n">
        <v>0</v>
      </c>
      <c r="J332" s="11" t="b">
        <f aca="false">TRUE()</f>
        <v>1</v>
      </c>
      <c r="K332" s="4" t="s">
        <v>2198</v>
      </c>
      <c r="L332" s="4" t="n">
        <v>4</v>
      </c>
      <c r="M332" s="4" t="n">
        <v>4</v>
      </c>
      <c r="N332" s="4" t="n">
        <v>4</v>
      </c>
      <c r="O332" s="4" t="n">
        <v>4</v>
      </c>
      <c r="P332" s="0" t="str">
        <f aca="false">IF(E332=0,"not_reached",IF(AND(F332&gt;0,G332=0),"allowed","blocked"))</f>
        <v>allowed</v>
      </c>
      <c r="Q332" s="0" t="str">
        <f aca="false">IF(C332="success","published",IF(E332&gt;0,"blocked_at_gate","failed_before_gate"))</f>
        <v>published</v>
      </c>
      <c r="R332" s="0" t="str">
        <f aca="false">IF(C332="success","",IF(E332&gt;0,IF(I332="freshness_within_target","freshness",IF(I332="relationships_intact","relationships",IF(I332="reconciliation_residual_zero","residual",I332))),IF(H332="quality_gate","gate_infra",H332)))</f>
        <v/>
      </c>
    </row>
    <row r="333" customFormat="false" ht="15" hidden="false" customHeight="false" outlineLevel="0" collapsed="false">
      <c r="A333" s="4" t="s">
        <v>2199</v>
      </c>
      <c r="B333" s="10" t="n">
        <v>46257.7604166667</v>
      </c>
      <c r="C333" s="4" t="s">
        <v>1544</v>
      </c>
      <c r="D333" s="4" t="n">
        <v>715</v>
      </c>
      <c r="E333" s="4" t="n">
        <v>7</v>
      </c>
      <c r="F333" s="4" t="n">
        <v>6</v>
      </c>
      <c r="G333" s="4" t="n">
        <v>0</v>
      </c>
      <c r="J333" s="11" t="b">
        <f aca="false">TRUE()</f>
        <v>1</v>
      </c>
      <c r="K333" s="4" t="s">
        <v>2200</v>
      </c>
      <c r="L333" s="4" t="n">
        <v>4</v>
      </c>
      <c r="M333" s="4" t="n">
        <v>4</v>
      </c>
      <c r="N333" s="4" t="n">
        <v>4</v>
      </c>
      <c r="O333" s="4" t="n">
        <v>4</v>
      </c>
      <c r="P333" s="0" t="str">
        <f aca="false">IF(E333=0,"not_reached",IF(AND(F333&gt;0,G333=0),"allowed","blocked"))</f>
        <v>allowed</v>
      </c>
      <c r="Q333" s="0" t="str">
        <f aca="false">IF(C333="success","published",IF(E333&gt;0,"blocked_at_gate","failed_before_gate"))</f>
        <v>published</v>
      </c>
      <c r="R333" s="0" t="str">
        <f aca="false">IF(C333="success","",IF(E333&gt;0,IF(I333="freshness_within_target","freshness",IF(I333="relationships_intact","relationships",IF(I333="reconciliation_residual_zero","residual",I333))),IF(H333="quality_gate","gate_infra",H333)))</f>
        <v/>
      </c>
    </row>
    <row r="334" customFormat="false" ht="15" hidden="false" customHeight="false" outlineLevel="0" collapsed="false">
      <c r="A334" s="4" t="s">
        <v>2201</v>
      </c>
      <c r="B334" s="10" t="n">
        <v>46257.8020833333</v>
      </c>
      <c r="C334" s="4" t="s">
        <v>1544</v>
      </c>
      <c r="D334" s="4" t="n">
        <v>1181</v>
      </c>
      <c r="E334" s="4" t="n">
        <v>7</v>
      </c>
      <c r="F334" s="4" t="n">
        <v>6</v>
      </c>
      <c r="G334" s="4" t="n">
        <v>0</v>
      </c>
      <c r="J334" s="11" t="b">
        <f aca="false">TRUE()</f>
        <v>1</v>
      </c>
      <c r="K334" s="4" t="s">
        <v>2202</v>
      </c>
      <c r="L334" s="4" t="n">
        <v>4</v>
      </c>
      <c r="M334" s="4" t="n">
        <v>4</v>
      </c>
      <c r="N334" s="4" t="n">
        <v>5</v>
      </c>
      <c r="O334" s="4" t="n">
        <v>4</v>
      </c>
      <c r="P334" s="0" t="str">
        <f aca="false">IF(E334=0,"not_reached",IF(AND(F334&gt;0,G334=0),"allowed","blocked"))</f>
        <v>allowed</v>
      </c>
      <c r="Q334" s="0" t="str">
        <f aca="false">IF(C334="success","published",IF(E334&gt;0,"blocked_at_gate","failed_before_gate"))</f>
        <v>published</v>
      </c>
      <c r="R334" s="0" t="str">
        <f aca="false">IF(C334="success","",IF(E334&gt;0,IF(I334="freshness_within_target","freshness",IF(I334="relationships_intact","relationships",IF(I334="reconciliation_residual_zero","residual",I334))),IF(H334="quality_gate","gate_infra",H334)))</f>
        <v/>
      </c>
    </row>
    <row r="335" customFormat="false" ht="15" hidden="false" customHeight="false" outlineLevel="0" collapsed="false">
      <c r="A335" s="4" t="s">
        <v>2203</v>
      </c>
      <c r="B335" s="10" t="n">
        <v>46257.84375</v>
      </c>
      <c r="C335" s="4" t="s">
        <v>1544</v>
      </c>
      <c r="D335" s="4" t="n">
        <v>753</v>
      </c>
      <c r="E335" s="4" t="n">
        <v>7</v>
      </c>
      <c r="F335" s="4" t="n">
        <v>6</v>
      </c>
      <c r="G335" s="4" t="n">
        <v>0</v>
      </c>
      <c r="J335" s="11" t="b">
        <f aca="false">TRUE()</f>
        <v>1</v>
      </c>
      <c r="K335" s="4" t="s">
        <v>2204</v>
      </c>
      <c r="L335" s="4" t="n">
        <v>4</v>
      </c>
      <c r="M335" s="4" t="n">
        <v>4</v>
      </c>
      <c r="N335" s="4" t="n">
        <v>4</v>
      </c>
      <c r="O335" s="4" t="n">
        <v>4</v>
      </c>
      <c r="P335" s="0" t="str">
        <f aca="false">IF(E335=0,"not_reached",IF(AND(F335&gt;0,G335=0),"allowed","blocked"))</f>
        <v>allowed</v>
      </c>
      <c r="Q335" s="0" t="str">
        <f aca="false">IF(C335="success","published",IF(E335&gt;0,"blocked_at_gate","failed_before_gate"))</f>
        <v>published</v>
      </c>
      <c r="R335" s="0" t="str">
        <f aca="false">IF(C335="success","",IF(E335&gt;0,IF(I335="freshness_within_target","freshness",IF(I335="relationships_intact","relationships",IF(I335="reconciliation_residual_zero","residual",I335))),IF(H335="quality_gate","gate_infra",H335)))</f>
        <v/>
      </c>
    </row>
    <row r="336" customFormat="false" ht="15" hidden="false" customHeight="false" outlineLevel="0" collapsed="false">
      <c r="A336" s="4" t="s">
        <v>2205</v>
      </c>
      <c r="B336" s="10" t="n">
        <v>46257.8854166667</v>
      </c>
      <c r="C336" s="4" t="s">
        <v>1544</v>
      </c>
      <c r="D336" s="4" t="n">
        <v>737</v>
      </c>
      <c r="E336" s="4" t="n">
        <v>7</v>
      </c>
      <c r="F336" s="4" t="n">
        <v>6</v>
      </c>
      <c r="G336" s="4" t="n">
        <v>0</v>
      </c>
      <c r="J336" s="11" t="b">
        <f aca="false">TRUE()</f>
        <v>1</v>
      </c>
      <c r="K336" s="4" t="s">
        <v>2206</v>
      </c>
      <c r="L336" s="4" t="n">
        <v>4</v>
      </c>
      <c r="M336" s="4" t="n">
        <v>4</v>
      </c>
      <c r="N336" s="4" t="n">
        <v>4</v>
      </c>
      <c r="O336" s="4" t="n">
        <v>4</v>
      </c>
      <c r="P336" s="0" t="str">
        <f aca="false">IF(E336=0,"not_reached",IF(AND(F336&gt;0,G336=0),"allowed","blocked"))</f>
        <v>allowed</v>
      </c>
      <c r="Q336" s="0" t="str">
        <f aca="false">IF(C336="success","published",IF(E336&gt;0,"blocked_at_gate","failed_before_gate"))</f>
        <v>published</v>
      </c>
      <c r="R336" s="0" t="str">
        <f aca="false">IF(C336="success","",IF(E336&gt;0,IF(I336="freshness_within_target","freshness",IF(I336="relationships_intact","relationships",IF(I336="reconciliation_residual_zero","residual",I336))),IF(H336="quality_gate","gate_infra",H336)))</f>
        <v/>
      </c>
    </row>
    <row r="337" customFormat="false" ht="15" hidden="false" customHeight="false" outlineLevel="0" collapsed="false">
      <c r="A337" s="4" t="s">
        <v>2207</v>
      </c>
      <c r="B337" s="10" t="n">
        <v>46257.9270833333</v>
      </c>
      <c r="C337" s="4" t="s">
        <v>1544</v>
      </c>
      <c r="D337" s="4" t="n">
        <v>816</v>
      </c>
      <c r="E337" s="4" t="n">
        <v>7</v>
      </c>
      <c r="F337" s="4" t="n">
        <v>6</v>
      </c>
      <c r="G337" s="4" t="n">
        <v>0</v>
      </c>
      <c r="J337" s="11" t="b">
        <f aca="false">TRUE()</f>
        <v>1</v>
      </c>
      <c r="K337" s="4" t="s">
        <v>2208</v>
      </c>
      <c r="L337" s="4" t="n">
        <v>4</v>
      </c>
      <c r="M337" s="4" t="n">
        <v>4</v>
      </c>
      <c r="N337" s="4" t="n">
        <v>4</v>
      </c>
      <c r="O337" s="4" t="n">
        <v>4</v>
      </c>
      <c r="P337" s="0" t="str">
        <f aca="false">IF(E337=0,"not_reached",IF(AND(F337&gt;0,G337=0),"allowed","blocked"))</f>
        <v>allowed</v>
      </c>
      <c r="Q337" s="0" t="str">
        <f aca="false">IF(C337="success","published",IF(E337&gt;0,"blocked_at_gate","failed_before_gate"))</f>
        <v>published</v>
      </c>
      <c r="R337" s="0" t="str">
        <f aca="false">IF(C337="success","",IF(E337&gt;0,IF(I337="freshness_within_target","freshness",IF(I337="relationships_intact","relationships",IF(I337="reconciliation_residual_zero","residual",I337))),IF(H337="quality_gate","gate_infra",H337)))</f>
        <v/>
      </c>
    </row>
    <row r="338" customFormat="false" ht="15" hidden="false" customHeight="false" outlineLevel="0" collapsed="false">
      <c r="A338" s="4" t="s">
        <v>2209</v>
      </c>
      <c r="B338" s="10" t="n">
        <v>46257.96875</v>
      </c>
      <c r="C338" s="4" t="s">
        <v>1544</v>
      </c>
      <c r="D338" s="4" t="n">
        <v>809</v>
      </c>
      <c r="E338" s="4" t="n">
        <v>7</v>
      </c>
      <c r="F338" s="4" t="n">
        <v>6</v>
      </c>
      <c r="G338" s="4" t="n">
        <v>0</v>
      </c>
      <c r="J338" s="11" t="b">
        <f aca="false">TRUE()</f>
        <v>1</v>
      </c>
      <c r="K338" s="4" t="s">
        <v>2210</v>
      </c>
      <c r="L338" s="4" t="n">
        <v>4</v>
      </c>
      <c r="M338" s="4" t="n">
        <v>4</v>
      </c>
      <c r="N338" s="4" t="n">
        <v>4</v>
      </c>
      <c r="O338" s="4" t="n">
        <v>4</v>
      </c>
      <c r="P338" s="0" t="str">
        <f aca="false">IF(E338=0,"not_reached",IF(AND(F338&gt;0,G338=0),"allowed","blocked"))</f>
        <v>allowed</v>
      </c>
      <c r="Q338" s="0" t="str">
        <f aca="false">IF(C338="success","published",IF(E338&gt;0,"blocked_at_gate","failed_before_gate"))</f>
        <v>published</v>
      </c>
      <c r="R338" s="0" t="str">
        <f aca="false">IF(C338="success","",IF(E338&gt;0,IF(I338="freshness_within_target","freshness",IF(I338="relationships_intact","relationships",IF(I338="reconciliation_residual_zero","residual",I338))),IF(H338="quality_gate","gate_infra",H338)))</f>
        <v/>
      </c>
    </row>
    <row r="339" customFormat="false" ht="15" hidden="false" customHeight="false" outlineLevel="0" collapsed="false">
      <c r="A339" s="4" t="s">
        <v>2211</v>
      </c>
      <c r="B339" s="10" t="n">
        <v>46258.0104166667</v>
      </c>
      <c r="C339" s="4" t="s">
        <v>1544</v>
      </c>
      <c r="D339" s="4" t="n">
        <v>817</v>
      </c>
      <c r="E339" s="4" t="n">
        <v>7</v>
      </c>
      <c r="F339" s="4" t="n">
        <v>6</v>
      </c>
      <c r="G339" s="4" t="n">
        <v>0</v>
      </c>
      <c r="J339" s="11" t="b">
        <f aca="false">TRUE()</f>
        <v>1</v>
      </c>
      <c r="K339" s="4" t="s">
        <v>2212</v>
      </c>
      <c r="L339" s="4" t="n">
        <v>4</v>
      </c>
      <c r="M339" s="4" t="n">
        <v>4</v>
      </c>
      <c r="N339" s="4" t="n">
        <v>4</v>
      </c>
      <c r="O339" s="4" t="n">
        <v>4</v>
      </c>
      <c r="P339" s="0" t="str">
        <f aca="false">IF(E339=0,"not_reached",IF(AND(F339&gt;0,G339=0),"allowed","blocked"))</f>
        <v>allowed</v>
      </c>
      <c r="Q339" s="0" t="str">
        <f aca="false">IF(C339="success","published",IF(E339&gt;0,"blocked_at_gate","failed_before_gate"))</f>
        <v>published</v>
      </c>
      <c r="R339" s="0" t="str">
        <f aca="false">IF(C339="success","",IF(E339&gt;0,IF(I339="freshness_within_target","freshness",IF(I339="relationships_intact","relationships",IF(I339="reconciliation_residual_zero","residual",I339))),IF(H339="quality_gate","gate_infra",H339)))</f>
        <v/>
      </c>
    </row>
    <row r="340" customFormat="false" ht="15" hidden="false" customHeight="false" outlineLevel="0" collapsed="false">
      <c r="A340" s="4" t="s">
        <v>2213</v>
      </c>
      <c r="B340" s="10" t="n">
        <v>46258.0520833333</v>
      </c>
      <c r="C340" s="4" t="s">
        <v>1544</v>
      </c>
      <c r="D340" s="4" t="n">
        <v>841</v>
      </c>
      <c r="E340" s="4" t="n">
        <v>7</v>
      </c>
      <c r="F340" s="4" t="n">
        <v>6</v>
      </c>
      <c r="G340" s="4" t="n">
        <v>0</v>
      </c>
      <c r="J340" s="11" t="b">
        <f aca="false">TRUE()</f>
        <v>1</v>
      </c>
      <c r="K340" s="4" t="s">
        <v>2214</v>
      </c>
      <c r="L340" s="4" t="n">
        <v>4</v>
      </c>
      <c r="M340" s="4" t="n">
        <v>4</v>
      </c>
      <c r="N340" s="4" t="n">
        <v>4</v>
      </c>
      <c r="O340" s="4" t="n">
        <v>4</v>
      </c>
      <c r="P340" s="0" t="str">
        <f aca="false">IF(E340=0,"not_reached",IF(AND(F340&gt;0,G340=0),"allowed","blocked"))</f>
        <v>allowed</v>
      </c>
      <c r="Q340" s="0" t="str">
        <f aca="false">IF(C340="success","published",IF(E340&gt;0,"blocked_at_gate","failed_before_gate"))</f>
        <v>published</v>
      </c>
      <c r="R340" s="0" t="str">
        <f aca="false">IF(C340="success","",IF(E340&gt;0,IF(I340="freshness_within_target","freshness",IF(I340="relationships_intact","relationships",IF(I340="reconciliation_residual_zero","residual",I340))),IF(H340="quality_gate","gate_infra",H340)))</f>
        <v/>
      </c>
    </row>
    <row r="341" customFormat="false" ht="15" hidden="false" customHeight="false" outlineLevel="0" collapsed="false">
      <c r="A341" s="4" t="s">
        <v>2215</v>
      </c>
      <c r="B341" s="10" t="n">
        <v>46258.09375</v>
      </c>
      <c r="C341" s="4" t="s">
        <v>1544</v>
      </c>
      <c r="D341" s="4" t="n">
        <v>761</v>
      </c>
      <c r="E341" s="4" t="n">
        <v>7</v>
      </c>
      <c r="F341" s="4" t="n">
        <v>6</v>
      </c>
      <c r="G341" s="4" t="n">
        <v>0</v>
      </c>
      <c r="J341" s="11" t="b">
        <f aca="false">TRUE()</f>
        <v>1</v>
      </c>
      <c r="K341" s="4" t="s">
        <v>2216</v>
      </c>
      <c r="L341" s="4" t="n">
        <v>4</v>
      </c>
      <c r="M341" s="4" t="n">
        <v>4</v>
      </c>
      <c r="N341" s="4" t="n">
        <v>4</v>
      </c>
      <c r="O341" s="4" t="n">
        <v>4</v>
      </c>
      <c r="P341" s="0" t="str">
        <f aca="false">IF(E341=0,"not_reached",IF(AND(F341&gt;0,G341=0),"allowed","blocked"))</f>
        <v>allowed</v>
      </c>
      <c r="Q341" s="0" t="str">
        <f aca="false">IF(C341="success","published",IF(E341&gt;0,"blocked_at_gate","failed_before_gate"))</f>
        <v>published</v>
      </c>
      <c r="R341" s="0" t="str">
        <f aca="false">IF(C341="success","",IF(E341&gt;0,IF(I341="freshness_within_target","freshness",IF(I341="relationships_intact","relationships",IF(I341="reconciliation_residual_zero","residual",I341))),IF(H341="quality_gate","gate_infra",H341)))</f>
        <v/>
      </c>
    </row>
    <row r="342" customFormat="false" ht="15" hidden="false" customHeight="false" outlineLevel="0" collapsed="false">
      <c r="A342" s="4" t="s">
        <v>2217</v>
      </c>
      <c r="B342" s="10" t="n">
        <v>46258.1354166667</v>
      </c>
      <c r="C342" s="4" t="s">
        <v>1544</v>
      </c>
      <c r="D342" s="4" t="n">
        <v>875</v>
      </c>
      <c r="E342" s="4" t="n">
        <v>7</v>
      </c>
      <c r="F342" s="4" t="n">
        <v>6</v>
      </c>
      <c r="G342" s="4" t="n">
        <v>0</v>
      </c>
      <c r="J342" s="11" t="b">
        <f aca="false">TRUE()</f>
        <v>1</v>
      </c>
      <c r="K342" s="4" t="s">
        <v>2218</v>
      </c>
      <c r="L342" s="4" t="n">
        <v>4</v>
      </c>
      <c r="M342" s="4" t="n">
        <v>4</v>
      </c>
      <c r="N342" s="4" t="n">
        <v>4</v>
      </c>
      <c r="O342" s="4" t="n">
        <v>4</v>
      </c>
      <c r="P342" s="0" t="str">
        <f aca="false">IF(E342=0,"not_reached",IF(AND(F342&gt;0,G342=0),"allowed","blocked"))</f>
        <v>allowed</v>
      </c>
      <c r="Q342" s="0" t="str">
        <f aca="false">IF(C342="success","published",IF(E342&gt;0,"blocked_at_gate","failed_before_gate"))</f>
        <v>published</v>
      </c>
      <c r="R342" s="0" t="str">
        <f aca="false">IF(C342="success","",IF(E342&gt;0,IF(I342="freshness_within_target","freshness",IF(I342="relationships_intact","relationships",IF(I342="reconciliation_residual_zero","residual",I342))),IF(H342="quality_gate","gate_infra",H342)))</f>
        <v/>
      </c>
    </row>
    <row r="343" customFormat="false" ht="15" hidden="false" customHeight="false" outlineLevel="0" collapsed="false">
      <c r="A343" s="4" t="s">
        <v>2219</v>
      </c>
      <c r="B343" s="10" t="n">
        <v>46258.1770833333</v>
      </c>
      <c r="C343" s="4" t="s">
        <v>1544</v>
      </c>
      <c r="D343" s="4" t="n">
        <v>851</v>
      </c>
      <c r="E343" s="4" t="n">
        <v>7</v>
      </c>
      <c r="F343" s="4" t="n">
        <v>6</v>
      </c>
      <c r="G343" s="4" t="n">
        <v>0</v>
      </c>
      <c r="J343" s="11" t="b">
        <f aca="false">TRUE()</f>
        <v>1</v>
      </c>
      <c r="K343" s="4" t="s">
        <v>2220</v>
      </c>
      <c r="L343" s="4" t="n">
        <v>4</v>
      </c>
      <c r="M343" s="4" t="n">
        <v>4</v>
      </c>
      <c r="N343" s="4" t="n">
        <v>4</v>
      </c>
      <c r="O343" s="4" t="n">
        <v>4</v>
      </c>
      <c r="P343" s="0" t="str">
        <f aca="false">IF(E343=0,"not_reached",IF(AND(F343&gt;0,G343=0),"allowed","blocked"))</f>
        <v>allowed</v>
      </c>
      <c r="Q343" s="0" t="str">
        <f aca="false">IF(C343="success","published",IF(E343&gt;0,"blocked_at_gate","failed_before_gate"))</f>
        <v>published</v>
      </c>
      <c r="R343" s="0" t="str">
        <f aca="false">IF(C343="success","",IF(E343&gt;0,IF(I343="freshness_within_target","freshness",IF(I343="relationships_intact","relationships",IF(I343="reconciliation_residual_zero","residual",I343))),IF(H343="quality_gate","gate_infra",H343)))</f>
        <v/>
      </c>
    </row>
    <row r="344" customFormat="false" ht="15" hidden="false" customHeight="false" outlineLevel="0" collapsed="false">
      <c r="A344" s="4" t="s">
        <v>2221</v>
      </c>
      <c r="B344" s="10" t="n">
        <v>46258.21875</v>
      </c>
      <c r="C344" s="4" t="s">
        <v>1544</v>
      </c>
      <c r="D344" s="4" t="n">
        <v>824</v>
      </c>
      <c r="E344" s="4" t="n">
        <v>7</v>
      </c>
      <c r="F344" s="4" t="n">
        <v>6</v>
      </c>
      <c r="G344" s="4" t="n">
        <v>0</v>
      </c>
      <c r="J344" s="11" t="b">
        <f aca="false">TRUE()</f>
        <v>1</v>
      </c>
      <c r="K344" s="4" t="s">
        <v>2222</v>
      </c>
      <c r="L344" s="4" t="n">
        <v>4</v>
      </c>
      <c r="M344" s="4" t="n">
        <v>4</v>
      </c>
      <c r="N344" s="4" t="n">
        <v>4</v>
      </c>
      <c r="O344" s="4" t="n">
        <v>4</v>
      </c>
      <c r="P344" s="0" t="str">
        <f aca="false">IF(E344=0,"not_reached",IF(AND(F344&gt;0,G344=0),"allowed","blocked"))</f>
        <v>allowed</v>
      </c>
      <c r="Q344" s="0" t="str">
        <f aca="false">IF(C344="success","published",IF(E344&gt;0,"blocked_at_gate","failed_before_gate"))</f>
        <v>published</v>
      </c>
      <c r="R344" s="0" t="str">
        <f aca="false">IF(C344="success","",IF(E344&gt;0,IF(I344="freshness_within_target","freshness",IF(I344="relationships_intact","relationships",IF(I344="reconciliation_residual_zero","residual",I344))),IF(H344="quality_gate","gate_infra",H344)))</f>
        <v/>
      </c>
    </row>
    <row r="345" customFormat="false" ht="15" hidden="false" customHeight="false" outlineLevel="0" collapsed="false">
      <c r="A345" s="4" t="s">
        <v>2223</v>
      </c>
      <c r="B345" s="10" t="n">
        <v>46258.2604166667</v>
      </c>
      <c r="C345" s="4" t="s">
        <v>1544</v>
      </c>
      <c r="D345" s="4" t="n">
        <v>956</v>
      </c>
      <c r="E345" s="4" t="n">
        <v>7</v>
      </c>
      <c r="F345" s="4" t="n">
        <v>6</v>
      </c>
      <c r="G345" s="4" t="n">
        <v>0</v>
      </c>
      <c r="J345" s="11" t="b">
        <f aca="false">TRUE()</f>
        <v>1</v>
      </c>
      <c r="K345" s="4" t="s">
        <v>2224</v>
      </c>
      <c r="L345" s="4" t="n">
        <v>4</v>
      </c>
      <c r="M345" s="4" t="n">
        <v>4</v>
      </c>
      <c r="N345" s="4" t="n">
        <v>4</v>
      </c>
      <c r="O345" s="4" t="n">
        <v>4</v>
      </c>
      <c r="P345" s="0" t="str">
        <f aca="false">IF(E345=0,"not_reached",IF(AND(F345&gt;0,G345=0),"allowed","blocked"))</f>
        <v>allowed</v>
      </c>
      <c r="Q345" s="0" t="str">
        <f aca="false">IF(C345="success","published",IF(E345&gt;0,"blocked_at_gate","failed_before_gate"))</f>
        <v>published</v>
      </c>
      <c r="R345" s="0" t="str">
        <f aca="false">IF(C345="success","",IF(E345&gt;0,IF(I345="freshness_within_target","freshness",IF(I345="relationships_intact","relationships",IF(I345="reconciliation_residual_zero","residual",I345))),IF(H345="quality_gate","gate_infra",H345)))</f>
        <v/>
      </c>
    </row>
    <row r="346" customFormat="false" ht="15" hidden="false" customHeight="false" outlineLevel="0" collapsed="false">
      <c r="A346" s="4" t="s">
        <v>2225</v>
      </c>
      <c r="B346" s="10" t="n">
        <v>46258.3020833333</v>
      </c>
      <c r="C346" s="4" t="s">
        <v>1544</v>
      </c>
      <c r="D346" s="4" t="n">
        <v>904</v>
      </c>
      <c r="E346" s="4" t="n">
        <v>7</v>
      </c>
      <c r="F346" s="4" t="n">
        <v>6</v>
      </c>
      <c r="G346" s="4" t="n">
        <v>0</v>
      </c>
      <c r="J346" s="11" t="b">
        <f aca="false">TRUE()</f>
        <v>1</v>
      </c>
      <c r="K346" s="4" t="s">
        <v>2226</v>
      </c>
      <c r="L346" s="4" t="n">
        <v>4</v>
      </c>
      <c r="M346" s="4" t="n">
        <v>4</v>
      </c>
      <c r="N346" s="4" t="n">
        <v>4</v>
      </c>
      <c r="O346" s="4" t="n">
        <v>4</v>
      </c>
      <c r="P346" s="0" t="str">
        <f aca="false">IF(E346=0,"not_reached",IF(AND(F346&gt;0,G346=0),"allowed","blocked"))</f>
        <v>allowed</v>
      </c>
      <c r="Q346" s="0" t="str">
        <f aca="false">IF(C346="success","published",IF(E346&gt;0,"blocked_at_gate","failed_before_gate"))</f>
        <v>published</v>
      </c>
      <c r="R346" s="0" t="str">
        <f aca="false">IF(C346="success","",IF(E346&gt;0,IF(I346="freshness_within_target","freshness",IF(I346="relationships_intact","relationships",IF(I346="reconciliation_residual_zero","residual",I346))),IF(H346="quality_gate","gate_infra",H346)))</f>
        <v/>
      </c>
    </row>
    <row r="347" customFormat="false" ht="15" hidden="false" customHeight="false" outlineLevel="0" collapsed="false">
      <c r="A347" s="4" t="s">
        <v>2227</v>
      </c>
      <c r="B347" s="10" t="n">
        <v>46258.34375</v>
      </c>
      <c r="C347" s="4" t="s">
        <v>1544</v>
      </c>
      <c r="D347" s="4" t="n">
        <v>854</v>
      </c>
      <c r="E347" s="4" t="n">
        <v>7</v>
      </c>
      <c r="F347" s="4" t="n">
        <v>6</v>
      </c>
      <c r="G347" s="4" t="n">
        <v>0</v>
      </c>
      <c r="J347" s="11" t="b">
        <f aca="false">TRUE()</f>
        <v>1</v>
      </c>
      <c r="K347" s="4" t="s">
        <v>2228</v>
      </c>
      <c r="L347" s="4" t="n">
        <v>4</v>
      </c>
      <c r="M347" s="4" t="n">
        <v>4</v>
      </c>
      <c r="N347" s="4" t="n">
        <v>4</v>
      </c>
      <c r="O347" s="4" t="n">
        <v>4</v>
      </c>
      <c r="P347" s="0" t="str">
        <f aca="false">IF(E347=0,"not_reached",IF(AND(F347&gt;0,G347=0),"allowed","blocked"))</f>
        <v>allowed</v>
      </c>
      <c r="Q347" s="0" t="str">
        <f aca="false">IF(C347="success","published",IF(E347&gt;0,"blocked_at_gate","failed_before_gate"))</f>
        <v>published</v>
      </c>
      <c r="R347" s="0" t="str">
        <f aca="false">IF(C347="success","",IF(E347&gt;0,IF(I347="freshness_within_target","freshness",IF(I347="relationships_intact","relationships",IF(I347="reconciliation_residual_zero","residual",I347))),IF(H347="quality_gate","gate_infra",H347)))</f>
        <v/>
      </c>
    </row>
    <row r="348" customFormat="false" ht="15" hidden="false" customHeight="false" outlineLevel="0" collapsed="false">
      <c r="A348" s="4" t="s">
        <v>2229</v>
      </c>
      <c r="B348" s="10" t="n">
        <v>46258.3854166667</v>
      </c>
      <c r="C348" s="4" t="s">
        <v>1544</v>
      </c>
      <c r="D348" s="4" t="n">
        <v>783</v>
      </c>
      <c r="E348" s="4" t="n">
        <v>7</v>
      </c>
      <c r="F348" s="4" t="n">
        <v>6</v>
      </c>
      <c r="G348" s="4" t="n">
        <v>0</v>
      </c>
      <c r="J348" s="11" t="b">
        <f aca="false">TRUE()</f>
        <v>1</v>
      </c>
      <c r="K348" s="4" t="s">
        <v>2230</v>
      </c>
      <c r="L348" s="4" t="n">
        <v>4</v>
      </c>
      <c r="M348" s="4" t="n">
        <v>4</v>
      </c>
      <c r="N348" s="4" t="n">
        <v>4</v>
      </c>
      <c r="O348" s="4" t="n">
        <v>4</v>
      </c>
      <c r="P348" s="0" t="str">
        <f aca="false">IF(E348=0,"not_reached",IF(AND(F348&gt;0,G348=0),"allowed","blocked"))</f>
        <v>allowed</v>
      </c>
      <c r="Q348" s="0" t="str">
        <f aca="false">IF(C348="success","published",IF(E348&gt;0,"blocked_at_gate","failed_before_gate"))</f>
        <v>published</v>
      </c>
      <c r="R348" s="0" t="str">
        <f aca="false">IF(C348="success","",IF(E348&gt;0,IF(I348="freshness_within_target","freshness",IF(I348="relationships_intact","relationships",IF(I348="reconciliation_residual_zero","residual",I348))),IF(H348="quality_gate","gate_infra",H348)))</f>
        <v/>
      </c>
    </row>
    <row r="349" customFormat="false" ht="15" hidden="false" customHeight="false" outlineLevel="0" collapsed="false">
      <c r="A349" s="4" t="s">
        <v>2231</v>
      </c>
      <c r="B349" s="10" t="n">
        <v>46258.4270833333</v>
      </c>
      <c r="C349" s="4" t="s">
        <v>1901</v>
      </c>
      <c r="D349" s="4" t="n">
        <v>1105</v>
      </c>
      <c r="E349" s="4" t="n">
        <v>0</v>
      </c>
      <c r="F349" s="4" t="n">
        <v>0</v>
      </c>
      <c r="G349" s="4" t="n">
        <v>0</v>
      </c>
      <c r="H349" s="4" t="s">
        <v>61</v>
      </c>
      <c r="J349" s="11" t="b">
        <f aca="false">FALSE()</f>
        <v>0</v>
      </c>
      <c r="L349" s="4" t="n">
        <v>2</v>
      </c>
      <c r="M349" s="4" t="n">
        <v>1</v>
      </c>
      <c r="N349" s="4" t="n">
        <v>4</v>
      </c>
      <c r="O349" s="4" t="n">
        <v>1</v>
      </c>
      <c r="P349" s="0" t="str">
        <f aca="false">IF(E349=0,"not_reached",IF(AND(F349&gt;0,G349=0),"allowed","blocked"))</f>
        <v>not_reached</v>
      </c>
      <c r="Q349" s="0" t="str">
        <f aca="false">IF(C349="success","published",IF(E349&gt;0,"blocked_at_gate","failed_before_gate"))</f>
        <v>failed_before_gate</v>
      </c>
      <c r="R349" s="0" t="str">
        <f aca="false">IF(C349="success","",IF(E349&gt;0,IF(I349="freshness_within_target","freshness",IF(I349="relationships_intact","relationships",IF(I349="reconciliation_residual_zero","residual",I349))),IF(H349="quality_gate","gate_infra",H349)))</f>
        <v>transform</v>
      </c>
    </row>
    <row r="350" customFormat="false" ht="15" hidden="false" customHeight="false" outlineLevel="0" collapsed="false">
      <c r="A350" s="4" t="s">
        <v>2232</v>
      </c>
      <c r="B350" s="10" t="n">
        <v>46258.46875</v>
      </c>
      <c r="C350" s="4" t="s">
        <v>1544</v>
      </c>
      <c r="D350" s="4" t="n">
        <v>1178</v>
      </c>
      <c r="E350" s="4" t="n">
        <v>7</v>
      </c>
      <c r="F350" s="4" t="n">
        <v>6</v>
      </c>
      <c r="G350" s="4" t="n">
        <v>0</v>
      </c>
      <c r="J350" s="11" t="b">
        <f aca="false">TRUE()</f>
        <v>1</v>
      </c>
      <c r="K350" s="4" t="s">
        <v>2233</v>
      </c>
      <c r="L350" s="4" t="n">
        <v>4</v>
      </c>
      <c r="M350" s="4" t="n">
        <v>4</v>
      </c>
      <c r="N350" s="4" t="n">
        <v>5</v>
      </c>
      <c r="O350" s="4" t="n">
        <v>4</v>
      </c>
      <c r="P350" s="0" t="str">
        <f aca="false">IF(E350=0,"not_reached",IF(AND(F350&gt;0,G350=0),"allowed","blocked"))</f>
        <v>allowed</v>
      </c>
      <c r="Q350" s="0" t="str">
        <f aca="false">IF(C350="success","published",IF(E350&gt;0,"blocked_at_gate","failed_before_gate"))</f>
        <v>published</v>
      </c>
      <c r="R350" s="0" t="str">
        <f aca="false">IF(C350="success","",IF(E350&gt;0,IF(I350="freshness_within_target","freshness",IF(I350="relationships_intact","relationships",IF(I350="reconciliation_residual_zero","residual",I350))),IF(H350="quality_gate","gate_infra",H350)))</f>
        <v/>
      </c>
    </row>
    <row r="351" customFormat="false" ht="15" hidden="false" customHeight="false" outlineLevel="0" collapsed="false">
      <c r="A351" s="4" t="s">
        <v>2234</v>
      </c>
      <c r="B351" s="10" t="n">
        <v>46258.5104166667</v>
      </c>
      <c r="C351" s="4" t="s">
        <v>1544</v>
      </c>
      <c r="D351" s="4" t="n">
        <v>871</v>
      </c>
      <c r="E351" s="4" t="n">
        <v>7</v>
      </c>
      <c r="F351" s="4" t="n">
        <v>6</v>
      </c>
      <c r="G351" s="4" t="n">
        <v>0</v>
      </c>
      <c r="J351" s="11" t="b">
        <f aca="false">TRUE()</f>
        <v>1</v>
      </c>
      <c r="K351" s="4" t="s">
        <v>2235</v>
      </c>
      <c r="L351" s="4" t="n">
        <v>4</v>
      </c>
      <c r="M351" s="4" t="n">
        <v>4</v>
      </c>
      <c r="N351" s="4" t="n">
        <v>4</v>
      </c>
      <c r="O351" s="4" t="n">
        <v>4</v>
      </c>
      <c r="P351" s="0" t="str">
        <f aca="false">IF(E351=0,"not_reached",IF(AND(F351&gt;0,G351=0),"allowed","blocked"))</f>
        <v>allowed</v>
      </c>
      <c r="Q351" s="0" t="str">
        <f aca="false">IF(C351="success","published",IF(E351&gt;0,"blocked_at_gate","failed_before_gate"))</f>
        <v>published</v>
      </c>
      <c r="R351" s="0" t="str">
        <f aca="false">IF(C351="success","",IF(E351&gt;0,IF(I351="freshness_within_target","freshness",IF(I351="relationships_intact","relationships",IF(I351="reconciliation_residual_zero","residual",I351))),IF(H351="quality_gate","gate_infra",H351)))</f>
        <v/>
      </c>
    </row>
    <row r="352" customFormat="false" ht="15" hidden="false" customHeight="false" outlineLevel="0" collapsed="false">
      <c r="A352" s="4" t="s">
        <v>2236</v>
      </c>
      <c r="B352" s="10" t="n">
        <v>46258.5520833333</v>
      </c>
      <c r="C352" s="4" t="s">
        <v>1544</v>
      </c>
      <c r="D352" s="4" t="n">
        <v>784</v>
      </c>
      <c r="E352" s="4" t="n">
        <v>7</v>
      </c>
      <c r="F352" s="4" t="n">
        <v>6</v>
      </c>
      <c r="G352" s="4" t="n">
        <v>0</v>
      </c>
      <c r="J352" s="11" t="b">
        <f aca="false">TRUE()</f>
        <v>1</v>
      </c>
      <c r="K352" s="4" t="s">
        <v>2237</v>
      </c>
      <c r="L352" s="4" t="n">
        <v>4</v>
      </c>
      <c r="M352" s="4" t="n">
        <v>4</v>
      </c>
      <c r="N352" s="4" t="n">
        <v>4</v>
      </c>
      <c r="O352" s="4" t="n">
        <v>4</v>
      </c>
      <c r="P352" s="0" t="str">
        <f aca="false">IF(E352=0,"not_reached",IF(AND(F352&gt;0,G352=0),"allowed","blocked"))</f>
        <v>allowed</v>
      </c>
      <c r="Q352" s="0" t="str">
        <f aca="false">IF(C352="success","published",IF(E352&gt;0,"blocked_at_gate","failed_before_gate"))</f>
        <v>published</v>
      </c>
      <c r="R352" s="0" t="str">
        <f aca="false">IF(C352="success","",IF(E352&gt;0,IF(I352="freshness_within_target","freshness",IF(I352="relationships_intact","relationships",IF(I352="reconciliation_residual_zero","residual",I352))),IF(H352="quality_gate","gate_infra",H352)))</f>
        <v/>
      </c>
    </row>
    <row r="353" customFormat="false" ht="15" hidden="false" customHeight="false" outlineLevel="0" collapsed="false">
      <c r="A353" s="4" t="s">
        <v>2238</v>
      </c>
      <c r="B353" s="10" t="n">
        <v>46258.59375</v>
      </c>
      <c r="C353" s="4" t="s">
        <v>1544</v>
      </c>
      <c r="D353" s="4" t="n">
        <v>736</v>
      </c>
      <c r="E353" s="4" t="n">
        <v>7</v>
      </c>
      <c r="F353" s="4" t="n">
        <v>6</v>
      </c>
      <c r="G353" s="4" t="n">
        <v>0</v>
      </c>
      <c r="J353" s="11" t="b">
        <f aca="false">TRUE()</f>
        <v>1</v>
      </c>
      <c r="K353" s="4" t="s">
        <v>2239</v>
      </c>
      <c r="L353" s="4" t="n">
        <v>4</v>
      </c>
      <c r="M353" s="4" t="n">
        <v>4</v>
      </c>
      <c r="N353" s="4" t="n">
        <v>4</v>
      </c>
      <c r="O353" s="4" t="n">
        <v>4</v>
      </c>
      <c r="P353" s="0" t="str">
        <f aca="false">IF(E353=0,"not_reached",IF(AND(F353&gt;0,G353=0),"allowed","blocked"))</f>
        <v>allowed</v>
      </c>
      <c r="Q353" s="0" t="str">
        <f aca="false">IF(C353="success","published",IF(E353&gt;0,"blocked_at_gate","failed_before_gate"))</f>
        <v>published</v>
      </c>
      <c r="R353" s="0" t="str">
        <f aca="false">IF(C353="success","",IF(E353&gt;0,IF(I353="freshness_within_target","freshness",IF(I353="relationships_intact","relationships",IF(I353="reconciliation_residual_zero","residual",I353))),IF(H353="quality_gate","gate_infra",H353)))</f>
        <v/>
      </c>
    </row>
    <row r="354" customFormat="false" ht="15" hidden="false" customHeight="false" outlineLevel="0" collapsed="false">
      <c r="A354" s="4" t="s">
        <v>2240</v>
      </c>
      <c r="B354" s="10" t="n">
        <v>46258.6354166667</v>
      </c>
      <c r="C354" s="4" t="s">
        <v>1544</v>
      </c>
      <c r="D354" s="4" t="n">
        <v>939</v>
      </c>
      <c r="E354" s="4" t="n">
        <v>7</v>
      </c>
      <c r="F354" s="4" t="n">
        <v>6</v>
      </c>
      <c r="G354" s="4" t="n">
        <v>0</v>
      </c>
      <c r="J354" s="11" t="b">
        <f aca="false">TRUE()</f>
        <v>1</v>
      </c>
      <c r="K354" s="4" t="s">
        <v>2241</v>
      </c>
      <c r="L354" s="4" t="n">
        <v>4</v>
      </c>
      <c r="M354" s="4" t="n">
        <v>4</v>
      </c>
      <c r="N354" s="4" t="n">
        <v>4</v>
      </c>
      <c r="O354" s="4" t="n">
        <v>4</v>
      </c>
      <c r="P354" s="0" t="str">
        <f aca="false">IF(E354=0,"not_reached",IF(AND(F354&gt;0,G354=0),"allowed","blocked"))</f>
        <v>allowed</v>
      </c>
      <c r="Q354" s="0" t="str">
        <f aca="false">IF(C354="success","published",IF(E354&gt;0,"blocked_at_gate","failed_before_gate"))</f>
        <v>published</v>
      </c>
      <c r="R354" s="0" t="str">
        <f aca="false">IF(C354="success","",IF(E354&gt;0,IF(I354="freshness_within_target","freshness",IF(I354="relationships_intact","relationships",IF(I354="reconciliation_residual_zero","residual",I354))),IF(H354="quality_gate","gate_infra",H354)))</f>
        <v/>
      </c>
    </row>
    <row r="355" customFormat="false" ht="15" hidden="false" customHeight="false" outlineLevel="0" collapsed="false">
      <c r="A355" s="4" t="s">
        <v>2242</v>
      </c>
      <c r="B355" s="10" t="n">
        <v>46258.6770833333</v>
      </c>
      <c r="C355" s="4" t="s">
        <v>1544</v>
      </c>
      <c r="D355" s="4" t="n">
        <v>932</v>
      </c>
      <c r="E355" s="4" t="n">
        <v>7</v>
      </c>
      <c r="F355" s="4" t="n">
        <v>6</v>
      </c>
      <c r="G355" s="4" t="n">
        <v>0</v>
      </c>
      <c r="J355" s="11" t="b">
        <f aca="false">TRUE()</f>
        <v>1</v>
      </c>
      <c r="K355" s="4" t="s">
        <v>2243</v>
      </c>
      <c r="L355" s="4" t="n">
        <v>4</v>
      </c>
      <c r="M355" s="4" t="n">
        <v>4</v>
      </c>
      <c r="N355" s="4" t="n">
        <v>4</v>
      </c>
      <c r="O355" s="4" t="n">
        <v>4</v>
      </c>
      <c r="P355" s="0" t="str">
        <f aca="false">IF(E355=0,"not_reached",IF(AND(F355&gt;0,G355=0),"allowed","blocked"))</f>
        <v>allowed</v>
      </c>
      <c r="Q355" s="0" t="str">
        <f aca="false">IF(C355="success","published",IF(E355&gt;0,"blocked_at_gate","failed_before_gate"))</f>
        <v>published</v>
      </c>
      <c r="R355" s="0" t="str">
        <f aca="false">IF(C355="success","",IF(E355&gt;0,IF(I355="freshness_within_target","freshness",IF(I355="relationships_intact","relationships",IF(I355="reconciliation_residual_zero","residual",I355))),IF(H355="quality_gate","gate_infra",H355)))</f>
        <v/>
      </c>
    </row>
    <row r="356" customFormat="false" ht="15" hidden="false" customHeight="false" outlineLevel="0" collapsed="false">
      <c r="A356" s="4" t="s">
        <v>2244</v>
      </c>
      <c r="B356" s="10" t="n">
        <v>46258.71875</v>
      </c>
      <c r="C356" s="4" t="s">
        <v>1544</v>
      </c>
      <c r="D356" s="4" t="n">
        <v>836</v>
      </c>
      <c r="E356" s="4" t="n">
        <v>7</v>
      </c>
      <c r="F356" s="4" t="n">
        <v>6</v>
      </c>
      <c r="G356" s="4" t="n">
        <v>0</v>
      </c>
      <c r="J356" s="11" t="b">
        <f aca="false">TRUE()</f>
        <v>1</v>
      </c>
      <c r="K356" s="4" t="s">
        <v>2245</v>
      </c>
      <c r="L356" s="4" t="n">
        <v>4</v>
      </c>
      <c r="M356" s="4" t="n">
        <v>4</v>
      </c>
      <c r="N356" s="4" t="n">
        <v>4</v>
      </c>
      <c r="O356" s="4" t="n">
        <v>4</v>
      </c>
      <c r="P356" s="0" t="str">
        <f aca="false">IF(E356=0,"not_reached",IF(AND(F356&gt;0,G356=0),"allowed","blocked"))</f>
        <v>allowed</v>
      </c>
      <c r="Q356" s="0" t="str">
        <f aca="false">IF(C356="success","published",IF(E356&gt;0,"blocked_at_gate","failed_before_gate"))</f>
        <v>published</v>
      </c>
      <c r="R356" s="0" t="str">
        <f aca="false">IF(C356="success","",IF(E356&gt;0,IF(I356="freshness_within_target","freshness",IF(I356="relationships_intact","relationships",IF(I356="reconciliation_residual_zero","residual",I356))),IF(H356="quality_gate","gate_infra",H356)))</f>
        <v/>
      </c>
    </row>
    <row r="357" customFormat="false" ht="15" hidden="false" customHeight="false" outlineLevel="0" collapsed="false">
      <c r="A357" s="4" t="s">
        <v>2246</v>
      </c>
      <c r="B357" s="10" t="n">
        <v>46258.7604166667</v>
      </c>
      <c r="C357" s="4" t="s">
        <v>1544</v>
      </c>
      <c r="D357" s="4" t="n">
        <v>760</v>
      </c>
      <c r="E357" s="4" t="n">
        <v>7</v>
      </c>
      <c r="F357" s="4" t="n">
        <v>6</v>
      </c>
      <c r="G357" s="4" t="n">
        <v>0</v>
      </c>
      <c r="J357" s="11" t="b">
        <f aca="false">TRUE()</f>
        <v>1</v>
      </c>
      <c r="K357" s="4" t="s">
        <v>2247</v>
      </c>
      <c r="L357" s="4" t="n">
        <v>4</v>
      </c>
      <c r="M357" s="4" t="n">
        <v>4</v>
      </c>
      <c r="N357" s="4" t="n">
        <v>4</v>
      </c>
      <c r="O357" s="4" t="n">
        <v>4</v>
      </c>
      <c r="P357" s="0" t="str">
        <f aca="false">IF(E357=0,"not_reached",IF(AND(F357&gt;0,G357=0),"allowed","blocked"))</f>
        <v>allowed</v>
      </c>
      <c r="Q357" s="0" t="str">
        <f aca="false">IF(C357="success","published",IF(E357&gt;0,"blocked_at_gate","failed_before_gate"))</f>
        <v>published</v>
      </c>
      <c r="R357" s="0" t="str">
        <f aca="false">IF(C357="success","",IF(E357&gt;0,IF(I357="freshness_within_target","freshness",IF(I357="relationships_intact","relationships",IF(I357="reconciliation_residual_zero","residual",I357))),IF(H357="quality_gate","gate_infra",H357)))</f>
        <v/>
      </c>
    </row>
    <row r="358" customFormat="false" ht="15" hidden="false" customHeight="false" outlineLevel="0" collapsed="false">
      <c r="A358" s="4" t="s">
        <v>2248</v>
      </c>
      <c r="B358" s="10" t="n">
        <v>46258.8020833333</v>
      </c>
      <c r="C358" s="4" t="s">
        <v>1544</v>
      </c>
      <c r="D358" s="4" t="n">
        <v>752</v>
      </c>
      <c r="E358" s="4" t="n">
        <v>7</v>
      </c>
      <c r="F358" s="4" t="n">
        <v>6</v>
      </c>
      <c r="G358" s="4" t="n">
        <v>0</v>
      </c>
      <c r="J358" s="11" t="b">
        <f aca="false">TRUE()</f>
        <v>1</v>
      </c>
      <c r="K358" s="4" t="s">
        <v>2249</v>
      </c>
      <c r="L358" s="4" t="n">
        <v>4</v>
      </c>
      <c r="M358" s="4" t="n">
        <v>4</v>
      </c>
      <c r="N358" s="4" t="n">
        <v>4</v>
      </c>
      <c r="O358" s="4" t="n">
        <v>4</v>
      </c>
      <c r="P358" s="0" t="str">
        <f aca="false">IF(E358=0,"not_reached",IF(AND(F358&gt;0,G358=0),"allowed","blocked"))</f>
        <v>allowed</v>
      </c>
      <c r="Q358" s="0" t="str">
        <f aca="false">IF(C358="success","published",IF(E358&gt;0,"blocked_at_gate","failed_before_gate"))</f>
        <v>published</v>
      </c>
      <c r="R358" s="0" t="str">
        <f aca="false">IF(C358="success","",IF(E358&gt;0,IF(I358="freshness_within_target","freshness",IF(I358="relationships_intact","relationships",IF(I358="reconciliation_residual_zero","residual",I358))),IF(H358="quality_gate","gate_infra",H358)))</f>
        <v/>
      </c>
    </row>
    <row r="359" customFormat="false" ht="15" hidden="false" customHeight="false" outlineLevel="0" collapsed="false">
      <c r="A359" s="4" t="s">
        <v>2250</v>
      </c>
      <c r="B359" s="10" t="n">
        <v>46258.84375</v>
      </c>
      <c r="C359" s="4" t="s">
        <v>1544</v>
      </c>
      <c r="D359" s="4" t="n">
        <v>703</v>
      </c>
      <c r="E359" s="4" t="n">
        <v>7</v>
      </c>
      <c r="F359" s="4" t="n">
        <v>6</v>
      </c>
      <c r="G359" s="4" t="n">
        <v>0</v>
      </c>
      <c r="J359" s="11" t="b">
        <f aca="false">TRUE()</f>
        <v>1</v>
      </c>
      <c r="K359" s="4" t="s">
        <v>2251</v>
      </c>
      <c r="L359" s="4" t="n">
        <v>4</v>
      </c>
      <c r="M359" s="4" t="n">
        <v>4</v>
      </c>
      <c r="N359" s="4" t="n">
        <v>4</v>
      </c>
      <c r="O359" s="4" t="n">
        <v>4</v>
      </c>
      <c r="P359" s="0" t="str">
        <f aca="false">IF(E359=0,"not_reached",IF(AND(F359&gt;0,G359=0),"allowed","blocked"))</f>
        <v>allowed</v>
      </c>
      <c r="Q359" s="0" t="str">
        <f aca="false">IF(C359="success","published",IF(E359&gt;0,"blocked_at_gate","failed_before_gate"))</f>
        <v>published</v>
      </c>
      <c r="R359" s="0" t="str">
        <f aca="false">IF(C359="success","",IF(E359&gt;0,IF(I359="freshness_within_target","freshness",IF(I359="relationships_intact","relationships",IF(I359="reconciliation_residual_zero","residual",I359))),IF(H359="quality_gate","gate_infra",H359)))</f>
        <v/>
      </c>
    </row>
    <row r="360" customFormat="false" ht="15" hidden="false" customHeight="false" outlineLevel="0" collapsed="false">
      <c r="A360" s="4" t="s">
        <v>2252</v>
      </c>
      <c r="B360" s="10" t="n">
        <v>46258.8854166667</v>
      </c>
      <c r="C360" s="4" t="s">
        <v>1544</v>
      </c>
      <c r="D360" s="4" t="n">
        <v>915</v>
      </c>
      <c r="E360" s="4" t="n">
        <v>7</v>
      </c>
      <c r="F360" s="4" t="n">
        <v>6</v>
      </c>
      <c r="G360" s="4" t="n">
        <v>0</v>
      </c>
      <c r="J360" s="11" t="b">
        <f aca="false">TRUE()</f>
        <v>1</v>
      </c>
      <c r="K360" s="4" t="s">
        <v>2253</v>
      </c>
      <c r="L360" s="4" t="n">
        <v>4</v>
      </c>
      <c r="M360" s="4" t="n">
        <v>4</v>
      </c>
      <c r="N360" s="4" t="n">
        <v>4</v>
      </c>
      <c r="O360" s="4" t="n">
        <v>4</v>
      </c>
      <c r="P360" s="0" t="str">
        <f aca="false">IF(E360=0,"not_reached",IF(AND(F360&gt;0,G360=0),"allowed","blocked"))</f>
        <v>allowed</v>
      </c>
      <c r="Q360" s="0" t="str">
        <f aca="false">IF(C360="success","published",IF(E360&gt;0,"blocked_at_gate","failed_before_gate"))</f>
        <v>published</v>
      </c>
      <c r="R360" s="0" t="str">
        <f aca="false">IF(C360="success","",IF(E360&gt;0,IF(I360="freshness_within_target","freshness",IF(I360="relationships_intact","relationships",IF(I360="reconciliation_residual_zero","residual",I360))),IF(H360="quality_gate","gate_infra",H360)))</f>
        <v/>
      </c>
    </row>
    <row r="361" customFormat="false" ht="15" hidden="false" customHeight="false" outlineLevel="0" collapsed="false">
      <c r="A361" s="4" t="s">
        <v>2254</v>
      </c>
      <c r="B361" s="10" t="n">
        <v>46258.9270833333</v>
      </c>
      <c r="C361" s="4" t="s">
        <v>1544</v>
      </c>
      <c r="D361" s="4" t="n">
        <v>924</v>
      </c>
      <c r="E361" s="4" t="n">
        <v>7</v>
      </c>
      <c r="F361" s="4" t="n">
        <v>6</v>
      </c>
      <c r="G361" s="4" t="n">
        <v>0</v>
      </c>
      <c r="J361" s="11" t="b">
        <f aca="false">TRUE()</f>
        <v>1</v>
      </c>
      <c r="K361" s="4" t="s">
        <v>2255</v>
      </c>
      <c r="L361" s="4" t="n">
        <v>4</v>
      </c>
      <c r="M361" s="4" t="n">
        <v>4</v>
      </c>
      <c r="N361" s="4" t="n">
        <v>4</v>
      </c>
      <c r="O361" s="4" t="n">
        <v>4</v>
      </c>
      <c r="P361" s="0" t="str">
        <f aca="false">IF(E361=0,"not_reached",IF(AND(F361&gt;0,G361=0),"allowed","blocked"))</f>
        <v>allowed</v>
      </c>
      <c r="Q361" s="0" t="str">
        <f aca="false">IF(C361="success","published",IF(E361&gt;0,"blocked_at_gate","failed_before_gate"))</f>
        <v>published</v>
      </c>
      <c r="R361" s="0" t="str">
        <f aca="false">IF(C361="success","",IF(E361&gt;0,IF(I361="freshness_within_target","freshness",IF(I361="relationships_intact","relationships",IF(I361="reconciliation_residual_zero","residual",I361))),IF(H361="quality_gate","gate_infra",H361)))</f>
        <v/>
      </c>
    </row>
    <row r="362" customFormat="false" ht="15" hidden="false" customHeight="false" outlineLevel="0" collapsed="false">
      <c r="A362" s="4" t="s">
        <v>2256</v>
      </c>
      <c r="B362" s="10" t="n">
        <v>46258.96875</v>
      </c>
      <c r="C362" s="4" t="s">
        <v>1544</v>
      </c>
      <c r="D362" s="4" t="n">
        <v>949</v>
      </c>
      <c r="E362" s="4" t="n">
        <v>7</v>
      </c>
      <c r="F362" s="4" t="n">
        <v>6</v>
      </c>
      <c r="G362" s="4" t="n">
        <v>0</v>
      </c>
      <c r="J362" s="11" t="b">
        <f aca="false">TRUE()</f>
        <v>1</v>
      </c>
      <c r="K362" s="4" t="s">
        <v>2257</v>
      </c>
      <c r="L362" s="4" t="n">
        <v>4</v>
      </c>
      <c r="M362" s="4" t="n">
        <v>4</v>
      </c>
      <c r="N362" s="4" t="n">
        <v>4</v>
      </c>
      <c r="O362" s="4" t="n">
        <v>4</v>
      </c>
      <c r="P362" s="0" t="str">
        <f aca="false">IF(E362=0,"not_reached",IF(AND(F362&gt;0,G362=0),"allowed","blocked"))</f>
        <v>allowed</v>
      </c>
      <c r="Q362" s="0" t="str">
        <f aca="false">IF(C362="success","published",IF(E362&gt;0,"blocked_at_gate","failed_before_gate"))</f>
        <v>published</v>
      </c>
      <c r="R362" s="0" t="str">
        <f aca="false">IF(C362="success","",IF(E362&gt;0,IF(I362="freshness_within_target","freshness",IF(I362="relationships_intact","relationships",IF(I362="reconciliation_residual_zero","residual",I362))),IF(H362="quality_gate","gate_infra",H362)))</f>
        <v/>
      </c>
    </row>
    <row r="363" customFormat="false" ht="15" hidden="false" customHeight="false" outlineLevel="0" collapsed="false">
      <c r="A363" s="4" t="s">
        <v>2258</v>
      </c>
      <c r="B363" s="10" t="n">
        <v>46259.0104166667</v>
      </c>
      <c r="C363" s="4" t="s">
        <v>1544</v>
      </c>
      <c r="D363" s="4" t="n">
        <v>791</v>
      </c>
      <c r="E363" s="4" t="n">
        <v>7</v>
      </c>
      <c r="F363" s="4" t="n">
        <v>6</v>
      </c>
      <c r="G363" s="4" t="n">
        <v>0</v>
      </c>
      <c r="J363" s="11" t="b">
        <f aca="false">TRUE()</f>
        <v>1</v>
      </c>
      <c r="K363" s="4" t="s">
        <v>2259</v>
      </c>
      <c r="L363" s="4" t="n">
        <v>4</v>
      </c>
      <c r="M363" s="4" t="n">
        <v>4</v>
      </c>
      <c r="N363" s="4" t="n">
        <v>4</v>
      </c>
      <c r="O363" s="4" t="n">
        <v>4</v>
      </c>
      <c r="P363" s="0" t="str">
        <f aca="false">IF(E363=0,"not_reached",IF(AND(F363&gt;0,G363=0),"allowed","blocked"))</f>
        <v>allowed</v>
      </c>
      <c r="Q363" s="0" t="str">
        <f aca="false">IF(C363="success","published",IF(E363&gt;0,"blocked_at_gate","failed_before_gate"))</f>
        <v>published</v>
      </c>
      <c r="R363" s="0" t="str">
        <f aca="false">IF(C363="success","",IF(E363&gt;0,IF(I363="freshness_within_target","freshness",IF(I363="relationships_intact","relationships",IF(I363="reconciliation_residual_zero","residual",I363))),IF(H363="quality_gate","gate_infra",H363)))</f>
        <v/>
      </c>
    </row>
    <row r="364" customFormat="false" ht="15" hidden="false" customHeight="false" outlineLevel="0" collapsed="false">
      <c r="A364" s="4" t="s">
        <v>2260</v>
      </c>
      <c r="B364" s="10" t="n">
        <v>46259.0520833333</v>
      </c>
      <c r="C364" s="4" t="s">
        <v>1544</v>
      </c>
      <c r="D364" s="4" t="n">
        <v>692</v>
      </c>
      <c r="E364" s="4" t="n">
        <v>7</v>
      </c>
      <c r="F364" s="4" t="n">
        <v>6</v>
      </c>
      <c r="G364" s="4" t="n">
        <v>0</v>
      </c>
      <c r="J364" s="11" t="b">
        <f aca="false">TRUE()</f>
        <v>1</v>
      </c>
      <c r="K364" s="4" t="s">
        <v>2261</v>
      </c>
      <c r="L364" s="4" t="n">
        <v>4</v>
      </c>
      <c r="M364" s="4" t="n">
        <v>4</v>
      </c>
      <c r="N364" s="4" t="n">
        <v>4</v>
      </c>
      <c r="O364" s="4" t="n">
        <v>4</v>
      </c>
      <c r="P364" s="0" t="str">
        <f aca="false">IF(E364=0,"not_reached",IF(AND(F364&gt;0,G364=0),"allowed","blocked"))</f>
        <v>allowed</v>
      </c>
      <c r="Q364" s="0" t="str">
        <f aca="false">IF(C364="success","published",IF(E364&gt;0,"blocked_at_gate","failed_before_gate"))</f>
        <v>published</v>
      </c>
      <c r="R364" s="0" t="str">
        <f aca="false">IF(C364="success","",IF(E364&gt;0,IF(I364="freshness_within_target","freshness",IF(I364="relationships_intact","relationships",IF(I364="reconciliation_residual_zero","residual",I364))),IF(H364="quality_gate","gate_infra",H364)))</f>
        <v/>
      </c>
    </row>
    <row r="365" customFormat="false" ht="15" hidden="false" customHeight="false" outlineLevel="0" collapsed="false">
      <c r="A365" s="4" t="s">
        <v>2262</v>
      </c>
      <c r="B365" s="10" t="n">
        <v>46259.09375</v>
      </c>
      <c r="C365" s="4" t="s">
        <v>1544</v>
      </c>
      <c r="D365" s="4" t="n">
        <v>930</v>
      </c>
      <c r="E365" s="4" t="n">
        <v>7</v>
      </c>
      <c r="F365" s="4" t="n">
        <v>6</v>
      </c>
      <c r="G365" s="4" t="n">
        <v>0</v>
      </c>
      <c r="J365" s="11" t="b">
        <f aca="false">TRUE()</f>
        <v>1</v>
      </c>
      <c r="K365" s="4" t="s">
        <v>2263</v>
      </c>
      <c r="L365" s="4" t="n">
        <v>4</v>
      </c>
      <c r="M365" s="4" t="n">
        <v>4</v>
      </c>
      <c r="N365" s="4" t="n">
        <v>4</v>
      </c>
      <c r="O365" s="4" t="n">
        <v>4</v>
      </c>
      <c r="P365" s="0" t="str">
        <f aca="false">IF(E365=0,"not_reached",IF(AND(F365&gt;0,G365=0),"allowed","blocked"))</f>
        <v>allowed</v>
      </c>
      <c r="Q365" s="0" t="str">
        <f aca="false">IF(C365="success","published",IF(E365&gt;0,"blocked_at_gate","failed_before_gate"))</f>
        <v>published</v>
      </c>
      <c r="R365" s="0" t="str">
        <f aca="false">IF(C365="success","",IF(E365&gt;0,IF(I365="freshness_within_target","freshness",IF(I365="relationships_intact","relationships",IF(I365="reconciliation_residual_zero","residual",I365))),IF(H365="quality_gate","gate_infra",H365)))</f>
        <v/>
      </c>
    </row>
    <row r="366" customFormat="false" ht="15" hidden="false" customHeight="false" outlineLevel="0" collapsed="false">
      <c r="A366" s="4" t="s">
        <v>2264</v>
      </c>
      <c r="B366" s="10" t="n">
        <v>46259.1354166667</v>
      </c>
      <c r="C366" s="4" t="s">
        <v>1544</v>
      </c>
      <c r="D366" s="4" t="n">
        <v>868</v>
      </c>
      <c r="E366" s="4" t="n">
        <v>7</v>
      </c>
      <c r="F366" s="4" t="n">
        <v>6</v>
      </c>
      <c r="G366" s="4" t="n">
        <v>0</v>
      </c>
      <c r="J366" s="11" t="b">
        <f aca="false">TRUE()</f>
        <v>1</v>
      </c>
      <c r="K366" s="4" t="s">
        <v>2265</v>
      </c>
      <c r="L366" s="4" t="n">
        <v>4</v>
      </c>
      <c r="M366" s="4" t="n">
        <v>4</v>
      </c>
      <c r="N366" s="4" t="n">
        <v>4</v>
      </c>
      <c r="O366" s="4" t="n">
        <v>4</v>
      </c>
      <c r="P366" s="0" t="str">
        <f aca="false">IF(E366=0,"not_reached",IF(AND(F366&gt;0,G366=0),"allowed","blocked"))</f>
        <v>allowed</v>
      </c>
      <c r="Q366" s="0" t="str">
        <f aca="false">IF(C366="success","published",IF(E366&gt;0,"blocked_at_gate","failed_before_gate"))</f>
        <v>published</v>
      </c>
      <c r="R366" s="0" t="str">
        <f aca="false">IF(C366="success","",IF(E366&gt;0,IF(I366="freshness_within_target","freshness",IF(I366="relationships_intact","relationships",IF(I366="reconciliation_residual_zero","residual",I366))),IF(H366="quality_gate","gate_infra",H366)))</f>
        <v/>
      </c>
    </row>
    <row r="367" customFormat="false" ht="15" hidden="false" customHeight="false" outlineLevel="0" collapsed="false">
      <c r="A367" s="4" t="s">
        <v>2266</v>
      </c>
      <c r="B367" s="10" t="n">
        <v>46259.1770833333</v>
      </c>
      <c r="C367" s="4" t="s">
        <v>1544</v>
      </c>
      <c r="D367" s="4" t="n">
        <v>769</v>
      </c>
      <c r="E367" s="4" t="n">
        <v>7</v>
      </c>
      <c r="F367" s="4" t="n">
        <v>6</v>
      </c>
      <c r="G367" s="4" t="n">
        <v>0</v>
      </c>
      <c r="J367" s="11" t="b">
        <f aca="false">TRUE()</f>
        <v>1</v>
      </c>
      <c r="K367" s="4" t="s">
        <v>2267</v>
      </c>
      <c r="L367" s="4" t="n">
        <v>4</v>
      </c>
      <c r="M367" s="4" t="n">
        <v>4</v>
      </c>
      <c r="N367" s="4" t="n">
        <v>4</v>
      </c>
      <c r="O367" s="4" t="n">
        <v>4</v>
      </c>
      <c r="P367" s="0" t="str">
        <f aca="false">IF(E367=0,"not_reached",IF(AND(F367&gt;0,G367=0),"allowed","blocked"))</f>
        <v>allowed</v>
      </c>
      <c r="Q367" s="0" t="str">
        <f aca="false">IF(C367="success","published",IF(E367&gt;0,"blocked_at_gate","failed_before_gate"))</f>
        <v>published</v>
      </c>
      <c r="R367" s="0" t="str">
        <f aca="false">IF(C367="success","",IF(E367&gt;0,IF(I367="freshness_within_target","freshness",IF(I367="relationships_intact","relationships",IF(I367="reconciliation_residual_zero","residual",I367))),IF(H367="quality_gate","gate_infra",H367)))</f>
        <v/>
      </c>
    </row>
    <row r="368" customFormat="false" ht="15" hidden="false" customHeight="false" outlineLevel="0" collapsed="false">
      <c r="A368" s="4" t="s">
        <v>2268</v>
      </c>
      <c r="B368" s="10" t="n">
        <v>46259.21875</v>
      </c>
      <c r="C368" s="4" t="s">
        <v>1544</v>
      </c>
      <c r="D368" s="4" t="n">
        <v>684</v>
      </c>
      <c r="E368" s="4" t="n">
        <v>7</v>
      </c>
      <c r="F368" s="4" t="n">
        <v>6</v>
      </c>
      <c r="G368" s="4" t="n">
        <v>0</v>
      </c>
      <c r="J368" s="11" t="b">
        <f aca="false">TRUE()</f>
        <v>1</v>
      </c>
      <c r="K368" s="4" t="s">
        <v>2269</v>
      </c>
      <c r="L368" s="4" t="n">
        <v>4</v>
      </c>
      <c r="M368" s="4" t="n">
        <v>4</v>
      </c>
      <c r="N368" s="4" t="n">
        <v>4</v>
      </c>
      <c r="O368" s="4" t="n">
        <v>4</v>
      </c>
      <c r="P368" s="0" t="str">
        <f aca="false">IF(E368=0,"not_reached",IF(AND(F368&gt;0,G368=0),"allowed","blocked"))</f>
        <v>allowed</v>
      </c>
      <c r="Q368" s="0" t="str">
        <f aca="false">IF(C368="success","published",IF(E368&gt;0,"blocked_at_gate","failed_before_gate"))</f>
        <v>published</v>
      </c>
      <c r="R368" s="0" t="str">
        <f aca="false">IF(C368="success","",IF(E368&gt;0,IF(I368="freshness_within_target","freshness",IF(I368="relationships_intact","relationships",IF(I368="reconciliation_residual_zero","residual",I368))),IF(H368="quality_gate","gate_infra",H368)))</f>
        <v/>
      </c>
    </row>
    <row r="369" customFormat="false" ht="15" hidden="false" customHeight="false" outlineLevel="0" collapsed="false">
      <c r="A369" s="4" t="s">
        <v>2270</v>
      </c>
      <c r="B369" s="10" t="n">
        <v>46259.2604166667</v>
      </c>
      <c r="C369" s="4" t="s">
        <v>1544</v>
      </c>
      <c r="D369" s="4" t="n">
        <v>871</v>
      </c>
      <c r="E369" s="4" t="n">
        <v>7</v>
      </c>
      <c r="F369" s="4" t="n">
        <v>6</v>
      </c>
      <c r="G369" s="4" t="n">
        <v>0</v>
      </c>
      <c r="J369" s="11" t="b">
        <f aca="false">TRUE()</f>
        <v>1</v>
      </c>
      <c r="K369" s="4" t="s">
        <v>2271</v>
      </c>
      <c r="L369" s="4" t="n">
        <v>4</v>
      </c>
      <c r="M369" s="4" t="n">
        <v>4</v>
      </c>
      <c r="N369" s="4" t="n">
        <v>4</v>
      </c>
      <c r="O369" s="4" t="n">
        <v>4</v>
      </c>
      <c r="P369" s="0" t="str">
        <f aca="false">IF(E369=0,"not_reached",IF(AND(F369&gt;0,G369=0),"allowed","blocked"))</f>
        <v>allowed</v>
      </c>
      <c r="Q369" s="0" t="str">
        <f aca="false">IF(C369="success","published",IF(E369&gt;0,"blocked_at_gate","failed_before_gate"))</f>
        <v>published</v>
      </c>
      <c r="R369" s="0" t="str">
        <f aca="false">IF(C369="success","",IF(E369&gt;0,IF(I369="freshness_within_target","freshness",IF(I369="relationships_intact","relationships",IF(I369="reconciliation_residual_zero","residual",I369))),IF(H369="quality_gate","gate_infra",H369)))</f>
        <v/>
      </c>
    </row>
    <row r="370" customFormat="false" ht="15" hidden="false" customHeight="false" outlineLevel="0" collapsed="false">
      <c r="A370" s="4" t="s">
        <v>2272</v>
      </c>
      <c r="B370" s="10" t="n">
        <v>46259.3020833333</v>
      </c>
      <c r="C370" s="4" t="s">
        <v>1544</v>
      </c>
      <c r="D370" s="4" t="n">
        <v>720</v>
      </c>
      <c r="E370" s="4" t="n">
        <v>7</v>
      </c>
      <c r="F370" s="4" t="n">
        <v>6</v>
      </c>
      <c r="G370" s="4" t="n">
        <v>0</v>
      </c>
      <c r="J370" s="11" t="b">
        <f aca="false">TRUE()</f>
        <v>1</v>
      </c>
      <c r="K370" s="4" t="s">
        <v>2273</v>
      </c>
      <c r="L370" s="4" t="n">
        <v>4</v>
      </c>
      <c r="M370" s="4" t="n">
        <v>4</v>
      </c>
      <c r="N370" s="4" t="n">
        <v>4</v>
      </c>
      <c r="O370" s="4" t="n">
        <v>4</v>
      </c>
      <c r="P370" s="0" t="str">
        <f aca="false">IF(E370=0,"not_reached",IF(AND(F370&gt;0,G370=0),"allowed","blocked"))</f>
        <v>allowed</v>
      </c>
      <c r="Q370" s="0" t="str">
        <f aca="false">IF(C370="success","published",IF(E370&gt;0,"blocked_at_gate","failed_before_gate"))</f>
        <v>published</v>
      </c>
      <c r="R370" s="0" t="str">
        <f aca="false">IF(C370="success","",IF(E370&gt;0,IF(I370="freshness_within_target","freshness",IF(I370="relationships_intact","relationships",IF(I370="reconciliation_residual_zero","residual",I370))),IF(H370="quality_gate","gate_infra",H370)))</f>
        <v/>
      </c>
    </row>
    <row r="371" customFormat="false" ht="15" hidden="false" customHeight="false" outlineLevel="0" collapsed="false">
      <c r="A371" s="4" t="s">
        <v>2274</v>
      </c>
      <c r="B371" s="10" t="n">
        <v>46259.34375</v>
      </c>
      <c r="C371" s="4" t="s">
        <v>1544</v>
      </c>
      <c r="D371" s="4" t="n">
        <v>683</v>
      </c>
      <c r="E371" s="4" t="n">
        <v>7</v>
      </c>
      <c r="F371" s="4" t="n">
        <v>6</v>
      </c>
      <c r="G371" s="4" t="n">
        <v>0</v>
      </c>
      <c r="J371" s="11" t="b">
        <f aca="false">TRUE()</f>
        <v>1</v>
      </c>
      <c r="K371" s="4" t="s">
        <v>2275</v>
      </c>
      <c r="L371" s="4" t="n">
        <v>4</v>
      </c>
      <c r="M371" s="4" t="n">
        <v>4</v>
      </c>
      <c r="N371" s="4" t="n">
        <v>4</v>
      </c>
      <c r="O371" s="4" t="n">
        <v>4</v>
      </c>
      <c r="P371" s="0" t="str">
        <f aca="false">IF(E371=0,"not_reached",IF(AND(F371&gt;0,G371=0),"allowed","blocked"))</f>
        <v>allowed</v>
      </c>
      <c r="Q371" s="0" t="str">
        <f aca="false">IF(C371="success","published",IF(E371&gt;0,"blocked_at_gate","failed_before_gate"))</f>
        <v>published</v>
      </c>
      <c r="R371" s="0" t="str">
        <f aca="false">IF(C371="success","",IF(E371&gt;0,IF(I371="freshness_within_target","freshness",IF(I371="relationships_intact","relationships",IF(I371="reconciliation_residual_zero","residual",I371))),IF(H371="quality_gate","gate_infra",H371)))</f>
        <v/>
      </c>
    </row>
    <row r="372" customFormat="false" ht="15" hidden="false" customHeight="false" outlineLevel="0" collapsed="false">
      <c r="A372" s="4" t="s">
        <v>2276</v>
      </c>
      <c r="B372" s="10" t="n">
        <v>46259.3854166667</v>
      </c>
      <c r="C372" s="4" t="s">
        <v>1544</v>
      </c>
      <c r="D372" s="4" t="n">
        <v>768</v>
      </c>
      <c r="E372" s="4" t="n">
        <v>7</v>
      </c>
      <c r="F372" s="4" t="n">
        <v>6</v>
      </c>
      <c r="G372" s="4" t="n">
        <v>0</v>
      </c>
      <c r="J372" s="11" t="b">
        <f aca="false">TRUE()</f>
        <v>1</v>
      </c>
      <c r="K372" s="4" t="s">
        <v>2277</v>
      </c>
      <c r="L372" s="4" t="n">
        <v>4</v>
      </c>
      <c r="M372" s="4" t="n">
        <v>4</v>
      </c>
      <c r="N372" s="4" t="n">
        <v>4</v>
      </c>
      <c r="O372" s="4" t="n">
        <v>4</v>
      </c>
      <c r="P372" s="0" t="str">
        <f aca="false">IF(E372=0,"not_reached",IF(AND(F372&gt;0,G372=0),"allowed","blocked"))</f>
        <v>allowed</v>
      </c>
      <c r="Q372" s="0" t="str">
        <f aca="false">IF(C372="success","published",IF(E372&gt;0,"blocked_at_gate","failed_before_gate"))</f>
        <v>published</v>
      </c>
      <c r="R372" s="0" t="str">
        <f aca="false">IF(C372="success","",IF(E372&gt;0,IF(I372="freshness_within_target","freshness",IF(I372="relationships_intact","relationships",IF(I372="reconciliation_residual_zero","residual",I372))),IF(H372="quality_gate","gate_infra",H372)))</f>
        <v/>
      </c>
    </row>
    <row r="373" customFormat="false" ht="15" hidden="false" customHeight="false" outlineLevel="0" collapsed="false">
      <c r="A373" s="4" t="s">
        <v>2278</v>
      </c>
      <c r="B373" s="10" t="n">
        <v>46259.4270833333</v>
      </c>
      <c r="C373" s="4" t="s">
        <v>1544</v>
      </c>
      <c r="D373" s="4" t="n">
        <v>879</v>
      </c>
      <c r="E373" s="4" t="n">
        <v>7</v>
      </c>
      <c r="F373" s="4" t="n">
        <v>6</v>
      </c>
      <c r="G373" s="4" t="n">
        <v>0</v>
      </c>
      <c r="J373" s="11" t="b">
        <f aca="false">TRUE()</f>
        <v>1</v>
      </c>
      <c r="K373" s="4" t="s">
        <v>2279</v>
      </c>
      <c r="L373" s="4" t="n">
        <v>4</v>
      </c>
      <c r="M373" s="4" t="n">
        <v>4</v>
      </c>
      <c r="N373" s="4" t="n">
        <v>4</v>
      </c>
      <c r="O373" s="4" t="n">
        <v>4</v>
      </c>
      <c r="P373" s="0" t="str">
        <f aca="false">IF(E373=0,"not_reached",IF(AND(F373&gt;0,G373=0),"allowed","blocked"))</f>
        <v>allowed</v>
      </c>
      <c r="Q373" s="0" t="str">
        <f aca="false">IF(C373="success","published",IF(E373&gt;0,"blocked_at_gate","failed_before_gate"))</f>
        <v>published</v>
      </c>
      <c r="R373" s="0" t="str">
        <f aca="false">IF(C373="success","",IF(E373&gt;0,IF(I373="freshness_within_target","freshness",IF(I373="relationships_intact","relationships",IF(I373="reconciliation_residual_zero","residual",I373))),IF(H373="quality_gate","gate_infra",H373)))</f>
        <v/>
      </c>
    </row>
    <row r="374" customFormat="false" ht="15" hidden="false" customHeight="false" outlineLevel="0" collapsed="false">
      <c r="A374" s="4" t="s">
        <v>2280</v>
      </c>
      <c r="B374" s="10" t="n">
        <v>46259.46875</v>
      </c>
      <c r="C374" s="4" t="s">
        <v>1544</v>
      </c>
      <c r="D374" s="4" t="n">
        <v>669</v>
      </c>
      <c r="E374" s="4" t="n">
        <v>7</v>
      </c>
      <c r="F374" s="4" t="n">
        <v>6</v>
      </c>
      <c r="G374" s="4" t="n">
        <v>0</v>
      </c>
      <c r="J374" s="11" t="b">
        <f aca="false">TRUE()</f>
        <v>1</v>
      </c>
      <c r="K374" s="4" t="s">
        <v>2281</v>
      </c>
      <c r="L374" s="4" t="n">
        <v>4</v>
      </c>
      <c r="M374" s="4" t="n">
        <v>4</v>
      </c>
      <c r="N374" s="4" t="n">
        <v>4</v>
      </c>
      <c r="O374" s="4" t="n">
        <v>4</v>
      </c>
      <c r="P374" s="0" t="str">
        <f aca="false">IF(E374=0,"not_reached",IF(AND(F374&gt;0,G374=0),"allowed","blocked"))</f>
        <v>allowed</v>
      </c>
      <c r="Q374" s="0" t="str">
        <f aca="false">IF(C374="success","published",IF(E374&gt;0,"blocked_at_gate","failed_before_gate"))</f>
        <v>published</v>
      </c>
      <c r="R374" s="0" t="str">
        <f aca="false">IF(C374="success","",IF(E374&gt;0,IF(I374="freshness_within_target","freshness",IF(I374="relationships_intact","relationships",IF(I374="reconciliation_residual_zero","residual",I374))),IF(H374="quality_gate","gate_infra",H374)))</f>
        <v/>
      </c>
    </row>
    <row r="375" customFormat="false" ht="15" hidden="false" customHeight="false" outlineLevel="0" collapsed="false">
      <c r="A375" s="4" t="s">
        <v>2282</v>
      </c>
      <c r="B375" s="10" t="n">
        <v>46259.5104166667</v>
      </c>
      <c r="C375" s="4" t="s">
        <v>1544</v>
      </c>
      <c r="D375" s="4" t="n">
        <v>953</v>
      </c>
      <c r="E375" s="4" t="n">
        <v>7</v>
      </c>
      <c r="F375" s="4" t="n">
        <v>6</v>
      </c>
      <c r="G375" s="4" t="n">
        <v>0</v>
      </c>
      <c r="J375" s="11" t="b">
        <f aca="false">TRUE()</f>
        <v>1</v>
      </c>
      <c r="K375" s="4" t="s">
        <v>2283</v>
      </c>
      <c r="L375" s="4" t="n">
        <v>4</v>
      </c>
      <c r="M375" s="4" t="n">
        <v>4</v>
      </c>
      <c r="N375" s="4" t="n">
        <v>4</v>
      </c>
      <c r="O375" s="4" t="n">
        <v>4</v>
      </c>
      <c r="P375" s="0" t="str">
        <f aca="false">IF(E375=0,"not_reached",IF(AND(F375&gt;0,G375=0),"allowed","blocked"))</f>
        <v>allowed</v>
      </c>
      <c r="Q375" s="0" t="str">
        <f aca="false">IF(C375="success","published",IF(E375&gt;0,"blocked_at_gate","failed_before_gate"))</f>
        <v>published</v>
      </c>
      <c r="R375" s="0" t="str">
        <f aca="false">IF(C375="success","",IF(E375&gt;0,IF(I375="freshness_within_target","freshness",IF(I375="relationships_intact","relationships",IF(I375="reconciliation_residual_zero","residual",I375))),IF(H375="quality_gate","gate_infra",H375)))</f>
        <v/>
      </c>
    </row>
    <row r="376" customFormat="false" ht="15" hidden="false" customHeight="false" outlineLevel="0" collapsed="false">
      <c r="A376" s="4" t="s">
        <v>2284</v>
      </c>
      <c r="B376" s="10" t="n">
        <v>46259.5520833333</v>
      </c>
      <c r="C376" s="4" t="s">
        <v>1544</v>
      </c>
      <c r="D376" s="4" t="n">
        <v>1218</v>
      </c>
      <c r="E376" s="4" t="n">
        <v>7</v>
      </c>
      <c r="F376" s="4" t="n">
        <v>6</v>
      </c>
      <c r="G376" s="4" t="n">
        <v>0</v>
      </c>
      <c r="J376" s="11" t="b">
        <f aca="false">TRUE()</f>
        <v>1</v>
      </c>
      <c r="K376" s="4" t="s">
        <v>2285</v>
      </c>
      <c r="L376" s="4" t="n">
        <v>4</v>
      </c>
      <c r="M376" s="4" t="n">
        <v>4</v>
      </c>
      <c r="N376" s="4" t="n">
        <v>5</v>
      </c>
      <c r="O376" s="4" t="n">
        <v>4</v>
      </c>
      <c r="P376" s="0" t="str">
        <f aca="false">IF(E376=0,"not_reached",IF(AND(F376&gt;0,G376=0),"allowed","blocked"))</f>
        <v>allowed</v>
      </c>
      <c r="Q376" s="0" t="str">
        <f aca="false">IF(C376="success","published",IF(E376&gt;0,"blocked_at_gate","failed_before_gate"))</f>
        <v>published</v>
      </c>
      <c r="R376" s="0" t="str">
        <f aca="false">IF(C376="success","",IF(E376&gt;0,IF(I376="freshness_within_target","freshness",IF(I376="relationships_intact","relationships",IF(I376="reconciliation_residual_zero","residual",I376))),IF(H376="quality_gate","gate_infra",H376)))</f>
        <v/>
      </c>
    </row>
    <row r="377" customFormat="false" ht="15" hidden="false" customHeight="false" outlineLevel="0" collapsed="false">
      <c r="A377" s="4" t="s">
        <v>2286</v>
      </c>
      <c r="B377" s="10" t="n">
        <v>46259.59375</v>
      </c>
      <c r="C377" s="4" t="s">
        <v>1544</v>
      </c>
      <c r="D377" s="4" t="n">
        <v>921</v>
      </c>
      <c r="E377" s="4" t="n">
        <v>7</v>
      </c>
      <c r="F377" s="4" t="n">
        <v>6</v>
      </c>
      <c r="G377" s="4" t="n">
        <v>0</v>
      </c>
      <c r="J377" s="11" t="b">
        <f aca="false">TRUE()</f>
        <v>1</v>
      </c>
      <c r="K377" s="4" t="s">
        <v>2287</v>
      </c>
      <c r="L377" s="4" t="n">
        <v>4</v>
      </c>
      <c r="M377" s="4" t="n">
        <v>4</v>
      </c>
      <c r="N377" s="4" t="n">
        <v>4</v>
      </c>
      <c r="O377" s="4" t="n">
        <v>4</v>
      </c>
      <c r="P377" s="0" t="str">
        <f aca="false">IF(E377=0,"not_reached",IF(AND(F377&gt;0,G377=0),"allowed","blocked"))</f>
        <v>allowed</v>
      </c>
      <c r="Q377" s="0" t="str">
        <f aca="false">IF(C377="success","published",IF(E377&gt;0,"blocked_at_gate","failed_before_gate"))</f>
        <v>published</v>
      </c>
      <c r="R377" s="0" t="str">
        <f aca="false">IF(C377="success","",IF(E377&gt;0,IF(I377="freshness_within_target","freshness",IF(I377="relationships_intact","relationships",IF(I377="reconciliation_residual_zero","residual",I377))),IF(H377="quality_gate","gate_infra",H377)))</f>
        <v/>
      </c>
    </row>
    <row r="378" customFormat="false" ht="15" hidden="false" customHeight="false" outlineLevel="0" collapsed="false">
      <c r="A378" s="4" t="s">
        <v>2288</v>
      </c>
      <c r="B378" s="10" t="n">
        <v>46259.6354166667</v>
      </c>
      <c r="C378" s="4" t="s">
        <v>1544</v>
      </c>
      <c r="D378" s="4" t="n">
        <v>1007</v>
      </c>
      <c r="E378" s="4" t="n">
        <v>7</v>
      </c>
      <c r="F378" s="4" t="n">
        <v>6</v>
      </c>
      <c r="G378" s="4" t="n">
        <v>0</v>
      </c>
      <c r="J378" s="11" t="b">
        <f aca="false">TRUE()</f>
        <v>1</v>
      </c>
      <c r="K378" s="4" t="s">
        <v>2289</v>
      </c>
      <c r="L378" s="4" t="n">
        <v>4</v>
      </c>
      <c r="M378" s="4" t="n">
        <v>4</v>
      </c>
      <c r="N378" s="4" t="n">
        <v>5</v>
      </c>
      <c r="O378" s="4" t="n">
        <v>4</v>
      </c>
      <c r="P378" s="0" t="str">
        <f aca="false">IF(E378=0,"not_reached",IF(AND(F378&gt;0,G378=0),"allowed","blocked"))</f>
        <v>allowed</v>
      </c>
      <c r="Q378" s="0" t="str">
        <f aca="false">IF(C378="success","published",IF(E378&gt;0,"blocked_at_gate","failed_before_gate"))</f>
        <v>published</v>
      </c>
      <c r="R378" s="0" t="str">
        <f aca="false">IF(C378="success","",IF(E378&gt;0,IF(I378="freshness_within_target","freshness",IF(I378="relationships_intact","relationships",IF(I378="reconciliation_residual_zero","residual",I378))),IF(H378="quality_gate","gate_infra",H378)))</f>
        <v/>
      </c>
    </row>
    <row r="379" customFormat="false" ht="15" hidden="false" customHeight="false" outlineLevel="0" collapsed="false">
      <c r="A379" s="4" t="s">
        <v>2290</v>
      </c>
      <c r="B379" s="10" t="n">
        <v>46259.6770833333</v>
      </c>
      <c r="C379" s="4" t="s">
        <v>1544</v>
      </c>
      <c r="D379" s="4" t="n">
        <v>887</v>
      </c>
      <c r="E379" s="4" t="n">
        <v>7</v>
      </c>
      <c r="F379" s="4" t="n">
        <v>6</v>
      </c>
      <c r="G379" s="4" t="n">
        <v>0</v>
      </c>
      <c r="J379" s="11" t="b">
        <f aca="false">TRUE()</f>
        <v>1</v>
      </c>
      <c r="K379" s="4" t="s">
        <v>2291</v>
      </c>
      <c r="L379" s="4" t="n">
        <v>4</v>
      </c>
      <c r="M379" s="4" t="n">
        <v>4</v>
      </c>
      <c r="N379" s="4" t="n">
        <v>4</v>
      </c>
      <c r="O379" s="4" t="n">
        <v>4</v>
      </c>
      <c r="P379" s="0" t="str">
        <f aca="false">IF(E379=0,"not_reached",IF(AND(F379&gt;0,G379=0),"allowed","blocked"))</f>
        <v>allowed</v>
      </c>
      <c r="Q379" s="0" t="str">
        <f aca="false">IF(C379="success","published",IF(E379&gt;0,"blocked_at_gate","failed_before_gate"))</f>
        <v>published</v>
      </c>
      <c r="R379" s="0" t="str">
        <f aca="false">IF(C379="success","",IF(E379&gt;0,IF(I379="freshness_within_target","freshness",IF(I379="relationships_intact","relationships",IF(I379="reconciliation_residual_zero","residual",I379))),IF(H379="quality_gate","gate_infra",H379)))</f>
        <v/>
      </c>
    </row>
    <row r="380" customFormat="false" ht="15" hidden="false" customHeight="false" outlineLevel="0" collapsed="false">
      <c r="A380" s="4" t="s">
        <v>2292</v>
      </c>
      <c r="B380" s="10" t="n">
        <v>46259.71875</v>
      </c>
      <c r="C380" s="4" t="s">
        <v>1544</v>
      </c>
      <c r="D380" s="4" t="n">
        <v>942</v>
      </c>
      <c r="E380" s="4" t="n">
        <v>7</v>
      </c>
      <c r="F380" s="4" t="n">
        <v>6</v>
      </c>
      <c r="G380" s="4" t="n">
        <v>0</v>
      </c>
      <c r="J380" s="11" t="b">
        <f aca="false">TRUE()</f>
        <v>1</v>
      </c>
      <c r="K380" s="4" t="s">
        <v>2293</v>
      </c>
      <c r="L380" s="4" t="n">
        <v>4</v>
      </c>
      <c r="M380" s="4" t="n">
        <v>4</v>
      </c>
      <c r="N380" s="4" t="n">
        <v>4</v>
      </c>
      <c r="O380" s="4" t="n">
        <v>4</v>
      </c>
      <c r="P380" s="0" t="str">
        <f aca="false">IF(E380=0,"not_reached",IF(AND(F380&gt;0,G380=0),"allowed","blocked"))</f>
        <v>allowed</v>
      </c>
      <c r="Q380" s="0" t="str">
        <f aca="false">IF(C380="success","published",IF(E380&gt;0,"blocked_at_gate","failed_before_gate"))</f>
        <v>published</v>
      </c>
      <c r="R380" s="0" t="str">
        <f aca="false">IF(C380="success","",IF(E380&gt;0,IF(I380="freshness_within_target","freshness",IF(I380="relationships_intact","relationships",IF(I380="reconciliation_residual_zero","residual",I380))),IF(H380="quality_gate","gate_infra",H380)))</f>
        <v/>
      </c>
    </row>
    <row r="381" customFormat="false" ht="15" hidden="false" customHeight="false" outlineLevel="0" collapsed="false">
      <c r="A381" s="4" t="s">
        <v>2294</v>
      </c>
      <c r="B381" s="10" t="n">
        <v>46259.7604166667</v>
      </c>
      <c r="C381" s="4" t="s">
        <v>1544</v>
      </c>
      <c r="D381" s="4" t="n">
        <v>728</v>
      </c>
      <c r="E381" s="4" t="n">
        <v>7</v>
      </c>
      <c r="F381" s="4" t="n">
        <v>6</v>
      </c>
      <c r="G381" s="4" t="n">
        <v>0</v>
      </c>
      <c r="J381" s="11" t="b">
        <f aca="false">TRUE()</f>
        <v>1</v>
      </c>
      <c r="K381" s="4" t="s">
        <v>2295</v>
      </c>
      <c r="L381" s="4" t="n">
        <v>4</v>
      </c>
      <c r="M381" s="4" t="n">
        <v>4</v>
      </c>
      <c r="N381" s="4" t="n">
        <v>4</v>
      </c>
      <c r="O381" s="4" t="n">
        <v>4</v>
      </c>
      <c r="P381" s="0" t="str">
        <f aca="false">IF(E381=0,"not_reached",IF(AND(F381&gt;0,G381=0),"allowed","blocked"))</f>
        <v>allowed</v>
      </c>
      <c r="Q381" s="0" t="str">
        <f aca="false">IF(C381="success","published",IF(E381&gt;0,"blocked_at_gate","failed_before_gate"))</f>
        <v>published</v>
      </c>
      <c r="R381" s="0" t="str">
        <f aca="false">IF(C381="success","",IF(E381&gt;0,IF(I381="freshness_within_target","freshness",IF(I381="relationships_intact","relationships",IF(I381="reconciliation_residual_zero","residual",I381))),IF(H381="quality_gate","gate_infra",H381)))</f>
        <v/>
      </c>
    </row>
    <row r="382" customFormat="false" ht="15" hidden="false" customHeight="false" outlineLevel="0" collapsed="false">
      <c r="A382" s="4" t="s">
        <v>2296</v>
      </c>
      <c r="B382" s="10" t="n">
        <v>46259.8020833333</v>
      </c>
      <c r="C382" s="4" t="s">
        <v>1544</v>
      </c>
      <c r="D382" s="4" t="n">
        <v>855</v>
      </c>
      <c r="E382" s="4" t="n">
        <v>7</v>
      </c>
      <c r="F382" s="4" t="n">
        <v>6</v>
      </c>
      <c r="G382" s="4" t="n">
        <v>0</v>
      </c>
      <c r="J382" s="11" t="b">
        <f aca="false">TRUE()</f>
        <v>1</v>
      </c>
      <c r="K382" s="4" t="s">
        <v>2297</v>
      </c>
      <c r="L382" s="4" t="n">
        <v>4</v>
      </c>
      <c r="M382" s="4" t="n">
        <v>4</v>
      </c>
      <c r="N382" s="4" t="n">
        <v>4</v>
      </c>
      <c r="O382" s="4" t="n">
        <v>4</v>
      </c>
      <c r="P382" s="0" t="str">
        <f aca="false">IF(E382=0,"not_reached",IF(AND(F382&gt;0,G382=0),"allowed","blocked"))</f>
        <v>allowed</v>
      </c>
      <c r="Q382" s="0" t="str">
        <f aca="false">IF(C382="success","published",IF(E382&gt;0,"blocked_at_gate","failed_before_gate"))</f>
        <v>published</v>
      </c>
      <c r="R382" s="0" t="str">
        <f aca="false">IF(C382="success","",IF(E382&gt;0,IF(I382="freshness_within_target","freshness",IF(I382="relationships_intact","relationships",IF(I382="reconciliation_residual_zero","residual",I382))),IF(H382="quality_gate","gate_infra",H382)))</f>
        <v/>
      </c>
    </row>
    <row r="383" customFormat="false" ht="15" hidden="false" customHeight="false" outlineLevel="0" collapsed="false">
      <c r="A383" s="4" t="s">
        <v>2298</v>
      </c>
      <c r="B383" s="10" t="n">
        <v>46259.84375</v>
      </c>
      <c r="C383" s="4" t="s">
        <v>1544</v>
      </c>
      <c r="D383" s="4" t="n">
        <v>794</v>
      </c>
      <c r="E383" s="4" t="n">
        <v>7</v>
      </c>
      <c r="F383" s="4" t="n">
        <v>6</v>
      </c>
      <c r="G383" s="4" t="n">
        <v>0</v>
      </c>
      <c r="J383" s="11" t="b">
        <f aca="false">TRUE()</f>
        <v>1</v>
      </c>
      <c r="K383" s="4" t="s">
        <v>2299</v>
      </c>
      <c r="L383" s="4" t="n">
        <v>4</v>
      </c>
      <c r="M383" s="4" t="n">
        <v>4</v>
      </c>
      <c r="N383" s="4" t="n">
        <v>4</v>
      </c>
      <c r="O383" s="4" t="n">
        <v>4</v>
      </c>
      <c r="P383" s="0" t="str">
        <f aca="false">IF(E383=0,"not_reached",IF(AND(F383&gt;0,G383=0),"allowed","blocked"))</f>
        <v>allowed</v>
      </c>
      <c r="Q383" s="0" t="str">
        <f aca="false">IF(C383="success","published",IF(E383&gt;0,"blocked_at_gate","failed_before_gate"))</f>
        <v>published</v>
      </c>
      <c r="R383" s="0" t="str">
        <f aca="false">IF(C383="success","",IF(E383&gt;0,IF(I383="freshness_within_target","freshness",IF(I383="relationships_intact","relationships",IF(I383="reconciliation_residual_zero","residual",I383))),IF(H383="quality_gate","gate_infra",H383)))</f>
        <v/>
      </c>
    </row>
    <row r="384" customFormat="false" ht="15" hidden="false" customHeight="false" outlineLevel="0" collapsed="false">
      <c r="A384" s="4" t="s">
        <v>2300</v>
      </c>
      <c r="B384" s="10" t="n">
        <v>46259.8854166667</v>
      </c>
      <c r="C384" s="4" t="s">
        <v>1544</v>
      </c>
      <c r="D384" s="4" t="n">
        <v>865</v>
      </c>
      <c r="E384" s="4" t="n">
        <v>7</v>
      </c>
      <c r="F384" s="4" t="n">
        <v>6</v>
      </c>
      <c r="G384" s="4" t="n">
        <v>0</v>
      </c>
      <c r="J384" s="11" t="b">
        <f aca="false">TRUE()</f>
        <v>1</v>
      </c>
      <c r="K384" s="4" t="s">
        <v>2301</v>
      </c>
      <c r="L384" s="4" t="n">
        <v>4</v>
      </c>
      <c r="M384" s="4" t="n">
        <v>4</v>
      </c>
      <c r="N384" s="4" t="n">
        <v>4</v>
      </c>
      <c r="O384" s="4" t="n">
        <v>4</v>
      </c>
      <c r="P384" s="0" t="str">
        <f aca="false">IF(E384=0,"not_reached",IF(AND(F384&gt;0,G384=0),"allowed","blocked"))</f>
        <v>allowed</v>
      </c>
      <c r="Q384" s="0" t="str">
        <f aca="false">IF(C384="success","published",IF(E384&gt;0,"blocked_at_gate","failed_before_gate"))</f>
        <v>published</v>
      </c>
      <c r="R384" s="0" t="str">
        <f aca="false">IF(C384="success","",IF(E384&gt;0,IF(I384="freshness_within_target","freshness",IF(I384="relationships_intact","relationships",IF(I384="reconciliation_residual_zero","residual",I384))),IF(H384="quality_gate","gate_infra",H384)))</f>
        <v/>
      </c>
    </row>
    <row r="385" customFormat="false" ht="15" hidden="false" customHeight="false" outlineLevel="0" collapsed="false">
      <c r="A385" s="4" t="s">
        <v>2302</v>
      </c>
      <c r="B385" s="10" t="n">
        <v>46259.9270833333</v>
      </c>
      <c r="C385" s="4" t="s">
        <v>1544</v>
      </c>
      <c r="D385" s="4" t="n">
        <v>905</v>
      </c>
      <c r="E385" s="4" t="n">
        <v>7</v>
      </c>
      <c r="F385" s="4" t="n">
        <v>6</v>
      </c>
      <c r="G385" s="4" t="n">
        <v>0</v>
      </c>
      <c r="J385" s="11" t="b">
        <f aca="false">TRUE()</f>
        <v>1</v>
      </c>
      <c r="K385" s="4" t="s">
        <v>2303</v>
      </c>
      <c r="L385" s="4" t="n">
        <v>4</v>
      </c>
      <c r="M385" s="4" t="n">
        <v>4</v>
      </c>
      <c r="N385" s="4" t="n">
        <v>4</v>
      </c>
      <c r="O385" s="4" t="n">
        <v>4</v>
      </c>
      <c r="P385" s="0" t="str">
        <f aca="false">IF(E385=0,"not_reached",IF(AND(F385&gt;0,G385=0),"allowed","blocked"))</f>
        <v>allowed</v>
      </c>
      <c r="Q385" s="0" t="str">
        <f aca="false">IF(C385="success","published",IF(E385&gt;0,"blocked_at_gate","failed_before_gate"))</f>
        <v>published</v>
      </c>
      <c r="R385" s="0" t="str">
        <f aca="false">IF(C385="success","",IF(E385&gt;0,IF(I385="freshness_within_target","freshness",IF(I385="relationships_intact","relationships",IF(I385="reconciliation_residual_zero","residual",I385))),IF(H385="quality_gate","gate_infra",H385)))</f>
        <v/>
      </c>
    </row>
    <row r="386" customFormat="false" ht="15" hidden="false" customHeight="false" outlineLevel="0" collapsed="false">
      <c r="A386" s="4" t="s">
        <v>2304</v>
      </c>
      <c r="B386" s="10" t="n">
        <v>46259.96875</v>
      </c>
      <c r="C386" s="4" t="s">
        <v>1544</v>
      </c>
      <c r="D386" s="4" t="n">
        <v>814</v>
      </c>
      <c r="E386" s="4" t="n">
        <v>7</v>
      </c>
      <c r="F386" s="4" t="n">
        <v>6</v>
      </c>
      <c r="G386" s="4" t="n">
        <v>0</v>
      </c>
      <c r="J386" s="11" t="b">
        <f aca="false">TRUE()</f>
        <v>1</v>
      </c>
      <c r="K386" s="4" t="s">
        <v>2305</v>
      </c>
      <c r="L386" s="4" t="n">
        <v>4</v>
      </c>
      <c r="M386" s="4" t="n">
        <v>4</v>
      </c>
      <c r="N386" s="4" t="n">
        <v>4</v>
      </c>
      <c r="O386" s="4" t="n">
        <v>4</v>
      </c>
      <c r="P386" s="0" t="str">
        <f aca="false">IF(E386=0,"not_reached",IF(AND(F386&gt;0,G386=0),"allowed","blocked"))</f>
        <v>allowed</v>
      </c>
      <c r="Q386" s="0" t="str">
        <f aca="false">IF(C386="success","published",IF(E386&gt;0,"blocked_at_gate","failed_before_gate"))</f>
        <v>published</v>
      </c>
      <c r="R386" s="0" t="str">
        <f aca="false">IF(C386="success","",IF(E386&gt;0,IF(I386="freshness_within_target","freshness",IF(I386="relationships_intact","relationships",IF(I386="reconciliation_residual_zero","residual",I386))),IF(H386="quality_gate","gate_infra",H386)))</f>
        <v/>
      </c>
    </row>
    <row r="387" customFormat="false" ht="15" hidden="false" customHeight="false" outlineLevel="0" collapsed="false">
      <c r="A387" s="4" t="s">
        <v>2306</v>
      </c>
      <c r="B387" s="10" t="n">
        <v>46260.0104166667</v>
      </c>
      <c r="C387" s="4" t="s">
        <v>1544</v>
      </c>
      <c r="D387" s="4" t="n">
        <v>1213</v>
      </c>
      <c r="E387" s="4" t="n">
        <v>7</v>
      </c>
      <c r="F387" s="4" t="n">
        <v>6</v>
      </c>
      <c r="G387" s="4" t="n">
        <v>0</v>
      </c>
      <c r="J387" s="11" t="b">
        <f aca="false">TRUE()</f>
        <v>1</v>
      </c>
      <c r="K387" s="4" t="s">
        <v>2307</v>
      </c>
      <c r="L387" s="4" t="n">
        <v>4</v>
      </c>
      <c r="M387" s="4" t="n">
        <v>4</v>
      </c>
      <c r="N387" s="4" t="n">
        <v>5</v>
      </c>
      <c r="O387" s="4" t="n">
        <v>4</v>
      </c>
      <c r="P387" s="0" t="str">
        <f aca="false">IF(E387=0,"not_reached",IF(AND(F387&gt;0,G387=0),"allowed","blocked"))</f>
        <v>allowed</v>
      </c>
      <c r="Q387" s="0" t="str">
        <f aca="false">IF(C387="success","published",IF(E387&gt;0,"blocked_at_gate","failed_before_gate"))</f>
        <v>published</v>
      </c>
      <c r="R387" s="0" t="str">
        <f aca="false">IF(C387="success","",IF(E387&gt;0,IF(I387="freshness_within_target","freshness",IF(I387="relationships_intact","relationships",IF(I387="reconciliation_residual_zero","residual",I387))),IF(H387="quality_gate","gate_infra",H387)))</f>
        <v/>
      </c>
    </row>
    <row r="388" customFormat="false" ht="15" hidden="false" customHeight="false" outlineLevel="0" collapsed="false">
      <c r="A388" s="4" t="s">
        <v>2308</v>
      </c>
      <c r="B388" s="10" t="n">
        <v>46260.0520833333</v>
      </c>
      <c r="C388" s="4" t="s">
        <v>1544</v>
      </c>
      <c r="D388" s="4" t="n">
        <v>1239</v>
      </c>
      <c r="E388" s="4" t="n">
        <v>7</v>
      </c>
      <c r="F388" s="4" t="n">
        <v>6</v>
      </c>
      <c r="G388" s="4" t="n">
        <v>0</v>
      </c>
      <c r="J388" s="11" t="b">
        <f aca="false">TRUE()</f>
        <v>1</v>
      </c>
      <c r="K388" s="4" t="s">
        <v>2309</v>
      </c>
      <c r="L388" s="4" t="n">
        <v>4</v>
      </c>
      <c r="M388" s="4" t="n">
        <v>4</v>
      </c>
      <c r="N388" s="4" t="n">
        <v>5</v>
      </c>
      <c r="O388" s="4" t="n">
        <v>4</v>
      </c>
      <c r="P388" s="0" t="str">
        <f aca="false">IF(E388=0,"not_reached",IF(AND(F388&gt;0,G388=0),"allowed","blocked"))</f>
        <v>allowed</v>
      </c>
      <c r="Q388" s="0" t="str">
        <f aca="false">IF(C388="success","published",IF(E388&gt;0,"blocked_at_gate","failed_before_gate"))</f>
        <v>published</v>
      </c>
      <c r="R388" s="0" t="str">
        <f aca="false">IF(C388="success","",IF(E388&gt;0,IF(I388="freshness_within_target","freshness",IF(I388="relationships_intact","relationships",IF(I388="reconciliation_residual_zero","residual",I388))),IF(H388="quality_gate","gate_infra",H388)))</f>
        <v/>
      </c>
    </row>
    <row r="389" customFormat="false" ht="15" hidden="false" customHeight="false" outlineLevel="0" collapsed="false">
      <c r="A389" s="4" t="s">
        <v>2310</v>
      </c>
      <c r="B389" s="10" t="n">
        <v>46260.09375</v>
      </c>
      <c r="C389" s="4" t="s">
        <v>1544</v>
      </c>
      <c r="D389" s="4" t="n">
        <v>752</v>
      </c>
      <c r="E389" s="4" t="n">
        <v>7</v>
      </c>
      <c r="F389" s="4" t="n">
        <v>6</v>
      </c>
      <c r="G389" s="4" t="n">
        <v>0</v>
      </c>
      <c r="J389" s="11" t="b">
        <f aca="false">TRUE()</f>
        <v>1</v>
      </c>
      <c r="K389" s="4" t="s">
        <v>2311</v>
      </c>
      <c r="L389" s="4" t="n">
        <v>4</v>
      </c>
      <c r="M389" s="4" t="n">
        <v>4</v>
      </c>
      <c r="N389" s="4" t="n">
        <v>4</v>
      </c>
      <c r="O389" s="4" t="n">
        <v>4</v>
      </c>
      <c r="P389" s="0" t="str">
        <f aca="false">IF(E389=0,"not_reached",IF(AND(F389&gt;0,G389=0),"allowed","blocked"))</f>
        <v>allowed</v>
      </c>
      <c r="Q389" s="0" t="str">
        <f aca="false">IF(C389="success","published",IF(E389&gt;0,"blocked_at_gate","failed_before_gate"))</f>
        <v>published</v>
      </c>
      <c r="R389" s="0" t="str">
        <f aca="false">IF(C389="success","",IF(E389&gt;0,IF(I389="freshness_within_target","freshness",IF(I389="relationships_intact","relationships",IF(I389="reconciliation_residual_zero","residual",I389))),IF(H389="quality_gate","gate_infra",H389)))</f>
        <v/>
      </c>
    </row>
    <row r="390" customFormat="false" ht="15" hidden="false" customHeight="false" outlineLevel="0" collapsed="false">
      <c r="A390" s="4" t="s">
        <v>2312</v>
      </c>
      <c r="B390" s="10" t="n">
        <v>46260.1354166667</v>
      </c>
      <c r="C390" s="4" t="s">
        <v>1544</v>
      </c>
      <c r="D390" s="4" t="n">
        <v>745</v>
      </c>
      <c r="E390" s="4" t="n">
        <v>7</v>
      </c>
      <c r="F390" s="4" t="n">
        <v>6</v>
      </c>
      <c r="G390" s="4" t="n">
        <v>0</v>
      </c>
      <c r="J390" s="11" t="b">
        <f aca="false">TRUE()</f>
        <v>1</v>
      </c>
      <c r="K390" s="4" t="s">
        <v>2313</v>
      </c>
      <c r="L390" s="4" t="n">
        <v>4</v>
      </c>
      <c r="M390" s="4" t="n">
        <v>4</v>
      </c>
      <c r="N390" s="4" t="n">
        <v>4</v>
      </c>
      <c r="O390" s="4" t="n">
        <v>4</v>
      </c>
      <c r="P390" s="0" t="str">
        <f aca="false">IF(E390=0,"not_reached",IF(AND(F390&gt;0,G390=0),"allowed","blocked"))</f>
        <v>allowed</v>
      </c>
      <c r="Q390" s="0" t="str">
        <f aca="false">IF(C390="success","published",IF(E390&gt;0,"blocked_at_gate","failed_before_gate"))</f>
        <v>published</v>
      </c>
      <c r="R390" s="0" t="str">
        <f aca="false">IF(C390="success","",IF(E390&gt;0,IF(I390="freshness_within_target","freshness",IF(I390="relationships_intact","relationships",IF(I390="reconciliation_residual_zero","residual",I390))),IF(H390="quality_gate","gate_infra",H390)))</f>
        <v/>
      </c>
    </row>
    <row r="391" customFormat="false" ht="15" hidden="false" customHeight="false" outlineLevel="0" collapsed="false">
      <c r="A391" s="4" t="s">
        <v>2314</v>
      </c>
      <c r="B391" s="10" t="n">
        <v>46260.1770833333</v>
      </c>
      <c r="C391" s="4" t="s">
        <v>1544</v>
      </c>
      <c r="D391" s="4" t="n">
        <v>817</v>
      </c>
      <c r="E391" s="4" t="n">
        <v>7</v>
      </c>
      <c r="F391" s="4" t="n">
        <v>6</v>
      </c>
      <c r="G391" s="4" t="n">
        <v>0</v>
      </c>
      <c r="J391" s="11" t="b">
        <f aca="false">TRUE()</f>
        <v>1</v>
      </c>
      <c r="K391" s="4" t="s">
        <v>2315</v>
      </c>
      <c r="L391" s="4" t="n">
        <v>4</v>
      </c>
      <c r="M391" s="4" t="n">
        <v>4</v>
      </c>
      <c r="N391" s="4" t="n">
        <v>4</v>
      </c>
      <c r="O391" s="4" t="n">
        <v>4</v>
      </c>
      <c r="P391" s="0" t="str">
        <f aca="false">IF(E391=0,"not_reached",IF(AND(F391&gt;0,G391=0),"allowed","blocked"))</f>
        <v>allowed</v>
      </c>
      <c r="Q391" s="0" t="str">
        <f aca="false">IF(C391="success","published",IF(E391&gt;0,"blocked_at_gate","failed_before_gate"))</f>
        <v>published</v>
      </c>
      <c r="R391" s="0" t="str">
        <f aca="false">IF(C391="success","",IF(E391&gt;0,IF(I391="freshness_within_target","freshness",IF(I391="relationships_intact","relationships",IF(I391="reconciliation_residual_zero","residual",I391))),IF(H391="quality_gate","gate_infra",H391)))</f>
        <v/>
      </c>
    </row>
    <row r="392" customFormat="false" ht="15" hidden="false" customHeight="false" outlineLevel="0" collapsed="false">
      <c r="A392" s="4" t="s">
        <v>2316</v>
      </c>
      <c r="B392" s="10" t="n">
        <v>46260.21875</v>
      </c>
      <c r="C392" s="4" t="s">
        <v>1544</v>
      </c>
      <c r="D392" s="4" t="n">
        <v>897</v>
      </c>
      <c r="E392" s="4" t="n">
        <v>7</v>
      </c>
      <c r="F392" s="4" t="n">
        <v>6</v>
      </c>
      <c r="G392" s="4" t="n">
        <v>0</v>
      </c>
      <c r="J392" s="11" t="b">
        <f aca="false">TRUE()</f>
        <v>1</v>
      </c>
      <c r="K392" s="4" t="s">
        <v>2317</v>
      </c>
      <c r="L392" s="4" t="n">
        <v>4</v>
      </c>
      <c r="M392" s="4" t="n">
        <v>4</v>
      </c>
      <c r="N392" s="4" t="n">
        <v>4</v>
      </c>
      <c r="O392" s="4" t="n">
        <v>4</v>
      </c>
      <c r="P392" s="0" t="str">
        <f aca="false">IF(E392=0,"not_reached",IF(AND(F392&gt;0,G392=0),"allowed","blocked"))</f>
        <v>allowed</v>
      </c>
      <c r="Q392" s="0" t="str">
        <f aca="false">IF(C392="success","published",IF(E392&gt;0,"blocked_at_gate","failed_before_gate"))</f>
        <v>published</v>
      </c>
      <c r="R392" s="0" t="str">
        <f aca="false">IF(C392="success","",IF(E392&gt;0,IF(I392="freshness_within_target","freshness",IF(I392="relationships_intact","relationships",IF(I392="reconciliation_residual_zero","residual",I392))),IF(H392="quality_gate","gate_infra",H392)))</f>
        <v/>
      </c>
    </row>
    <row r="393" customFormat="false" ht="15" hidden="false" customHeight="false" outlineLevel="0" collapsed="false">
      <c r="A393" s="4" t="s">
        <v>2318</v>
      </c>
      <c r="B393" s="10" t="n">
        <v>46260.2604166667</v>
      </c>
      <c r="C393" s="4" t="s">
        <v>1544</v>
      </c>
      <c r="D393" s="4" t="n">
        <v>840</v>
      </c>
      <c r="E393" s="4" t="n">
        <v>7</v>
      </c>
      <c r="F393" s="4" t="n">
        <v>6</v>
      </c>
      <c r="G393" s="4" t="n">
        <v>0</v>
      </c>
      <c r="J393" s="11" t="b">
        <f aca="false">TRUE()</f>
        <v>1</v>
      </c>
      <c r="K393" s="4" t="s">
        <v>2319</v>
      </c>
      <c r="L393" s="4" t="n">
        <v>4</v>
      </c>
      <c r="M393" s="4" t="n">
        <v>4</v>
      </c>
      <c r="N393" s="4" t="n">
        <v>4</v>
      </c>
      <c r="O393" s="4" t="n">
        <v>4</v>
      </c>
      <c r="P393" s="0" t="str">
        <f aca="false">IF(E393=0,"not_reached",IF(AND(F393&gt;0,G393=0),"allowed","blocked"))</f>
        <v>allowed</v>
      </c>
      <c r="Q393" s="0" t="str">
        <f aca="false">IF(C393="success","published",IF(E393&gt;0,"blocked_at_gate","failed_before_gate"))</f>
        <v>published</v>
      </c>
      <c r="R393" s="0" t="str">
        <f aca="false">IF(C393="success","",IF(E393&gt;0,IF(I393="freshness_within_target","freshness",IF(I393="relationships_intact","relationships",IF(I393="reconciliation_residual_zero","residual",I393))),IF(H393="quality_gate","gate_infra",H393)))</f>
        <v/>
      </c>
    </row>
    <row r="394" customFormat="false" ht="15" hidden="false" customHeight="false" outlineLevel="0" collapsed="false">
      <c r="A394" s="4" t="s">
        <v>2320</v>
      </c>
      <c r="B394" s="10" t="n">
        <v>46260.3020833333</v>
      </c>
      <c r="C394" s="4" t="s">
        <v>1544</v>
      </c>
      <c r="D394" s="4" t="n">
        <v>795</v>
      </c>
      <c r="E394" s="4" t="n">
        <v>7</v>
      </c>
      <c r="F394" s="4" t="n">
        <v>6</v>
      </c>
      <c r="G394" s="4" t="n">
        <v>0</v>
      </c>
      <c r="J394" s="11" t="b">
        <f aca="false">TRUE()</f>
        <v>1</v>
      </c>
      <c r="K394" s="4" t="s">
        <v>2321</v>
      </c>
      <c r="L394" s="4" t="n">
        <v>4</v>
      </c>
      <c r="M394" s="4" t="n">
        <v>4</v>
      </c>
      <c r="N394" s="4" t="n">
        <v>4</v>
      </c>
      <c r="O394" s="4" t="n">
        <v>4</v>
      </c>
      <c r="P394" s="0" t="str">
        <f aca="false">IF(E394=0,"not_reached",IF(AND(F394&gt;0,G394=0),"allowed","blocked"))</f>
        <v>allowed</v>
      </c>
      <c r="Q394" s="0" t="str">
        <f aca="false">IF(C394="success","published",IF(E394&gt;0,"blocked_at_gate","failed_before_gate"))</f>
        <v>published</v>
      </c>
      <c r="R394" s="0" t="str">
        <f aca="false">IF(C394="success","",IF(E394&gt;0,IF(I394="freshness_within_target","freshness",IF(I394="relationships_intact","relationships",IF(I394="reconciliation_residual_zero","residual",I394))),IF(H394="quality_gate","gate_infra",H394)))</f>
        <v/>
      </c>
    </row>
    <row r="395" customFormat="false" ht="15" hidden="false" customHeight="false" outlineLevel="0" collapsed="false">
      <c r="A395" s="4" t="s">
        <v>2322</v>
      </c>
      <c r="B395" s="10" t="n">
        <v>46260.34375</v>
      </c>
      <c r="C395" s="4" t="s">
        <v>1544</v>
      </c>
      <c r="D395" s="4" t="n">
        <v>925</v>
      </c>
      <c r="E395" s="4" t="n">
        <v>7</v>
      </c>
      <c r="F395" s="4" t="n">
        <v>6</v>
      </c>
      <c r="G395" s="4" t="n">
        <v>0</v>
      </c>
      <c r="J395" s="11" t="b">
        <f aca="false">TRUE()</f>
        <v>1</v>
      </c>
      <c r="K395" s="4" t="s">
        <v>2323</v>
      </c>
      <c r="L395" s="4" t="n">
        <v>4</v>
      </c>
      <c r="M395" s="4" t="n">
        <v>4</v>
      </c>
      <c r="N395" s="4" t="n">
        <v>4</v>
      </c>
      <c r="O395" s="4" t="n">
        <v>4</v>
      </c>
      <c r="P395" s="0" t="str">
        <f aca="false">IF(E395=0,"not_reached",IF(AND(F395&gt;0,G395=0),"allowed","blocked"))</f>
        <v>allowed</v>
      </c>
      <c r="Q395" s="0" t="str">
        <f aca="false">IF(C395="success","published",IF(E395&gt;0,"blocked_at_gate","failed_before_gate"))</f>
        <v>published</v>
      </c>
      <c r="R395" s="0" t="str">
        <f aca="false">IF(C395="success","",IF(E395&gt;0,IF(I395="freshness_within_target","freshness",IF(I395="relationships_intact","relationships",IF(I395="reconciliation_residual_zero","residual",I395))),IF(H395="quality_gate","gate_infra",H395)))</f>
        <v/>
      </c>
    </row>
    <row r="396" customFormat="false" ht="15" hidden="false" customHeight="false" outlineLevel="0" collapsed="false">
      <c r="A396" s="4" t="s">
        <v>2324</v>
      </c>
      <c r="B396" s="10" t="n">
        <v>46260.3854166667</v>
      </c>
      <c r="C396" s="4" t="s">
        <v>1544</v>
      </c>
      <c r="D396" s="4" t="n">
        <v>727</v>
      </c>
      <c r="E396" s="4" t="n">
        <v>7</v>
      </c>
      <c r="F396" s="4" t="n">
        <v>6</v>
      </c>
      <c r="G396" s="4" t="n">
        <v>0</v>
      </c>
      <c r="J396" s="11" t="b">
        <f aca="false">TRUE()</f>
        <v>1</v>
      </c>
      <c r="K396" s="4" t="s">
        <v>2325</v>
      </c>
      <c r="L396" s="4" t="n">
        <v>4</v>
      </c>
      <c r="M396" s="4" t="n">
        <v>4</v>
      </c>
      <c r="N396" s="4" t="n">
        <v>4</v>
      </c>
      <c r="O396" s="4" t="n">
        <v>4</v>
      </c>
      <c r="P396" s="0" t="str">
        <f aca="false">IF(E396=0,"not_reached",IF(AND(F396&gt;0,G396=0),"allowed","blocked"))</f>
        <v>allowed</v>
      </c>
      <c r="Q396" s="0" t="str">
        <f aca="false">IF(C396="success","published",IF(E396&gt;0,"blocked_at_gate","failed_before_gate"))</f>
        <v>published</v>
      </c>
      <c r="R396" s="0" t="str">
        <f aca="false">IF(C396="success","",IF(E396&gt;0,IF(I396="freshness_within_target","freshness",IF(I396="relationships_intact","relationships",IF(I396="reconciliation_residual_zero","residual",I396))),IF(H396="quality_gate","gate_infra",H396)))</f>
        <v/>
      </c>
    </row>
    <row r="397" customFormat="false" ht="15" hidden="false" customHeight="false" outlineLevel="0" collapsed="false">
      <c r="A397" s="4" t="s">
        <v>2326</v>
      </c>
      <c r="B397" s="10" t="n">
        <v>46260.4270833333</v>
      </c>
      <c r="C397" s="4" t="s">
        <v>1544</v>
      </c>
      <c r="D397" s="4" t="n">
        <v>748</v>
      </c>
      <c r="E397" s="4" t="n">
        <v>7</v>
      </c>
      <c r="F397" s="4" t="n">
        <v>6</v>
      </c>
      <c r="G397" s="4" t="n">
        <v>0</v>
      </c>
      <c r="J397" s="11" t="b">
        <f aca="false">TRUE()</f>
        <v>1</v>
      </c>
      <c r="K397" s="4" t="s">
        <v>2327</v>
      </c>
      <c r="L397" s="4" t="n">
        <v>4</v>
      </c>
      <c r="M397" s="4" t="n">
        <v>4</v>
      </c>
      <c r="N397" s="4" t="n">
        <v>4</v>
      </c>
      <c r="O397" s="4" t="n">
        <v>4</v>
      </c>
      <c r="P397" s="0" t="str">
        <f aca="false">IF(E397=0,"not_reached",IF(AND(F397&gt;0,G397=0),"allowed","blocked"))</f>
        <v>allowed</v>
      </c>
      <c r="Q397" s="0" t="str">
        <f aca="false">IF(C397="success","published",IF(E397&gt;0,"blocked_at_gate","failed_before_gate"))</f>
        <v>published</v>
      </c>
      <c r="R397" s="0" t="str">
        <f aca="false">IF(C397="success","",IF(E397&gt;0,IF(I397="freshness_within_target","freshness",IF(I397="relationships_intact","relationships",IF(I397="reconciliation_residual_zero","residual",I397))),IF(H397="quality_gate","gate_infra",H397)))</f>
        <v/>
      </c>
    </row>
    <row r="398" customFormat="false" ht="15" hidden="false" customHeight="false" outlineLevel="0" collapsed="false">
      <c r="A398" s="4" t="s">
        <v>2328</v>
      </c>
      <c r="B398" s="10" t="n">
        <v>46260.46875</v>
      </c>
      <c r="C398" s="4" t="s">
        <v>1544</v>
      </c>
      <c r="D398" s="4" t="n">
        <v>931</v>
      </c>
      <c r="E398" s="4" t="n">
        <v>7</v>
      </c>
      <c r="F398" s="4" t="n">
        <v>6</v>
      </c>
      <c r="G398" s="4" t="n">
        <v>0</v>
      </c>
      <c r="J398" s="11" t="b">
        <f aca="false">TRUE()</f>
        <v>1</v>
      </c>
      <c r="K398" s="4" t="s">
        <v>2329</v>
      </c>
      <c r="L398" s="4" t="n">
        <v>4</v>
      </c>
      <c r="M398" s="4" t="n">
        <v>4</v>
      </c>
      <c r="N398" s="4" t="n">
        <v>4</v>
      </c>
      <c r="O398" s="4" t="n">
        <v>4</v>
      </c>
      <c r="P398" s="0" t="str">
        <f aca="false">IF(E398=0,"not_reached",IF(AND(F398&gt;0,G398=0),"allowed","blocked"))</f>
        <v>allowed</v>
      </c>
      <c r="Q398" s="0" t="str">
        <f aca="false">IF(C398="success","published",IF(E398&gt;0,"blocked_at_gate","failed_before_gate"))</f>
        <v>published</v>
      </c>
      <c r="R398" s="0" t="str">
        <f aca="false">IF(C398="success","",IF(E398&gt;0,IF(I398="freshness_within_target","freshness",IF(I398="relationships_intact","relationships",IF(I398="reconciliation_residual_zero","residual",I398))),IF(H398="quality_gate","gate_infra",H398)))</f>
        <v/>
      </c>
    </row>
    <row r="399" customFormat="false" ht="15" hidden="false" customHeight="false" outlineLevel="0" collapsed="false">
      <c r="A399" s="4" t="s">
        <v>2330</v>
      </c>
      <c r="B399" s="10" t="n">
        <v>46260.5104166667</v>
      </c>
      <c r="C399" s="4" t="s">
        <v>1544</v>
      </c>
      <c r="D399" s="4" t="n">
        <v>737</v>
      </c>
      <c r="E399" s="4" t="n">
        <v>7</v>
      </c>
      <c r="F399" s="4" t="n">
        <v>6</v>
      </c>
      <c r="G399" s="4" t="n">
        <v>0</v>
      </c>
      <c r="J399" s="11" t="b">
        <f aca="false">TRUE()</f>
        <v>1</v>
      </c>
      <c r="K399" s="4" t="s">
        <v>2331</v>
      </c>
      <c r="L399" s="4" t="n">
        <v>4</v>
      </c>
      <c r="M399" s="4" t="n">
        <v>4</v>
      </c>
      <c r="N399" s="4" t="n">
        <v>4</v>
      </c>
      <c r="O399" s="4" t="n">
        <v>4</v>
      </c>
      <c r="P399" s="0" t="str">
        <f aca="false">IF(E399=0,"not_reached",IF(AND(F399&gt;0,G399=0),"allowed","blocked"))</f>
        <v>allowed</v>
      </c>
      <c r="Q399" s="0" t="str">
        <f aca="false">IF(C399="success","published",IF(E399&gt;0,"blocked_at_gate","failed_before_gate"))</f>
        <v>published</v>
      </c>
      <c r="R399" s="0" t="str">
        <f aca="false">IF(C399="success","",IF(E399&gt;0,IF(I399="freshness_within_target","freshness",IF(I399="relationships_intact","relationships",IF(I399="reconciliation_residual_zero","residual",I399))),IF(H399="quality_gate","gate_infra",H399)))</f>
        <v/>
      </c>
    </row>
    <row r="400" customFormat="false" ht="15" hidden="false" customHeight="false" outlineLevel="0" collapsed="false">
      <c r="A400" s="4" t="s">
        <v>2332</v>
      </c>
      <c r="B400" s="10" t="n">
        <v>46260.5520833333</v>
      </c>
      <c r="C400" s="4" t="s">
        <v>1544</v>
      </c>
      <c r="D400" s="4" t="n">
        <v>891</v>
      </c>
      <c r="E400" s="4" t="n">
        <v>7</v>
      </c>
      <c r="F400" s="4" t="n">
        <v>6</v>
      </c>
      <c r="G400" s="4" t="n">
        <v>0</v>
      </c>
      <c r="J400" s="11" t="b">
        <f aca="false">TRUE()</f>
        <v>1</v>
      </c>
      <c r="K400" s="4" t="s">
        <v>2333</v>
      </c>
      <c r="L400" s="4" t="n">
        <v>4</v>
      </c>
      <c r="M400" s="4" t="n">
        <v>4</v>
      </c>
      <c r="N400" s="4" t="n">
        <v>4</v>
      </c>
      <c r="O400" s="4" t="n">
        <v>4</v>
      </c>
      <c r="P400" s="0" t="str">
        <f aca="false">IF(E400=0,"not_reached",IF(AND(F400&gt;0,G400=0),"allowed","blocked"))</f>
        <v>allowed</v>
      </c>
      <c r="Q400" s="0" t="str">
        <f aca="false">IF(C400="success","published",IF(E400&gt;0,"blocked_at_gate","failed_before_gate"))</f>
        <v>published</v>
      </c>
      <c r="R400" s="0" t="str">
        <f aca="false">IF(C400="success","",IF(E400&gt;0,IF(I400="freshness_within_target","freshness",IF(I400="relationships_intact","relationships",IF(I400="reconciliation_residual_zero","residual",I400))),IF(H400="quality_gate","gate_infra",H400)))</f>
        <v/>
      </c>
    </row>
    <row r="401" customFormat="false" ht="15" hidden="false" customHeight="false" outlineLevel="0" collapsed="false">
      <c r="A401" s="4" t="s">
        <v>2334</v>
      </c>
      <c r="B401" s="10" t="n">
        <v>46260.59375</v>
      </c>
      <c r="C401" s="4" t="s">
        <v>1544</v>
      </c>
      <c r="D401" s="4" t="n">
        <v>847</v>
      </c>
      <c r="E401" s="4" t="n">
        <v>7</v>
      </c>
      <c r="F401" s="4" t="n">
        <v>6</v>
      </c>
      <c r="G401" s="4" t="n">
        <v>0</v>
      </c>
      <c r="J401" s="11" t="b">
        <f aca="false">TRUE()</f>
        <v>1</v>
      </c>
      <c r="K401" s="4" t="s">
        <v>2335</v>
      </c>
      <c r="L401" s="4" t="n">
        <v>4</v>
      </c>
      <c r="M401" s="4" t="n">
        <v>4</v>
      </c>
      <c r="N401" s="4" t="n">
        <v>4</v>
      </c>
      <c r="O401" s="4" t="n">
        <v>4</v>
      </c>
      <c r="P401" s="0" t="str">
        <f aca="false">IF(E401=0,"not_reached",IF(AND(F401&gt;0,G401=0),"allowed","blocked"))</f>
        <v>allowed</v>
      </c>
      <c r="Q401" s="0" t="str">
        <f aca="false">IF(C401="success","published",IF(E401&gt;0,"blocked_at_gate","failed_before_gate"))</f>
        <v>published</v>
      </c>
      <c r="R401" s="0" t="str">
        <f aca="false">IF(C401="success","",IF(E401&gt;0,IF(I401="freshness_within_target","freshness",IF(I401="relationships_intact","relationships",IF(I401="reconciliation_residual_zero","residual",I401))),IF(H401="quality_gate","gate_infra",H401)))</f>
        <v/>
      </c>
    </row>
    <row r="402" customFormat="false" ht="15" hidden="false" customHeight="false" outlineLevel="0" collapsed="false">
      <c r="A402" s="4" t="s">
        <v>2336</v>
      </c>
      <c r="B402" s="10" t="n">
        <v>46260.6354166667</v>
      </c>
      <c r="C402" s="4" t="s">
        <v>1544</v>
      </c>
      <c r="D402" s="4" t="n">
        <v>870</v>
      </c>
      <c r="E402" s="4" t="n">
        <v>7</v>
      </c>
      <c r="F402" s="4" t="n">
        <v>6</v>
      </c>
      <c r="G402" s="4" t="n">
        <v>0</v>
      </c>
      <c r="J402" s="11" t="b">
        <f aca="false">TRUE()</f>
        <v>1</v>
      </c>
      <c r="K402" s="4" t="s">
        <v>2337</v>
      </c>
      <c r="L402" s="4" t="n">
        <v>4</v>
      </c>
      <c r="M402" s="4" t="n">
        <v>4</v>
      </c>
      <c r="N402" s="4" t="n">
        <v>4</v>
      </c>
      <c r="O402" s="4" t="n">
        <v>4</v>
      </c>
      <c r="P402" s="0" t="str">
        <f aca="false">IF(E402=0,"not_reached",IF(AND(F402&gt;0,G402=0),"allowed","blocked"))</f>
        <v>allowed</v>
      </c>
      <c r="Q402" s="0" t="str">
        <f aca="false">IF(C402="success","published",IF(E402&gt;0,"blocked_at_gate","failed_before_gate"))</f>
        <v>published</v>
      </c>
      <c r="R402" s="0" t="str">
        <f aca="false">IF(C402="success","",IF(E402&gt;0,IF(I402="freshness_within_target","freshness",IF(I402="relationships_intact","relationships",IF(I402="reconciliation_residual_zero","residual",I402))),IF(H402="quality_gate","gate_infra",H402)))</f>
        <v/>
      </c>
    </row>
    <row r="403" customFormat="false" ht="15" hidden="false" customHeight="false" outlineLevel="0" collapsed="false">
      <c r="A403" s="4" t="s">
        <v>2338</v>
      </c>
      <c r="B403" s="10" t="n">
        <v>46260.6770833333</v>
      </c>
      <c r="C403" s="4" t="s">
        <v>1544</v>
      </c>
      <c r="D403" s="4" t="n">
        <v>877</v>
      </c>
      <c r="E403" s="4" t="n">
        <v>7</v>
      </c>
      <c r="F403" s="4" t="n">
        <v>6</v>
      </c>
      <c r="G403" s="4" t="n">
        <v>0</v>
      </c>
      <c r="J403" s="11" t="b">
        <f aca="false">TRUE()</f>
        <v>1</v>
      </c>
      <c r="K403" s="4" t="s">
        <v>2339</v>
      </c>
      <c r="L403" s="4" t="n">
        <v>4</v>
      </c>
      <c r="M403" s="4" t="n">
        <v>4</v>
      </c>
      <c r="N403" s="4" t="n">
        <v>4</v>
      </c>
      <c r="O403" s="4" t="n">
        <v>4</v>
      </c>
      <c r="P403" s="0" t="str">
        <f aca="false">IF(E403=0,"not_reached",IF(AND(F403&gt;0,G403=0),"allowed","blocked"))</f>
        <v>allowed</v>
      </c>
      <c r="Q403" s="0" t="str">
        <f aca="false">IF(C403="success","published",IF(E403&gt;0,"blocked_at_gate","failed_before_gate"))</f>
        <v>published</v>
      </c>
      <c r="R403" s="0" t="str">
        <f aca="false">IF(C403="success","",IF(E403&gt;0,IF(I403="freshness_within_target","freshness",IF(I403="relationships_intact","relationships",IF(I403="reconciliation_residual_zero","residual",I403))),IF(H403="quality_gate","gate_infra",H403)))</f>
        <v/>
      </c>
    </row>
    <row r="404" customFormat="false" ht="15" hidden="false" customHeight="false" outlineLevel="0" collapsed="false">
      <c r="A404" s="4" t="s">
        <v>2340</v>
      </c>
      <c r="B404" s="10" t="n">
        <v>46260.71875</v>
      </c>
      <c r="C404" s="4" t="s">
        <v>1544</v>
      </c>
      <c r="D404" s="4" t="n">
        <v>910</v>
      </c>
      <c r="E404" s="4" t="n">
        <v>7</v>
      </c>
      <c r="F404" s="4" t="n">
        <v>6</v>
      </c>
      <c r="G404" s="4" t="n">
        <v>0</v>
      </c>
      <c r="J404" s="11" t="b">
        <f aca="false">TRUE()</f>
        <v>1</v>
      </c>
      <c r="K404" s="4" t="s">
        <v>2341</v>
      </c>
      <c r="L404" s="4" t="n">
        <v>4</v>
      </c>
      <c r="M404" s="4" t="n">
        <v>4</v>
      </c>
      <c r="N404" s="4" t="n">
        <v>4</v>
      </c>
      <c r="O404" s="4" t="n">
        <v>4</v>
      </c>
      <c r="P404" s="0" t="str">
        <f aca="false">IF(E404=0,"not_reached",IF(AND(F404&gt;0,G404=0),"allowed","blocked"))</f>
        <v>allowed</v>
      </c>
      <c r="Q404" s="0" t="str">
        <f aca="false">IF(C404="success","published",IF(E404&gt;0,"blocked_at_gate","failed_before_gate"))</f>
        <v>published</v>
      </c>
      <c r="R404" s="0" t="str">
        <f aca="false">IF(C404="success","",IF(E404&gt;0,IF(I404="freshness_within_target","freshness",IF(I404="relationships_intact","relationships",IF(I404="reconciliation_residual_zero","residual",I404))),IF(H404="quality_gate","gate_infra",H404)))</f>
        <v/>
      </c>
    </row>
    <row r="405" customFormat="false" ht="15" hidden="false" customHeight="false" outlineLevel="0" collapsed="false">
      <c r="A405" s="4" t="s">
        <v>2342</v>
      </c>
      <c r="B405" s="10" t="n">
        <v>46260.7604166667</v>
      </c>
      <c r="C405" s="4" t="s">
        <v>1544</v>
      </c>
      <c r="D405" s="4" t="n">
        <v>713</v>
      </c>
      <c r="E405" s="4" t="n">
        <v>7</v>
      </c>
      <c r="F405" s="4" t="n">
        <v>6</v>
      </c>
      <c r="G405" s="4" t="n">
        <v>0</v>
      </c>
      <c r="J405" s="11" t="b">
        <f aca="false">TRUE()</f>
        <v>1</v>
      </c>
      <c r="K405" s="4" t="s">
        <v>2343</v>
      </c>
      <c r="L405" s="4" t="n">
        <v>4</v>
      </c>
      <c r="M405" s="4" t="n">
        <v>4</v>
      </c>
      <c r="N405" s="4" t="n">
        <v>4</v>
      </c>
      <c r="O405" s="4" t="n">
        <v>4</v>
      </c>
      <c r="P405" s="0" t="str">
        <f aca="false">IF(E405=0,"not_reached",IF(AND(F405&gt;0,G405=0),"allowed","blocked"))</f>
        <v>allowed</v>
      </c>
      <c r="Q405" s="0" t="str">
        <f aca="false">IF(C405="success","published",IF(E405&gt;0,"blocked_at_gate","failed_before_gate"))</f>
        <v>published</v>
      </c>
      <c r="R405" s="0" t="str">
        <f aca="false">IF(C405="success","",IF(E405&gt;0,IF(I405="freshness_within_target","freshness",IF(I405="relationships_intact","relationships",IF(I405="reconciliation_residual_zero","residual",I405))),IF(H405="quality_gate","gate_infra",H405)))</f>
        <v/>
      </c>
    </row>
    <row r="406" customFormat="false" ht="15" hidden="false" customHeight="false" outlineLevel="0" collapsed="false">
      <c r="A406" s="4" t="s">
        <v>2344</v>
      </c>
      <c r="B406" s="10" t="n">
        <v>46260.8020833333</v>
      </c>
      <c r="C406" s="4" t="s">
        <v>1544</v>
      </c>
      <c r="D406" s="4" t="n">
        <v>802</v>
      </c>
      <c r="E406" s="4" t="n">
        <v>7</v>
      </c>
      <c r="F406" s="4" t="n">
        <v>6</v>
      </c>
      <c r="G406" s="4" t="n">
        <v>0</v>
      </c>
      <c r="J406" s="11" t="b">
        <f aca="false">TRUE()</f>
        <v>1</v>
      </c>
      <c r="K406" s="4" t="s">
        <v>2345</v>
      </c>
      <c r="L406" s="4" t="n">
        <v>4</v>
      </c>
      <c r="M406" s="4" t="n">
        <v>4</v>
      </c>
      <c r="N406" s="4" t="n">
        <v>4</v>
      </c>
      <c r="O406" s="4" t="n">
        <v>4</v>
      </c>
      <c r="P406" s="0" t="str">
        <f aca="false">IF(E406=0,"not_reached",IF(AND(F406&gt;0,G406=0),"allowed","blocked"))</f>
        <v>allowed</v>
      </c>
      <c r="Q406" s="0" t="str">
        <f aca="false">IF(C406="success","published",IF(E406&gt;0,"blocked_at_gate","failed_before_gate"))</f>
        <v>published</v>
      </c>
      <c r="R406" s="0" t="str">
        <f aca="false">IF(C406="success","",IF(E406&gt;0,IF(I406="freshness_within_target","freshness",IF(I406="relationships_intact","relationships",IF(I406="reconciliation_residual_zero","residual",I406))),IF(H406="quality_gate","gate_infra",H406)))</f>
        <v/>
      </c>
    </row>
    <row r="407" customFormat="false" ht="15" hidden="false" customHeight="false" outlineLevel="0" collapsed="false">
      <c r="A407" s="4" t="s">
        <v>2346</v>
      </c>
      <c r="B407" s="10" t="n">
        <v>46260.84375</v>
      </c>
      <c r="C407" s="4" t="s">
        <v>1544</v>
      </c>
      <c r="D407" s="4" t="n">
        <v>904</v>
      </c>
      <c r="E407" s="4" t="n">
        <v>7</v>
      </c>
      <c r="F407" s="4" t="n">
        <v>6</v>
      </c>
      <c r="G407" s="4" t="n">
        <v>0</v>
      </c>
      <c r="J407" s="11" t="b">
        <f aca="false">TRUE()</f>
        <v>1</v>
      </c>
      <c r="K407" s="4" t="s">
        <v>2347</v>
      </c>
      <c r="L407" s="4" t="n">
        <v>4</v>
      </c>
      <c r="M407" s="4" t="n">
        <v>4</v>
      </c>
      <c r="N407" s="4" t="n">
        <v>4</v>
      </c>
      <c r="O407" s="4" t="n">
        <v>4</v>
      </c>
      <c r="P407" s="0" t="str">
        <f aca="false">IF(E407=0,"not_reached",IF(AND(F407&gt;0,G407=0),"allowed","blocked"))</f>
        <v>allowed</v>
      </c>
      <c r="Q407" s="0" t="str">
        <f aca="false">IF(C407="success","published",IF(E407&gt;0,"blocked_at_gate","failed_before_gate"))</f>
        <v>published</v>
      </c>
      <c r="R407" s="0" t="str">
        <f aca="false">IF(C407="success","",IF(E407&gt;0,IF(I407="freshness_within_target","freshness",IF(I407="relationships_intact","relationships",IF(I407="reconciliation_residual_zero","residual",I407))),IF(H407="quality_gate","gate_infra",H407)))</f>
        <v/>
      </c>
    </row>
    <row r="408" customFormat="false" ht="15" hidden="false" customHeight="false" outlineLevel="0" collapsed="false">
      <c r="A408" s="4" t="s">
        <v>2348</v>
      </c>
      <c r="B408" s="10" t="n">
        <v>46260.8854166667</v>
      </c>
      <c r="C408" s="4" t="s">
        <v>1544</v>
      </c>
      <c r="D408" s="4" t="n">
        <v>727</v>
      </c>
      <c r="E408" s="4" t="n">
        <v>7</v>
      </c>
      <c r="F408" s="4" t="n">
        <v>6</v>
      </c>
      <c r="G408" s="4" t="n">
        <v>0</v>
      </c>
      <c r="J408" s="11" t="b">
        <f aca="false">TRUE()</f>
        <v>1</v>
      </c>
      <c r="K408" s="4" t="s">
        <v>2349</v>
      </c>
      <c r="L408" s="4" t="n">
        <v>4</v>
      </c>
      <c r="M408" s="4" t="n">
        <v>4</v>
      </c>
      <c r="N408" s="4" t="n">
        <v>4</v>
      </c>
      <c r="O408" s="4" t="n">
        <v>4</v>
      </c>
      <c r="P408" s="0" t="str">
        <f aca="false">IF(E408=0,"not_reached",IF(AND(F408&gt;0,G408=0),"allowed","blocked"))</f>
        <v>allowed</v>
      </c>
      <c r="Q408" s="0" t="str">
        <f aca="false">IF(C408="success","published",IF(E408&gt;0,"blocked_at_gate","failed_before_gate"))</f>
        <v>published</v>
      </c>
      <c r="R408" s="0" t="str">
        <f aca="false">IF(C408="success","",IF(E408&gt;0,IF(I408="freshness_within_target","freshness",IF(I408="relationships_intact","relationships",IF(I408="reconciliation_residual_zero","residual",I408))),IF(H408="quality_gate","gate_infra",H408)))</f>
        <v/>
      </c>
    </row>
    <row r="409" customFormat="false" ht="15" hidden="false" customHeight="false" outlineLevel="0" collapsed="false">
      <c r="A409" s="4" t="s">
        <v>2350</v>
      </c>
      <c r="B409" s="10" t="n">
        <v>46260.9270833333</v>
      </c>
      <c r="C409" s="4" t="s">
        <v>1544</v>
      </c>
      <c r="D409" s="4" t="n">
        <v>862</v>
      </c>
      <c r="E409" s="4" t="n">
        <v>7</v>
      </c>
      <c r="F409" s="4" t="n">
        <v>6</v>
      </c>
      <c r="G409" s="4" t="n">
        <v>0</v>
      </c>
      <c r="J409" s="11" t="b">
        <f aca="false">TRUE()</f>
        <v>1</v>
      </c>
      <c r="K409" s="4" t="s">
        <v>2351</v>
      </c>
      <c r="L409" s="4" t="n">
        <v>4</v>
      </c>
      <c r="M409" s="4" t="n">
        <v>4</v>
      </c>
      <c r="N409" s="4" t="n">
        <v>4</v>
      </c>
      <c r="O409" s="4" t="n">
        <v>4</v>
      </c>
      <c r="P409" s="0" t="str">
        <f aca="false">IF(E409=0,"not_reached",IF(AND(F409&gt;0,G409=0),"allowed","blocked"))</f>
        <v>allowed</v>
      </c>
      <c r="Q409" s="0" t="str">
        <f aca="false">IF(C409="success","published",IF(E409&gt;0,"blocked_at_gate","failed_before_gate"))</f>
        <v>published</v>
      </c>
      <c r="R409" s="0" t="str">
        <f aca="false">IF(C409="success","",IF(E409&gt;0,IF(I409="freshness_within_target","freshness",IF(I409="relationships_intact","relationships",IF(I409="reconciliation_residual_zero","residual",I409))),IF(H409="quality_gate","gate_infra",H409)))</f>
        <v/>
      </c>
    </row>
    <row r="410" customFormat="false" ht="15" hidden="false" customHeight="false" outlineLevel="0" collapsed="false">
      <c r="A410" s="4" t="s">
        <v>2352</v>
      </c>
      <c r="B410" s="10" t="n">
        <v>46260.96875</v>
      </c>
      <c r="C410" s="4" t="s">
        <v>1544</v>
      </c>
      <c r="D410" s="4" t="n">
        <v>678</v>
      </c>
      <c r="E410" s="4" t="n">
        <v>7</v>
      </c>
      <c r="F410" s="4" t="n">
        <v>6</v>
      </c>
      <c r="G410" s="4" t="n">
        <v>0</v>
      </c>
      <c r="J410" s="11" t="b">
        <f aca="false">TRUE()</f>
        <v>1</v>
      </c>
      <c r="K410" s="4" t="s">
        <v>2353</v>
      </c>
      <c r="L410" s="4" t="n">
        <v>4</v>
      </c>
      <c r="M410" s="4" t="n">
        <v>4</v>
      </c>
      <c r="N410" s="4" t="n">
        <v>4</v>
      </c>
      <c r="O410" s="4" t="n">
        <v>4</v>
      </c>
      <c r="P410" s="0" t="str">
        <f aca="false">IF(E410=0,"not_reached",IF(AND(F410&gt;0,G410=0),"allowed","blocked"))</f>
        <v>allowed</v>
      </c>
      <c r="Q410" s="0" t="str">
        <f aca="false">IF(C410="success","published",IF(E410&gt;0,"blocked_at_gate","failed_before_gate"))</f>
        <v>published</v>
      </c>
      <c r="R410" s="0" t="str">
        <f aca="false">IF(C410="success","",IF(E410&gt;0,IF(I410="freshness_within_target","freshness",IF(I410="relationships_intact","relationships",IF(I410="reconciliation_residual_zero","residual",I410))),IF(H410="quality_gate","gate_infra",H410)))</f>
        <v/>
      </c>
    </row>
    <row r="411" customFormat="false" ht="15" hidden="false" customHeight="false" outlineLevel="0" collapsed="false">
      <c r="A411" s="4" t="s">
        <v>2354</v>
      </c>
      <c r="B411" s="10" t="n">
        <v>46261.0104166667</v>
      </c>
      <c r="C411" s="4" t="s">
        <v>1544</v>
      </c>
      <c r="D411" s="4" t="n">
        <v>858</v>
      </c>
      <c r="E411" s="4" t="n">
        <v>7</v>
      </c>
      <c r="F411" s="4" t="n">
        <v>6</v>
      </c>
      <c r="G411" s="4" t="n">
        <v>0</v>
      </c>
      <c r="J411" s="11" t="b">
        <f aca="false">TRUE()</f>
        <v>1</v>
      </c>
      <c r="K411" s="4" t="s">
        <v>2355</v>
      </c>
      <c r="L411" s="4" t="n">
        <v>4</v>
      </c>
      <c r="M411" s="4" t="n">
        <v>4</v>
      </c>
      <c r="N411" s="4" t="n">
        <v>4</v>
      </c>
      <c r="O411" s="4" t="n">
        <v>4</v>
      </c>
      <c r="P411" s="0" t="str">
        <f aca="false">IF(E411=0,"not_reached",IF(AND(F411&gt;0,G411=0),"allowed","blocked"))</f>
        <v>allowed</v>
      </c>
      <c r="Q411" s="0" t="str">
        <f aca="false">IF(C411="success","published",IF(E411&gt;0,"blocked_at_gate","failed_before_gate"))</f>
        <v>published</v>
      </c>
      <c r="R411" s="0" t="str">
        <f aca="false">IF(C411="success","",IF(E411&gt;0,IF(I411="freshness_within_target","freshness",IF(I411="relationships_intact","relationships",IF(I411="reconciliation_residual_zero","residual",I411))),IF(H411="quality_gate","gate_infra",H411)))</f>
        <v/>
      </c>
    </row>
    <row r="412" customFormat="false" ht="15" hidden="false" customHeight="false" outlineLevel="0" collapsed="false">
      <c r="A412" s="4" t="s">
        <v>2356</v>
      </c>
      <c r="B412" s="10" t="n">
        <v>46261.0520833333</v>
      </c>
      <c r="C412" s="4" t="s">
        <v>1544</v>
      </c>
      <c r="D412" s="4" t="n">
        <v>782</v>
      </c>
      <c r="E412" s="4" t="n">
        <v>7</v>
      </c>
      <c r="F412" s="4" t="n">
        <v>6</v>
      </c>
      <c r="G412" s="4" t="n">
        <v>0</v>
      </c>
      <c r="J412" s="11" t="b">
        <f aca="false">TRUE()</f>
        <v>1</v>
      </c>
      <c r="K412" s="4" t="s">
        <v>2357</v>
      </c>
      <c r="L412" s="4" t="n">
        <v>4</v>
      </c>
      <c r="M412" s="4" t="n">
        <v>4</v>
      </c>
      <c r="N412" s="4" t="n">
        <v>4</v>
      </c>
      <c r="O412" s="4" t="n">
        <v>4</v>
      </c>
      <c r="P412" s="0" t="str">
        <f aca="false">IF(E412=0,"not_reached",IF(AND(F412&gt;0,G412=0),"allowed","blocked"))</f>
        <v>allowed</v>
      </c>
      <c r="Q412" s="0" t="str">
        <f aca="false">IF(C412="success","published",IF(E412&gt;0,"blocked_at_gate","failed_before_gate"))</f>
        <v>published</v>
      </c>
      <c r="R412" s="0" t="str">
        <f aca="false">IF(C412="success","",IF(E412&gt;0,IF(I412="freshness_within_target","freshness",IF(I412="relationships_intact","relationships",IF(I412="reconciliation_residual_zero","residual",I412))),IF(H412="quality_gate","gate_infra",H412)))</f>
        <v/>
      </c>
    </row>
    <row r="413" customFormat="false" ht="15" hidden="false" customHeight="false" outlineLevel="0" collapsed="false">
      <c r="A413" s="4" t="s">
        <v>2358</v>
      </c>
      <c r="B413" s="10" t="n">
        <v>46261.09375</v>
      </c>
      <c r="C413" s="4" t="s">
        <v>1544</v>
      </c>
      <c r="D413" s="4" t="n">
        <v>887</v>
      </c>
      <c r="E413" s="4" t="n">
        <v>7</v>
      </c>
      <c r="F413" s="4" t="n">
        <v>6</v>
      </c>
      <c r="G413" s="4" t="n">
        <v>0</v>
      </c>
      <c r="J413" s="11" t="b">
        <f aca="false">TRUE()</f>
        <v>1</v>
      </c>
      <c r="K413" s="4" t="s">
        <v>2359</v>
      </c>
      <c r="L413" s="4" t="n">
        <v>4</v>
      </c>
      <c r="M413" s="4" t="n">
        <v>4</v>
      </c>
      <c r="N413" s="4" t="n">
        <v>4</v>
      </c>
      <c r="O413" s="4" t="n">
        <v>4</v>
      </c>
      <c r="P413" s="0" t="str">
        <f aca="false">IF(E413=0,"not_reached",IF(AND(F413&gt;0,G413=0),"allowed","blocked"))</f>
        <v>allowed</v>
      </c>
      <c r="Q413" s="0" t="str">
        <f aca="false">IF(C413="success","published",IF(E413&gt;0,"blocked_at_gate","failed_before_gate"))</f>
        <v>published</v>
      </c>
      <c r="R413" s="0" t="str">
        <f aca="false">IF(C413="success","",IF(E413&gt;0,IF(I413="freshness_within_target","freshness",IF(I413="relationships_intact","relationships",IF(I413="reconciliation_residual_zero","residual",I413))),IF(H413="quality_gate","gate_infra",H413)))</f>
        <v/>
      </c>
    </row>
    <row r="414" customFormat="false" ht="15" hidden="false" customHeight="false" outlineLevel="0" collapsed="false">
      <c r="A414" s="4" t="s">
        <v>2360</v>
      </c>
      <c r="B414" s="10" t="n">
        <v>46261.1354166667</v>
      </c>
      <c r="C414" s="4" t="s">
        <v>1544</v>
      </c>
      <c r="D414" s="4" t="n">
        <v>1321</v>
      </c>
      <c r="E414" s="4" t="n">
        <v>7</v>
      </c>
      <c r="F414" s="4" t="n">
        <v>6</v>
      </c>
      <c r="G414" s="4" t="n">
        <v>0</v>
      </c>
      <c r="J414" s="11" t="b">
        <f aca="false">TRUE()</f>
        <v>1</v>
      </c>
      <c r="K414" s="4" t="s">
        <v>2361</v>
      </c>
      <c r="L414" s="4" t="n">
        <v>4</v>
      </c>
      <c r="M414" s="4" t="n">
        <v>4</v>
      </c>
      <c r="N414" s="4" t="n">
        <v>5</v>
      </c>
      <c r="O414" s="4" t="n">
        <v>4</v>
      </c>
      <c r="P414" s="0" t="str">
        <f aca="false">IF(E414=0,"not_reached",IF(AND(F414&gt;0,G414=0),"allowed","blocked"))</f>
        <v>allowed</v>
      </c>
      <c r="Q414" s="0" t="str">
        <f aca="false">IF(C414="success","published",IF(E414&gt;0,"blocked_at_gate","failed_before_gate"))</f>
        <v>published</v>
      </c>
      <c r="R414" s="0" t="str">
        <f aca="false">IF(C414="success","",IF(E414&gt;0,IF(I414="freshness_within_target","freshness",IF(I414="relationships_intact","relationships",IF(I414="reconciliation_residual_zero","residual",I414))),IF(H414="quality_gate","gate_infra",H414)))</f>
        <v/>
      </c>
    </row>
    <row r="415" customFormat="false" ht="15" hidden="false" customHeight="false" outlineLevel="0" collapsed="false">
      <c r="A415" s="4" t="s">
        <v>2362</v>
      </c>
      <c r="B415" s="10" t="n">
        <v>46261.1770833333</v>
      </c>
      <c r="C415" s="4" t="s">
        <v>1544</v>
      </c>
      <c r="D415" s="4" t="n">
        <v>731</v>
      </c>
      <c r="E415" s="4" t="n">
        <v>7</v>
      </c>
      <c r="F415" s="4" t="n">
        <v>6</v>
      </c>
      <c r="G415" s="4" t="n">
        <v>0</v>
      </c>
      <c r="J415" s="11" t="b">
        <f aca="false">TRUE()</f>
        <v>1</v>
      </c>
      <c r="K415" s="4" t="s">
        <v>2363</v>
      </c>
      <c r="L415" s="4" t="n">
        <v>4</v>
      </c>
      <c r="M415" s="4" t="n">
        <v>4</v>
      </c>
      <c r="N415" s="4" t="n">
        <v>4</v>
      </c>
      <c r="O415" s="4" t="n">
        <v>4</v>
      </c>
      <c r="P415" s="0" t="str">
        <f aca="false">IF(E415=0,"not_reached",IF(AND(F415&gt;0,G415=0),"allowed","blocked"))</f>
        <v>allowed</v>
      </c>
      <c r="Q415" s="0" t="str">
        <f aca="false">IF(C415="success","published",IF(E415&gt;0,"blocked_at_gate","failed_before_gate"))</f>
        <v>published</v>
      </c>
      <c r="R415" s="0" t="str">
        <f aca="false">IF(C415="success","",IF(E415&gt;0,IF(I415="freshness_within_target","freshness",IF(I415="relationships_intact","relationships",IF(I415="reconciliation_residual_zero","residual",I415))),IF(H415="quality_gate","gate_infra",H415)))</f>
        <v/>
      </c>
    </row>
    <row r="416" customFormat="false" ht="15" hidden="false" customHeight="false" outlineLevel="0" collapsed="false">
      <c r="A416" s="4" t="s">
        <v>2364</v>
      </c>
      <c r="B416" s="10" t="n">
        <v>46261.21875</v>
      </c>
      <c r="C416" s="4" t="s">
        <v>1544</v>
      </c>
      <c r="D416" s="4" t="n">
        <v>762</v>
      </c>
      <c r="E416" s="4" t="n">
        <v>7</v>
      </c>
      <c r="F416" s="4" t="n">
        <v>6</v>
      </c>
      <c r="G416" s="4" t="n">
        <v>0</v>
      </c>
      <c r="J416" s="11" t="b">
        <f aca="false">TRUE()</f>
        <v>1</v>
      </c>
      <c r="K416" s="4" t="s">
        <v>2365</v>
      </c>
      <c r="L416" s="4" t="n">
        <v>4</v>
      </c>
      <c r="M416" s="4" t="n">
        <v>4</v>
      </c>
      <c r="N416" s="4" t="n">
        <v>4</v>
      </c>
      <c r="O416" s="4" t="n">
        <v>4</v>
      </c>
      <c r="P416" s="0" t="str">
        <f aca="false">IF(E416=0,"not_reached",IF(AND(F416&gt;0,G416=0),"allowed","blocked"))</f>
        <v>allowed</v>
      </c>
      <c r="Q416" s="0" t="str">
        <f aca="false">IF(C416="success","published",IF(E416&gt;0,"blocked_at_gate","failed_before_gate"))</f>
        <v>published</v>
      </c>
      <c r="R416" s="0" t="str">
        <f aca="false">IF(C416="success","",IF(E416&gt;0,IF(I416="freshness_within_target","freshness",IF(I416="relationships_intact","relationships",IF(I416="reconciliation_residual_zero","residual",I416))),IF(H416="quality_gate","gate_infra",H416)))</f>
        <v/>
      </c>
    </row>
    <row r="417" customFormat="false" ht="15" hidden="false" customHeight="false" outlineLevel="0" collapsed="false">
      <c r="A417" s="4" t="s">
        <v>2366</v>
      </c>
      <c r="B417" s="10" t="n">
        <v>46261.2604166667</v>
      </c>
      <c r="C417" s="4" t="s">
        <v>1544</v>
      </c>
      <c r="D417" s="4" t="n">
        <v>1327</v>
      </c>
      <c r="E417" s="4" t="n">
        <v>7</v>
      </c>
      <c r="F417" s="4" t="n">
        <v>6</v>
      </c>
      <c r="G417" s="4" t="n">
        <v>0</v>
      </c>
      <c r="J417" s="11" t="b">
        <f aca="false">TRUE()</f>
        <v>1</v>
      </c>
      <c r="K417" s="4" t="s">
        <v>2367</v>
      </c>
      <c r="L417" s="4" t="n">
        <v>4</v>
      </c>
      <c r="M417" s="4" t="n">
        <v>4</v>
      </c>
      <c r="N417" s="4" t="n">
        <v>5</v>
      </c>
      <c r="O417" s="4" t="n">
        <v>4</v>
      </c>
      <c r="P417" s="0" t="str">
        <f aca="false">IF(E417=0,"not_reached",IF(AND(F417&gt;0,G417=0),"allowed","blocked"))</f>
        <v>allowed</v>
      </c>
      <c r="Q417" s="0" t="str">
        <f aca="false">IF(C417="success","published",IF(E417&gt;0,"blocked_at_gate","failed_before_gate"))</f>
        <v>published</v>
      </c>
      <c r="R417" s="0" t="str">
        <f aca="false">IF(C417="success","",IF(E417&gt;0,IF(I417="freshness_within_target","freshness",IF(I417="relationships_intact","relationships",IF(I417="reconciliation_residual_zero","residual",I417))),IF(H417="quality_gate","gate_infra",H417)))</f>
        <v/>
      </c>
    </row>
    <row r="418" customFormat="false" ht="15" hidden="false" customHeight="false" outlineLevel="0" collapsed="false">
      <c r="A418" s="4" t="s">
        <v>2368</v>
      </c>
      <c r="B418" s="10" t="n">
        <v>46261.3020833333</v>
      </c>
      <c r="C418" s="4" t="s">
        <v>1544</v>
      </c>
      <c r="D418" s="4" t="n">
        <v>854</v>
      </c>
      <c r="E418" s="4" t="n">
        <v>7</v>
      </c>
      <c r="F418" s="4" t="n">
        <v>6</v>
      </c>
      <c r="G418" s="4" t="n">
        <v>0</v>
      </c>
      <c r="J418" s="11" t="b">
        <f aca="false">TRUE()</f>
        <v>1</v>
      </c>
      <c r="K418" s="4" t="s">
        <v>2369</v>
      </c>
      <c r="L418" s="4" t="n">
        <v>4</v>
      </c>
      <c r="M418" s="4" t="n">
        <v>4</v>
      </c>
      <c r="N418" s="4" t="n">
        <v>4</v>
      </c>
      <c r="O418" s="4" t="n">
        <v>4</v>
      </c>
      <c r="P418" s="0" t="str">
        <f aca="false">IF(E418=0,"not_reached",IF(AND(F418&gt;0,G418=0),"allowed","blocked"))</f>
        <v>allowed</v>
      </c>
      <c r="Q418" s="0" t="str">
        <f aca="false">IF(C418="success","published",IF(E418&gt;0,"blocked_at_gate","failed_before_gate"))</f>
        <v>published</v>
      </c>
      <c r="R418" s="0" t="str">
        <f aca="false">IF(C418="success","",IF(E418&gt;0,IF(I418="freshness_within_target","freshness",IF(I418="relationships_intact","relationships",IF(I418="reconciliation_residual_zero","residual",I418))),IF(H418="quality_gate","gate_infra",H418)))</f>
        <v/>
      </c>
    </row>
    <row r="419" customFormat="false" ht="15" hidden="false" customHeight="false" outlineLevel="0" collapsed="false">
      <c r="A419" s="4" t="s">
        <v>2370</v>
      </c>
      <c r="B419" s="10" t="n">
        <v>46261.34375</v>
      </c>
      <c r="C419" s="4" t="s">
        <v>1544</v>
      </c>
      <c r="D419" s="4" t="n">
        <v>823</v>
      </c>
      <c r="E419" s="4" t="n">
        <v>7</v>
      </c>
      <c r="F419" s="4" t="n">
        <v>6</v>
      </c>
      <c r="G419" s="4" t="n">
        <v>0</v>
      </c>
      <c r="J419" s="11" t="b">
        <f aca="false">TRUE()</f>
        <v>1</v>
      </c>
      <c r="K419" s="4" t="s">
        <v>2371</v>
      </c>
      <c r="L419" s="4" t="n">
        <v>4</v>
      </c>
      <c r="M419" s="4" t="n">
        <v>4</v>
      </c>
      <c r="N419" s="4" t="n">
        <v>4</v>
      </c>
      <c r="O419" s="4" t="n">
        <v>4</v>
      </c>
      <c r="P419" s="0" t="str">
        <f aca="false">IF(E419=0,"not_reached",IF(AND(F419&gt;0,G419=0),"allowed","blocked"))</f>
        <v>allowed</v>
      </c>
      <c r="Q419" s="0" t="str">
        <f aca="false">IF(C419="success","published",IF(E419&gt;0,"blocked_at_gate","failed_before_gate"))</f>
        <v>published</v>
      </c>
      <c r="R419" s="0" t="str">
        <f aca="false">IF(C419="success","",IF(E419&gt;0,IF(I419="freshness_within_target","freshness",IF(I419="relationships_intact","relationships",IF(I419="reconciliation_residual_zero","residual",I419))),IF(H419="quality_gate","gate_infra",H419)))</f>
        <v/>
      </c>
    </row>
    <row r="420" customFormat="false" ht="15" hidden="false" customHeight="false" outlineLevel="0" collapsed="false">
      <c r="A420" s="4" t="s">
        <v>2372</v>
      </c>
      <c r="B420" s="10" t="n">
        <v>46261.3854166667</v>
      </c>
      <c r="C420" s="4" t="s">
        <v>1544</v>
      </c>
      <c r="D420" s="4" t="n">
        <v>801</v>
      </c>
      <c r="E420" s="4" t="n">
        <v>7</v>
      </c>
      <c r="F420" s="4" t="n">
        <v>6</v>
      </c>
      <c r="G420" s="4" t="n">
        <v>0</v>
      </c>
      <c r="J420" s="11" t="b">
        <f aca="false">TRUE()</f>
        <v>1</v>
      </c>
      <c r="K420" s="4" t="s">
        <v>2373</v>
      </c>
      <c r="L420" s="4" t="n">
        <v>4</v>
      </c>
      <c r="M420" s="4" t="n">
        <v>4</v>
      </c>
      <c r="N420" s="4" t="n">
        <v>4</v>
      </c>
      <c r="O420" s="4" t="n">
        <v>4</v>
      </c>
      <c r="P420" s="0" t="str">
        <f aca="false">IF(E420=0,"not_reached",IF(AND(F420&gt;0,G420=0),"allowed","blocked"))</f>
        <v>allowed</v>
      </c>
      <c r="Q420" s="0" t="str">
        <f aca="false">IF(C420="success","published",IF(E420&gt;0,"blocked_at_gate","failed_before_gate"))</f>
        <v>published</v>
      </c>
      <c r="R420" s="0" t="str">
        <f aca="false">IF(C420="success","",IF(E420&gt;0,IF(I420="freshness_within_target","freshness",IF(I420="relationships_intact","relationships",IF(I420="reconciliation_residual_zero","residual",I420))),IF(H420="quality_gate","gate_infra",H420)))</f>
        <v/>
      </c>
    </row>
    <row r="421" customFormat="false" ht="15" hidden="false" customHeight="false" outlineLevel="0" collapsed="false">
      <c r="A421" s="4" t="s">
        <v>2374</v>
      </c>
      <c r="B421" s="10" t="n">
        <v>46261.4270833333</v>
      </c>
      <c r="C421" s="4" t="s">
        <v>1544</v>
      </c>
      <c r="D421" s="4" t="n">
        <v>680</v>
      </c>
      <c r="E421" s="4" t="n">
        <v>7</v>
      </c>
      <c r="F421" s="4" t="n">
        <v>6</v>
      </c>
      <c r="G421" s="4" t="n">
        <v>0</v>
      </c>
      <c r="J421" s="11" t="b">
        <f aca="false">TRUE()</f>
        <v>1</v>
      </c>
      <c r="K421" s="4" t="s">
        <v>2375</v>
      </c>
      <c r="L421" s="4" t="n">
        <v>4</v>
      </c>
      <c r="M421" s="4" t="n">
        <v>4</v>
      </c>
      <c r="N421" s="4" t="n">
        <v>4</v>
      </c>
      <c r="O421" s="4" t="n">
        <v>4</v>
      </c>
      <c r="P421" s="0" t="str">
        <f aca="false">IF(E421=0,"not_reached",IF(AND(F421&gt;0,G421=0),"allowed","blocked"))</f>
        <v>allowed</v>
      </c>
      <c r="Q421" s="0" t="str">
        <f aca="false">IF(C421="success","published",IF(E421&gt;0,"blocked_at_gate","failed_before_gate"))</f>
        <v>published</v>
      </c>
      <c r="R421" s="0" t="str">
        <f aca="false">IF(C421="success","",IF(E421&gt;0,IF(I421="freshness_within_target","freshness",IF(I421="relationships_intact","relationships",IF(I421="reconciliation_residual_zero","residual",I421))),IF(H421="quality_gate","gate_infra",H421)))</f>
        <v/>
      </c>
    </row>
    <row r="422" customFormat="false" ht="15" hidden="false" customHeight="false" outlineLevel="0" collapsed="false">
      <c r="A422" s="4" t="s">
        <v>2376</v>
      </c>
      <c r="B422" s="10" t="n">
        <v>46261.46875</v>
      </c>
      <c r="C422" s="4" t="s">
        <v>1544</v>
      </c>
      <c r="D422" s="4" t="n">
        <v>898</v>
      </c>
      <c r="E422" s="4" t="n">
        <v>7</v>
      </c>
      <c r="F422" s="4" t="n">
        <v>6</v>
      </c>
      <c r="G422" s="4" t="n">
        <v>0</v>
      </c>
      <c r="J422" s="11" t="b">
        <f aca="false">TRUE()</f>
        <v>1</v>
      </c>
      <c r="K422" s="4" t="s">
        <v>2377</v>
      </c>
      <c r="L422" s="4" t="n">
        <v>4</v>
      </c>
      <c r="M422" s="4" t="n">
        <v>4</v>
      </c>
      <c r="N422" s="4" t="n">
        <v>4</v>
      </c>
      <c r="O422" s="4" t="n">
        <v>4</v>
      </c>
      <c r="P422" s="0" t="str">
        <f aca="false">IF(E422=0,"not_reached",IF(AND(F422&gt;0,G422=0),"allowed","blocked"))</f>
        <v>allowed</v>
      </c>
      <c r="Q422" s="0" t="str">
        <f aca="false">IF(C422="success","published",IF(E422&gt;0,"blocked_at_gate","failed_before_gate"))</f>
        <v>published</v>
      </c>
      <c r="R422" s="0" t="str">
        <f aca="false">IF(C422="success","",IF(E422&gt;0,IF(I422="freshness_within_target","freshness",IF(I422="relationships_intact","relationships",IF(I422="reconciliation_residual_zero","residual",I422))),IF(H422="quality_gate","gate_infra",H422)))</f>
        <v/>
      </c>
    </row>
    <row r="423" customFormat="false" ht="15" hidden="false" customHeight="false" outlineLevel="0" collapsed="false">
      <c r="A423" s="4" t="s">
        <v>2378</v>
      </c>
      <c r="B423" s="10" t="n">
        <v>46261.5104166667</v>
      </c>
      <c r="C423" s="4" t="s">
        <v>1544</v>
      </c>
      <c r="D423" s="4" t="n">
        <v>811</v>
      </c>
      <c r="E423" s="4" t="n">
        <v>7</v>
      </c>
      <c r="F423" s="4" t="n">
        <v>6</v>
      </c>
      <c r="G423" s="4" t="n">
        <v>0</v>
      </c>
      <c r="J423" s="11" t="b">
        <f aca="false">TRUE()</f>
        <v>1</v>
      </c>
      <c r="K423" s="4" t="s">
        <v>2379</v>
      </c>
      <c r="L423" s="4" t="n">
        <v>4</v>
      </c>
      <c r="M423" s="4" t="n">
        <v>4</v>
      </c>
      <c r="N423" s="4" t="n">
        <v>4</v>
      </c>
      <c r="O423" s="4" t="n">
        <v>4</v>
      </c>
      <c r="P423" s="0" t="str">
        <f aca="false">IF(E423=0,"not_reached",IF(AND(F423&gt;0,G423=0),"allowed","blocked"))</f>
        <v>allowed</v>
      </c>
      <c r="Q423" s="0" t="str">
        <f aca="false">IF(C423="success","published",IF(E423&gt;0,"blocked_at_gate","failed_before_gate"))</f>
        <v>published</v>
      </c>
      <c r="R423" s="0" t="str">
        <f aca="false">IF(C423="success","",IF(E423&gt;0,IF(I423="freshness_within_target","freshness",IF(I423="relationships_intact","relationships",IF(I423="reconciliation_residual_zero","residual",I423))),IF(H423="quality_gate","gate_infra",H423)))</f>
        <v/>
      </c>
    </row>
    <row r="424" customFormat="false" ht="15" hidden="false" customHeight="false" outlineLevel="0" collapsed="false">
      <c r="A424" s="4" t="s">
        <v>2380</v>
      </c>
      <c r="B424" s="10" t="n">
        <v>46261.5520833333</v>
      </c>
      <c r="C424" s="4" t="s">
        <v>1544</v>
      </c>
      <c r="D424" s="4" t="n">
        <v>736</v>
      </c>
      <c r="E424" s="4" t="n">
        <v>7</v>
      </c>
      <c r="F424" s="4" t="n">
        <v>6</v>
      </c>
      <c r="G424" s="4" t="n">
        <v>0</v>
      </c>
      <c r="J424" s="11" t="b">
        <f aca="false">TRUE()</f>
        <v>1</v>
      </c>
      <c r="K424" s="4" t="s">
        <v>2381</v>
      </c>
      <c r="L424" s="4" t="n">
        <v>4</v>
      </c>
      <c r="M424" s="4" t="n">
        <v>4</v>
      </c>
      <c r="N424" s="4" t="n">
        <v>4</v>
      </c>
      <c r="O424" s="4" t="n">
        <v>4</v>
      </c>
      <c r="P424" s="0" t="str">
        <f aca="false">IF(E424=0,"not_reached",IF(AND(F424&gt;0,G424=0),"allowed","blocked"))</f>
        <v>allowed</v>
      </c>
      <c r="Q424" s="0" t="str">
        <f aca="false">IF(C424="success","published",IF(E424&gt;0,"blocked_at_gate","failed_before_gate"))</f>
        <v>published</v>
      </c>
      <c r="R424" s="0" t="str">
        <f aca="false">IF(C424="success","",IF(E424&gt;0,IF(I424="freshness_within_target","freshness",IF(I424="relationships_intact","relationships",IF(I424="reconciliation_residual_zero","residual",I424))),IF(H424="quality_gate","gate_infra",H424)))</f>
        <v/>
      </c>
    </row>
    <row r="425" customFormat="false" ht="15" hidden="false" customHeight="false" outlineLevel="0" collapsed="false">
      <c r="A425" s="4" t="s">
        <v>2382</v>
      </c>
      <c r="B425" s="10" t="n">
        <v>46261.59375</v>
      </c>
      <c r="C425" s="4" t="s">
        <v>1544</v>
      </c>
      <c r="D425" s="4" t="n">
        <v>675</v>
      </c>
      <c r="E425" s="4" t="n">
        <v>7</v>
      </c>
      <c r="F425" s="4" t="n">
        <v>6</v>
      </c>
      <c r="G425" s="4" t="n">
        <v>0</v>
      </c>
      <c r="J425" s="11" t="b">
        <f aca="false">TRUE()</f>
        <v>1</v>
      </c>
      <c r="K425" s="4" t="s">
        <v>2383</v>
      </c>
      <c r="L425" s="4" t="n">
        <v>4</v>
      </c>
      <c r="M425" s="4" t="n">
        <v>4</v>
      </c>
      <c r="N425" s="4" t="n">
        <v>4</v>
      </c>
      <c r="O425" s="4" t="n">
        <v>4</v>
      </c>
      <c r="P425" s="0" t="str">
        <f aca="false">IF(E425=0,"not_reached",IF(AND(F425&gt;0,G425=0),"allowed","blocked"))</f>
        <v>allowed</v>
      </c>
      <c r="Q425" s="0" t="str">
        <f aca="false">IF(C425="success","published",IF(E425&gt;0,"blocked_at_gate","failed_before_gate"))</f>
        <v>published</v>
      </c>
      <c r="R425" s="0" t="str">
        <f aca="false">IF(C425="success","",IF(E425&gt;0,IF(I425="freshness_within_target","freshness",IF(I425="relationships_intact","relationships",IF(I425="reconciliation_residual_zero","residual",I425))),IF(H425="quality_gate","gate_infra",H425)))</f>
        <v/>
      </c>
    </row>
    <row r="426" customFormat="false" ht="15" hidden="false" customHeight="false" outlineLevel="0" collapsed="false">
      <c r="A426" s="4" t="s">
        <v>2384</v>
      </c>
      <c r="B426" s="10" t="n">
        <v>46261.6354166667</v>
      </c>
      <c r="C426" s="4" t="s">
        <v>1544</v>
      </c>
      <c r="D426" s="4" t="n">
        <v>696</v>
      </c>
      <c r="E426" s="4" t="n">
        <v>7</v>
      </c>
      <c r="F426" s="4" t="n">
        <v>6</v>
      </c>
      <c r="G426" s="4" t="n">
        <v>0</v>
      </c>
      <c r="J426" s="11" t="b">
        <f aca="false">TRUE()</f>
        <v>1</v>
      </c>
      <c r="K426" s="4" t="s">
        <v>2385</v>
      </c>
      <c r="L426" s="4" t="n">
        <v>4</v>
      </c>
      <c r="M426" s="4" t="n">
        <v>4</v>
      </c>
      <c r="N426" s="4" t="n">
        <v>4</v>
      </c>
      <c r="O426" s="4" t="n">
        <v>4</v>
      </c>
      <c r="P426" s="0" t="str">
        <f aca="false">IF(E426=0,"not_reached",IF(AND(F426&gt;0,G426=0),"allowed","blocked"))</f>
        <v>allowed</v>
      </c>
      <c r="Q426" s="0" t="str">
        <f aca="false">IF(C426="success","published",IF(E426&gt;0,"blocked_at_gate","failed_before_gate"))</f>
        <v>published</v>
      </c>
      <c r="R426" s="0" t="str">
        <f aca="false">IF(C426="success","",IF(E426&gt;0,IF(I426="freshness_within_target","freshness",IF(I426="relationships_intact","relationships",IF(I426="reconciliation_residual_zero","residual",I426))),IF(H426="quality_gate","gate_infra",H426)))</f>
        <v/>
      </c>
    </row>
    <row r="427" customFormat="false" ht="15" hidden="false" customHeight="false" outlineLevel="0" collapsed="false">
      <c r="A427" s="4" t="s">
        <v>2386</v>
      </c>
      <c r="B427" s="10" t="n">
        <v>46261.6770833333</v>
      </c>
      <c r="C427" s="4" t="s">
        <v>1544</v>
      </c>
      <c r="D427" s="4" t="n">
        <v>682</v>
      </c>
      <c r="E427" s="4" t="n">
        <v>7</v>
      </c>
      <c r="F427" s="4" t="n">
        <v>6</v>
      </c>
      <c r="G427" s="4" t="n">
        <v>0</v>
      </c>
      <c r="J427" s="11" t="b">
        <f aca="false">TRUE()</f>
        <v>1</v>
      </c>
      <c r="K427" s="4" t="s">
        <v>2387</v>
      </c>
      <c r="L427" s="4" t="n">
        <v>4</v>
      </c>
      <c r="M427" s="4" t="n">
        <v>4</v>
      </c>
      <c r="N427" s="4" t="n">
        <v>4</v>
      </c>
      <c r="O427" s="4" t="n">
        <v>4</v>
      </c>
      <c r="P427" s="0" t="str">
        <f aca="false">IF(E427=0,"not_reached",IF(AND(F427&gt;0,G427=0),"allowed","blocked"))</f>
        <v>allowed</v>
      </c>
      <c r="Q427" s="0" t="str">
        <f aca="false">IF(C427="success","published",IF(E427&gt;0,"blocked_at_gate","failed_before_gate"))</f>
        <v>published</v>
      </c>
      <c r="R427" s="0" t="str">
        <f aca="false">IF(C427="success","",IF(E427&gt;0,IF(I427="freshness_within_target","freshness",IF(I427="relationships_intact","relationships",IF(I427="reconciliation_residual_zero","residual",I427))),IF(H427="quality_gate","gate_infra",H427)))</f>
        <v/>
      </c>
    </row>
    <row r="428" customFormat="false" ht="15" hidden="false" customHeight="false" outlineLevel="0" collapsed="false">
      <c r="A428" s="4" t="s">
        <v>2388</v>
      </c>
      <c r="B428" s="10" t="n">
        <v>46261.71875</v>
      </c>
      <c r="C428" s="4" t="s">
        <v>1544</v>
      </c>
      <c r="D428" s="4" t="n">
        <v>881</v>
      </c>
      <c r="E428" s="4" t="n">
        <v>7</v>
      </c>
      <c r="F428" s="4" t="n">
        <v>6</v>
      </c>
      <c r="G428" s="4" t="n">
        <v>0</v>
      </c>
      <c r="J428" s="11" t="b">
        <f aca="false">TRUE()</f>
        <v>1</v>
      </c>
      <c r="K428" s="4" t="s">
        <v>2389</v>
      </c>
      <c r="L428" s="4" t="n">
        <v>4</v>
      </c>
      <c r="M428" s="4" t="n">
        <v>4</v>
      </c>
      <c r="N428" s="4" t="n">
        <v>4</v>
      </c>
      <c r="O428" s="4" t="n">
        <v>4</v>
      </c>
      <c r="P428" s="0" t="str">
        <f aca="false">IF(E428=0,"not_reached",IF(AND(F428&gt;0,G428=0),"allowed","blocked"))</f>
        <v>allowed</v>
      </c>
      <c r="Q428" s="0" t="str">
        <f aca="false">IF(C428="success","published",IF(E428&gt;0,"blocked_at_gate","failed_before_gate"))</f>
        <v>published</v>
      </c>
      <c r="R428" s="0" t="str">
        <f aca="false">IF(C428="success","",IF(E428&gt;0,IF(I428="freshness_within_target","freshness",IF(I428="relationships_intact","relationships",IF(I428="reconciliation_residual_zero","residual",I428))),IF(H428="quality_gate","gate_infra",H428)))</f>
        <v/>
      </c>
    </row>
    <row r="429" customFormat="false" ht="15" hidden="false" customHeight="false" outlineLevel="0" collapsed="false">
      <c r="A429" s="4" t="s">
        <v>2390</v>
      </c>
      <c r="B429" s="10" t="n">
        <v>46261.7604166667</v>
      </c>
      <c r="C429" s="4" t="s">
        <v>1544</v>
      </c>
      <c r="D429" s="4" t="n">
        <v>806</v>
      </c>
      <c r="E429" s="4" t="n">
        <v>7</v>
      </c>
      <c r="F429" s="4" t="n">
        <v>6</v>
      </c>
      <c r="G429" s="4" t="n">
        <v>0</v>
      </c>
      <c r="J429" s="11" t="b">
        <f aca="false">TRUE()</f>
        <v>1</v>
      </c>
      <c r="K429" s="4" t="s">
        <v>2391</v>
      </c>
      <c r="L429" s="4" t="n">
        <v>4</v>
      </c>
      <c r="M429" s="4" t="n">
        <v>4</v>
      </c>
      <c r="N429" s="4" t="n">
        <v>4</v>
      </c>
      <c r="O429" s="4" t="n">
        <v>4</v>
      </c>
      <c r="P429" s="0" t="str">
        <f aca="false">IF(E429=0,"not_reached",IF(AND(F429&gt;0,G429=0),"allowed","blocked"))</f>
        <v>allowed</v>
      </c>
      <c r="Q429" s="0" t="str">
        <f aca="false">IF(C429="success","published",IF(E429&gt;0,"blocked_at_gate","failed_before_gate"))</f>
        <v>published</v>
      </c>
      <c r="R429" s="0" t="str">
        <f aca="false">IF(C429="success","",IF(E429&gt;0,IF(I429="freshness_within_target","freshness",IF(I429="relationships_intact","relationships",IF(I429="reconciliation_residual_zero","residual",I429))),IF(H429="quality_gate","gate_infra",H429)))</f>
        <v/>
      </c>
    </row>
    <row r="430" customFormat="false" ht="15" hidden="false" customHeight="false" outlineLevel="0" collapsed="false">
      <c r="A430" s="4" t="s">
        <v>2392</v>
      </c>
      <c r="B430" s="10" t="n">
        <v>46261.8020833333</v>
      </c>
      <c r="C430" s="4" t="s">
        <v>1544</v>
      </c>
      <c r="D430" s="4" t="n">
        <v>865</v>
      </c>
      <c r="E430" s="4" t="n">
        <v>7</v>
      </c>
      <c r="F430" s="4" t="n">
        <v>6</v>
      </c>
      <c r="G430" s="4" t="n">
        <v>0</v>
      </c>
      <c r="J430" s="11" t="b">
        <f aca="false">TRUE()</f>
        <v>1</v>
      </c>
      <c r="K430" s="4" t="s">
        <v>2393</v>
      </c>
      <c r="L430" s="4" t="n">
        <v>4</v>
      </c>
      <c r="M430" s="4" t="n">
        <v>4</v>
      </c>
      <c r="N430" s="4" t="n">
        <v>4</v>
      </c>
      <c r="O430" s="4" t="n">
        <v>4</v>
      </c>
      <c r="P430" s="0" t="str">
        <f aca="false">IF(E430=0,"not_reached",IF(AND(F430&gt;0,G430=0),"allowed","blocked"))</f>
        <v>allowed</v>
      </c>
      <c r="Q430" s="0" t="str">
        <f aca="false">IF(C430="success","published",IF(E430&gt;0,"blocked_at_gate","failed_before_gate"))</f>
        <v>published</v>
      </c>
      <c r="R430" s="0" t="str">
        <f aca="false">IF(C430="success","",IF(E430&gt;0,IF(I430="freshness_within_target","freshness",IF(I430="relationships_intact","relationships",IF(I430="reconciliation_residual_zero","residual",I430))),IF(H430="quality_gate","gate_infra",H430)))</f>
        <v/>
      </c>
    </row>
    <row r="431" customFormat="false" ht="15" hidden="false" customHeight="false" outlineLevel="0" collapsed="false">
      <c r="A431" s="4" t="s">
        <v>2394</v>
      </c>
      <c r="B431" s="10" t="n">
        <v>46261.84375</v>
      </c>
      <c r="C431" s="4" t="s">
        <v>1544</v>
      </c>
      <c r="D431" s="4" t="n">
        <v>677</v>
      </c>
      <c r="E431" s="4" t="n">
        <v>7</v>
      </c>
      <c r="F431" s="4" t="n">
        <v>6</v>
      </c>
      <c r="G431" s="4" t="n">
        <v>0</v>
      </c>
      <c r="J431" s="11" t="b">
        <f aca="false">TRUE()</f>
        <v>1</v>
      </c>
      <c r="K431" s="4" t="s">
        <v>2395</v>
      </c>
      <c r="L431" s="4" t="n">
        <v>4</v>
      </c>
      <c r="M431" s="4" t="n">
        <v>4</v>
      </c>
      <c r="N431" s="4" t="n">
        <v>4</v>
      </c>
      <c r="O431" s="4" t="n">
        <v>4</v>
      </c>
      <c r="P431" s="0" t="str">
        <f aca="false">IF(E431=0,"not_reached",IF(AND(F431&gt;0,G431=0),"allowed","blocked"))</f>
        <v>allowed</v>
      </c>
      <c r="Q431" s="0" t="str">
        <f aca="false">IF(C431="success","published",IF(E431&gt;0,"blocked_at_gate","failed_before_gate"))</f>
        <v>published</v>
      </c>
      <c r="R431" s="0" t="str">
        <f aca="false">IF(C431="success","",IF(E431&gt;0,IF(I431="freshness_within_target","freshness",IF(I431="relationships_intact","relationships",IF(I431="reconciliation_residual_zero","residual",I431))),IF(H431="quality_gate","gate_infra",H431)))</f>
        <v/>
      </c>
    </row>
    <row r="432" customFormat="false" ht="15" hidden="false" customHeight="false" outlineLevel="0" collapsed="false">
      <c r="A432" s="4" t="s">
        <v>2396</v>
      </c>
      <c r="B432" s="10" t="n">
        <v>46261.8854166667</v>
      </c>
      <c r="C432" s="4" t="s">
        <v>1544</v>
      </c>
      <c r="D432" s="4" t="n">
        <v>833</v>
      </c>
      <c r="E432" s="4" t="n">
        <v>7</v>
      </c>
      <c r="F432" s="4" t="n">
        <v>6</v>
      </c>
      <c r="G432" s="4" t="n">
        <v>0</v>
      </c>
      <c r="J432" s="11" t="b">
        <f aca="false">TRUE()</f>
        <v>1</v>
      </c>
      <c r="K432" s="4" t="s">
        <v>2397</v>
      </c>
      <c r="L432" s="4" t="n">
        <v>4</v>
      </c>
      <c r="M432" s="4" t="n">
        <v>4</v>
      </c>
      <c r="N432" s="4" t="n">
        <v>4</v>
      </c>
      <c r="O432" s="4" t="n">
        <v>4</v>
      </c>
      <c r="P432" s="0" t="str">
        <f aca="false">IF(E432=0,"not_reached",IF(AND(F432&gt;0,G432=0),"allowed","blocked"))</f>
        <v>allowed</v>
      </c>
      <c r="Q432" s="0" t="str">
        <f aca="false">IF(C432="success","published",IF(E432&gt;0,"blocked_at_gate","failed_before_gate"))</f>
        <v>published</v>
      </c>
      <c r="R432" s="0" t="str">
        <f aca="false">IF(C432="success","",IF(E432&gt;0,IF(I432="freshness_within_target","freshness",IF(I432="relationships_intact","relationships",IF(I432="reconciliation_residual_zero","residual",I432))),IF(H432="quality_gate","gate_infra",H432)))</f>
        <v/>
      </c>
    </row>
    <row r="433" customFormat="false" ht="15" hidden="false" customHeight="false" outlineLevel="0" collapsed="false">
      <c r="A433" s="4" t="s">
        <v>2398</v>
      </c>
      <c r="B433" s="10" t="n">
        <v>46261.9270833333</v>
      </c>
      <c r="C433" s="4" t="s">
        <v>1544</v>
      </c>
      <c r="D433" s="4" t="n">
        <v>923</v>
      </c>
      <c r="E433" s="4" t="n">
        <v>7</v>
      </c>
      <c r="F433" s="4" t="n">
        <v>6</v>
      </c>
      <c r="G433" s="4" t="n">
        <v>0</v>
      </c>
      <c r="J433" s="11" t="b">
        <f aca="false">TRUE()</f>
        <v>1</v>
      </c>
      <c r="K433" s="4" t="s">
        <v>2399</v>
      </c>
      <c r="L433" s="4" t="n">
        <v>4</v>
      </c>
      <c r="M433" s="4" t="n">
        <v>4</v>
      </c>
      <c r="N433" s="4" t="n">
        <v>4</v>
      </c>
      <c r="O433" s="4" t="n">
        <v>4</v>
      </c>
      <c r="P433" s="0" t="str">
        <f aca="false">IF(E433=0,"not_reached",IF(AND(F433&gt;0,G433=0),"allowed","blocked"))</f>
        <v>allowed</v>
      </c>
      <c r="Q433" s="0" t="str">
        <f aca="false">IF(C433="success","published",IF(E433&gt;0,"blocked_at_gate","failed_before_gate"))</f>
        <v>published</v>
      </c>
      <c r="R433" s="0" t="str">
        <f aca="false">IF(C433="success","",IF(E433&gt;0,IF(I433="freshness_within_target","freshness",IF(I433="relationships_intact","relationships",IF(I433="reconciliation_residual_zero","residual",I433))),IF(H433="quality_gate","gate_infra",H433)))</f>
        <v/>
      </c>
    </row>
    <row r="434" customFormat="false" ht="15" hidden="false" customHeight="false" outlineLevel="0" collapsed="false">
      <c r="A434" s="4" t="s">
        <v>2400</v>
      </c>
      <c r="B434" s="10" t="n">
        <v>46261.96875</v>
      </c>
      <c r="C434" s="4" t="s">
        <v>1544</v>
      </c>
      <c r="D434" s="4" t="n">
        <v>837</v>
      </c>
      <c r="E434" s="4" t="n">
        <v>7</v>
      </c>
      <c r="F434" s="4" t="n">
        <v>6</v>
      </c>
      <c r="G434" s="4" t="n">
        <v>0</v>
      </c>
      <c r="J434" s="11" t="b">
        <f aca="false">TRUE()</f>
        <v>1</v>
      </c>
      <c r="K434" s="4" t="s">
        <v>2401</v>
      </c>
      <c r="L434" s="4" t="n">
        <v>4</v>
      </c>
      <c r="M434" s="4" t="n">
        <v>4</v>
      </c>
      <c r="N434" s="4" t="n">
        <v>4</v>
      </c>
      <c r="O434" s="4" t="n">
        <v>4</v>
      </c>
      <c r="P434" s="0" t="str">
        <f aca="false">IF(E434=0,"not_reached",IF(AND(F434&gt;0,G434=0),"allowed","blocked"))</f>
        <v>allowed</v>
      </c>
      <c r="Q434" s="0" t="str">
        <f aca="false">IF(C434="success","published",IF(E434&gt;0,"blocked_at_gate","failed_before_gate"))</f>
        <v>published</v>
      </c>
      <c r="R434" s="0" t="str">
        <f aca="false">IF(C434="success","",IF(E434&gt;0,IF(I434="freshness_within_target","freshness",IF(I434="relationships_intact","relationships",IF(I434="reconciliation_residual_zero","residual",I434))),IF(H434="quality_gate","gate_infra",H434)))</f>
        <v/>
      </c>
    </row>
    <row r="435" customFormat="false" ht="15" hidden="false" customHeight="false" outlineLevel="0" collapsed="false">
      <c r="A435" s="4" t="s">
        <v>2402</v>
      </c>
      <c r="B435" s="10" t="n">
        <v>46262.0104166667</v>
      </c>
      <c r="C435" s="4" t="s">
        <v>1544</v>
      </c>
      <c r="D435" s="4" t="n">
        <v>672</v>
      </c>
      <c r="E435" s="4" t="n">
        <v>7</v>
      </c>
      <c r="F435" s="4" t="n">
        <v>6</v>
      </c>
      <c r="G435" s="4" t="n">
        <v>0</v>
      </c>
      <c r="J435" s="11" t="b">
        <f aca="false">TRUE()</f>
        <v>1</v>
      </c>
      <c r="K435" s="4" t="s">
        <v>2403</v>
      </c>
      <c r="L435" s="4" t="n">
        <v>4</v>
      </c>
      <c r="M435" s="4" t="n">
        <v>4</v>
      </c>
      <c r="N435" s="4" t="n">
        <v>4</v>
      </c>
      <c r="O435" s="4" t="n">
        <v>4</v>
      </c>
      <c r="P435" s="0" t="str">
        <f aca="false">IF(E435=0,"not_reached",IF(AND(F435&gt;0,G435=0),"allowed","blocked"))</f>
        <v>allowed</v>
      </c>
      <c r="Q435" s="0" t="str">
        <f aca="false">IF(C435="success","published",IF(E435&gt;0,"blocked_at_gate","failed_before_gate"))</f>
        <v>published</v>
      </c>
      <c r="R435" s="0" t="str">
        <f aca="false">IF(C435="success","",IF(E435&gt;0,IF(I435="freshness_within_target","freshness",IF(I435="relationships_intact","relationships",IF(I435="reconciliation_residual_zero","residual",I435))),IF(H435="quality_gate","gate_infra",H435)))</f>
        <v/>
      </c>
    </row>
    <row r="436" customFormat="false" ht="15" hidden="false" customHeight="false" outlineLevel="0" collapsed="false">
      <c r="A436" s="4" t="s">
        <v>2404</v>
      </c>
      <c r="B436" s="10" t="n">
        <v>46262.0520833333</v>
      </c>
      <c r="C436" s="4" t="s">
        <v>1544</v>
      </c>
      <c r="D436" s="4" t="n">
        <v>811</v>
      </c>
      <c r="E436" s="4" t="n">
        <v>7</v>
      </c>
      <c r="F436" s="4" t="n">
        <v>6</v>
      </c>
      <c r="G436" s="4" t="n">
        <v>0</v>
      </c>
      <c r="J436" s="11" t="b">
        <f aca="false">TRUE()</f>
        <v>1</v>
      </c>
      <c r="K436" s="4" t="s">
        <v>2405</v>
      </c>
      <c r="L436" s="4" t="n">
        <v>4</v>
      </c>
      <c r="M436" s="4" t="n">
        <v>4</v>
      </c>
      <c r="N436" s="4" t="n">
        <v>4</v>
      </c>
      <c r="O436" s="4" t="n">
        <v>4</v>
      </c>
      <c r="P436" s="0" t="str">
        <f aca="false">IF(E436=0,"not_reached",IF(AND(F436&gt;0,G436=0),"allowed","blocked"))</f>
        <v>allowed</v>
      </c>
      <c r="Q436" s="0" t="str">
        <f aca="false">IF(C436="success","published",IF(E436&gt;0,"blocked_at_gate","failed_before_gate"))</f>
        <v>published</v>
      </c>
      <c r="R436" s="0" t="str">
        <f aca="false">IF(C436="success","",IF(E436&gt;0,IF(I436="freshness_within_target","freshness",IF(I436="relationships_intact","relationships",IF(I436="reconciliation_residual_zero","residual",I436))),IF(H436="quality_gate","gate_infra",H436)))</f>
        <v/>
      </c>
    </row>
    <row r="437" customFormat="false" ht="15" hidden="false" customHeight="false" outlineLevel="0" collapsed="false">
      <c r="A437" s="4" t="s">
        <v>2406</v>
      </c>
      <c r="B437" s="10" t="n">
        <v>46262.09375</v>
      </c>
      <c r="C437" s="4" t="s">
        <v>1544</v>
      </c>
      <c r="D437" s="4" t="n">
        <v>738</v>
      </c>
      <c r="E437" s="4" t="n">
        <v>7</v>
      </c>
      <c r="F437" s="4" t="n">
        <v>6</v>
      </c>
      <c r="G437" s="4" t="n">
        <v>0</v>
      </c>
      <c r="J437" s="11" t="b">
        <f aca="false">TRUE()</f>
        <v>1</v>
      </c>
      <c r="K437" s="4" t="s">
        <v>2407</v>
      </c>
      <c r="L437" s="4" t="n">
        <v>4</v>
      </c>
      <c r="M437" s="4" t="n">
        <v>4</v>
      </c>
      <c r="N437" s="4" t="n">
        <v>4</v>
      </c>
      <c r="O437" s="4" t="n">
        <v>4</v>
      </c>
      <c r="P437" s="0" t="str">
        <f aca="false">IF(E437=0,"not_reached",IF(AND(F437&gt;0,G437=0),"allowed","blocked"))</f>
        <v>allowed</v>
      </c>
      <c r="Q437" s="0" t="str">
        <f aca="false">IF(C437="success","published",IF(E437&gt;0,"blocked_at_gate","failed_before_gate"))</f>
        <v>published</v>
      </c>
      <c r="R437" s="0" t="str">
        <f aca="false">IF(C437="success","",IF(E437&gt;0,IF(I437="freshness_within_target","freshness",IF(I437="relationships_intact","relationships",IF(I437="reconciliation_residual_zero","residual",I437))),IF(H437="quality_gate","gate_infra",H437)))</f>
        <v/>
      </c>
    </row>
    <row r="438" customFormat="false" ht="15" hidden="false" customHeight="false" outlineLevel="0" collapsed="false">
      <c r="A438" s="4" t="s">
        <v>2408</v>
      </c>
      <c r="B438" s="10" t="n">
        <v>46262.1354166667</v>
      </c>
      <c r="C438" s="4" t="s">
        <v>1544</v>
      </c>
      <c r="D438" s="4" t="n">
        <v>932</v>
      </c>
      <c r="E438" s="4" t="n">
        <v>7</v>
      </c>
      <c r="F438" s="4" t="n">
        <v>6</v>
      </c>
      <c r="G438" s="4" t="n">
        <v>0</v>
      </c>
      <c r="J438" s="11" t="b">
        <f aca="false">TRUE()</f>
        <v>1</v>
      </c>
      <c r="K438" s="4" t="s">
        <v>2409</v>
      </c>
      <c r="L438" s="4" t="n">
        <v>4</v>
      </c>
      <c r="M438" s="4" t="n">
        <v>4</v>
      </c>
      <c r="N438" s="4" t="n">
        <v>4</v>
      </c>
      <c r="O438" s="4" t="n">
        <v>4</v>
      </c>
      <c r="P438" s="0" t="str">
        <f aca="false">IF(E438=0,"not_reached",IF(AND(F438&gt;0,G438=0),"allowed","blocked"))</f>
        <v>allowed</v>
      </c>
      <c r="Q438" s="0" t="str">
        <f aca="false">IF(C438="success","published",IF(E438&gt;0,"blocked_at_gate","failed_before_gate"))</f>
        <v>published</v>
      </c>
      <c r="R438" s="0" t="str">
        <f aca="false">IF(C438="success","",IF(E438&gt;0,IF(I438="freshness_within_target","freshness",IF(I438="relationships_intact","relationships",IF(I438="reconciliation_residual_zero","residual",I438))),IF(H438="quality_gate","gate_infra",H438)))</f>
        <v/>
      </c>
    </row>
    <row r="439" customFormat="false" ht="15" hidden="false" customHeight="false" outlineLevel="0" collapsed="false">
      <c r="A439" s="4" t="s">
        <v>2410</v>
      </c>
      <c r="B439" s="10" t="n">
        <v>46262.1770833333</v>
      </c>
      <c r="C439" s="4" t="s">
        <v>1544</v>
      </c>
      <c r="D439" s="4" t="n">
        <v>789</v>
      </c>
      <c r="E439" s="4" t="n">
        <v>7</v>
      </c>
      <c r="F439" s="4" t="n">
        <v>6</v>
      </c>
      <c r="G439" s="4" t="n">
        <v>0</v>
      </c>
      <c r="J439" s="11" t="b">
        <f aca="false">TRUE()</f>
        <v>1</v>
      </c>
      <c r="K439" s="4" t="s">
        <v>2411</v>
      </c>
      <c r="L439" s="4" t="n">
        <v>4</v>
      </c>
      <c r="M439" s="4" t="n">
        <v>4</v>
      </c>
      <c r="N439" s="4" t="n">
        <v>4</v>
      </c>
      <c r="O439" s="4" t="n">
        <v>4</v>
      </c>
      <c r="P439" s="0" t="str">
        <f aca="false">IF(E439=0,"not_reached",IF(AND(F439&gt;0,G439=0),"allowed","blocked"))</f>
        <v>allowed</v>
      </c>
      <c r="Q439" s="0" t="str">
        <f aca="false">IF(C439="success","published",IF(E439&gt;0,"blocked_at_gate","failed_before_gate"))</f>
        <v>published</v>
      </c>
      <c r="R439" s="0" t="str">
        <f aca="false">IF(C439="success","",IF(E439&gt;0,IF(I439="freshness_within_target","freshness",IF(I439="relationships_intact","relationships",IF(I439="reconciliation_residual_zero","residual",I439))),IF(H439="quality_gate","gate_infra",H439)))</f>
        <v/>
      </c>
    </row>
    <row r="440" customFormat="false" ht="15" hidden="false" customHeight="false" outlineLevel="0" collapsed="false">
      <c r="A440" s="4" t="s">
        <v>2412</v>
      </c>
      <c r="B440" s="10" t="n">
        <v>46262.21875</v>
      </c>
      <c r="C440" s="4" t="s">
        <v>1544</v>
      </c>
      <c r="D440" s="4" t="n">
        <v>843</v>
      </c>
      <c r="E440" s="4" t="n">
        <v>7</v>
      </c>
      <c r="F440" s="4" t="n">
        <v>6</v>
      </c>
      <c r="G440" s="4" t="n">
        <v>0</v>
      </c>
      <c r="J440" s="11" t="b">
        <f aca="false">TRUE()</f>
        <v>1</v>
      </c>
      <c r="K440" s="4" t="s">
        <v>2413</v>
      </c>
      <c r="L440" s="4" t="n">
        <v>4</v>
      </c>
      <c r="M440" s="4" t="n">
        <v>4</v>
      </c>
      <c r="N440" s="4" t="n">
        <v>4</v>
      </c>
      <c r="O440" s="4" t="n">
        <v>4</v>
      </c>
      <c r="P440" s="0" t="str">
        <f aca="false">IF(E440=0,"not_reached",IF(AND(F440&gt;0,G440=0),"allowed","blocked"))</f>
        <v>allowed</v>
      </c>
      <c r="Q440" s="0" t="str">
        <f aca="false">IF(C440="success","published",IF(E440&gt;0,"blocked_at_gate","failed_before_gate"))</f>
        <v>published</v>
      </c>
      <c r="R440" s="0" t="str">
        <f aca="false">IF(C440="success","",IF(E440&gt;0,IF(I440="freshness_within_target","freshness",IF(I440="relationships_intact","relationships",IF(I440="reconciliation_residual_zero","residual",I440))),IF(H440="quality_gate","gate_infra",H440)))</f>
        <v/>
      </c>
    </row>
    <row r="441" customFormat="false" ht="15" hidden="false" customHeight="false" outlineLevel="0" collapsed="false">
      <c r="A441" s="4" t="s">
        <v>2414</v>
      </c>
      <c r="B441" s="10" t="n">
        <v>46262.2604166667</v>
      </c>
      <c r="C441" s="4" t="s">
        <v>1901</v>
      </c>
      <c r="D441" s="4" t="n">
        <v>551</v>
      </c>
      <c r="E441" s="4" t="n">
        <v>0</v>
      </c>
      <c r="F441" s="4" t="n">
        <v>0</v>
      </c>
      <c r="G441" s="4" t="n">
        <v>0</v>
      </c>
      <c r="H441" s="4" t="s">
        <v>60</v>
      </c>
      <c r="J441" s="11" t="b">
        <f aca="false">FALSE()</f>
        <v>0</v>
      </c>
      <c r="L441" s="4" t="n">
        <v>1</v>
      </c>
      <c r="M441" s="4" t="n">
        <v>0</v>
      </c>
      <c r="N441" s="4" t="n">
        <v>3</v>
      </c>
      <c r="O441" s="4" t="n">
        <v>0</v>
      </c>
      <c r="P441" s="0" t="str">
        <f aca="false">IF(E441=0,"not_reached",IF(AND(F441&gt;0,G441=0),"allowed","blocked"))</f>
        <v>not_reached</v>
      </c>
      <c r="Q441" s="0" t="str">
        <f aca="false">IF(C441="success","published",IF(E441&gt;0,"blocked_at_gate","failed_before_gate"))</f>
        <v>failed_before_gate</v>
      </c>
      <c r="R441" s="0" t="str">
        <f aca="false">IF(C441="success","",IF(E441&gt;0,IF(I441="freshness_within_target","freshness",IF(I441="relationships_intact","relationships",IF(I441="reconciliation_residual_zero","residual",I441))),IF(H441="quality_gate","gate_infra",H441)))</f>
        <v>ingest</v>
      </c>
    </row>
    <row r="442" customFormat="false" ht="15" hidden="false" customHeight="false" outlineLevel="0" collapsed="false">
      <c r="A442" s="4" t="s">
        <v>2415</v>
      </c>
      <c r="B442" s="10" t="n">
        <v>46262.3020833333</v>
      </c>
      <c r="C442" s="4" t="s">
        <v>1544</v>
      </c>
      <c r="D442" s="4" t="n">
        <v>899</v>
      </c>
      <c r="E442" s="4" t="n">
        <v>7</v>
      </c>
      <c r="F442" s="4" t="n">
        <v>6</v>
      </c>
      <c r="G442" s="4" t="n">
        <v>0</v>
      </c>
      <c r="J442" s="11" t="b">
        <f aca="false">TRUE()</f>
        <v>1</v>
      </c>
      <c r="K442" s="4" t="s">
        <v>2416</v>
      </c>
      <c r="L442" s="4" t="n">
        <v>4</v>
      </c>
      <c r="M442" s="4" t="n">
        <v>4</v>
      </c>
      <c r="N442" s="4" t="n">
        <v>4</v>
      </c>
      <c r="O442" s="4" t="n">
        <v>4</v>
      </c>
      <c r="P442" s="0" t="str">
        <f aca="false">IF(E442=0,"not_reached",IF(AND(F442&gt;0,G442=0),"allowed","blocked"))</f>
        <v>allowed</v>
      </c>
      <c r="Q442" s="0" t="str">
        <f aca="false">IF(C442="success","published",IF(E442&gt;0,"blocked_at_gate","failed_before_gate"))</f>
        <v>published</v>
      </c>
      <c r="R442" s="0" t="str">
        <f aca="false">IF(C442="success","",IF(E442&gt;0,IF(I442="freshness_within_target","freshness",IF(I442="relationships_intact","relationships",IF(I442="reconciliation_residual_zero","residual",I442))),IF(H442="quality_gate","gate_infra",H442)))</f>
        <v/>
      </c>
    </row>
    <row r="443" customFormat="false" ht="15" hidden="false" customHeight="false" outlineLevel="0" collapsed="false">
      <c r="A443" s="4" t="s">
        <v>2417</v>
      </c>
      <c r="B443" s="10" t="n">
        <v>46262.34375</v>
      </c>
      <c r="C443" s="4" t="s">
        <v>1544</v>
      </c>
      <c r="D443" s="4" t="n">
        <v>669</v>
      </c>
      <c r="E443" s="4" t="n">
        <v>7</v>
      </c>
      <c r="F443" s="4" t="n">
        <v>6</v>
      </c>
      <c r="G443" s="4" t="n">
        <v>0</v>
      </c>
      <c r="J443" s="11" t="b">
        <f aca="false">TRUE()</f>
        <v>1</v>
      </c>
      <c r="K443" s="4" t="s">
        <v>2418</v>
      </c>
      <c r="L443" s="4" t="n">
        <v>4</v>
      </c>
      <c r="M443" s="4" t="n">
        <v>4</v>
      </c>
      <c r="N443" s="4" t="n">
        <v>4</v>
      </c>
      <c r="O443" s="4" t="n">
        <v>4</v>
      </c>
      <c r="P443" s="0" t="str">
        <f aca="false">IF(E443=0,"not_reached",IF(AND(F443&gt;0,G443=0),"allowed","blocked"))</f>
        <v>allowed</v>
      </c>
      <c r="Q443" s="0" t="str">
        <f aca="false">IF(C443="success","published",IF(E443&gt;0,"blocked_at_gate","failed_before_gate"))</f>
        <v>published</v>
      </c>
      <c r="R443" s="0" t="str">
        <f aca="false">IF(C443="success","",IF(E443&gt;0,IF(I443="freshness_within_target","freshness",IF(I443="relationships_intact","relationships",IF(I443="reconciliation_residual_zero","residual",I443))),IF(H443="quality_gate","gate_infra",H443)))</f>
        <v/>
      </c>
    </row>
    <row r="444" customFormat="false" ht="15" hidden="false" customHeight="false" outlineLevel="0" collapsed="false">
      <c r="A444" s="4" t="s">
        <v>2419</v>
      </c>
      <c r="B444" s="10" t="n">
        <v>46262.3854166667</v>
      </c>
      <c r="C444" s="4" t="s">
        <v>1544</v>
      </c>
      <c r="D444" s="4" t="n">
        <v>837</v>
      </c>
      <c r="E444" s="4" t="n">
        <v>7</v>
      </c>
      <c r="F444" s="4" t="n">
        <v>6</v>
      </c>
      <c r="G444" s="4" t="n">
        <v>0</v>
      </c>
      <c r="J444" s="11" t="b">
        <f aca="false">TRUE()</f>
        <v>1</v>
      </c>
      <c r="K444" s="4" t="s">
        <v>2420</v>
      </c>
      <c r="L444" s="4" t="n">
        <v>4</v>
      </c>
      <c r="M444" s="4" t="n">
        <v>4</v>
      </c>
      <c r="N444" s="4" t="n">
        <v>4</v>
      </c>
      <c r="O444" s="4" t="n">
        <v>4</v>
      </c>
      <c r="P444" s="0" t="str">
        <f aca="false">IF(E444=0,"not_reached",IF(AND(F444&gt;0,G444=0),"allowed","blocked"))</f>
        <v>allowed</v>
      </c>
      <c r="Q444" s="0" t="str">
        <f aca="false">IF(C444="success","published",IF(E444&gt;0,"blocked_at_gate","failed_before_gate"))</f>
        <v>published</v>
      </c>
      <c r="R444" s="0" t="str">
        <f aca="false">IF(C444="success","",IF(E444&gt;0,IF(I444="freshness_within_target","freshness",IF(I444="relationships_intact","relationships",IF(I444="reconciliation_residual_zero","residual",I444))),IF(H444="quality_gate","gate_infra",H444)))</f>
        <v/>
      </c>
    </row>
    <row r="445" customFormat="false" ht="15" hidden="false" customHeight="false" outlineLevel="0" collapsed="false">
      <c r="A445" s="4" t="s">
        <v>2421</v>
      </c>
      <c r="B445" s="10" t="n">
        <v>46262.4270833333</v>
      </c>
      <c r="C445" s="4" t="s">
        <v>1544</v>
      </c>
      <c r="D445" s="4" t="n">
        <v>862</v>
      </c>
      <c r="E445" s="4" t="n">
        <v>7</v>
      </c>
      <c r="F445" s="4" t="n">
        <v>6</v>
      </c>
      <c r="G445" s="4" t="n">
        <v>0</v>
      </c>
      <c r="J445" s="11" t="b">
        <f aca="false">TRUE()</f>
        <v>1</v>
      </c>
      <c r="K445" s="4" t="s">
        <v>2422</v>
      </c>
      <c r="L445" s="4" t="n">
        <v>4</v>
      </c>
      <c r="M445" s="4" t="n">
        <v>4</v>
      </c>
      <c r="N445" s="4" t="n">
        <v>4</v>
      </c>
      <c r="O445" s="4" t="n">
        <v>4</v>
      </c>
      <c r="P445" s="0" t="str">
        <f aca="false">IF(E445=0,"not_reached",IF(AND(F445&gt;0,G445=0),"allowed","blocked"))</f>
        <v>allowed</v>
      </c>
      <c r="Q445" s="0" t="str">
        <f aca="false">IF(C445="success","published",IF(E445&gt;0,"blocked_at_gate","failed_before_gate"))</f>
        <v>published</v>
      </c>
      <c r="R445" s="0" t="str">
        <f aca="false">IF(C445="success","",IF(E445&gt;0,IF(I445="freshness_within_target","freshness",IF(I445="relationships_intact","relationships",IF(I445="reconciliation_residual_zero","residual",I445))),IF(H445="quality_gate","gate_infra",H445)))</f>
        <v/>
      </c>
    </row>
    <row r="446" customFormat="false" ht="15" hidden="false" customHeight="false" outlineLevel="0" collapsed="false">
      <c r="A446" s="4" t="s">
        <v>2423</v>
      </c>
      <c r="B446" s="10" t="n">
        <v>46262.46875</v>
      </c>
      <c r="C446" s="4" t="s">
        <v>1544</v>
      </c>
      <c r="D446" s="4" t="n">
        <v>686</v>
      </c>
      <c r="E446" s="4" t="n">
        <v>7</v>
      </c>
      <c r="F446" s="4" t="n">
        <v>6</v>
      </c>
      <c r="G446" s="4" t="n">
        <v>0</v>
      </c>
      <c r="J446" s="11" t="b">
        <f aca="false">TRUE()</f>
        <v>1</v>
      </c>
      <c r="K446" s="4" t="s">
        <v>2424</v>
      </c>
      <c r="L446" s="4" t="n">
        <v>4</v>
      </c>
      <c r="M446" s="4" t="n">
        <v>4</v>
      </c>
      <c r="N446" s="4" t="n">
        <v>4</v>
      </c>
      <c r="O446" s="4" t="n">
        <v>4</v>
      </c>
      <c r="P446" s="0" t="str">
        <f aca="false">IF(E446=0,"not_reached",IF(AND(F446&gt;0,G446=0),"allowed","blocked"))</f>
        <v>allowed</v>
      </c>
      <c r="Q446" s="0" t="str">
        <f aca="false">IF(C446="success","published",IF(E446&gt;0,"blocked_at_gate","failed_before_gate"))</f>
        <v>published</v>
      </c>
      <c r="R446" s="0" t="str">
        <f aca="false">IF(C446="success","",IF(E446&gt;0,IF(I446="freshness_within_target","freshness",IF(I446="relationships_intact","relationships",IF(I446="reconciliation_residual_zero","residual",I446))),IF(H446="quality_gate","gate_infra",H446)))</f>
        <v/>
      </c>
    </row>
    <row r="447" customFormat="false" ht="15" hidden="false" customHeight="false" outlineLevel="0" collapsed="false">
      <c r="A447" s="4" t="s">
        <v>2425</v>
      </c>
      <c r="B447" s="10" t="n">
        <v>46262.5104166667</v>
      </c>
      <c r="C447" s="4" t="s">
        <v>1544</v>
      </c>
      <c r="D447" s="4" t="n">
        <v>864</v>
      </c>
      <c r="E447" s="4" t="n">
        <v>7</v>
      </c>
      <c r="F447" s="4" t="n">
        <v>6</v>
      </c>
      <c r="G447" s="4" t="n">
        <v>0</v>
      </c>
      <c r="J447" s="11" t="b">
        <f aca="false">TRUE()</f>
        <v>1</v>
      </c>
      <c r="K447" s="4" t="s">
        <v>2426</v>
      </c>
      <c r="L447" s="4" t="n">
        <v>4</v>
      </c>
      <c r="M447" s="4" t="n">
        <v>4</v>
      </c>
      <c r="N447" s="4" t="n">
        <v>4</v>
      </c>
      <c r="O447" s="4" t="n">
        <v>4</v>
      </c>
      <c r="P447" s="0" t="str">
        <f aca="false">IF(E447=0,"not_reached",IF(AND(F447&gt;0,G447=0),"allowed","blocked"))</f>
        <v>allowed</v>
      </c>
      <c r="Q447" s="0" t="str">
        <f aca="false">IF(C447="success","published",IF(E447&gt;0,"blocked_at_gate","failed_before_gate"))</f>
        <v>published</v>
      </c>
      <c r="R447" s="0" t="str">
        <f aca="false">IF(C447="success","",IF(E447&gt;0,IF(I447="freshness_within_target","freshness",IF(I447="relationships_intact","relationships",IF(I447="reconciliation_residual_zero","residual",I447))),IF(H447="quality_gate","gate_infra",H447)))</f>
        <v/>
      </c>
    </row>
    <row r="448" customFormat="false" ht="15" hidden="false" customHeight="false" outlineLevel="0" collapsed="false">
      <c r="A448" s="4" t="s">
        <v>2427</v>
      </c>
      <c r="B448" s="10" t="n">
        <v>46262.5520833333</v>
      </c>
      <c r="C448" s="4" t="s">
        <v>1544</v>
      </c>
      <c r="D448" s="4" t="n">
        <v>953</v>
      </c>
      <c r="E448" s="4" t="n">
        <v>7</v>
      </c>
      <c r="F448" s="4" t="n">
        <v>6</v>
      </c>
      <c r="G448" s="4" t="n">
        <v>0</v>
      </c>
      <c r="J448" s="11" t="b">
        <f aca="false">TRUE()</f>
        <v>1</v>
      </c>
      <c r="K448" s="4" t="s">
        <v>2428</v>
      </c>
      <c r="L448" s="4" t="n">
        <v>4</v>
      </c>
      <c r="M448" s="4" t="n">
        <v>4</v>
      </c>
      <c r="N448" s="4" t="n">
        <v>4</v>
      </c>
      <c r="O448" s="4" t="n">
        <v>4</v>
      </c>
      <c r="P448" s="0" t="str">
        <f aca="false">IF(E448=0,"not_reached",IF(AND(F448&gt;0,G448=0),"allowed","blocked"))</f>
        <v>allowed</v>
      </c>
      <c r="Q448" s="0" t="str">
        <f aca="false">IF(C448="success","published",IF(E448&gt;0,"blocked_at_gate","failed_before_gate"))</f>
        <v>published</v>
      </c>
      <c r="R448" s="0" t="str">
        <f aca="false">IF(C448="success","",IF(E448&gt;0,IF(I448="freshness_within_target","freshness",IF(I448="relationships_intact","relationships",IF(I448="reconciliation_residual_zero","residual",I448))),IF(H448="quality_gate","gate_infra",H448)))</f>
        <v/>
      </c>
    </row>
    <row r="449" customFormat="false" ht="15" hidden="false" customHeight="false" outlineLevel="0" collapsed="false">
      <c r="A449" s="4" t="s">
        <v>2429</v>
      </c>
      <c r="B449" s="10" t="n">
        <v>46262.59375</v>
      </c>
      <c r="C449" s="4" t="s">
        <v>1544</v>
      </c>
      <c r="D449" s="4" t="n">
        <v>762</v>
      </c>
      <c r="E449" s="4" t="n">
        <v>7</v>
      </c>
      <c r="F449" s="4" t="n">
        <v>6</v>
      </c>
      <c r="G449" s="4" t="n">
        <v>0</v>
      </c>
      <c r="J449" s="11" t="b">
        <f aca="false">TRUE()</f>
        <v>1</v>
      </c>
      <c r="K449" s="4" t="s">
        <v>2430</v>
      </c>
      <c r="L449" s="4" t="n">
        <v>4</v>
      </c>
      <c r="M449" s="4" t="n">
        <v>4</v>
      </c>
      <c r="N449" s="4" t="n">
        <v>4</v>
      </c>
      <c r="O449" s="4" t="n">
        <v>4</v>
      </c>
      <c r="P449" s="0" t="str">
        <f aca="false">IF(E449=0,"not_reached",IF(AND(F449&gt;0,G449=0),"allowed","blocked"))</f>
        <v>allowed</v>
      </c>
      <c r="Q449" s="0" t="str">
        <f aca="false">IF(C449="success","published",IF(E449&gt;0,"blocked_at_gate","failed_before_gate"))</f>
        <v>published</v>
      </c>
      <c r="R449" s="0" t="str">
        <f aca="false">IF(C449="success","",IF(E449&gt;0,IF(I449="freshness_within_target","freshness",IF(I449="relationships_intact","relationships",IF(I449="reconciliation_residual_zero","residual",I449))),IF(H449="quality_gate","gate_infra",H449)))</f>
        <v/>
      </c>
    </row>
    <row r="450" customFormat="false" ht="15" hidden="false" customHeight="false" outlineLevel="0" collapsed="false">
      <c r="A450" s="4" t="s">
        <v>2431</v>
      </c>
      <c r="B450" s="10" t="n">
        <v>46262.6354166667</v>
      </c>
      <c r="C450" s="4" t="s">
        <v>1544</v>
      </c>
      <c r="D450" s="4" t="n">
        <v>766</v>
      </c>
      <c r="E450" s="4" t="n">
        <v>7</v>
      </c>
      <c r="F450" s="4" t="n">
        <v>6</v>
      </c>
      <c r="G450" s="4" t="n">
        <v>0</v>
      </c>
      <c r="J450" s="11" t="b">
        <f aca="false">TRUE()</f>
        <v>1</v>
      </c>
      <c r="K450" s="4" t="s">
        <v>2432</v>
      </c>
      <c r="L450" s="4" t="n">
        <v>4</v>
      </c>
      <c r="M450" s="4" t="n">
        <v>4</v>
      </c>
      <c r="N450" s="4" t="n">
        <v>4</v>
      </c>
      <c r="O450" s="4" t="n">
        <v>4</v>
      </c>
      <c r="P450" s="0" t="str">
        <f aca="false">IF(E450=0,"not_reached",IF(AND(F450&gt;0,G450=0),"allowed","blocked"))</f>
        <v>allowed</v>
      </c>
      <c r="Q450" s="0" t="str">
        <f aca="false">IF(C450="success","published",IF(E450&gt;0,"blocked_at_gate","failed_before_gate"))</f>
        <v>published</v>
      </c>
      <c r="R450" s="0" t="str">
        <f aca="false">IF(C450="success","",IF(E450&gt;0,IF(I450="freshness_within_target","freshness",IF(I450="relationships_intact","relationships",IF(I450="reconciliation_residual_zero","residual",I450))),IF(H450="quality_gate","gate_infra",H450)))</f>
        <v/>
      </c>
    </row>
    <row r="451" customFormat="false" ht="15" hidden="false" customHeight="false" outlineLevel="0" collapsed="false">
      <c r="A451" s="4" t="s">
        <v>2433</v>
      </c>
      <c r="B451" s="10" t="n">
        <v>46262.6770833333</v>
      </c>
      <c r="C451" s="4" t="s">
        <v>1544</v>
      </c>
      <c r="D451" s="4" t="n">
        <v>750</v>
      </c>
      <c r="E451" s="4" t="n">
        <v>7</v>
      </c>
      <c r="F451" s="4" t="n">
        <v>6</v>
      </c>
      <c r="G451" s="4" t="n">
        <v>0</v>
      </c>
      <c r="J451" s="11" t="b">
        <f aca="false">TRUE()</f>
        <v>1</v>
      </c>
      <c r="K451" s="4" t="s">
        <v>2434</v>
      </c>
      <c r="L451" s="4" t="n">
        <v>4</v>
      </c>
      <c r="M451" s="4" t="n">
        <v>4</v>
      </c>
      <c r="N451" s="4" t="n">
        <v>4</v>
      </c>
      <c r="O451" s="4" t="n">
        <v>4</v>
      </c>
      <c r="P451" s="0" t="str">
        <f aca="false">IF(E451=0,"not_reached",IF(AND(F451&gt;0,G451=0),"allowed","blocked"))</f>
        <v>allowed</v>
      </c>
      <c r="Q451" s="0" t="str">
        <f aca="false">IF(C451="success","published",IF(E451&gt;0,"blocked_at_gate","failed_before_gate"))</f>
        <v>published</v>
      </c>
      <c r="R451" s="0" t="str">
        <f aca="false">IF(C451="success","",IF(E451&gt;0,IF(I451="freshness_within_target","freshness",IF(I451="relationships_intact","relationships",IF(I451="reconciliation_residual_zero","residual",I451))),IF(H451="quality_gate","gate_infra",H451)))</f>
        <v/>
      </c>
    </row>
    <row r="452" customFormat="false" ht="15" hidden="false" customHeight="false" outlineLevel="0" collapsed="false">
      <c r="A452" s="4" t="s">
        <v>2435</v>
      </c>
      <c r="B452" s="10" t="n">
        <v>46262.71875</v>
      </c>
      <c r="C452" s="4" t="s">
        <v>1544</v>
      </c>
      <c r="D452" s="4" t="n">
        <v>880</v>
      </c>
      <c r="E452" s="4" t="n">
        <v>7</v>
      </c>
      <c r="F452" s="4" t="n">
        <v>6</v>
      </c>
      <c r="G452" s="4" t="n">
        <v>0</v>
      </c>
      <c r="J452" s="11" t="b">
        <f aca="false">TRUE()</f>
        <v>1</v>
      </c>
      <c r="K452" s="4" t="s">
        <v>2436</v>
      </c>
      <c r="L452" s="4" t="n">
        <v>4</v>
      </c>
      <c r="M452" s="4" t="n">
        <v>4</v>
      </c>
      <c r="N452" s="4" t="n">
        <v>4</v>
      </c>
      <c r="O452" s="4" t="n">
        <v>4</v>
      </c>
      <c r="P452" s="0" t="str">
        <f aca="false">IF(E452=0,"not_reached",IF(AND(F452&gt;0,G452=0),"allowed","blocked"))</f>
        <v>allowed</v>
      </c>
      <c r="Q452" s="0" t="str">
        <f aca="false">IF(C452="success","published",IF(E452&gt;0,"blocked_at_gate","failed_before_gate"))</f>
        <v>published</v>
      </c>
      <c r="R452" s="0" t="str">
        <f aca="false">IF(C452="success","",IF(E452&gt;0,IF(I452="freshness_within_target","freshness",IF(I452="relationships_intact","relationships",IF(I452="reconciliation_residual_zero","residual",I452))),IF(H452="quality_gate","gate_infra",H452)))</f>
        <v/>
      </c>
    </row>
    <row r="453" customFormat="false" ht="15" hidden="false" customHeight="false" outlineLevel="0" collapsed="false">
      <c r="A453" s="4" t="s">
        <v>2437</v>
      </c>
      <c r="B453" s="10" t="n">
        <v>46262.7604166667</v>
      </c>
      <c r="C453" s="4" t="s">
        <v>1544</v>
      </c>
      <c r="D453" s="4" t="n">
        <v>684</v>
      </c>
      <c r="E453" s="4" t="n">
        <v>7</v>
      </c>
      <c r="F453" s="4" t="n">
        <v>6</v>
      </c>
      <c r="G453" s="4" t="n">
        <v>0</v>
      </c>
      <c r="J453" s="11" t="b">
        <f aca="false">TRUE()</f>
        <v>1</v>
      </c>
      <c r="K453" s="4" t="s">
        <v>2438</v>
      </c>
      <c r="L453" s="4" t="n">
        <v>4</v>
      </c>
      <c r="M453" s="4" t="n">
        <v>4</v>
      </c>
      <c r="N453" s="4" t="n">
        <v>4</v>
      </c>
      <c r="O453" s="4" t="n">
        <v>4</v>
      </c>
      <c r="P453" s="0" t="str">
        <f aca="false">IF(E453=0,"not_reached",IF(AND(F453&gt;0,G453=0),"allowed","blocked"))</f>
        <v>allowed</v>
      </c>
      <c r="Q453" s="0" t="str">
        <f aca="false">IF(C453="success","published",IF(E453&gt;0,"blocked_at_gate","failed_before_gate"))</f>
        <v>published</v>
      </c>
      <c r="R453" s="0" t="str">
        <f aca="false">IF(C453="success","",IF(E453&gt;0,IF(I453="freshness_within_target","freshness",IF(I453="relationships_intact","relationships",IF(I453="reconciliation_residual_zero","residual",I453))),IF(H453="quality_gate","gate_infra",H453)))</f>
        <v/>
      </c>
    </row>
    <row r="454" customFormat="false" ht="15" hidden="false" customHeight="false" outlineLevel="0" collapsed="false">
      <c r="A454" s="4" t="s">
        <v>2439</v>
      </c>
      <c r="B454" s="10" t="n">
        <v>46262.8020833333</v>
      </c>
      <c r="C454" s="4" t="s">
        <v>1544</v>
      </c>
      <c r="D454" s="4" t="n">
        <v>1291</v>
      </c>
      <c r="E454" s="4" t="n">
        <v>7</v>
      </c>
      <c r="F454" s="4" t="n">
        <v>6</v>
      </c>
      <c r="G454" s="4" t="n">
        <v>0</v>
      </c>
      <c r="J454" s="11" t="b">
        <f aca="false">TRUE()</f>
        <v>1</v>
      </c>
      <c r="K454" s="4" t="s">
        <v>2440</v>
      </c>
      <c r="L454" s="4" t="n">
        <v>4</v>
      </c>
      <c r="M454" s="4" t="n">
        <v>4</v>
      </c>
      <c r="N454" s="4" t="n">
        <v>5</v>
      </c>
      <c r="O454" s="4" t="n">
        <v>4</v>
      </c>
      <c r="P454" s="0" t="str">
        <f aca="false">IF(E454=0,"not_reached",IF(AND(F454&gt;0,G454=0),"allowed","blocked"))</f>
        <v>allowed</v>
      </c>
      <c r="Q454" s="0" t="str">
        <f aca="false">IF(C454="success","published",IF(E454&gt;0,"blocked_at_gate","failed_before_gate"))</f>
        <v>published</v>
      </c>
      <c r="R454" s="0" t="str">
        <f aca="false">IF(C454="success","",IF(E454&gt;0,IF(I454="freshness_within_target","freshness",IF(I454="relationships_intact","relationships",IF(I454="reconciliation_residual_zero","residual",I454))),IF(H454="quality_gate","gate_infra",H454)))</f>
        <v/>
      </c>
    </row>
    <row r="455" customFormat="false" ht="15" hidden="false" customHeight="false" outlineLevel="0" collapsed="false">
      <c r="A455" s="4" t="s">
        <v>2441</v>
      </c>
      <c r="B455" s="10" t="n">
        <v>46262.84375</v>
      </c>
      <c r="C455" s="4" t="s">
        <v>1544</v>
      </c>
      <c r="D455" s="4" t="n">
        <v>746</v>
      </c>
      <c r="E455" s="4" t="n">
        <v>7</v>
      </c>
      <c r="F455" s="4" t="n">
        <v>6</v>
      </c>
      <c r="G455" s="4" t="n">
        <v>0</v>
      </c>
      <c r="J455" s="11" t="b">
        <f aca="false">TRUE()</f>
        <v>1</v>
      </c>
      <c r="K455" s="4" t="s">
        <v>2442</v>
      </c>
      <c r="L455" s="4" t="n">
        <v>4</v>
      </c>
      <c r="M455" s="4" t="n">
        <v>4</v>
      </c>
      <c r="N455" s="4" t="n">
        <v>4</v>
      </c>
      <c r="O455" s="4" t="n">
        <v>4</v>
      </c>
      <c r="P455" s="0" t="str">
        <f aca="false">IF(E455=0,"not_reached",IF(AND(F455&gt;0,G455=0),"allowed","blocked"))</f>
        <v>allowed</v>
      </c>
      <c r="Q455" s="0" t="str">
        <f aca="false">IF(C455="success","published",IF(E455&gt;0,"blocked_at_gate","failed_before_gate"))</f>
        <v>published</v>
      </c>
      <c r="R455" s="0" t="str">
        <f aca="false">IF(C455="success","",IF(E455&gt;0,IF(I455="freshness_within_target","freshness",IF(I455="relationships_intact","relationships",IF(I455="reconciliation_residual_zero","residual",I455))),IF(H455="quality_gate","gate_infra",H455)))</f>
        <v/>
      </c>
    </row>
    <row r="456" customFormat="false" ht="15" hidden="false" customHeight="false" outlineLevel="0" collapsed="false">
      <c r="A456" s="4" t="s">
        <v>2443</v>
      </c>
      <c r="B456" s="10" t="n">
        <v>46262.8854166667</v>
      </c>
      <c r="C456" s="4" t="s">
        <v>1544</v>
      </c>
      <c r="D456" s="4" t="n">
        <v>724</v>
      </c>
      <c r="E456" s="4" t="n">
        <v>7</v>
      </c>
      <c r="F456" s="4" t="n">
        <v>6</v>
      </c>
      <c r="G456" s="4" t="n">
        <v>0</v>
      </c>
      <c r="J456" s="11" t="b">
        <f aca="false">TRUE()</f>
        <v>1</v>
      </c>
      <c r="K456" s="4" t="s">
        <v>2444</v>
      </c>
      <c r="L456" s="4" t="n">
        <v>4</v>
      </c>
      <c r="M456" s="4" t="n">
        <v>4</v>
      </c>
      <c r="N456" s="4" t="n">
        <v>4</v>
      </c>
      <c r="O456" s="4" t="n">
        <v>4</v>
      </c>
      <c r="P456" s="0" t="str">
        <f aca="false">IF(E456=0,"not_reached",IF(AND(F456&gt;0,G456=0),"allowed","blocked"))</f>
        <v>allowed</v>
      </c>
      <c r="Q456" s="0" t="str">
        <f aca="false">IF(C456="success","published",IF(E456&gt;0,"blocked_at_gate","failed_before_gate"))</f>
        <v>published</v>
      </c>
      <c r="R456" s="0" t="str">
        <f aca="false">IF(C456="success","",IF(E456&gt;0,IF(I456="freshness_within_target","freshness",IF(I456="relationships_intact","relationships",IF(I456="reconciliation_residual_zero","residual",I456))),IF(H456="quality_gate","gate_infra",H456)))</f>
        <v/>
      </c>
    </row>
    <row r="457" customFormat="false" ht="15" hidden="false" customHeight="false" outlineLevel="0" collapsed="false">
      <c r="A457" s="4" t="s">
        <v>2445</v>
      </c>
      <c r="B457" s="10" t="n">
        <v>46262.9270833333</v>
      </c>
      <c r="C457" s="4" t="s">
        <v>1544</v>
      </c>
      <c r="D457" s="4" t="n">
        <v>770</v>
      </c>
      <c r="E457" s="4" t="n">
        <v>7</v>
      </c>
      <c r="F457" s="4" t="n">
        <v>6</v>
      </c>
      <c r="G457" s="4" t="n">
        <v>0</v>
      </c>
      <c r="J457" s="11" t="b">
        <f aca="false">TRUE()</f>
        <v>1</v>
      </c>
      <c r="K457" s="4" t="s">
        <v>2446</v>
      </c>
      <c r="L457" s="4" t="n">
        <v>4</v>
      </c>
      <c r="M457" s="4" t="n">
        <v>4</v>
      </c>
      <c r="N457" s="4" t="n">
        <v>4</v>
      </c>
      <c r="O457" s="4" t="n">
        <v>4</v>
      </c>
      <c r="P457" s="0" t="str">
        <f aca="false">IF(E457=0,"not_reached",IF(AND(F457&gt;0,G457=0),"allowed","blocked"))</f>
        <v>allowed</v>
      </c>
      <c r="Q457" s="0" t="str">
        <f aca="false">IF(C457="success","published",IF(E457&gt;0,"blocked_at_gate","failed_before_gate"))</f>
        <v>published</v>
      </c>
      <c r="R457" s="0" t="str">
        <f aca="false">IF(C457="success","",IF(E457&gt;0,IF(I457="freshness_within_target","freshness",IF(I457="relationships_intact","relationships",IF(I457="reconciliation_residual_zero","residual",I457))),IF(H457="quality_gate","gate_infra",H457)))</f>
        <v/>
      </c>
    </row>
    <row r="458" customFormat="false" ht="15" hidden="false" customHeight="false" outlineLevel="0" collapsed="false">
      <c r="A458" s="4" t="s">
        <v>2447</v>
      </c>
      <c r="B458" s="10" t="n">
        <v>46262.96875</v>
      </c>
      <c r="C458" s="4" t="s">
        <v>1544</v>
      </c>
      <c r="D458" s="4" t="n">
        <v>800</v>
      </c>
      <c r="E458" s="4" t="n">
        <v>7</v>
      </c>
      <c r="F458" s="4" t="n">
        <v>6</v>
      </c>
      <c r="G458" s="4" t="n">
        <v>0</v>
      </c>
      <c r="J458" s="11" t="b">
        <f aca="false">TRUE()</f>
        <v>1</v>
      </c>
      <c r="K458" s="4" t="s">
        <v>2448</v>
      </c>
      <c r="L458" s="4" t="n">
        <v>4</v>
      </c>
      <c r="M458" s="4" t="n">
        <v>4</v>
      </c>
      <c r="N458" s="4" t="n">
        <v>4</v>
      </c>
      <c r="O458" s="4" t="n">
        <v>4</v>
      </c>
      <c r="P458" s="0" t="str">
        <f aca="false">IF(E458=0,"not_reached",IF(AND(F458&gt;0,G458=0),"allowed","blocked"))</f>
        <v>allowed</v>
      </c>
      <c r="Q458" s="0" t="str">
        <f aca="false">IF(C458="success","published",IF(E458&gt;0,"blocked_at_gate","failed_before_gate"))</f>
        <v>published</v>
      </c>
      <c r="R458" s="0" t="str">
        <f aca="false">IF(C458="success","",IF(E458&gt;0,IF(I458="freshness_within_target","freshness",IF(I458="relationships_intact","relationships",IF(I458="reconciliation_residual_zero","residual",I458))),IF(H458="quality_gate","gate_infra",H458)))</f>
        <v/>
      </c>
    </row>
    <row r="459" customFormat="false" ht="15" hidden="false" customHeight="false" outlineLevel="0" collapsed="false">
      <c r="A459" s="4" t="s">
        <v>2449</v>
      </c>
      <c r="B459" s="10" t="n">
        <v>46263.0104166667</v>
      </c>
      <c r="C459" s="4" t="s">
        <v>1544</v>
      </c>
      <c r="D459" s="4" t="n">
        <v>744</v>
      </c>
      <c r="E459" s="4" t="n">
        <v>7</v>
      </c>
      <c r="F459" s="4" t="n">
        <v>6</v>
      </c>
      <c r="G459" s="4" t="n">
        <v>0</v>
      </c>
      <c r="J459" s="11" t="b">
        <f aca="false">TRUE()</f>
        <v>1</v>
      </c>
      <c r="K459" s="4" t="s">
        <v>2450</v>
      </c>
      <c r="L459" s="4" t="n">
        <v>4</v>
      </c>
      <c r="M459" s="4" t="n">
        <v>4</v>
      </c>
      <c r="N459" s="4" t="n">
        <v>4</v>
      </c>
      <c r="O459" s="4" t="n">
        <v>4</v>
      </c>
      <c r="P459" s="0" t="str">
        <f aca="false">IF(E459=0,"not_reached",IF(AND(F459&gt;0,G459=0),"allowed","blocked"))</f>
        <v>allowed</v>
      </c>
      <c r="Q459" s="0" t="str">
        <f aca="false">IF(C459="success","published",IF(E459&gt;0,"blocked_at_gate","failed_before_gate"))</f>
        <v>published</v>
      </c>
      <c r="R459" s="0" t="str">
        <f aca="false">IF(C459="success","",IF(E459&gt;0,IF(I459="freshness_within_target","freshness",IF(I459="relationships_intact","relationships",IF(I459="reconciliation_residual_zero","residual",I459))),IF(H459="quality_gate","gate_infra",H459)))</f>
        <v/>
      </c>
    </row>
    <row r="460" customFormat="false" ht="15" hidden="false" customHeight="false" outlineLevel="0" collapsed="false">
      <c r="A460" s="4" t="s">
        <v>2451</v>
      </c>
      <c r="B460" s="10" t="n">
        <v>46263.0520833333</v>
      </c>
      <c r="C460" s="4" t="s">
        <v>1544</v>
      </c>
      <c r="D460" s="4" t="n">
        <v>887</v>
      </c>
      <c r="E460" s="4" t="n">
        <v>7</v>
      </c>
      <c r="F460" s="4" t="n">
        <v>6</v>
      </c>
      <c r="G460" s="4" t="n">
        <v>0</v>
      </c>
      <c r="J460" s="11" t="b">
        <f aca="false">TRUE()</f>
        <v>1</v>
      </c>
      <c r="K460" s="4" t="s">
        <v>2452</v>
      </c>
      <c r="L460" s="4" t="n">
        <v>4</v>
      </c>
      <c r="M460" s="4" t="n">
        <v>4</v>
      </c>
      <c r="N460" s="4" t="n">
        <v>4</v>
      </c>
      <c r="O460" s="4" t="n">
        <v>4</v>
      </c>
      <c r="P460" s="0" t="str">
        <f aca="false">IF(E460=0,"not_reached",IF(AND(F460&gt;0,G460=0),"allowed","blocked"))</f>
        <v>allowed</v>
      </c>
      <c r="Q460" s="0" t="str">
        <f aca="false">IF(C460="success","published",IF(E460&gt;0,"blocked_at_gate","failed_before_gate"))</f>
        <v>published</v>
      </c>
      <c r="R460" s="0" t="str">
        <f aca="false">IF(C460="success","",IF(E460&gt;0,IF(I460="freshness_within_target","freshness",IF(I460="relationships_intact","relationships",IF(I460="reconciliation_residual_zero","residual",I460))),IF(H460="quality_gate","gate_infra",H460)))</f>
        <v/>
      </c>
    </row>
    <row r="461" customFormat="false" ht="15" hidden="false" customHeight="false" outlineLevel="0" collapsed="false">
      <c r="A461" s="4" t="s">
        <v>2453</v>
      </c>
      <c r="B461" s="10" t="n">
        <v>46263.09375</v>
      </c>
      <c r="C461" s="4" t="s">
        <v>1544</v>
      </c>
      <c r="D461" s="4" t="n">
        <v>821</v>
      </c>
      <c r="E461" s="4" t="n">
        <v>7</v>
      </c>
      <c r="F461" s="4" t="n">
        <v>6</v>
      </c>
      <c r="G461" s="4" t="n">
        <v>0</v>
      </c>
      <c r="J461" s="11" t="b">
        <f aca="false">TRUE()</f>
        <v>1</v>
      </c>
      <c r="K461" s="4" t="s">
        <v>2454</v>
      </c>
      <c r="L461" s="4" t="n">
        <v>4</v>
      </c>
      <c r="M461" s="4" t="n">
        <v>4</v>
      </c>
      <c r="N461" s="4" t="n">
        <v>4</v>
      </c>
      <c r="O461" s="4" t="n">
        <v>4</v>
      </c>
      <c r="P461" s="0" t="str">
        <f aca="false">IF(E461=0,"not_reached",IF(AND(F461&gt;0,G461=0),"allowed","blocked"))</f>
        <v>allowed</v>
      </c>
      <c r="Q461" s="0" t="str">
        <f aca="false">IF(C461="success","published",IF(E461&gt;0,"blocked_at_gate","failed_before_gate"))</f>
        <v>published</v>
      </c>
      <c r="R461" s="0" t="str">
        <f aca="false">IF(C461="success","",IF(E461&gt;0,IF(I461="freshness_within_target","freshness",IF(I461="relationships_intact","relationships",IF(I461="reconciliation_residual_zero","residual",I461))),IF(H461="quality_gate","gate_infra",H461)))</f>
        <v/>
      </c>
    </row>
    <row r="462" customFormat="false" ht="15" hidden="false" customHeight="false" outlineLevel="0" collapsed="false">
      <c r="A462" s="4" t="s">
        <v>2455</v>
      </c>
      <c r="B462" s="10" t="n">
        <v>46263.1354166667</v>
      </c>
      <c r="C462" s="4" t="s">
        <v>1544</v>
      </c>
      <c r="D462" s="4" t="n">
        <v>907</v>
      </c>
      <c r="E462" s="4" t="n">
        <v>7</v>
      </c>
      <c r="F462" s="4" t="n">
        <v>6</v>
      </c>
      <c r="G462" s="4" t="n">
        <v>0</v>
      </c>
      <c r="J462" s="11" t="b">
        <f aca="false">TRUE()</f>
        <v>1</v>
      </c>
      <c r="K462" s="4" t="s">
        <v>2456</v>
      </c>
      <c r="L462" s="4" t="n">
        <v>4</v>
      </c>
      <c r="M462" s="4" t="n">
        <v>4</v>
      </c>
      <c r="N462" s="4" t="n">
        <v>4</v>
      </c>
      <c r="O462" s="4" t="n">
        <v>4</v>
      </c>
      <c r="P462" s="0" t="str">
        <f aca="false">IF(E462=0,"not_reached",IF(AND(F462&gt;0,G462=0),"allowed","blocked"))</f>
        <v>allowed</v>
      </c>
      <c r="Q462" s="0" t="str">
        <f aca="false">IF(C462="success","published",IF(E462&gt;0,"blocked_at_gate","failed_before_gate"))</f>
        <v>published</v>
      </c>
      <c r="R462" s="0" t="str">
        <f aca="false">IF(C462="success","",IF(E462&gt;0,IF(I462="freshness_within_target","freshness",IF(I462="relationships_intact","relationships",IF(I462="reconciliation_residual_zero","residual",I462))),IF(H462="quality_gate","gate_infra",H462)))</f>
        <v/>
      </c>
    </row>
    <row r="463" customFormat="false" ht="15" hidden="false" customHeight="false" outlineLevel="0" collapsed="false">
      <c r="A463" s="4" t="s">
        <v>2457</v>
      </c>
      <c r="B463" s="10" t="n">
        <v>46263.1770833333</v>
      </c>
      <c r="C463" s="4" t="s">
        <v>1544</v>
      </c>
      <c r="D463" s="4" t="n">
        <v>699</v>
      </c>
      <c r="E463" s="4" t="n">
        <v>7</v>
      </c>
      <c r="F463" s="4" t="n">
        <v>6</v>
      </c>
      <c r="G463" s="4" t="n">
        <v>0</v>
      </c>
      <c r="J463" s="11" t="b">
        <f aca="false">TRUE()</f>
        <v>1</v>
      </c>
      <c r="K463" s="4" t="s">
        <v>2458</v>
      </c>
      <c r="L463" s="4" t="n">
        <v>4</v>
      </c>
      <c r="M463" s="4" t="n">
        <v>4</v>
      </c>
      <c r="N463" s="4" t="n">
        <v>4</v>
      </c>
      <c r="O463" s="4" t="n">
        <v>4</v>
      </c>
      <c r="P463" s="0" t="str">
        <f aca="false">IF(E463=0,"not_reached",IF(AND(F463&gt;0,G463=0),"allowed","blocked"))</f>
        <v>allowed</v>
      </c>
      <c r="Q463" s="0" t="str">
        <f aca="false">IF(C463="success","published",IF(E463&gt;0,"blocked_at_gate","failed_before_gate"))</f>
        <v>published</v>
      </c>
      <c r="R463" s="0" t="str">
        <f aca="false">IF(C463="success","",IF(E463&gt;0,IF(I463="freshness_within_target","freshness",IF(I463="relationships_intact","relationships",IF(I463="reconciliation_residual_zero","residual",I463))),IF(H463="quality_gate","gate_infra",H463)))</f>
        <v/>
      </c>
    </row>
    <row r="464" customFormat="false" ht="15" hidden="false" customHeight="false" outlineLevel="0" collapsed="false">
      <c r="A464" s="4" t="s">
        <v>2459</v>
      </c>
      <c r="B464" s="10" t="n">
        <v>46263.21875</v>
      </c>
      <c r="C464" s="4" t="s">
        <v>1544</v>
      </c>
      <c r="D464" s="4" t="n">
        <v>757</v>
      </c>
      <c r="E464" s="4" t="n">
        <v>7</v>
      </c>
      <c r="F464" s="4" t="n">
        <v>6</v>
      </c>
      <c r="G464" s="4" t="n">
        <v>0</v>
      </c>
      <c r="J464" s="11" t="b">
        <f aca="false">TRUE()</f>
        <v>1</v>
      </c>
      <c r="K464" s="4" t="s">
        <v>2460</v>
      </c>
      <c r="L464" s="4" t="n">
        <v>4</v>
      </c>
      <c r="M464" s="4" t="n">
        <v>4</v>
      </c>
      <c r="N464" s="4" t="n">
        <v>4</v>
      </c>
      <c r="O464" s="4" t="n">
        <v>4</v>
      </c>
      <c r="P464" s="0" t="str">
        <f aca="false">IF(E464=0,"not_reached",IF(AND(F464&gt;0,G464=0),"allowed","blocked"))</f>
        <v>allowed</v>
      </c>
      <c r="Q464" s="0" t="str">
        <f aca="false">IF(C464="success","published",IF(E464&gt;0,"blocked_at_gate","failed_before_gate"))</f>
        <v>published</v>
      </c>
      <c r="R464" s="0" t="str">
        <f aca="false">IF(C464="success","",IF(E464&gt;0,IF(I464="freshness_within_target","freshness",IF(I464="relationships_intact","relationships",IF(I464="reconciliation_residual_zero","residual",I464))),IF(H464="quality_gate","gate_infra",H464)))</f>
        <v/>
      </c>
    </row>
    <row r="465" customFormat="false" ht="15" hidden="false" customHeight="false" outlineLevel="0" collapsed="false">
      <c r="A465" s="4" t="s">
        <v>2461</v>
      </c>
      <c r="B465" s="10" t="n">
        <v>46263.2604166667</v>
      </c>
      <c r="C465" s="4" t="s">
        <v>1544</v>
      </c>
      <c r="D465" s="4" t="n">
        <v>880</v>
      </c>
      <c r="E465" s="4" t="n">
        <v>7</v>
      </c>
      <c r="F465" s="4" t="n">
        <v>6</v>
      </c>
      <c r="G465" s="4" t="n">
        <v>0</v>
      </c>
      <c r="J465" s="11" t="b">
        <f aca="false">TRUE()</f>
        <v>1</v>
      </c>
      <c r="K465" s="4" t="s">
        <v>2462</v>
      </c>
      <c r="L465" s="4" t="n">
        <v>4</v>
      </c>
      <c r="M465" s="4" t="n">
        <v>4</v>
      </c>
      <c r="N465" s="4" t="n">
        <v>4</v>
      </c>
      <c r="O465" s="4" t="n">
        <v>4</v>
      </c>
      <c r="P465" s="0" t="str">
        <f aca="false">IF(E465=0,"not_reached",IF(AND(F465&gt;0,G465=0),"allowed","blocked"))</f>
        <v>allowed</v>
      </c>
      <c r="Q465" s="0" t="str">
        <f aca="false">IF(C465="success","published",IF(E465&gt;0,"blocked_at_gate","failed_before_gate"))</f>
        <v>published</v>
      </c>
      <c r="R465" s="0" t="str">
        <f aca="false">IF(C465="success","",IF(E465&gt;0,IF(I465="freshness_within_target","freshness",IF(I465="relationships_intact","relationships",IF(I465="reconciliation_residual_zero","residual",I465))),IF(H465="quality_gate","gate_infra",H465)))</f>
        <v/>
      </c>
    </row>
    <row r="466" customFormat="false" ht="15" hidden="false" customHeight="false" outlineLevel="0" collapsed="false">
      <c r="A466" s="4" t="s">
        <v>2463</v>
      </c>
      <c r="B466" s="10" t="n">
        <v>46263.3020833333</v>
      </c>
      <c r="C466" s="4" t="s">
        <v>1544</v>
      </c>
      <c r="D466" s="4" t="n">
        <v>827</v>
      </c>
      <c r="E466" s="4" t="n">
        <v>7</v>
      </c>
      <c r="F466" s="4" t="n">
        <v>6</v>
      </c>
      <c r="G466" s="4" t="n">
        <v>0</v>
      </c>
      <c r="J466" s="11" t="b">
        <f aca="false">TRUE()</f>
        <v>1</v>
      </c>
      <c r="K466" s="4" t="s">
        <v>2464</v>
      </c>
      <c r="L466" s="4" t="n">
        <v>4</v>
      </c>
      <c r="M466" s="4" t="n">
        <v>4</v>
      </c>
      <c r="N466" s="4" t="n">
        <v>4</v>
      </c>
      <c r="O466" s="4" t="n">
        <v>4</v>
      </c>
      <c r="P466" s="0" t="str">
        <f aca="false">IF(E466=0,"not_reached",IF(AND(F466&gt;0,G466=0),"allowed","blocked"))</f>
        <v>allowed</v>
      </c>
      <c r="Q466" s="0" t="str">
        <f aca="false">IF(C466="success","published",IF(E466&gt;0,"blocked_at_gate","failed_before_gate"))</f>
        <v>published</v>
      </c>
      <c r="R466" s="0" t="str">
        <f aca="false">IF(C466="success","",IF(E466&gt;0,IF(I466="freshness_within_target","freshness",IF(I466="relationships_intact","relationships",IF(I466="reconciliation_residual_zero","residual",I466))),IF(H466="quality_gate","gate_infra",H466)))</f>
        <v/>
      </c>
    </row>
    <row r="467" customFormat="false" ht="15" hidden="false" customHeight="false" outlineLevel="0" collapsed="false">
      <c r="A467" s="4" t="s">
        <v>2465</v>
      </c>
      <c r="B467" s="10" t="n">
        <v>46263.34375</v>
      </c>
      <c r="C467" s="4" t="s">
        <v>1544</v>
      </c>
      <c r="D467" s="4" t="n">
        <v>792</v>
      </c>
      <c r="E467" s="4" t="n">
        <v>7</v>
      </c>
      <c r="F467" s="4" t="n">
        <v>6</v>
      </c>
      <c r="G467" s="4" t="n">
        <v>0</v>
      </c>
      <c r="J467" s="11" t="b">
        <f aca="false">TRUE()</f>
        <v>1</v>
      </c>
      <c r="K467" s="4" t="s">
        <v>2466</v>
      </c>
      <c r="L467" s="4" t="n">
        <v>4</v>
      </c>
      <c r="M467" s="4" t="n">
        <v>4</v>
      </c>
      <c r="N467" s="4" t="n">
        <v>4</v>
      </c>
      <c r="O467" s="4" t="n">
        <v>4</v>
      </c>
      <c r="P467" s="0" t="str">
        <f aca="false">IF(E467=0,"not_reached",IF(AND(F467&gt;0,G467=0),"allowed","blocked"))</f>
        <v>allowed</v>
      </c>
      <c r="Q467" s="0" t="str">
        <f aca="false">IF(C467="success","published",IF(E467&gt;0,"blocked_at_gate","failed_before_gate"))</f>
        <v>published</v>
      </c>
      <c r="R467" s="0" t="str">
        <f aca="false">IF(C467="success","",IF(E467&gt;0,IF(I467="freshness_within_target","freshness",IF(I467="relationships_intact","relationships",IF(I467="reconciliation_residual_zero","residual",I467))),IF(H467="quality_gate","gate_infra",H467)))</f>
        <v/>
      </c>
    </row>
    <row r="468" customFormat="false" ht="15" hidden="false" customHeight="false" outlineLevel="0" collapsed="false">
      <c r="A468" s="4" t="s">
        <v>2467</v>
      </c>
      <c r="B468" s="10" t="n">
        <v>46263.3854166667</v>
      </c>
      <c r="C468" s="4" t="s">
        <v>1544</v>
      </c>
      <c r="D468" s="4" t="n">
        <v>717</v>
      </c>
      <c r="E468" s="4" t="n">
        <v>7</v>
      </c>
      <c r="F468" s="4" t="n">
        <v>6</v>
      </c>
      <c r="G468" s="4" t="n">
        <v>0</v>
      </c>
      <c r="J468" s="11" t="b">
        <f aca="false">TRUE()</f>
        <v>1</v>
      </c>
      <c r="K468" s="4" t="s">
        <v>2468</v>
      </c>
      <c r="L468" s="4" t="n">
        <v>4</v>
      </c>
      <c r="M468" s="4" t="n">
        <v>4</v>
      </c>
      <c r="N468" s="4" t="n">
        <v>4</v>
      </c>
      <c r="O468" s="4" t="n">
        <v>4</v>
      </c>
      <c r="P468" s="0" t="str">
        <f aca="false">IF(E468=0,"not_reached",IF(AND(F468&gt;0,G468=0),"allowed","blocked"))</f>
        <v>allowed</v>
      </c>
      <c r="Q468" s="0" t="str">
        <f aca="false">IF(C468="success","published",IF(E468&gt;0,"blocked_at_gate","failed_before_gate"))</f>
        <v>published</v>
      </c>
      <c r="R468" s="0" t="str">
        <f aca="false">IF(C468="success","",IF(E468&gt;0,IF(I468="freshness_within_target","freshness",IF(I468="relationships_intact","relationships",IF(I468="reconciliation_residual_zero","residual",I468))),IF(H468="quality_gate","gate_infra",H468)))</f>
        <v/>
      </c>
    </row>
    <row r="469" customFormat="false" ht="15" hidden="false" customHeight="false" outlineLevel="0" collapsed="false">
      <c r="A469" s="4" t="s">
        <v>2469</v>
      </c>
      <c r="B469" s="10" t="n">
        <v>46263.4270833333</v>
      </c>
      <c r="C469" s="4" t="s">
        <v>1544</v>
      </c>
      <c r="D469" s="4" t="n">
        <v>700</v>
      </c>
      <c r="E469" s="4" t="n">
        <v>7</v>
      </c>
      <c r="F469" s="4" t="n">
        <v>6</v>
      </c>
      <c r="G469" s="4" t="n">
        <v>0</v>
      </c>
      <c r="J469" s="11" t="b">
        <f aca="false">TRUE()</f>
        <v>1</v>
      </c>
      <c r="K469" s="4" t="s">
        <v>2470</v>
      </c>
      <c r="L469" s="4" t="n">
        <v>4</v>
      </c>
      <c r="M469" s="4" t="n">
        <v>4</v>
      </c>
      <c r="N469" s="4" t="n">
        <v>4</v>
      </c>
      <c r="O469" s="4" t="n">
        <v>4</v>
      </c>
      <c r="P469" s="0" t="str">
        <f aca="false">IF(E469=0,"not_reached",IF(AND(F469&gt;0,G469=0),"allowed","blocked"))</f>
        <v>allowed</v>
      </c>
      <c r="Q469" s="0" t="str">
        <f aca="false">IF(C469="success","published",IF(E469&gt;0,"blocked_at_gate","failed_before_gate"))</f>
        <v>published</v>
      </c>
      <c r="R469" s="0" t="str">
        <f aca="false">IF(C469="success","",IF(E469&gt;0,IF(I469="freshness_within_target","freshness",IF(I469="relationships_intact","relationships",IF(I469="reconciliation_residual_zero","residual",I469))),IF(H469="quality_gate","gate_infra",H469)))</f>
        <v/>
      </c>
    </row>
    <row r="470" customFormat="false" ht="15" hidden="false" customHeight="false" outlineLevel="0" collapsed="false">
      <c r="A470" s="4" t="s">
        <v>2471</v>
      </c>
      <c r="B470" s="10" t="n">
        <v>46263.46875</v>
      </c>
      <c r="C470" s="4" t="s">
        <v>1544</v>
      </c>
      <c r="D470" s="4" t="n">
        <v>806</v>
      </c>
      <c r="E470" s="4" t="n">
        <v>7</v>
      </c>
      <c r="F470" s="4" t="n">
        <v>6</v>
      </c>
      <c r="G470" s="4" t="n">
        <v>0</v>
      </c>
      <c r="J470" s="11" t="b">
        <f aca="false">TRUE()</f>
        <v>1</v>
      </c>
      <c r="K470" s="4" t="s">
        <v>2472</v>
      </c>
      <c r="L470" s="4" t="n">
        <v>4</v>
      </c>
      <c r="M470" s="4" t="n">
        <v>4</v>
      </c>
      <c r="N470" s="4" t="n">
        <v>4</v>
      </c>
      <c r="O470" s="4" t="n">
        <v>4</v>
      </c>
      <c r="P470" s="0" t="str">
        <f aca="false">IF(E470=0,"not_reached",IF(AND(F470&gt;0,G470=0),"allowed","blocked"))</f>
        <v>allowed</v>
      </c>
      <c r="Q470" s="0" t="str">
        <f aca="false">IF(C470="success","published",IF(E470&gt;0,"blocked_at_gate","failed_before_gate"))</f>
        <v>published</v>
      </c>
      <c r="R470" s="0" t="str">
        <f aca="false">IF(C470="success","",IF(E470&gt;0,IF(I470="freshness_within_target","freshness",IF(I470="relationships_intact","relationships",IF(I470="reconciliation_residual_zero","residual",I470))),IF(H470="quality_gate","gate_infra",H470)))</f>
        <v/>
      </c>
    </row>
    <row r="471" customFormat="false" ht="15" hidden="false" customHeight="false" outlineLevel="0" collapsed="false">
      <c r="A471" s="4" t="s">
        <v>2473</v>
      </c>
      <c r="B471" s="10" t="n">
        <v>46263.5104166667</v>
      </c>
      <c r="C471" s="4" t="s">
        <v>1544</v>
      </c>
      <c r="D471" s="4" t="n">
        <v>715</v>
      </c>
      <c r="E471" s="4" t="n">
        <v>7</v>
      </c>
      <c r="F471" s="4" t="n">
        <v>6</v>
      </c>
      <c r="G471" s="4" t="n">
        <v>0</v>
      </c>
      <c r="J471" s="11" t="b">
        <f aca="false">TRUE()</f>
        <v>1</v>
      </c>
      <c r="K471" s="4" t="s">
        <v>2474</v>
      </c>
      <c r="L471" s="4" t="n">
        <v>4</v>
      </c>
      <c r="M471" s="4" t="n">
        <v>4</v>
      </c>
      <c r="N471" s="4" t="n">
        <v>4</v>
      </c>
      <c r="O471" s="4" t="n">
        <v>4</v>
      </c>
      <c r="P471" s="0" t="str">
        <f aca="false">IF(E471=0,"not_reached",IF(AND(F471&gt;0,G471=0),"allowed","blocked"))</f>
        <v>allowed</v>
      </c>
      <c r="Q471" s="0" t="str">
        <f aca="false">IF(C471="success","published",IF(E471&gt;0,"blocked_at_gate","failed_before_gate"))</f>
        <v>published</v>
      </c>
      <c r="R471" s="0" t="str">
        <f aca="false">IF(C471="success","",IF(E471&gt;0,IF(I471="freshness_within_target","freshness",IF(I471="relationships_intact","relationships",IF(I471="reconciliation_residual_zero","residual",I471))),IF(H471="quality_gate","gate_infra",H471)))</f>
        <v/>
      </c>
    </row>
    <row r="472" customFormat="false" ht="15" hidden="false" customHeight="false" outlineLevel="0" collapsed="false">
      <c r="A472" s="4" t="s">
        <v>2475</v>
      </c>
      <c r="B472" s="10" t="n">
        <v>46263.5520833333</v>
      </c>
      <c r="C472" s="4" t="s">
        <v>1544</v>
      </c>
      <c r="D472" s="4" t="n">
        <v>804</v>
      </c>
      <c r="E472" s="4" t="n">
        <v>7</v>
      </c>
      <c r="F472" s="4" t="n">
        <v>6</v>
      </c>
      <c r="G472" s="4" t="n">
        <v>0</v>
      </c>
      <c r="J472" s="11" t="b">
        <f aca="false">TRUE()</f>
        <v>1</v>
      </c>
      <c r="K472" s="4" t="s">
        <v>2476</v>
      </c>
      <c r="L472" s="4" t="n">
        <v>4</v>
      </c>
      <c r="M472" s="4" t="n">
        <v>4</v>
      </c>
      <c r="N472" s="4" t="n">
        <v>4</v>
      </c>
      <c r="O472" s="4" t="n">
        <v>4</v>
      </c>
      <c r="P472" s="0" t="str">
        <f aca="false">IF(E472=0,"not_reached",IF(AND(F472&gt;0,G472=0),"allowed","blocked"))</f>
        <v>allowed</v>
      </c>
      <c r="Q472" s="0" t="str">
        <f aca="false">IF(C472="success","published",IF(E472&gt;0,"blocked_at_gate","failed_before_gate"))</f>
        <v>published</v>
      </c>
      <c r="R472" s="0" t="str">
        <f aca="false">IF(C472="success","",IF(E472&gt;0,IF(I472="freshness_within_target","freshness",IF(I472="relationships_intact","relationships",IF(I472="reconciliation_residual_zero","residual",I472))),IF(H472="quality_gate","gate_infra",H472)))</f>
        <v/>
      </c>
    </row>
    <row r="473" customFormat="false" ht="15" hidden="false" customHeight="false" outlineLevel="0" collapsed="false">
      <c r="A473" s="4" t="s">
        <v>2477</v>
      </c>
      <c r="B473" s="10" t="n">
        <v>46263.59375</v>
      </c>
      <c r="C473" s="4" t="s">
        <v>1544</v>
      </c>
      <c r="D473" s="4" t="n">
        <v>932</v>
      </c>
      <c r="E473" s="4" t="n">
        <v>7</v>
      </c>
      <c r="F473" s="4" t="n">
        <v>6</v>
      </c>
      <c r="G473" s="4" t="n">
        <v>0</v>
      </c>
      <c r="J473" s="11" t="b">
        <f aca="false">TRUE()</f>
        <v>1</v>
      </c>
      <c r="K473" s="4" t="s">
        <v>2478</v>
      </c>
      <c r="L473" s="4" t="n">
        <v>4</v>
      </c>
      <c r="M473" s="4" t="n">
        <v>4</v>
      </c>
      <c r="N473" s="4" t="n">
        <v>4</v>
      </c>
      <c r="O473" s="4" t="n">
        <v>4</v>
      </c>
      <c r="P473" s="0" t="str">
        <f aca="false">IF(E473=0,"not_reached",IF(AND(F473&gt;0,G473=0),"allowed","blocked"))</f>
        <v>allowed</v>
      </c>
      <c r="Q473" s="0" t="str">
        <f aca="false">IF(C473="success","published",IF(E473&gt;0,"blocked_at_gate","failed_before_gate"))</f>
        <v>published</v>
      </c>
      <c r="R473" s="0" t="str">
        <f aca="false">IF(C473="success","",IF(E473&gt;0,IF(I473="freshness_within_target","freshness",IF(I473="relationships_intact","relationships",IF(I473="reconciliation_residual_zero","residual",I473))),IF(H473="quality_gate","gate_infra",H473)))</f>
        <v/>
      </c>
    </row>
    <row r="474" customFormat="false" ht="15" hidden="false" customHeight="false" outlineLevel="0" collapsed="false">
      <c r="A474" s="4" t="s">
        <v>2479</v>
      </c>
      <c r="B474" s="10" t="n">
        <v>46263.6354166667</v>
      </c>
      <c r="C474" s="4" t="s">
        <v>1544</v>
      </c>
      <c r="D474" s="4" t="n">
        <v>955</v>
      </c>
      <c r="E474" s="4" t="n">
        <v>7</v>
      </c>
      <c r="F474" s="4" t="n">
        <v>6</v>
      </c>
      <c r="G474" s="4" t="n">
        <v>0</v>
      </c>
      <c r="J474" s="11" t="b">
        <f aca="false">TRUE()</f>
        <v>1</v>
      </c>
      <c r="K474" s="4" t="s">
        <v>2480</v>
      </c>
      <c r="L474" s="4" t="n">
        <v>4</v>
      </c>
      <c r="M474" s="4" t="n">
        <v>4</v>
      </c>
      <c r="N474" s="4" t="n">
        <v>4</v>
      </c>
      <c r="O474" s="4" t="n">
        <v>4</v>
      </c>
      <c r="P474" s="0" t="str">
        <f aca="false">IF(E474=0,"not_reached",IF(AND(F474&gt;0,G474=0),"allowed","blocked"))</f>
        <v>allowed</v>
      </c>
      <c r="Q474" s="0" t="str">
        <f aca="false">IF(C474="success","published",IF(E474&gt;0,"blocked_at_gate","failed_before_gate"))</f>
        <v>published</v>
      </c>
      <c r="R474" s="0" t="str">
        <f aca="false">IF(C474="success","",IF(E474&gt;0,IF(I474="freshness_within_target","freshness",IF(I474="relationships_intact","relationships",IF(I474="reconciliation_residual_zero","residual",I474))),IF(H474="quality_gate","gate_infra",H474)))</f>
        <v/>
      </c>
    </row>
    <row r="475" customFormat="false" ht="15" hidden="false" customHeight="false" outlineLevel="0" collapsed="false">
      <c r="A475" s="4" t="s">
        <v>2481</v>
      </c>
      <c r="B475" s="10" t="n">
        <v>46263.6770833333</v>
      </c>
      <c r="C475" s="4" t="s">
        <v>1544</v>
      </c>
      <c r="D475" s="4" t="n">
        <v>675</v>
      </c>
      <c r="E475" s="4" t="n">
        <v>7</v>
      </c>
      <c r="F475" s="4" t="n">
        <v>6</v>
      </c>
      <c r="G475" s="4" t="n">
        <v>0</v>
      </c>
      <c r="J475" s="11" t="b">
        <f aca="false">TRUE()</f>
        <v>1</v>
      </c>
      <c r="K475" s="4" t="s">
        <v>2482</v>
      </c>
      <c r="L475" s="4" t="n">
        <v>4</v>
      </c>
      <c r="M475" s="4" t="n">
        <v>4</v>
      </c>
      <c r="N475" s="4" t="n">
        <v>4</v>
      </c>
      <c r="O475" s="4" t="n">
        <v>4</v>
      </c>
      <c r="P475" s="0" t="str">
        <f aca="false">IF(E475=0,"not_reached",IF(AND(F475&gt;0,G475=0),"allowed","blocked"))</f>
        <v>allowed</v>
      </c>
      <c r="Q475" s="0" t="str">
        <f aca="false">IF(C475="success","published",IF(E475&gt;0,"blocked_at_gate","failed_before_gate"))</f>
        <v>published</v>
      </c>
      <c r="R475" s="0" t="str">
        <f aca="false">IF(C475="success","",IF(E475&gt;0,IF(I475="freshness_within_target","freshness",IF(I475="relationships_intact","relationships",IF(I475="reconciliation_residual_zero","residual",I475))),IF(H475="quality_gate","gate_infra",H475)))</f>
        <v/>
      </c>
    </row>
    <row r="476" customFormat="false" ht="15" hidden="false" customHeight="false" outlineLevel="0" collapsed="false">
      <c r="A476" s="4" t="s">
        <v>2483</v>
      </c>
      <c r="B476" s="10" t="n">
        <v>46263.71875</v>
      </c>
      <c r="C476" s="4" t="s">
        <v>1544</v>
      </c>
      <c r="D476" s="4" t="n">
        <v>672</v>
      </c>
      <c r="E476" s="4" t="n">
        <v>7</v>
      </c>
      <c r="F476" s="4" t="n">
        <v>6</v>
      </c>
      <c r="G476" s="4" t="n">
        <v>0</v>
      </c>
      <c r="J476" s="11" t="b">
        <f aca="false">TRUE()</f>
        <v>1</v>
      </c>
      <c r="K476" s="4" t="s">
        <v>2484</v>
      </c>
      <c r="L476" s="4" t="n">
        <v>4</v>
      </c>
      <c r="M476" s="4" t="n">
        <v>4</v>
      </c>
      <c r="N476" s="4" t="n">
        <v>4</v>
      </c>
      <c r="O476" s="4" t="n">
        <v>4</v>
      </c>
      <c r="P476" s="0" t="str">
        <f aca="false">IF(E476=0,"not_reached",IF(AND(F476&gt;0,G476=0),"allowed","blocked"))</f>
        <v>allowed</v>
      </c>
      <c r="Q476" s="0" t="str">
        <f aca="false">IF(C476="success","published",IF(E476&gt;0,"blocked_at_gate","failed_before_gate"))</f>
        <v>published</v>
      </c>
      <c r="R476" s="0" t="str">
        <f aca="false">IF(C476="success","",IF(E476&gt;0,IF(I476="freshness_within_target","freshness",IF(I476="relationships_intact","relationships",IF(I476="reconciliation_residual_zero","residual",I476))),IF(H476="quality_gate","gate_infra",H476)))</f>
        <v/>
      </c>
    </row>
    <row r="477" customFormat="false" ht="15" hidden="false" customHeight="false" outlineLevel="0" collapsed="false">
      <c r="A477" s="4" t="s">
        <v>2485</v>
      </c>
      <c r="B477" s="10" t="n">
        <v>46263.7604166667</v>
      </c>
      <c r="C477" s="4" t="s">
        <v>1544</v>
      </c>
      <c r="D477" s="4" t="n">
        <v>771</v>
      </c>
      <c r="E477" s="4" t="n">
        <v>7</v>
      </c>
      <c r="F477" s="4" t="n">
        <v>6</v>
      </c>
      <c r="G477" s="4" t="n">
        <v>0</v>
      </c>
      <c r="J477" s="11" t="b">
        <f aca="false">TRUE()</f>
        <v>1</v>
      </c>
      <c r="K477" s="4" t="s">
        <v>2486</v>
      </c>
      <c r="L477" s="4" t="n">
        <v>4</v>
      </c>
      <c r="M477" s="4" t="n">
        <v>4</v>
      </c>
      <c r="N477" s="4" t="n">
        <v>4</v>
      </c>
      <c r="O477" s="4" t="n">
        <v>4</v>
      </c>
      <c r="P477" s="0" t="str">
        <f aca="false">IF(E477=0,"not_reached",IF(AND(F477&gt;0,G477=0),"allowed","blocked"))</f>
        <v>allowed</v>
      </c>
      <c r="Q477" s="0" t="str">
        <f aca="false">IF(C477="success","published",IF(E477&gt;0,"blocked_at_gate","failed_before_gate"))</f>
        <v>published</v>
      </c>
      <c r="R477" s="0" t="str">
        <f aca="false">IF(C477="success","",IF(E477&gt;0,IF(I477="freshness_within_target","freshness",IF(I477="relationships_intact","relationships",IF(I477="reconciliation_residual_zero","residual",I477))),IF(H477="quality_gate","gate_infra",H477)))</f>
        <v/>
      </c>
    </row>
    <row r="478" customFormat="false" ht="15" hidden="false" customHeight="false" outlineLevel="0" collapsed="false">
      <c r="A478" s="4" t="s">
        <v>2487</v>
      </c>
      <c r="B478" s="10" t="n">
        <v>46263.8020833333</v>
      </c>
      <c r="C478" s="4" t="s">
        <v>1544</v>
      </c>
      <c r="D478" s="4" t="n">
        <v>893</v>
      </c>
      <c r="E478" s="4" t="n">
        <v>7</v>
      </c>
      <c r="F478" s="4" t="n">
        <v>6</v>
      </c>
      <c r="G478" s="4" t="n">
        <v>0</v>
      </c>
      <c r="J478" s="11" t="b">
        <f aca="false">TRUE()</f>
        <v>1</v>
      </c>
      <c r="K478" s="4" t="s">
        <v>2488</v>
      </c>
      <c r="L478" s="4" t="n">
        <v>4</v>
      </c>
      <c r="M478" s="4" t="n">
        <v>4</v>
      </c>
      <c r="N478" s="4" t="n">
        <v>4</v>
      </c>
      <c r="O478" s="4" t="n">
        <v>4</v>
      </c>
      <c r="P478" s="0" t="str">
        <f aca="false">IF(E478=0,"not_reached",IF(AND(F478&gt;0,G478=0),"allowed","blocked"))</f>
        <v>allowed</v>
      </c>
      <c r="Q478" s="0" t="str">
        <f aca="false">IF(C478="success","published",IF(E478&gt;0,"blocked_at_gate","failed_before_gate"))</f>
        <v>published</v>
      </c>
      <c r="R478" s="0" t="str">
        <f aca="false">IF(C478="success","",IF(E478&gt;0,IF(I478="freshness_within_target","freshness",IF(I478="relationships_intact","relationships",IF(I478="reconciliation_residual_zero","residual",I478))),IF(H478="quality_gate","gate_infra",H478)))</f>
        <v/>
      </c>
    </row>
    <row r="479" customFormat="false" ht="15" hidden="false" customHeight="false" outlineLevel="0" collapsed="false">
      <c r="A479" s="4" t="s">
        <v>2489</v>
      </c>
      <c r="B479" s="10" t="n">
        <v>46263.84375</v>
      </c>
      <c r="C479" s="4" t="s">
        <v>1544</v>
      </c>
      <c r="D479" s="4" t="n">
        <v>733</v>
      </c>
      <c r="E479" s="4" t="n">
        <v>7</v>
      </c>
      <c r="F479" s="4" t="n">
        <v>6</v>
      </c>
      <c r="G479" s="4" t="n">
        <v>0</v>
      </c>
      <c r="J479" s="11" t="b">
        <f aca="false">TRUE()</f>
        <v>1</v>
      </c>
      <c r="K479" s="4" t="s">
        <v>2490</v>
      </c>
      <c r="L479" s="4" t="n">
        <v>4</v>
      </c>
      <c r="M479" s="4" t="n">
        <v>4</v>
      </c>
      <c r="N479" s="4" t="n">
        <v>4</v>
      </c>
      <c r="O479" s="4" t="n">
        <v>4</v>
      </c>
      <c r="P479" s="0" t="str">
        <f aca="false">IF(E479=0,"not_reached",IF(AND(F479&gt;0,G479=0),"allowed","blocked"))</f>
        <v>allowed</v>
      </c>
      <c r="Q479" s="0" t="str">
        <f aca="false">IF(C479="success","published",IF(E479&gt;0,"blocked_at_gate","failed_before_gate"))</f>
        <v>published</v>
      </c>
      <c r="R479" s="0" t="str">
        <f aca="false">IF(C479="success","",IF(E479&gt;0,IF(I479="freshness_within_target","freshness",IF(I479="relationships_intact","relationships",IF(I479="reconciliation_residual_zero","residual",I479))),IF(H479="quality_gate","gate_infra",H479)))</f>
        <v/>
      </c>
    </row>
    <row r="480" customFormat="false" ht="15" hidden="false" customHeight="false" outlineLevel="0" collapsed="false">
      <c r="A480" s="4" t="s">
        <v>2491</v>
      </c>
      <c r="B480" s="10" t="n">
        <v>46263.8854166667</v>
      </c>
      <c r="C480" s="4" t="s">
        <v>1544</v>
      </c>
      <c r="D480" s="4" t="n">
        <v>661</v>
      </c>
      <c r="E480" s="4" t="n">
        <v>7</v>
      </c>
      <c r="F480" s="4" t="n">
        <v>6</v>
      </c>
      <c r="G480" s="4" t="n">
        <v>0</v>
      </c>
      <c r="J480" s="11" t="b">
        <f aca="false">TRUE()</f>
        <v>1</v>
      </c>
      <c r="K480" s="4" t="s">
        <v>2492</v>
      </c>
      <c r="L480" s="4" t="n">
        <v>4</v>
      </c>
      <c r="M480" s="4" t="n">
        <v>4</v>
      </c>
      <c r="N480" s="4" t="n">
        <v>4</v>
      </c>
      <c r="O480" s="4" t="n">
        <v>4</v>
      </c>
      <c r="P480" s="0" t="str">
        <f aca="false">IF(E480=0,"not_reached",IF(AND(F480&gt;0,G480=0),"allowed","blocked"))</f>
        <v>allowed</v>
      </c>
      <c r="Q480" s="0" t="str">
        <f aca="false">IF(C480="success","published",IF(E480&gt;0,"blocked_at_gate","failed_before_gate"))</f>
        <v>published</v>
      </c>
      <c r="R480" s="0" t="str">
        <f aca="false">IF(C480="success","",IF(E480&gt;0,IF(I480="freshness_within_target","freshness",IF(I480="relationships_intact","relationships",IF(I480="reconciliation_residual_zero","residual",I480))),IF(H480="quality_gate","gate_infra",H480)))</f>
        <v/>
      </c>
    </row>
    <row r="481" customFormat="false" ht="15" hidden="false" customHeight="false" outlineLevel="0" collapsed="false">
      <c r="A481" s="4" t="s">
        <v>2493</v>
      </c>
      <c r="B481" s="10" t="n">
        <v>46263.9270833333</v>
      </c>
      <c r="C481" s="4" t="s">
        <v>1544</v>
      </c>
      <c r="D481" s="4" t="n">
        <v>958</v>
      </c>
      <c r="E481" s="4" t="n">
        <v>7</v>
      </c>
      <c r="F481" s="4" t="n">
        <v>6</v>
      </c>
      <c r="G481" s="4" t="n">
        <v>0</v>
      </c>
      <c r="J481" s="11" t="b">
        <f aca="false">TRUE()</f>
        <v>1</v>
      </c>
      <c r="K481" s="4" t="s">
        <v>2494</v>
      </c>
      <c r="L481" s="4" t="n">
        <v>4</v>
      </c>
      <c r="M481" s="4" t="n">
        <v>4</v>
      </c>
      <c r="N481" s="4" t="n">
        <v>4</v>
      </c>
      <c r="O481" s="4" t="n">
        <v>4</v>
      </c>
      <c r="P481" s="0" t="str">
        <f aca="false">IF(E481=0,"not_reached",IF(AND(F481&gt;0,G481=0),"allowed","blocked"))</f>
        <v>allowed</v>
      </c>
      <c r="Q481" s="0" t="str">
        <f aca="false">IF(C481="success","published",IF(E481&gt;0,"blocked_at_gate","failed_before_gate"))</f>
        <v>published</v>
      </c>
      <c r="R481" s="0" t="str">
        <f aca="false">IF(C481="success","",IF(E481&gt;0,IF(I481="freshness_within_target","freshness",IF(I481="relationships_intact","relationships",IF(I481="reconciliation_residual_zero","residual",I481))),IF(H481="quality_gate","gate_infra",H481)))</f>
        <v/>
      </c>
    </row>
    <row r="482" customFormat="false" ht="15" hidden="false" customHeight="false" outlineLevel="0" collapsed="false">
      <c r="A482" s="4" t="s">
        <v>2495</v>
      </c>
      <c r="B482" s="10" t="n">
        <v>46263.96875</v>
      </c>
      <c r="C482" s="4" t="s">
        <v>1544</v>
      </c>
      <c r="D482" s="4" t="n">
        <v>1092</v>
      </c>
      <c r="E482" s="4" t="n">
        <v>7</v>
      </c>
      <c r="F482" s="4" t="n">
        <v>6</v>
      </c>
      <c r="G482" s="4" t="n">
        <v>0</v>
      </c>
      <c r="J482" s="11" t="b">
        <f aca="false">TRUE()</f>
        <v>1</v>
      </c>
      <c r="K482" s="4" t="s">
        <v>2496</v>
      </c>
      <c r="L482" s="4" t="n">
        <v>4</v>
      </c>
      <c r="M482" s="4" t="n">
        <v>4</v>
      </c>
      <c r="N482" s="4" t="n">
        <v>5</v>
      </c>
      <c r="O482" s="4" t="n">
        <v>4</v>
      </c>
      <c r="P482" s="0" t="str">
        <f aca="false">IF(E482=0,"not_reached",IF(AND(F482&gt;0,G482=0),"allowed","blocked"))</f>
        <v>allowed</v>
      </c>
      <c r="Q482" s="0" t="str">
        <f aca="false">IF(C482="success","published",IF(E482&gt;0,"blocked_at_gate","failed_before_gate"))</f>
        <v>published</v>
      </c>
      <c r="R482" s="0" t="str">
        <f aca="false">IF(C482="success","",IF(E482&gt;0,IF(I482="freshness_within_target","freshness",IF(I482="relationships_intact","relationships",IF(I482="reconciliation_residual_zero","residual",I482))),IF(H482="quality_gate","gate_infra",H482)))</f>
        <v/>
      </c>
    </row>
    <row r="483" customFormat="false" ht="15" hidden="false" customHeight="false" outlineLevel="0" collapsed="false">
      <c r="A483" s="4" t="s">
        <v>2497</v>
      </c>
      <c r="B483" s="10" t="n">
        <v>46264.0104166667</v>
      </c>
      <c r="C483" s="4" t="s">
        <v>1544</v>
      </c>
      <c r="D483" s="4" t="n">
        <v>730</v>
      </c>
      <c r="E483" s="4" t="n">
        <v>7</v>
      </c>
      <c r="F483" s="4" t="n">
        <v>6</v>
      </c>
      <c r="G483" s="4" t="n">
        <v>0</v>
      </c>
      <c r="J483" s="11" t="b">
        <f aca="false">TRUE()</f>
        <v>1</v>
      </c>
      <c r="K483" s="4" t="s">
        <v>2498</v>
      </c>
      <c r="L483" s="4" t="n">
        <v>4</v>
      </c>
      <c r="M483" s="4" t="n">
        <v>4</v>
      </c>
      <c r="N483" s="4" t="n">
        <v>4</v>
      </c>
      <c r="O483" s="4" t="n">
        <v>4</v>
      </c>
      <c r="P483" s="0" t="str">
        <f aca="false">IF(E483=0,"not_reached",IF(AND(F483&gt;0,G483=0),"allowed","blocked"))</f>
        <v>allowed</v>
      </c>
      <c r="Q483" s="0" t="str">
        <f aca="false">IF(C483="success","published",IF(E483&gt;0,"blocked_at_gate","failed_before_gate"))</f>
        <v>published</v>
      </c>
      <c r="R483" s="0" t="str">
        <f aca="false">IF(C483="success","",IF(E483&gt;0,IF(I483="freshness_within_target","freshness",IF(I483="relationships_intact","relationships",IF(I483="reconciliation_residual_zero","residual",I483))),IF(H483="quality_gate","gate_infra",H483)))</f>
        <v/>
      </c>
    </row>
    <row r="484" customFormat="false" ht="15" hidden="false" customHeight="false" outlineLevel="0" collapsed="false">
      <c r="A484" s="4" t="s">
        <v>2499</v>
      </c>
      <c r="B484" s="10" t="n">
        <v>46264.0520833333</v>
      </c>
      <c r="C484" s="4" t="s">
        <v>1544</v>
      </c>
      <c r="D484" s="4" t="n">
        <v>727</v>
      </c>
      <c r="E484" s="4" t="n">
        <v>7</v>
      </c>
      <c r="F484" s="4" t="n">
        <v>6</v>
      </c>
      <c r="G484" s="4" t="n">
        <v>0</v>
      </c>
      <c r="J484" s="11" t="b">
        <f aca="false">TRUE()</f>
        <v>1</v>
      </c>
      <c r="K484" s="4" t="s">
        <v>2500</v>
      </c>
      <c r="L484" s="4" t="n">
        <v>4</v>
      </c>
      <c r="M484" s="4" t="n">
        <v>4</v>
      </c>
      <c r="N484" s="4" t="n">
        <v>4</v>
      </c>
      <c r="O484" s="4" t="n">
        <v>4</v>
      </c>
      <c r="P484" s="0" t="str">
        <f aca="false">IF(E484=0,"not_reached",IF(AND(F484&gt;0,G484=0),"allowed","blocked"))</f>
        <v>allowed</v>
      </c>
      <c r="Q484" s="0" t="str">
        <f aca="false">IF(C484="success","published",IF(E484&gt;0,"blocked_at_gate","failed_before_gate"))</f>
        <v>published</v>
      </c>
      <c r="R484" s="0" t="str">
        <f aca="false">IF(C484="success","",IF(E484&gt;0,IF(I484="freshness_within_target","freshness",IF(I484="relationships_intact","relationships",IF(I484="reconciliation_residual_zero","residual",I484))),IF(H484="quality_gate","gate_infra",H484)))</f>
        <v/>
      </c>
    </row>
    <row r="485" customFormat="false" ht="15" hidden="false" customHeight="false" outlineLevel="0" collapsed="false">
      <c r="A485" s="4" t="s">
        <v>2501</v>
      </c>
      <c r="B485" s="10" t="n">
        <v>46264.09375</v>
      </c>
      <c r="C485" s="4" t="s">
        <v>1544</v>
      </c>
      <c r="D485" s="4" t="n">
        <v>789</v>
      </c>
      <c r="E485" s="4" t="n">
        <v>7</v>
      </c>
      <c r="F485" s="4" t="n">
        <v>6</v>
      </c>
      <c r="G485" s="4" t="n">
        <v>0</v>
      </c>
      <c r="J485" s="11" t="b">
        <f aca="false">TRUE()</f>
        <v>1</v>
      </c>
      <c r="K485" s="4" t="s">
        <v>2502</v>
      </c>
      <c r="L485" s="4" t="n">
        <v>4</v>
      </c>
      <c r="M485" s="4" t="n">
        <v>4</v>
      </c>
      <c r="N485" s="4" t="n">
        <v>4</v>
      </c>
      <c r="O485" s="4" t="n">
        <v>4</v>
      </c>
      <c r="P485" s="0" t="str">
        <f aca="false">IF(E485=0,"not_reached",IF(AND(F485&gt;0,G485=0),"allowed","blocked"))</f>
        <v>allowed</v>
      </c>
      <c r="Q485" s="0" t="str">
        <f aca="false">IF(C485="success","published",IF(E485&gt;0,"blocked_at_gate","failed_before_gate"))</f>
        <v>published</v>
      </c>
      <c r="R485" s="0" t="str">
        <f aca="false">IF(C485="success","",IF(E485&gt;0,IF(I485="freshness_within_target","freshness",IF(I485="relationships_intact","relationships",IF(I485="reconciliation_residual_zero","residual",I485))),IF(H485="quality_gate","gate_infra",H485)))</f>
        <v/>
      </c>
    </row>
    <row r="486" customFormat="false" ht="15" hidden="false" customHeight="false" outlineLevel="0" collapsed="false">
      <c r="A486" s="4" t="s">
        <v>2503</v>
      </c>
      <c r="B486" s="10" t="n">
        <v>46264.1354166667</v>
      </c>
      <c r="C486" s="4" t="s">
        <v>1544</v>
      </c>
      <c r="D486" s="4" t="n">
        <v>733</v>
      </c>
      <c r="E486" s="4" t="n">
        <v>7</v>
      </c>
      <c r="F486" s="4" t="n">
        <v>6</v>
      </c>
      <c r="G486" s="4" t="n">
        <v>0</v>
      </c>
      <c r="J486" s="11" t="b">
        <f aca="false">TRUE()</f>
        <v>1</v>
      </c>
      <c r="K486" s="4" t="s">
        <v>2504</v>
      </c>
      <c r="L486" s="4" t="n">
        <v>4</v>
      </c>
      <c r="M486" s="4" t="n">
        <v>4</v>
      </c>
      <c r="N486" s="4" t="n">
        <v>4</v>
      </c>
      <c r="O486" s="4" t="n">
        <v>4</v>
      </c>
      <c r="P486" s="0" t="str">
        <f aca="false">IF(E486=0,"not_reached",IF(AND(F486&gt;0,G486=0),"allowed","blocked"))</f>
        <v>allowed</v>
      </c>
      <c r="Q486" s="0" t="str">
        <f aca="false">IF(C486="success","published",IF(E486&gt;0,"blocked_at_gate","failed_before_gate"))</f>
        <v>published</v>
      </c>
      <c r="R486" s="0" t="str">
        <f aca="false">IF(C486="success","",IF(E486&gt;0,IF(I486="freshness_within_target","freshness",IF(I486="relationships_intact","relationships",IF(I486="reconciliation_residual_zero","residual",I486))),IF(H486="quality_gate","gate_infra",H486)))</f>
        <v/>
      </c>
    </row>
    <row r="487" customFormat="false" ht="15" hidden="false" customHeight="false" outlineLevel="0" collapsed="false">
      <c r="A487" s="4" t="s">
        <v>2505</v>
      </c>
      <c r="B487" s="10" t="n">
        <v>46264.1770833333</v>
      </c>
      <c r="C487" s="4" t="s">
        <v>1544</v>
      </c>
      <c r="D487" s="4" t="n">
        <v>1324</v>
      </c>
      <c r="E487" s="4" t="n">
        <v>7</v>
      </c>
      <c r="F487" s="4" t="n">
        <v>6</v>
      </c>
      <c r="G487" s="4" t="n">
        <v>0</v>
      </c>
      <c r="J487" s="11" t="b">
        <f aca="false">TRUE()</f>
        <v>1</v>
      </c>
      <c r="K487" s="4" t="s">
        <v>2506</v>
      </c>
      <c r="L487" s="4" t="n">
        <v>4</v>
      </c>
      <c r="M487" s="4" t="n">
        <v>4</v>
      </c>
      <c r="N487" s="4" t="n">
        <v>5</v>
      </c>
      <c r="O487" s="4" t="n">
        <v>4</v>
      </c>
      <c r="P487" s="0" t="str">
        <f aca="false">IF(E487=0,"not_reached",IF(AND(F487&gt;0,G487=0),"allowed","blocked"))</f>
        <v>allowed</v>
      </c>
      <c r="Q487" s="0" t="str">
        <f aca="false">IF(C487="success","published",IF(E487&gt;0,"blocked_at_gate","failed_before_gate"))</f>
        <v>published</v>
      </c>
      <c r="R487" s="0" t="str">
        <f aca="false">IF(C487="success","",IF(E487&gt;0,IF(I487="freshness_within_target","freshness",IF(I487="relationships_intact","relationships",IF(I487="reconciliation_residual_zero","residual",I487))),IF(H487="quality_gate","gate_infra",H487)))</f>
        <v/>
      </c>
    </row>
    <row r="488" customFormat="false" ht="15" hidden="false" customHeight="false" outlineLevel="0" collapsed="false">
      <c r="A488" s="4" t="s">
        <v>2507</v>
      </c>
      <c r="B488" s="10" t="n">
        <v>46264.21875</v>
      </c>
      <c r="C488" s="4" t="s">
        <v>1544</v>
      </c>
      <c r="D488" s="4" t="n">
        <v>868</v>
      </c>
      <c r="E488" s="4" t="n">
        <v>7</v>
      </c>
      <c r="F488" s="4" t="n">
        <v>6</v>
      </c>
      <c r="G488" s="4" t="n">
        <v>0</v>
      </c>
      <c r="J488" s="11" t="b">
        <f aca="false">TRUE()</f>
        <v>1</v>
      </c>
      <c r="K488" s="4" t="s">
        <v>2508</v>
      </c>
      <c r="L488" s="4" t="n">
        <v>4</v>
      </c>
      <c r="M488" s="4" t="n">
        <v>4</v>
      </c>
      <c r="N488" s="4" t="n">
        <v>4</v>
      </c>
      <c r="O488" s="4" t="n">
        <v>4</v>
      </c>
      <c r="P488" s="0" t="str">
        <f aca="false">IF(E488=0,"not_reached",IF(AND(F488&gt;0,G488=0),"allowed","blocked"))</f>
        <v>allowed</v>
      </c>
      <c r="Q488" s="0" t="str">
        <f aca="false">IF(C488="success","published",IF(E488&gt;0,"blocked_at_gate","failed_before_gate"))</f>
        <v>published</v>
      </c>
      <c r="R488" s="0" t="str">
        <f aca="false">IF(C488="success","",IF(E488&gt;0,IF(I488="freshness_within_target","freshness",IF(I488="relationships_intact","relationships",IF(I488="reconciliation_residual_zero","residual",I488))),IF(H488="quality_gate","gate_infra",H488)))</f>
        <v/>
      </c>
    </row>
    <row r="489" customFormat="false" ht="15" hidden="false" customHeight="false" outlineLevel="0" collapsed="false">
      <c r="A489" s="4" t="s">
        <v>2509</v>
      </c>
      <c r="B489" s="10" t="n">
        <v>46264.2604166667</v>
      </c>
      <c r="C489" s="4" t="s">
        <v>1544</v>
      </c>
      <c r="D489" s="4" t="n">
        <v>876</v>
      </c>
      <c r="E489" s="4" t="n">
        <v>7</v>
      </c>
      <c r="F489" s="4" t="n">
        <v>6</v>
      </c>
      <c r="G489" s="4" t="n">
        <v>0</v>
      </c>
      <c r="J489" s="11" t="b">
        <f aca="false">TRUE()</f>
        <v>1</v>
      </c>
      <c r="K489" s="4" t="s">
        <v>2510</v>
      </c>
      <c r="L489" s="4" t="n">
        <v>4</v>
      </c>
      <c r="M489" s="4" t="n">
        <v>4</v>
      </c>
      <c r="N489" s="4" t="n">
        <v>4</v>
      </c>
      <c r="O489" s="4" t="n">
        <v>4</v>
      </c>
      <c r="P489" s="0" t="str">
        <f aca="false">IF(E489=0,"not_reached",IF(AND(F489&gt;0,G489=0),"allowed","blocked"))</f>
        <v>allowed</v>
      </c>
      <c r="Q489" s="0" t="str">
        <f aca="false">IF(C489="success","published",IF(E489&gt;0,"blocked_at_gate","failed_before_gate"))</f>
        <v>published</v>
      </c>
      <c r="R489" s="0" t="str">
        <f aca="false">IF(C489="success","",IF(E489&gt;0,IF(I489="freshness_within_target","freshness",IF(I489="relationships_intact","relationships",IF(I489="reconciliation_residual_zero","residual",I489))),IF(H489="quality_gate","gate_infra",H489)))</f>
        <v/>
      </c>
    </row>
    <row r="490" customFormat="false" ht="15" hidden="false" customHeight="false" outlineLevel="0" collapsed="false">
      <c r="A490" s="4" t="s">
        <v>2511</v>
      </c>
      <c r="B490" s="10" t="n">
        <v>46264.3020833333</v>
      </c>
      <c r="C490" s="4" t="s">
        <v>1544</v>
      </c>
      <c r="D490" s="4" t="n">
        <v>686</v>
      </c>
      <c r="E490" s="4" t="n">
        <v>7</v>
      </c>
      <c r="F490" s="4" t="n">
        <v>6</v>
      </c>
      <c r="G490" s="4" t="n">
        <v>0</v>
      </c>
      <c r="J490" s="11" t="b">
        <f aca="false">TRUE()</f>
        <v>1</v>
      </c>
      <c r="K490" s="4" t="s">
        <v>2512</v>
      </c>
      <c r="L490" s="4" t="n">
        <v>4</v>
      </c>
      <c r="M490" s="4" t="n">
        <v>4</v>
      </c>
      <c r="N490" s="4" t="n">
        <v>4</v>
      </c>
      <c r="O490" s="4" t="n">
        <v>4</v>
      </c>
      <c r="P490" s="0" t="str">
        <f aca="false">IF(E490=0,"not_reached",IF(AND(F490&gt;0,G490=0),"allowed","blocked"))</f>
        <v>allowed</v>
      </c>
      <c r="Q490" s="0" t="str">
        <f aca="false">IF(C490="success","published",IF(E490&gt;0,"blocked_at_gate","failed_before_gate"))</f>
        <v>published</v>
      </c>
      <c r="R490" s="0" t="str">
        <f aca="false">IF(C490="success","",IF(E490&gt;0,IF(I490="freshness_within_target","freshness",IF(I490="relationships_intact","relationships",IF(I490="reconciliation_residual_zero","residual",I490))),IF(H490="quality_gate","gate_infra",H490)))</f>
        <v/>
      </c>
    </row>
    <row r="491" customFormat="false" ht="15" hidden="false" customHeight="false" outlineLevel="0" collapsed="false">
      <c r="A491" s="4" t="s">
        <v>2513</v>
      </c>
      <c r="B491" s="10" t="n">
        <v>46264.34375</v>
      </c>
      <c r="C491" s="4" t="s">
        <v>1544</v>
      </c>
      <c r="D491" s="4" t="n">
        <v>904</v>
      </c>
      <c r="E491" s="4" t="n">
        <v>7</v>
      </c>
      <c r="F491" s="4" t="n">
        <v>6</v>
      </c>
      <c r="G491" s="4" t="n">
        <v>0</v>
      </c>
      <c r="J491" s="11" t="b">
        <f aca="false">TRUE()</f>
        <v>1</v>
      </c>
      <c r="K491" s="4" t="s">
        <v>2514</v>
      </c>
      <c r="L491" s="4" t="n">
        <v>4</v>
      </c>
      <c r="M491" s="4" t="n">
        <v>4</v>
      </c>
      <c r="N491" s="4" t="n">
        <v>4</v>
      </c>
      <c r="O491" s="4" t="n">
        <v>4</v>
      </c>
      <c r="P491" s="0" t="str">
        <f aca="false">IF(E491=0,"not_reached",IF(AND(F491&gt;0,G491=0),"allowed","blocked"))</f>
        <v>allowed</v>
      </c>
      <c r="Q491" s="0" t="str">
        <f aca="false">IF(C491="success","published",IF(E491&gt;0,"blocked_at_gate","failed_before_gate"))</f>
        <v>published</v>
      </c>
      <c r="R491" s="0" t="str">
        <f aca="false">IF(C491="success","",IF(E491&gt;0,IF(I491="freshness_within_target","freshness",IF(I491="relationships_intact","relationships",IF(I491="reconciliation_residual_zero","residual",I491))),IF(H491="quality_gate","gate_infra",H491)))</f>
        <v/>
      </c>
    </row>
    <row r="492" customFormat="false" ht="15" hidden="false" customHeight="false" outlineLevel="0" collapsed="false">
      <c r="A492" s="4" t="s">
        <v>2515</v>
      </c>
      <c r="B492" s="10" t="n">
        <v>46264.3854166667</v>
      </c>
      <c r="C492" s="4" t="s">
        <v>1544</v>
      </c>
      <c r="D492" s="4" t="n">
        <v>801</v>
      </c>
      <c r="E492" s="4" t="n">
        <v>7</v>
      </c>
      <c r="F492" s="4" t="n">
        <v>6</v>
      </c>
      <c r="G492" s="4" t="n">
        <v>0</v>
      </c>
      <c r="J492" s="11" t="b">
        <f aca="false">TRUE()</f>
        <v>1</v>
      </c>
      <c r="K492" s="4" t="s">
        <v>2516</v>
      </c>
      <c r="L492" s="4" t="n">
        <v>4</v>
      </c>
      <c r="M492" s="4" t="n">
        <v>4</v>
      </c>
      <c r="N492" s="4" t="n">
        <v>4</v>
      </c>
      <c r="O492" s="4" t="n">
        <v>4</v>
      </c>
      <c r="P492" s="0" t="str">
        <f aca="false">IF(E492=0,"not_reached",IF(AND(F492&gt;0,G492=0),"allowed","blocked"))</f>
        <v>allowed</v>
      </c>
      <c r="Q492" s="0" t="str">
        <f aca="false">IF(C492="success","published",IF(E492&gt;0,"blocked_at_gate","failed_before_gate"))</f>
        <v>published</v>
      </c>
      <c r="R492" s="0" t="str">
        <f aca="false">IF(C492="success","",IF(E492&gt;0,IF(I492="freshness_within_target","freshness",IF(I492="relationships_intact","relationships",IF(I492="reconciliation_residual_zero","residual",I492))),IF(H492="quality_gate","gate_infra",H492)))</f>
        <v/>
      </c>
    </row>
    <row r="493" customFormat="false" ht="15" hidden="false" customHeight="false" outlineLevel="0" collapsed="false">
      <c r="A493" s="4" t="s">
        <v>2517</v>
      </c>
      <c r="B493" s="10" t="n">
        <v>46264.4270833333</v>
      </c>
      <c r="C493" s="4" t="s">
        <v>1544</v>
      </c>
      <c r="D493" s="4" t="n">
        <v>875</v>
      </c>
      <c r="E493" s="4" t="n">
        <v>7</v>
      </c>
      <c r="F493" s="4" t="n">
        <v>6</v>
      </c>
      <c r="G493" s="4" t="n">
        <v>0</v>
      </c>
      <c r="J493" s="11" t="b">
        <f aca="false">TRUE()</f>
        <v>1</v>
      </c>
      <c r="K493" s="4" t="s">
        <v>2518</v>
      </c>
      <c r="L493" s="4" t="n">
        <v>4</v>
      </c>
      <c r="M493" s="4" t="n">
        <v>4</v>
      </c>
      <c r="N493" s="4" t="n">
        <v>4</v>
      </c>
      <c r="O493" s="4" t="n">
        <v>4</v>
      </c>
      <c r="P493" s="0" t="str">
        <f aca="false">IF(E493=0,"not_reached",IF(AND(F493&gt;0,G493=0),"allowed","blocked"))</f>
        <v>allowed</v>
      </c>
      <c r="Q493" s="0" t="str">
        <f aca="false">IF(C493="success","published",IF(E493&gt;0,"blocked_at_gate","failed_before_gate"))</f>
        <v>published</v>
      </c>
      <c r="R493" s="0" t="str">
        <f aca="false">IF(C493="success","",IF(E493&gt;0,IF(I493="freshness_within_target","freshness",IF(I493="relationships_intact","relationships",IF(I493="reconciliation_residual_zero","residual",I493))),IF(H493="quality_gate","gate_infra",H493)))</f>
        <v/>
      </c>
    </row>
    <row r="494" customFormat="false" ht="15" hidden="false" customHeight="false" outlineLevel="0" collapsed="false">
      <c r="A494" s="4" t="s">
        <v>2519</v>
      </c>
      <c r="B494" s="10" t="n">
        <v>46264.46875</v>
      </c>
      <c r="C494" s="4" t="s">
        <v>1544</v>
      </c>
      <c r="D494" s="4" t="n">
        <v>733</v>
      </c>
      <c r="E494" s="4" t="n">
        <v>7</v>
      </c>
      <c r="F494" s="4" t="n">
        <v>6</v>
      </c>
      <c r="G494" s="4" t="n">
        <v>0</v>
      </c>
      <c r="J494" s="11" t="b">
        <f aca="false">TRUE()</f>
        <v>1</v>
      </c>
      <c r="K494" s="4" t="s">
        <v>2520</v>
      </c>
      <c r="L494" s="4" t="n">
        <v>4</v>
      </c>
      <c r="M494" s="4" t="n">
        <v>4</v>
      </c>
      <c r="N494" s="4" t="n">
        <v>4</v>
      </c>
      <c r="O494" s="4" t="n">
        <v>4</v>
      </c>
      <c r="P494" s="0" t="str">
        <f aca="false">IF(E494=0,"not_reached",IF(AND(F494&gt;0,G494=0),"allowed","blocked"))</f>
        <v>allowed</v>
      </c>
      <c r="Q494" s="0" t="str">
        <f aca="false">IF(C494="success","published",IF(E494&gt;0,"blocked_at_gate","failed_before_gate"))</f>
        <v>published</v>
      </c>
      <c r="R494" s="0" t="str">
        <f aca="false">IF(C494="success","",IF(E494&gt;0,IF(I494="freshness_within_target","freshness",IF(I494="relationships_intact","relationships",IF(I494="reconciliation_residual_zero","residual",I494))),IF(H494="quality_gate","gate_infra",H494)))</f>
        <v/>
      </c>
    </row>
    <row r="495" customFormat="false" ht="15" hidden="false" customHeight="false" outlineLevel="0" collapsed="false">
      <c r="A495" s="4" t="s">
        <v>2521</v>
      </c>
      <c r="B495" s="10" t="n">
        <v>46264.5104166667</v>
      </c>
      <c r="C495" s="4" t="s">
        <v>1544</v>
      </c>
      <c r="D495" s="4" t="n">
        <v>850</v>
      </c>
      <c r="E495" s="4" t="n">
        <v>7</v>
      </c>
      <c r="F495" s="4" t="n">
        <v>6</v>
      </c>
      <c r="G495" s="4" t="n">
        <v>0</v>
      </c>
      <c r="J495" s="11" t="b">
        <f aca="false">TRUE()</f>
        <v>1</v>
      </c>
      <c r="K495" s="4" t="s">
        <v>2522</v>
      </c>
      <c r="L495" s="4" t="n">
        <v>4</v>
      </c>
      <c r="M495" s="4" t="n">
        <v>4</v>
      </c>
      <c r="N495" s="4" t="n">
        <v>4</v>
      </c>
      <c r="O495" s="4" t="n">
        <v>4</v>
      </c>
      <c r="P495" s="0" t="str">
        <f aca="false">IF(E495=0,"not_reached",IF(AND(F495&gt;0,G495=0),"allowed","blocked"))</f>
        <v>allowed</v>
      </c>
      <c r="Q495" s="0" t="str">
        <f aca="false">IF(C495="success","published",IF(E495&gt;0,"blocked_at_gate","failed_before_gate"))</f>
        <v>published</v>
      </c>
      <c r="R495" s="0" t="str">
        <f aca="false">IF(C495="success","",IF(E495&gt;0,IF(I495="freshness_within_target","freshness",IF(I495="relationships_intact","relationships",IF(I495="reconciliation_residual_zero","residual",I495))),IF(H495="quality_gate","gate_infra",H495)))</f>
        <v/>
      </c>
    </row>
    <row r="496" customFormat="false" ht="15" hidden="false" customHeight="false" outlineLevel="0" collapsed="false">
      <c r="A496" s="4" t="s">
        <v>2523</v>
      </c>
      <c r="B496" s="10" t="n">
        <v>46264.5520833333</v>
      </c>
      <c r="C496" s="4" t="s">
        <v>1544</v>
      </c>
      <c r="D496" s="4" t="n">
        <v>804</v>
      </c>
      <c r="E496" s="4" t="n">
        <v>7</v>
      </c>
      <c r="F496" s="4" t="n">
        <v>6</v>
      </c>
      <c r="G496" s="4" t="n">
        <v>0</v>
      </c>
      <c r="J496" s="11" t="b">
        <f aca="false">TRUE()</f>
        <v>1</v>
      </c>
      <c r="K496" s="4" t="s">
        <v>2524</v>
      </c>
      <c r="L496" s="4" t="n">
        <v>4</v>
      </c>
      <c r="M496" s="4" t="n">
        <v>4</v>
      </c>
      <c r="N496" s="4" t="n">
        <v>4</v>
      </c>
      <c r="O496" s="4" t="n">
        <v>4</v>
      </c>
      <c r="P496" s="0" t="str">
        <f aca="false">IF(E496=0,"not_reached",IF(AND(F496&gt;0,G496=0),"allowed","blocked"))</f>
        <v>allowed</v>
      </c>
      <c r="Q496" s="0" t="str">
        <f aca="false">IF(C496="success","published",IF(E496&gt;0,"blocked_at_gate","failed_before_gate"))</f>
        <v>published</v>
      </c>
      <c r="R496" s="0" t="str">
        <f aca="false">IF(C496="success","",IF(E496&gt;0,IF(I496="freshness_within_target","freshness",IF(I496="relationships_intact","relationships",IF(I496="reconciliation_residual_zero","residual",I496))),IF(H496="quality_gate","gate_infra",H496)))</f>
        <v/>
      </c>
    </row>
    <row r="497" customFormat="false" ht="15" hidden="false" customHeight="false" outlineLevel="0" collapsed="false">
      <c r="A497" s="4" t="s">
        <v>2525</v>
      </c>
      <c r="B497" s="10" t="n">
        <v>46264.59375</v>
      </c>
      <c r="C497" s="4" t="s">
        <v>1544</v>
      </c>
      <c r="D497" s="4" t="n">
        <v>685</v>
      </c>
      <c r="E497" s="4" t="n">
        <v>7</v>
      </c>
      <c r="F497" s="4" t="n">
        <v>6</v>
      </c>
      <c r="G497" s="4" t="n">
        <v>0</v>
      </c>
      <c r="J497" s="11" t="b">
        <f aca="false">TRUE()</f>
        <v>1</v>
      </c>
      <c r="K497" s="4" t="s">
        <v>2526</v>
      </c>
      <c r="L497" s="4" t="n">
        <v>4</v>
      </c>
      <c r="M497" s="4" t="n">
        <v>4</v>
      </c>
      <c r="N497" s="4" t="n">
        <v>4</v>
      </c>
      <c r="O497" s="4" t="n">
        <v>4</v>
      </c>
      <c r="P497" s="0" t="str">
        <f aca="false">IF(E497=0,"not_reached",IF(AND(F497&gt;0,G497=0),"allowed","blocked"))</f>
        <v>allowed</v>
      </c>
      <c r="Q497" s="0" t="str">
        <f aca="false">IF(C497="success","published",IF(E497&gt;0,"blocked_at_gate","failed_before_gate"))</f>
        <v>published</v>
      </c>
      <c r="R497" s="0" t="str">
        <f aca="false">IF(C497="success","",IF(E497&gt;0,IF(I497="freshness_within_target","freshness",IF(I497="relationships_intact","relationships",IF(I497="reconciliation_residual_zero","residual",I497))),IF(H497="quality_gate","gate_infra",H497)))</f>
        <v/>
      </c>
    </row>
    <row r="498" customFormat="false" ht="15" hidden="false" customHeight="false" outlineLevel="0" collapsed="false">
      <c r="A498" s="4" t="s">
        <v>2527</v>
      </c>
      <c r="B498" s="10" t="n">
        <v>46264.6354166667</v>
      </c>
      <c r="C498" s="4" t="s">
        <v>1544</v>
      </c>
      <c r="D498" s="4" t="n">
        <v>717</v>
      </c>
      <c r="E498" s="4" t="n">
        <v>7</v>
      </c>
      <c r="F498" s="4" t="n">
        <v>6</v>
      </c>
      <c r="G498" s="4" t="n">
        <v>0</v>
      </c>
      <c r="J498" s="11" t="b">
        <f aca="false">TRUE()</f>
        <v>1</v>
      </c>
      <c r="K498" s="4" t="s">
        <v>2528</v>
      </c>
      <c r="L498" s="4" t="n">
        <v>4</v>
      </c>
      <c r="M498" s="4" t="n">
        <v>4</v>
      </c>
      <c r="N498" s="4" t="n">
        <v>4</v>
      </c>
      <c r="O498" s="4" t="n">
        <v>4</v>
      </c>
      <c r="P498" s="0" t="str">
        <f aca="false">IF(E498=0,"not_reached",IF(AND(F498&gt;0,G498=0),"allowed","blocked"))</f>
        <v>allowed</v>
      </c>
      <c r="Q498" s="0" t="str">
        <f aca="false">IF(C498="success","published",IF(E498&gt;0,"blocked_at_gate","failed_before_gate"))</f>
        <v>published</v>
      </c>
      <c r="R498" s="0" t="str">
        <f aca="false">IF(C498="success","",IF(E498&gt;0,IF(I498="freshness_within_target","freshness",IF(I498="relationships_intact","relationships",IF(I498="reconciliation_residual_zero","residual",I498))),IF(H498="quality_gate","gate_infra",H498)))</f>
        <v/>
      </c>
    </row>
    <row r="499" customFormat="false" ht="15" hidden="false" customHeight="false" outlineLevel="0" collapsed="false">
      <c r="A499" s="4" t="s">
        <v>2529</v>
      </c>
      <c r="B499" s="10" t="n">
        <v>46264.6770833333</v>
      </c>
      <c r="C499" s="4" t="s">
        <v>1544</v>
      </c>
      <c r="D499" s="4" t="n">
        <v>917</v>
      </c>
      <c r="E499" s="4" t="n">
        <v>7</v>
      </c>
      <c r="F499" s="4" t="n">
        <v>6</v>
      </c>
      <c r="G499" s="4" t="n">
        <v>0</v>
      </c>
      <c r="J499" s="11" t="b">
        <f aca="false">TRUE()</f>
        <v>1</v>
      </c>
      <c r="K499" s="4" t="s">
        <v>2530</v>
      </c>
      <c r="L499" s="4" t="n">
        <v>4</v>
      </c>
      <c r="M499" s="4" t="n">
        <v>4</v>
      </c>
      <c r="N499" s="4" t="n">
        <v>4</v>
      </c>
      <c r="O499" s="4" t="n">
        <v>4</v>
      </c>
      <c r="P499" s="0" t="str">
        <f aca="false">IF(E499=0,"not_reached",IF(AND(F499&gt;0,G499=0),"allowed","blocked"))</f>
        <v>allowed</v>
      </c>
      <c r="Q499" s="0" t="str">
        <f aca="false">IF(C499="success","published",IF(E499&gt;0,"blocked_at_gate","failed_before_gate"))</f>
        <v>published</v>
      </c>
      <c r="R499" s="0" t="str">
        <f aca="false">IF(C499="success","",IF(E499&gt;0,IF(I499="freshness_within_target","freshness",IF(I499="relationships_intact","relationships",IF(I499="reconciliation_residual_zero","residual",I499))),IF(H499="quality_gate","gate_infra",H499)))</f>
        <v/>
      </c>
    </row>
    <row r="500" customFormat="false" ht="15" hidden="false" customHeight="false" outlineLevel="0" collapsed="false">
      <c r="A500" s="4" t="s">
        <v>2531</v>
      </c>
      <c r="B500" s="10" t="n">
        <v>46264.71875</v>
      </c>
      <c r="C500" s="4" t="s">
        <v>1544</v>
      </c>
      <c r="D500" s="4" t="n">
        <v>676</v>
      </c>
      <c r="E500" s="4" t="n">
        <v>7</v>
      </c>
      <c r="F500" s="4" t="n">
        <v>6</v>
      </c>
      <c r="G500" s="4" t="n">
        <v>0</v>
      </c>
      <c r="J500" s="11" t="b">
        <f aca="false">TRUE()</f>
        <v>1</v>
      </c>
      <c r="K500" s="4" t="s">
        <v>2532</v>
      </c>
      <c r="L500" s="4" t="n">
        <v>4</v>
      </c>
      <c r="M500" s="4" t="n">
        <v>4</v>
      </c>
      <c r="N500" s="4" t="n">
        <v>4</v>
      </c>
      <c r="O500" s="4" t="n">
        <v>4</v>
      </c>
      <c r="P500" s="0" t="str">
        <f aca="false">IF(E500=0,"not_reached",IF(AND(F500&gt;0,G500=0),"allowed","blocked"))</f>
        <v>allowed</v>
      </c>
      <c r="Q500" s="0" t="str">
        <f aca="false">IF(C500="success","published",IF(E500&gt;0,"blocked_at_gate","failed_before_gate"))</f>
        <v>published</v>
      </c>
      <c r="R500" s="0" t="str">
        <f aca="false">IF(C500="success","",IF(E500&gt;0,IF(I500="freshness_within_target","freshness",IF(I500="relationships_intact","relationships",IF(I500="reconciliation_residual_zero","residual",I500))),IF(H500="quality_gate","gate_infra",H500)))</f>
        <v/>
      </c>
    </row>
    <row r="501" customFormat="false" ht="15" hidden="false" customHeight="false" outlineLevel="0" collapsed="false">
      <c r="A501" s="4" t="s">
        <v>2533</v>
      </c>
      <c r="B501" s="10" t="n">
        <v>46264.7604166667</v>
      </c>
      <c r="C501" s="4" t="s">
        <v>1544</v>
      </c>
      <c r="D501" s="4" t="n">
        <v>916</v>
      </c>
      <c r="E501" s="4" t="n">
        <v>7</v>
      </c>
      <c r="F501" s="4" t="n">
        <v>6</v>
      </c>
      <c r="G501" s="4" t="n">
        <v>0</v>
      </c>
      <c r="J501" s="11" t="b">
        <f aca="false">TRUE()</f>
        <v>1</v>
      </c>
      <c r="K501" s="4" t="s">
        <v>2534</v>
      </c>
      <c r="L501" s="4" t="n">
        <v>4</v>
      </c>
      <c r="M501" s="4" t="n">
        <v>4</v>
      </c>
      <c r="N501" s="4" t="n">
        <v>4</v>
      </c>
      <c r="O501" s="4" t="n">
        <v>4</v>
      </c>
      <c r="P501" s="0" t="str">
        <f aca="false">IF(E501=0,"not_reached",IF(AND(F501&gt;0,G501=0),"allowed","blocked"))</f>
        <v>allowed</v>
      </c>
      <c r="Q501" s="0" t="str">
        <f aca="false">IF(C501="success","published",IF(E501&gt;0,"blocked_at_gate","failed_before_gate"))</f>
        <v>published</v>
      </c>
      <c r="R501" s="0" t="str">
        <f aca="false">IF(C501="success","",IF(E501&gt;0,IF(I501="freshness_within_target","freshness",IF(I501="relationships_intact","relationships",IF(I501="reconciliation_residual_zero","residual",I501))),IF(H501="quality_gate","gate_infra",H501)))</f>
        <v/>
      </c>
    </row>
    <row r="502" customFormat="false" ht="15" hidden="false" customHeight="false" outlineLevel="0" collapsed="false">
      <c r="A502" s="4" t="s">
        <v>2535</v>
      </c>
      <c r="B502" s="10" t="n">
        <v>46264.8020833333</v>
      </c>
      <c r="C502" s="4" t="s">
        <v>1544</v>
      </c>
      <c r="D502" s="4" t="n">
        <v>749</v>
      </c>
      <c r="E502" s="4" t="n">
        <v>7</v>
      </c>
      <c r="F502" s="4" t="n">
        <v>6</v>
      </c>
      <c r="G502" s="4" t="n">
        <v>0</v>
      </c>
      <c r="J502" s="11" t="b">
        <f aca="false">TRUE()</f>
        <v>1</v>
      </c>
      <c r="K502" s="4" t="s">
        <v>2536</v>
      </c>
      <c r="L502" s="4" t="n">
        <v>4</v>
      </c>
      <c r="M502" s="4" t="n">
        <v>4</v>
      </c>
      <c r="N502" s="4" t="n">
        <v>4</v>
      </c>
      <c r="O502" s="4" t="n">
        <v>4</v>
      </c>
      <c r="P502" s="0" t="str">
        <f aca="false">IF(E502=0,"not_reached",IF(AND(F502&gt;0,G502=0),"allowed","blocked"))</f>
        <v>allowed</v>
      </c>
      <c r="Q502" s="0" t="str">
        <f aca="false">IF(C502="success","published",IF(E502&gt;0,"blocked_at_gate","failed_before_gate"))</f>
        <v>published</v>
      </c>
      <c r="R502" s="0" t="str">
        <f aca="false">IF(C502="success","",IF(E502&gt;0,IF(I502="freshness_within_target","freshness",IF(I502="relationships_intact","relationships",IF(I502="reconciliation_residual_zero","residual",I502))),IF(H502="quality_gate","gate_infra",H502)))</f>
        <v/>
      </c>
    </row>
    <row r="503" customFormat="false" ht="15" hidden="false" customHeight="false" outlineLevel="0" collapsed="false">
      <c r="A503" s="4" t="s">
        <v>2537</v>
      </c>
      <c r="B503" s="10" t="n">
        <v>46264.84375</v>
      </c>
      <c r="C503" s="4" t="s">
        <v>1544</v>
      </c>
      <c r="D503" s="4" t="n">
        <v>776</v>
      </c>
      <c r="E503" s="4" t="n">
        <v>7</v>
      </c>
      <c r="F503" s="4" t="n">
        <v>6</v>
      </c>
      <c r="G503" s="4" t="n">
        <v>0</v>
      </c>
      <c r="J503" s="11" t="b">
        <f aca="false">TRUE()</f>
        <v>1</v>
      </c>
      <c r="K503" s="4" t="s">
        <v>2538</v>
      </c>
      <c r="L503" s="4" t="n">
        <v>4</v>
      </c>
      <c r="M503" s="4" t="n">
        <v>4</v>
      </c>
      <c r="N503" s="4" t="n">
        <v>4</v>
      </c>
      <c r="O503" s="4" t="n">
        <v>4</v>
      </c>
      <c r="P503" s="0" t="str">
        <f aca="false">IF(E503=0,"not_reached",IF(AND(F503&gt;0,G503=0),"allowed","blocked"))</f>
        <v>allowed</v>
      </c>
      <c r="Q503" s="0" t="str">
        <f aca="false">IF(C503="success","published",IF(E503&gt;0,"blocked_at_gate","failed_before_gate"))</f>
        <v>published</v>
      </c>
      <c r="R503" s="0" t="str">
        <f aca="false">IF(C503="success","",IF(E503&gt;0,IF(I503="freshness_within_target","freshness",IF(I503="relationships_intact","relationships",IF(I503="reconciliation_residual_zero","residual",I503))),IF(H503="quality_gate","gate_infra",H503)))</f>
        <v/>
      </c>
    </row>
    <row r="504" customFormat="false" ht="15" hidden="false" customHeight="false" outlineLevel="0" collapsed="false">
      <c r="A504" s="4" t="s">
        <v>2539</v>
      </c>
      <c r="B504" s="10" t="n">
        <v>46264.8854166667</v>
      </c>
      <c r="C504" s="4" t="s">
        <v>1544</v>
      </c>
      <c r="D504" s="4" t="n">
        <v>1058</v>
      </c>
      <c r="E504" s="4" t="n">
        <v>7</v>
      </c>
      <c r="F504" s="4" t="n">
        <v>6</v>
      </c>
      <c r="G504" s="4" t="n">
        <v>0</v>
      </c>
      <c r="J504" s="11" t="b">
        <f aca="false">TRUE()</f>
        <v>1</v>
      </c>
      <c r="K504" s="4" t="s">
        <v>2540</v>
      </c>
      <c r="L504" s="4" t="n">
        <v>4</v>
      </c>
      <c r="M504" s="4" t="n">
        <v>4</v>
      </c>
      <c r="N504" s="4" t="n">
        <v>5</v>
      </c>
      <c r="O504" s="4" t="n">
        <v>4</v>
      </c>
      <c r="P504" s="0" t="str">
        <f aca="false">IF(E504=0,"not_reached",IF(AND(F504&gt;0,G504=0),"allowed","blocked"))</f>
        <v>allowed</v>
      </c>
      <c r="Q504" s="0" t="str">
        <f aca="false">IF(C504="success","published",IF(E504&gt;0,"blocked_at_gate","failed_before_gate"))</f>
        <v>published</v>
      </c>
      <c r="R504" s="0" t="str">
        <f aca="false">IF(C504="success","",IF(E504&gt;0,IF(I504="freshness_within_target","freshness",IF(I504="relationships_intact","relationships",IF(I504="reconciliation_residual_zero","residual",I504))),IF(H504="quality_gate","gate_infra",H504)))</f>
        <v/>
      </c>
    </row>
    <row r="505" customFormat="false" ht="15" hidden="false" customHeight="false" outlineLevel="0" collapsed="false">
      <c r="A505" s="4" t="s">
        <v>2541</v>
      </c>
      <c r="B505" s="10" t="n">
        <v>46264.9270833333</v>
      </c>
      <c r="C505" s="4" t="s">
        <v>1544</v>
      </c>
      <c r="D505" s="4" t="n">
        <v>724</v>
      </c>
      <c r="E505" s="4" t="n">
        <v>7</v>
      </c>
      <c r="F505" s="4" t="n">
        <v>6</v>
      </c>
      <c r="G505" s="4" t="n">
        <v>0</v>
      </c>
      <c r="J505" s="11" t="b">
        <f aca="false">TRUE()</f>
        <v>1</v>
      </c>
      <c r="K505" s="4" t="s">
        <v>2542</v>
      </c>
      <c r="L505" s="4" t="n">
        <v>4</v>
      </c>
      <c r="M505" s="4" t="n">
        <v>4</v>
      </c>
      <c r="N505" s="4" t="n">
        <v>4</v>
      </c>
      <c r="O505" s="4" t="n">
        <v>4</v>
      </c>
      <c r="P505" s="0" t="str">
        <f aca="false">IF(E505=0,"not_reached",IF(AND(F505&gt;0,G505=0),"allowed","blocked"))</f>
        <v>allowed</v>
      </c>
      <c r="Q505" s="0" t="str">
        <f aca="false">IF(C505="success","published",IF(E505&gt;0,"blocked_at_gate","failed_before_gate"))</f>
        <v>published</v>
      </c>
      <c r="R505" s="0" t="str">
        <f aca="false">IF(C505="success","",IF(E505&gt;0,IF(I505="freshness_within_target","freshness",IF(I505="relationships_intact","relationships",IF(I505="reconciliation_residual_zero","residual",I505))),IF(H505="quality_gate","gate_infra",H505)))</f>
        <v/>
      </c>
    </row>
    <row r="506" customFormat="false" ht="15" hidden="false" customHeight="false" outlineLevel="0" collapsed="false">
      <c r="A506" s="4" t="s">
        <v>2543</v>
      </c>
      <c r="B506" s="10" t="n">
        <v>46264.96875</v>
      </c>
      <c r="C506" s="4" t="s">
        <v>1544</v>
      </c>
      <c r="D506" s="4" t="n">
        <v>683</v>
      </c>
      <c r="E506" s="4" t="n">
        <v>7</v>
      </c>
      <c r="F506" s="4" t="n">
        <v>6</v>
      </c>
      <c r="G506" s="4" t="n">
        <v>0</v>
      </c>
      <c r="J506" s="11" t="b">
        <f aca="false">TRUE()</f>
        <v>1</v>
      </c>
      <c r="K506" s="4" t="s">
        <v>2544</v>
      </c>
      <c r="L506" s="4" t="n">
        <v>4</v>
      </c>
      <c r="M506" s="4" t="n">
        <v>4</v>
      </c>
      <c r="N506" s="4" t="n">
        <v>4</v>
      </c>
      <c r="O506" s="4" t="n">
        <v>4</v>
      </c>
      <c r="P506" s="0" t="str">
        <f aca="false">IF(E506=0,"not_reached",IF(AND(F506&gt;0,G506=0),"allowed","blocked"))</f>
        <v>allowed</v>
      </c>
      <c r="Q506" s="0" t="str">
        <f aca="false">IF(C506="success","published",IF(E506&gt;0,"blocked_at_gate","failed_before_gate"))</f>
        <v>published</v>
      </c>
      <c r="R506" s="0" t="str">
        <f aca="false">IF(C506="success","",IF(E506&gt;0,IF(I506="freshness_within_target","freshness",IF(I506="relationships_intact","relationships",IF(I506="reconciliation_residual_zero","residual",I506))),IF(H506="quality_gate","gate_infra",H506)))</f>
        <v/>
      </c>
    </row>
    <row r="507" customFormat="false" ht="15" hidden="false" customHeight="false" outlineLevel="0" collapsed="false">
      <c r="A507" s="4" t="s">
        <v>2545</v>
      </c>
      <c r="B507" s="10" t="n">
        <v>46265.0104166667</v>
      </c>
      <c r="C507" s="4" t="s">
        <v>1544</v>
      </c>
      <c r="D507" s="4" t="n">
        <v>947</v>
      </c>
      <c r="E507" s="4" t="n">
        <v>7</v>
      </c>
      <c r="F507" s="4" t="n">
        <v>6</v>
      </c>
      <c r="G507" s="4" t="n">
        <v>0</v>
      </c>
      <c r="J507" s="11" t="b">
        <f aca="false">TRUE()</f>
        <v>1</v>
      </c>
      <c r="K507" s="4" t="s">
        <v>2546</v>
      </c>
      <c r="L507" s="4" t="n">
        <v>4</v>
      </c>
      <c r="M507" s="4" t="n">
        <v>4</v>
      </c>
      <c r="N507" s="4" t="n">
        <v>4</v>
      </c>
      <c r="O507" s="4" t="n">
        <v>4</v>
      </c>
      <c r="P507" s="0" t="str">
        <f aca="false">IF(E507=0,"not_reached",IF(AND(F507&gt;0,G507=0),"allowed","blocked"))</f>
        <v>allowed</v>
      </c>
      <c r="Q507" s="0" t="str">
        <f aca="false">IF(C507="success","published",IF(E507&gt;0,"blocked_at_gate","failed_before_gate"))</f>
        <v>published</v>
      </c>
      <c r="R507" s="0" t="str">
        <f aca="false">IF(C507="success","",IF(E507&gt;0,IF(I507="freshness_within_target","freshness",IF(I507="relationships_intact","relationships",IF(I507="reconciliation_residual_zero","residual",I507))),IF(H507="quality_gate","gate_infra",H507)))</f>
        <v/>
      </c>
    </row>
    <row r="508" customFormat="false" ht="15" hidden="false" customHeight="false" outlineLevel="0" collapsed="false">
      <c r="A508" s="4" t="s">
        <v>2547</v>
      </c>
      <c r="B508" s="10" t="n">
        <v>46265.0520833333</v>
      </c>
      <c r="C508" s="4" t="s">
        <v>1544</v>
      </c>
      <c r="D508" s="4" t="n">
        <v>764</v>
      </c>
      <c r="E508" s="4" t="n">
        <v>7</v>
      </c>
      <c r="F508" s="4" t="n">
        <v>6</v>
      </c>
      <c r="G508" s="4" t="n">
        <v>0</v>
      </c>
      <c r="J508" s="11" t="b">
        <f aca="false">TRUE()</f>
        <v>1</v>
      </c>
      <c r="K508" s="4" t="s">
        <v>2548</v>
      </c>
      <c r="L508" s="4" t="n">
        <v>4</v>
      </c>
      <c r="M508" s="4" t="n">
        <v>4</v>
      </c>
      <c r="N508" s="4" t="n">
        <v>4</v>
      </c>
      <c r="O508" s="4" t="n">
        <v>4</v>
      </c>
      <c r="P508" s="0" t="str">
        <f aca="false">IF(E508=0,"not_reached",IF(AND(F508&gt;0,G508=0),"allowed","blocked"))</f>
        <v>allowed</v>
      </c>
      <c r="Q508" s="0" t="str">
        <f aca="false">IF(C508="success","published",IF(E508&gt;0,"blocked_at_gate","failed_before_gate"))</f>
        <v>published</v>
      </c>
      <c r="R508" s="0" t="str">
        <f aca="false">IF(C508="success","",IF(E508&gt;0,IF(I508="freshness_within_target","freshness",IF(I508="relationships_intact","relationships",IF(I508="reconciliation_residual_zero","residual",I508))),IF(H508="quality_gate","gate_infra",H508)))</f>
        <v/>
      </c>
    </row>
    <row r="509" customFormat="false" ht="15" hidden="false" customHeight="false" outlineLevel="0" collapsed="false">
      <c r="A509" s="4" t="s">
        <v>2549</v>
      </c>
      <c r="B509" s="10" t="n">
        <v>46265.09375</v>
      </c>
      <c r="C509" s="4" t="s">
        <v>1544</v>
      </c>
      <c r="D509" s="4" t="n">
        <v>863</v>
      </c>
      <c r="E509" s="4" t="n">
        <v>7</v>
      </c>
      <c r="F509" s="4" t="n">
        <v>6</v>
      </c>
      <c r="G509" s="4" t="n">
        <v>0</v>
      </c>
      <c r="J509" s="11" t="b">
        <f aca="false">TRUE()</f>
        <v>1</v>
      </c>
      <c r="K509" s="4" t="s">
        <v>2550</v>
      </c>
      <c r="L509" s="4" t="n">
        <v>4</v>
      </c>
      <c r="M509" s="4" t="n">
        <v>4</v>
      </c>
      <c r="N509" s="4" t="n">
        <v>4</v>
      </c>
      <c r="O509" s="4" t="n">
        <v>4</v>
      </c>
      <c r="P509" s="0" t="str">
        <f aca="false">IF(E509=0,"not_reached",IF(AND(F509&gt;0,G509=0),"allowed","blocked"))</f>
        <v>allowed</v>
      </c>
      <c r="Q509" s="0" t="str">
        <f aca="false">IF(C509="success","published",IF(E509&gt;0,"blocked_at_gate","failed_before_gate"))</f>
        <v>published</v>
      </c>
      <c r="R509" s="0" t="str">
        <f aca="false">IF(C509="success","",IF(E509&gt;0,IF(I509="freshness_within_target","freshness",IF(I509="relationships_intact","relationships",IF(I509="reconciliation_residual_zero","residual",I509))),IF(H509="quality_gate","gate_infra",H509)))</f>
        <v/>
      </c>
    </row>
    <row r="510" customFormat="false" ht="15" hidden="false" customHeight="false" outlineLevel="0" collapsed="false">
      <c r="A510" s="4" t="s">
        <v>2551</v>
      </c>
      <c r="B510" s="10" t="n">
        <v>46265.1354166667</v>
      </c>
      <c r="C510" s="4" t="s">
        <v>1544</v>
      </c>
      <c r="D510" s="4" t="n">
        <v>1043</v>
      </c>
      <c r="E510" s="4" t="n">
        <v>7</v>
      </c>
      <c r="F510" s="4" t="n">
        <v>6</v>
      </c>
      <c r="G510" s="4" t="n">
        <v>0</v>
      </c>
      <c r="J510" s="11" t="b">
        <f aca="false">TRUE()</f>
        <v>1</v>
      </c>
      <c r="K510" s="4" t="s">
        <v>2552</v>
      </c>
      <c r="L510" s="4" t="n">
        <v>4</v>
      </c>
      <c r="M510" s="4" t="n">
        <v>4</v>
      </c>
      <c r="N510" s="4" t="n">
        <v>5</v>
      </c>
      <c r="O510" s="4" t="n">
        <v>4</v>
      </c>
      <c r="P510" s="0" t="str">
        <f aca="false">IF(E510=0,"not_reached",IF(AND(F510&gt;0,G510=0),"allowed","blocked"))</f>
        <v>allowed</v>
      </c>
      <c r="Q510" s="0" t="str">
        <f aca="false">IF(C510="success","published",IF(E510&gt;0,"blocked_at_gate","failed_before_gate"))</f>
        <v>published</v>
      </c>
      <c r="R510" s="0" t="str">
        <f aca="false">IF(C510="success","",IF(E510&gt;0,IF(I510="freshness_within_target","freshness",IF(I510="relationships_intact","relationships",IF(I510="reconciliation_residual_zero","residual",I510))),IF(H510="quality_gate","gate_infra",H510)))</f>
        <v/>
      </c>
    </row>
    <row r="511" customFormat="false" ht="15" hidden="false" customHeight="false" outlineLevel="0" collapsed="false">
      <c r="A511" s="4" t="s">
        <v>2553</v>
      </c>
      <c r="B511" s="10" t="n">
        <v>46265.1770833333</v>
      </c>
      <c r="C511" s="4" t="s">
        <v>1544</v>
      </c>
      <c r="D511" s="4" t="n">
        <v>938</v>
      </c>
      <c r="E511" s="4" t="n">
        <v>7</v>
      </c>
      <c r="F511" s="4" t="n">
        <v>6</v>
      </c>
      <c r="G511" s="4" t="n">
        <v>0</v>
      </c>
      <c r="J511" s="11" t="b">
        <f aca="false">TRUE()</f>
        <v>1</v>
      </c>
      <c r="K511" s="4" t="s">
        <v>2554</v>
      </c>
      <c r="L511" s="4" t="n">
        <v>4</v>
      </c>
      <c r="M511" s="4" t="n">
        <v>4</v>
      </c>
      <c r="N511" s="4" t="n">
        <v>4</v>
      </c>
      <c r="O511" s="4" t="n">
        <v>4</v>
      </c>
      <c r="P511" s="0" t="str">
        <f aca="false">IF(E511=0,"not_reached",IF(AND(F511&gt;0,G511=0),"allowed","blocked"))</f>
        <v>allowed</v>
      </c>
      <c r="Q511" s="0" t="str">
        <f aca="false">IF(C511="success","published",IF(E511&gt;0,"blocked_at_gate","failed_before_gate"))</f>
        <v>published</v>
      </c>
      <c r="R511" s="0" t="str">
        <f aca="false">IF(C511="success","",IF(E511&gt;0,IF(I511="freshness_within_target","freshness",IF(I511="relationships_intact","relationships",IF(I511="reconciliation_residual_zero","residual",I511))),IF(H511="quality_gate","gate_infra",H511)))</f>
        <v/>
      </c>
    </row>
    <row r="512" customFormat="false" ht="15" hidden="false" customHeight="false" outlineLevel="0" collapsed="false">
      <c r="A512" s="4" t="s">
        <v>2555</v>
      </c>
      <c r="B512" s="10" t="n">
        <v>46265.21875</v>
      </c>
      <c r="C512" s="4" t="s">
        <v>1544</v>
      </c>
      <c r="D512" s="4" t="n">
        <v>949</v>
      </c>
      <c r="E512" s="4" t="n">
        <v>7</v>
      </c>
      <c r="F512" s="4" t="n">
        <v>6</v>
      </c>
      <c r="G512" s="4" t="n">
        <v>0</v>
      </c>
      <c r="J512" s="11" t="b">
        <f aca="false">TRUE()</f>
        <v>1</v>
      </c>
      <c r="K512" s="4" t="s">
        <v>2556</v>
      </c>
      <c r="L512" s="4" t="n">
        <v>4</v>
      </c>
      <c r="M512" s="4" t="n">
        <v>4</v>
      </c>
      <c r="N512" s="4" t="n">
        <v>4</v>
      </c>
      <c r="O512" s="4" t="n">
        <v>4</v>
      </c>
      <c r="P512" s="0" t="str">
        <f aca="false">IF(E512=0,"not_reached",IF(AND(F512&gt;0,G512=0),"allowed","blocked"))</f>
        <v>allowed</v>
      </c>
      <c r="Q512" s="0" t="str">
        <f aca="false">IF(C512="success","published",IF(E512&gt;0,"blocked_at_gate","failed_before_gate"))</f>
        <v>published</v>
      </c>
      <c r="R512" s="0" t="str">
        <f aca="false">IF(C512="success","",IF(E512&gt;0,IF(I512="freshness_within_target","freshness",IF(I512="relationships_intact","relationships",IF(I512="reconciliation_residual_zero","residual",I512))),IF(H512="quality_gate","gate_infra",H512)))</f>
        <v/>
      </c>
    </row>
    <row r="513" customFormat="false" ht="15" hidden="false" customHeight="false" outlineLevel="0" collapsed="false">
      <c r="A513" s="4" t="s">
        <v>2557</v>
      </c>
      <c r="B513" s="10" t="n">
        <v>46265.2604166667</v>
      </c>
      <c r="C513" s="4" t="s">
        <v>1901</v>
      </c>
      <c r="D513" s="4" t="n">
        <v>581</v>
      </c>
      <c r="E513" s="4" t="n">
        <v>0</v>
      </c>
      <c r="F513" s="4" t="n">
        <v>0</v>
      </c>
      <c r="G513" s="4" t="n">
        <v>0</v>
      </c>
      <c r="H513" s="4" t="s">
        <v>60</v>
      </c>
      <c r="J513" s="11" t="b">
        <f aca="false">FALSE()</f>
        <v>0</v>
      </c>
      <c r="L513" s="4" t="n">
        <v>1</v>
      </c>
      <c r="M513" s="4" t="n">
        <v>0</v>
      </c>
      <c r="N513" s="4" t="n">
        <v>3</v>
      </c>
      <c r="O513" s="4" t="n">
        <v>0</v>
      </c>
      <c r="P513" s="0" t="str">
        <f aca="false">IF(E513=0,"not_reached",IF(AND(F513&gt;0,G513=0),"allowed","blocked"))</f>
        <v>not_reached</v>
      </c>
      <c r="Q513" s="0" t="str">
        <f aca="false">IF(C513="success","published",IF(E513&gt;0,"blocked_at_gate","failed_before_gate"))</f>
        <v>failed_before_gate</v>
      </c>
      <c r="R513" s="0" t="str">
        <f aca="false">IF(C513="success","",IF(E513&gt;0,IF(I513="freshness_within_target","freshness",IF(I513="relationships_intact","relationships",IF(I513="reconciliation_residual_zero","residual",I513))),IF(H513="quality_gate","gate_infra",H513)))</f>
        <v>ingest</v>
      </c>
    </row>
    <row r="514" customFormat="false" ht="15" hidden="false" customHeight="false" outlineLevel="0" collapsed="false">
      <c r="A514" s="4" t="s">
        <v>2558</v>
      </c>
      <c r="B514" s="10" t="n">
        <v>46265.3020833333</v>
      </c>
      <c r="C514" s="4" t="s">
        <v>1544</v>
      </c>
      <c r="D514" s="4" t="n">
        <v>737</v>
      </c>
      <c r="E514" s="4" t="n">
        <v>7</v>
      </c>
      <c r="F514" s="4" t="n">
        <v>6</v>
      </c>
      <c r="G514" s="4" t="n">
        <v>0</v>
      </c>
      <c r="J514" s="11" t="b">
        <f aca="false">TRUE()</f>
        <v>1</v>
      </c>
      <c r="K514" s="4" t="s">
        <v>2559</v>
      </c>
      <c r="L514" s="4" t="n">
        <v>4</v>
      </c>
      <c r="M514" s="4" t="n">
        <v>4</v>
      </c>
      <c r="N514" s="4" t="n">
        <v>4</v>
      </c>
      <c r="O514" s="4" t="n">
        <v>4</v>
      </c>
      <c r="P514" s="0" t="str">
        <f aca="false">IF(E514=0,"not_reached",IF(AND(F514&gt;0,G514=0),"allowed","blocked"))</f>
        <v>allowed</v>
      </c>
      <c r="Q514" s="0" t="str">
        <f aca="false">IF(C514="success","published",IF(E514&gt;0,"blocked_at_gate","failed_before_gate"))</f>
        <v>published</v>
      </c>
      <c r="R514" s="0" t="str">
        <f aca="false">IF(C514="success","",IF(E514&gt;0,IF(I514="freshness_within_target","freshness",IF(I514="relationships_intact","relationships",IF(I514="reconciliation_residual_zero","residual",I514))),IF(H514="quality_gate","gate_infra",H514)))</f>
        <v/>
      </c>
    </row>
    <row r="515" customFormat="false" ht="15" hidden="false" customHeight="false" outlineLevel="0" collapsed="false">
      <c r="A515" s="4" t="s">
        <v>2560</v>
      </c>
      <c r="B515" s="10" t="n">
        <v>46265.34375</v>
      </c>
      <c r="C515" s="4" t="s">
        <v>1544</v>
      </c>
      <c r="D515" s="4" t="n">
        <v>913</v>
      </c>
      <c r="E515" s="4" t="n">
        <v>7</v>
      </c>
      <c r="F515" s="4" t="n">
        <v>6</v>
      </c>
      <c r="G515" s="4" t="n">
        <v>0</v>
      </c>
      <c r="J515" s="11" t="b">
        <f aca="false">TRUE()</f>
        <v>1</v>
      </c>
      <c r="K515" s="4" t="s">
        <v>2561</v>
      </c>
      <c r="L515" s="4" t="n">
        <v>4</v>
      </c>
      <c r="M515" s="4" t="n">
        <v>4</v>
      </c>
      <c r="N515" s="4" t="n">
        <v>4</v>
      </c>
      <c r="O515" s="4" t="n">
        <v>4</v>
      </c>
      <c r="P515" s="0" t="str">
        <f aca="false">IF(E515=0,"not_reached",IF(AND(F515&gt;0,G515=0),"allowed","blocked"))</f>
        <v>allowed</v>
      </c>
      <c r="Q515" s="0" t="str">
        <f aca="false">IF(C515="success","published",IF(E515&gt;0,"blocked_at_gate","failed_before_gate"))</f>
        <v>published</v>
      </c>
      <c r="R515" s="0" t="str">
        <f aca="false">IF(C515="success","",IF(E515&gt;0,IF(I515="freshness_within_target","freshness",IF(I515="relationships_intact","relationships",IF(I515="reconciliation_residual_zero","residual",I515))),IF(H515="quality_gate","gate_infra",H515)))</f>
        <v/>
      </c>
    </row>
    <row r="516" customFormat="false" ht="15" hidden="false" customHeight="false" outlineLevel="0" collapsed="false">
      <c r="A516" s="4" t="s">
        <v>2562</v>
      </c>
      <c r="B516" s="10" t="n">
        <v>46265.3854166667</v>
      </c>
      <c r="C516" s="4" t="s">
        <v>1544</v>
      </c>
      <c r="D516" s="4" t="n">
        <v>776</v>
      </c>
      <c r="E516" s="4" t="n">
        <v>7</v>
      </c>
      <c r="F516" s="4" t="n">
        <v>6</v>
      </c>
      <c r="G516" s="4" t="n">
        <v>0</v>
      </c>
      <c r="J516" s="11" t="b">
        <f aca="false">TRUE()</f>
        <v>1</v>
      </c>
      <c r="K516" s="4" t="s">
        <v>2563</v>
      </c>
      <c r="L516" s="4" t="n">
        <v>4</v>
      </c>
      <c r="M516" s="4" t="n">
        <v>4</v>
      </c>
      <c r="N516" s="4" t="n">
        <v>4</v>
      </c>
      <c r="O516" s="4" t="n">
        <v>4</v>
      </c>
      <c r="P516" s="0" t="str">
        <f aca="false">IF(E516=0,"not_reached",IF(AND(F516&gt;0,G516=0),"allowed","blocked"))</f>
        <v>allowed</v>
      </c>
      <c r="Q516" s="0" t="str">
        <f aca="false">IF(C516="success","published",IF(E516&gt;0,"blocked_at_gate","failed_before_gate"))</f>
        <v>published</v>
      </c>
      <c r="R516" s="0" t="str">
        <f aca="false">IF(C516="success","",IF(E516&gt;0,IF(I516="freshness_within_target","freshness",IF(I516="relationships_intact","relationships",IF(I516="reconciliation_residual_zero","residual",I516))),IF(H516="quality_gate","gate_infra",H516)))</f>
        <v/>
      </c>
    </row>
    <row r="517" customFormat="false" ht="15" hidden="false" customHeight="false" outlineLevel="0" collapsed="false">
      <c r="A517" s="4" t="s">
        <v>2564</v>
      </c>
      <c r="B517" s="10" t="n">
        <v>46265.4270833333</v>
      </c>
      <c r="C517" s="4" t="s">
        <v>1544</v>
      </c>
      <c r="D517" s="4" t="n">
        <v>950</v>
      </c>
      <c r="E517" s="4" t="n">
        <v>7</v>
      </c>
      <c r="F517" s="4" t="n">
        <v>6</v>
      </c>
      <c r="G517" s="4" t="n">
        <v>0</v>
      </c>
      <c r="J517" s="11" t="b">
        <f aca="false">TRUE()</f>
        <v>1</v>
      </c>
      <c r="K517" s="4" t="s">
        <v>2565</v>
      </c>
      <c r="L517" s="4" t="n">
        <v>4</v>
      </c>
      <c r="M517" s="4" t="n">
        <v>4</v>
      </c>
      <c r="N517" s="4" t="n">
        <v>4</v>
      </c>
      <c r="O517" s="4" t="n">
        <v>4</v>
      </c>
      <c r="P517" s="0" t="str">
        <f aca="false">IF(E517=0,"not_reached",IF(AND(F517&gt;0,G517=0),"allowed","blocked"))</f>
        <v>allowed</v>
      </c>
      <c r="Q517" s="0" t="str">
        <f aca="false">IF(C517="success","published",IF(E517&gt;0,"blocked_at_gate","failed_before_gate"))</f>
        <v>published</v>
      </c>
      <c r="R517" s="0" t="str">
        <f aca="false">IF(C517="success","",IF(E517&gt;0,IF(I517="freshness_within_target","freshness",IF(I517="relationships_intact","relationships",IF(I517="reconciliation_residual_zero","residual",I517))),IF(H517="quality_gate","gate_infra",H517)))</f>
        <v/>
      </c>
    </row>
    <row r="518" customFormat="false" ht="15" hidden="false" customHeight="false" outlineLevel="0" collapsed="false">
      <c r="A518" s="4" t="s">
        <v>2566</v>
      </c>
      <c r="B518" s="10" t="n">
        <v>46265.46875</v>
      </c>
      <c r="C518" s="4" t="s">
        <v>1544</v>
      </c>
      <c r="D518" s="4" t="n">
        <v>910</v>
      </c>
      <c r="E518" s="4" t="n">
        <v>7</v>
      </c>
      <c r="F518" s="4" t="n">
        <v>6</v>
      </c>
      <c r="G518" s="4" t="n">
        <v>0</v>
      </c>
      <c r="J518" s="11" t="b">
        <f aca="false">TRUE()</f>
        <v>1</v>
      </c>
      <c r="K518" s="4" t="s">
        <v>2567</v>
      </c>
      <c r="L518" s="4" t="n">
        <v>4</v>
      </c>
      <c r="M518" s="4" t="n">
        <v>4</v>
      </c>
      <c r="N518" s="4" t="n">
        <v>4</v>
      </c>
      <c r="O518" s="4" t="n">
        <v>4</v>
      </c>
      <c r="P518" s="0" t="str">
        <f aca="false">IF(E518=0,"not_reached",IF(AND(F518&gt;0,G518=0),"allowed","blocked"))</f>
        <v>allowed</v>
      </c>
      <c r="Q518" s="0" t="str">
        <f aca="false">IF(C518="success","published",IF(E518&gt;0,"blocked_at_gate","failed_before_gate"))</f>
        <v>published</v>
      </c>
      <c r="R518" s="0" t="str">
        <f aca="false">IF(C518="success","",IF(E518&gt;0,IF(I518="freshness_within_target","freshness",IF(I518="relationships_intact","relationships",IF(I518="reconciliation_residual_zero","residual",I518))),IF(H518="quality_gate","gate_infra",H518)))</f>
        <v/>
      </c>
    </row>
    <row r="519" customFormat="false" ht="15" hidden="false" customHeight="false" outlineLevel="0" collapsed="false">
      <c r="A519" s="4" t="s">
        <v>2568</v>
      </c>
      <c r="B519" s="10" t="n">
        <v>46265.5104166667</v>
      </c>
      <c r="C519" s="4" t="s">
        <v>1544</v>
      </c>
      <c r="D519" s="4" t="n">
        <v>666</v>
      </c>
      <c r="E519" s="4" t="n">
        <v>7</v>
      </c>
      <c r="F519" s="4" t="n">
        <v>6</v>
      </c>
      <c r="G519" s="4" t="n">
        <v>0</v>
      </c>
      <c r="J519" s="11" t="b">
        <f aca="false">TRUE()</f>
        <v>1</v>
      </c>
      <c r="K519" s="4" t="s">
        <v>2569</v>
      </c>
      <c r="L519" s="4" t="n">
        <v>4</v>
      </c>
      <c r="M519" s="4" t="n">
        <v>4</v>
      </c>
      <c r="N519" s="4" t="n">
        <v>4</v>
      </c>
      <c r="O519" s="4" t="n">
        <v>4</v>
      </c>
      <c r="P519" s="0" t="str">
        <f aca="false">IF(E519=0,"not_reached",IF(AND(F519&gt;0,G519=0),"allowed","blocked"))</f>
        <v>allowed</v>
      </c>
      <c r="Q519" s="0" t="str">
        <f aca="false">IF(C519="success","published",IF(E519&gt;0,"blocked_at_gate","failed_before_gate"))</f>
        <v>published</v>
      </c>
      <c r="R519" s="0" t="str">
        <f aca="false">IF(C519="success","",IF(E519&gt;0,IF(I519="freshness_within_target","freshness",IF(I519="relationships_intact","relationships",IF(I519="reconciliation_residual_zero","residual",I519))),IF(H519="quality_gate","gate_infra",H519)))</f>
        <v/>
      </c>
    </row>
    <row r="520" customFormat="false" ht="15" hidden="false" customHeight="false" outlineLevel="0" collapsed="false">
      <c r="A520" s="4" t="s">
        <v>2570</v>
      </c>
      <c r="B520" s="10" t="n">
        <v>46265.5520833333</v>
      </c>
      <c r="C520" s="4" t="s">
        <v>1544</v>
      </c>
      <c r="D520" s="4" t="n">
        <v>773</v>
      </c>
      <c r="E520" s="4" t="n">
        <v>7</v>
      </c>
      <c r="F520" s="4" t="n">
        <v>6</v>
      </c>
      <c r="G520" s="4" t="n">
        <v>0</v>
      </c>
      <c r="J520" s="11" t="b">
        <f aca="false">TRUE()</f>
        <v>1</v>
      </c>
      <c r="K520" s="4" t="s">
        <v>2571</v>
      </c>
      <c r="L520" s="4" t="n">
        <v>4</v>
      </c>
      <c r="M520" s="4" t="n">
        <v>4</v>
      </c>
      <c r="N520" s="4" t="n">
        <v>4</v>
      </c>
      <c r="O520" s="4" t="n">
        <v>4</v>
      </c>
      <c r="P520" s="0" t="str">
        <f aca="false">IF(E520=0,"not_reached",IF(AND(F520&gt;0,G520=0),"allowed","blocked"))</f>
        <v>allowed</v>
      </c>
      <c r="Q520" s="0" t="str">
        <f aca="false">IF(C520="success","published",IF(E520&gt;0,"blocked_at_gate","failed_before_gate"))</f>
        <v>published</v>
      </c>
      <c r="R520" s="0" t="str">
        <f aca="false">IF(C520="success","",IF(E520&gt;0,IF(I520="freshness_within_target","freshness",IF(I520="relationships_intact","relationships",IF(I520="reconciliation_residual_zero","residual",I520))),IF(H520="quality_gate","gate_infra",H520)))</f>
        <v/>
      </c>
    </row>
    <row r="521" customFormat="false" ht="15" hidden="false" customHeight="false" outlineLevel="0" collapsed="false">
      <c r="A521" s="4" t="s">
        <v>2572</v>
      </c>
      <c r="B521" s="10" t="n">
        <v>46265.59375</v>
      </c>
      <c r="C521" s="4" t="s">
        <v>1544</v>
      </c>
      <c r="D521" s="4" t="n">
        <v>740</v>
      </c>
      <c r="E521" s="4" t="n">
        <v>7</v>
      </c>
      <c r="F521" s="4" t="n">
        <v>6</v>
      </c>
      <c r="G521" s="4" t="n">
        <v>0</v>
      </c>
      <c r="J521" s="11" t="b">
        <f aca="false">TRUE()</f>
        <v>1</v>
      </c>
      <c r="K521" s="4" t="s">
        <v>2573</v>
      </c>
      <c r="L521" s="4" t="n">
        <v>4</v>
      </c>
      <c r="M521" s="4" t="n">
        <v>4</v>
      </c>
      <c r="N521" s="4" t="n">
        <v>4</v>
      </c>
      <c r="O521" s="4" t="n">
        <v>4</v>
      </c>
      <c r="P521" s="0" t="str">
        <f aca="false">IF(E521=0,"not_reached",IF(AND(F521&gt;0,G521=0),"allowed","blocked"))</f>
        <v>allowed</v>
      </c>
      <c r="Q521" s="0" t="str">
        <f aca="false">IF(C521="success","published",IF(E521&gt;0,"blocked_at_gate","failed_before_gate"))</f>
        <v>published</v>
      </c>
      <c r="R521" s="0" t="str">
        <f aca="false">IF(C521="success","",IF(E521&gt;0,IF(I521="freshness_within_target","freshness",IF(I521="relationships_intact","relationships",IF(I521="reconciliation_residual_zero","residual",I521))),IF(H521="quality_gate","gate_infra",H521)))</f>
        <v/>
      </c>
    </row>
    <row r="522" customFormat="false" ht="15" hidden="false" customHeight="false" outlineLevel="0" collapsed="false">
      <c r="A522" s="4" t="s">
        <v>2574</v>
      </c>
      <c r="B522" s="10" t="n">
        <v>46265.6354166667</v>
      </c>
      <c r="C522" s="4" t="s">
        <v>1544</v>
      </c>
      <c r="D522" s="4" t="n">
        <v>1260</v>
      </c>
      <c r="E522" s="4" t="n">
        <v>7</v>
      </c>
      <c r="F522" s="4" t="n">
        <v>6</v>
      </c>
      <c r="G522" s="4" t="n">
        <v>0</v>
      </c>
      <c r="J522" s="11" t="b">
        <f aca="false">TRUE()</f>
        <v>1</v>
      </c>
      <c r="K522" s="4" t="s">
        <v>2575</v>
      </c>
      <c r="L522" s="4" t="n">
        <v>4</v>
      </c>
      <c r="M522" s="4" t="n">
        <v>4</v>
      </c>
      <c r="N522" s="4" t="n">
        <v>5</v>
      </c>
      <c r="O522" s="4" t="n">
        <v>4</v>
      </c>
      <c r="P522" s="0" t="str">
        <f aca="false">IF(E522=0,"not_reached",IF(AND(F522&gt;0,G522=0),"allowed","blocked"))</f>
        <v>allowed</v>
      </c>
      <c r="Q522" s="0" t="str">
        <f aca="false">IF(C522="success","published",IF(E522&gt;0,"blocked_at_gate","failed_before_gate"))</f>
        <v>published</v>
      </c>
      <c r="R522" s="0" t="str">
        <f aca="false">IF(C522="success","",IF(E522&gt;0,IF(I522="freshness_within_target","freshness",IF(I522="relationships_intact","relationships",IF(I522="reconciliation_residual_zero","residual",I522))),IF(H522="quality_gate","gate_infra",H522)))</f>
        <v/>
      </c>
    </row>
    <row r="523" customFormat="false" ht="15" hidden="false" customHeight="false" outlineLevel="0" collapsed="false">
      <c r="A523" s="4" t="s">
        <v>2576</v>
      </c>
      <c r="B523" s="10" t="n">
        <v>46265.6770833333</v>
      </c>
      <c r="C523" s="4" t="s">
        <v>1901</v>
      </c>
      <c r="D523" s="4" t="n">
        <v>585</v>
      </c>
      <c r="E523" s="4" t="n">
        <v>7</v>
      </c>
      <c r="F523" s="4" t="n">
        <v>6</v>
      </c>
      <c r="G523" s="4" t="n">
        <v>1</v>
      </c>
      <c r="H523" s="4" t="s">
        <v>1954</v>
      </c>
      <c r="I523" s="4" t="s">
        <v>1992</v>
      </c>
      <c r="J523" s="11" t="b">
        <f aca="false">FALSE()</f>
        <v>0</v>
      </c>
      <c r="L523" s="4" t="n">
        <v>3</v>
      </c>
      <c r="M523" s="4" t="n">
        <v>2</v>
      </c>
      <c r="N523" s="4" t="n">
        <v>3</v>
      </c>
      <c r="O523" s="4" t="n">
        <v>2</v>
      </c>
      <c r="P523" s="0" t="str">
        <f aca="false">IF(E523=0,"not_reached",IF(AND(F523&gt;0,G523=0),"allowed","blocked"))</f>
        <v>blocked</v>
      </c>
      <c r="Q523" s="0" t="str">
        <f aca="false">IF(C523="success","published",IF(E523&gt;0,"blocked_at_gate","failed_before_gate"))</f>
        <v>blocked_at_gate</v>
      </c>
      <c r="R523" s="0" t="str">
        <f aca="false">IF(C523="success","",IF(E523&gt;0,IF(I523="freshness_within_target","freshness",IF(I523="relationships_intact","relationships",IF(I523="reconciliation_residual_zero","residual",I523))),IF(H523="quality_gate","gate_infra",H523)))</f>
        <v>freshness</v>
      </c>
    </row>
    <row r="524" customFormat="false" ht="15" hidden="false" customHeight="false" outlineLevel="0" collapsed="false">
      <c r="A524" s="4" t="s">
        <v>2577</v>
      </c>
      <c r="B524" s="10" t="n">
        <v>46265.71875</v>
      </c>
      <c r="C524" s="4" t="s">
        <v>1544</v>
      </c>
      <c r="D524" s="4" t="n">
        <v>913</v>
      </c>
      <c r="E524" s="4" t="n">
        <v>7</v>
      </c>
      <c r="F524" s="4" t="n">
        <v>6</v>
      </c>
      <c r="G524" s="4" t="n">
        <v>0</v>
      </c>
      <c r="J524" s="11" t="b">
        <f aca="false">TRUE()</f>
        <v>1</v>
      </c>
      <c r="K524" s="4" t="s">
        <v>2578</v>
      </c>
      <c r="L524" s="4" t="n">
        <v>4</v>
      </c>
      <c r="M524" s="4" t="n">
        <v>4</v>
      </c>
      <c r="N524" s="4" t="n">
        <v>4</v>
      </c>
      <c r="O524" s="4" t="n">
        <v>4</v>
      </c>
      <c r="P524" s="0" t="str">
        <f aca="false">IF(E524=0,"not_reached",IF(AND(F524&gt;0,G524=0),"allowed","blocked"))</f>
        <v>allowed</v>
      </c>
      <c r="Q524" s="0" t="str">
        <f aca="false">IF(C524="success","published",IF(E524&gt;0,"blocked_at_gate","failed_before_gate"))</f>
        <v>published</v>
      </c>
      <c r="R524" s="0" t="str">
        <f aca="false">IF(C524="success","",IF(E524&gt;0,IF(I524="freshness_within_target","freshness",IF(I524="relationships_intact","relationships",IF(I524="reconciliation_residual_zero","residual",I524))),IF(H524="quality_gate","gate_infra",H524)))</f>
        <v/>
      </c>
    </row>
    <row r="525" customFormat="false" ht="15" hidden="false" customHeight="false" outlineLevel="0" collapsed="false">
      <c r="A525" s="4" t="s">
        <v>2579</v>
      </c>
      <c r="B525" s="10" t="n">
        <v>46265.7604166667</v>
      </c>
      <c r="C525" s="4" t="s">
        <v>1544</v>
      </c>
      <c r="D525" s="4" t="n">
        <v>685</v>
      </c>
      <c r="E525" s="4" t="n">
        <v>7</v>
      </c>
      <c r="F525" s="4" t="n">
        <v>6</v>
      </c>
      <c r="G525" s="4" t="n">
        <v>0</v>
      </c>
      <c r="J525" s="11" t="b">
        <f aca="false">TRUE()</f>
        <v>1</v>
      </c>
      <c r="K525" s="4" t="s">
        <v>2580</v>
      </c>
      <c r="L525" s="4" t="n">
        <v>4</v>
      </c>
      <c r="M525" s="4" t="n">
        <v>4</v>
      </c>
      <c r="N525" s="4" t="n">
        <v>4</v>
      </c>
      <c r="O525" s="4" t="n">
        <v>4</v>
      </c>
      <c r="P525" s="0" t="str">
        <f aca="false">IF(E525=0,"not_reached",IF(AND(F525&gt;0,G525=0),"allowed","blocked"))</f>
        <v>allowed</v>
      </c>
      <c r="Q525" s="0" t="str">
        <f aca="false">IF(C525="success","published",IF(E525&gt;0,"blocked_at_gate","failed_before_gate"))</f>
        <v>published</v>
      </c>
      <c r="R525" s="0" t="str">
        <f aca="false">IF(C525="success","",IF(E525&gt;0,IF(I525="freshness_within_target","freshness",IF(I525="relationships_intact","relationships",IF(I525="reconciliation_residual_zero","residual",I525))),IF(H525="quality_gate","gate_infra",H525)))</f>
        <v/>
      </c>
    </row>
    <row r="526" customFormat="false" ht="15" hidden="false" customHeight="false" outlineLevel="0" collapsed="false">
      <c r="A526" s="4" t="s">
        <v>2581</v>
      </c>
      <c r="B526" s="10" t="n">
        <v>46265.8020833333</v>
      </c>
      <c r="C526" s="4" t="s">
        <v>1544</v>
      </c>
      <c r="D526" s="4" t="n">
        <v>1156</v>
      </c>
      <c r="E526" s="4" t="n">
        <v>7</v>
      </c>
      <c r="F526" s="4" t="n">
        <v>6</v>
      </c>
      <c r="G526" s="4" t="n">
        <v>0</v>
      </c>
      <c r="J526" s="11" t="b">
        <f aca="false">TRUE()</f>
        <v>1</v>
      </c>
      <c r="K526" s="4" t="s">
        <v>2582</v>
      </c>
      <c r="L526" s="4" t="n">
        <v>4</v>
      </c>
      <c r="M526" s="4" t="n">
        <v>4</v>
      </c>
      <c r="N526" s="4" t="n">
        <v>5</v>
      </c>
      <c r="O526" s="4" t="n">
        <v>4</v>
      </c>
      <c r="P526" s="0" t="str">
        <f aca="false">IF(E526=0,"not_reached",IF(AND(F526&gt;0,G526=0),"allowed","blocked"))</f>
        <v>allowed</v>
      </c>
      <c r="Q526" s="0" t="str">
        <f aca="false">IF(C526="success","published",IF(E526&gt;0,"blocked_at_gate","failed_before_gate"))</f>
        <v>published</v>
      </c>
      <c r="R526" s="0" t="str">
        <f aca="false">IF(C526="success","",IF(E526&gt;0,IF(I526="freshness_within_target","freshness",IF(I526="relationships_intact","relationships",IF(I526="reconciliation_residual_zero","residual",I526))),IF(H526="quality_gate","gate_infra",H526)))</f>
        <v/>
      </c>
    </row>
    <row r="527" customFormat="false" ht="15" hidden="false" customHeight="false" outlineLevel="0" collapsed="false">
      <c r="A527" s="4" t="s">
        <v>2583</v>
      </c>
      <c r="B527" s="10" t="n">
        <v>46265.84375</v>
      </c>
      <c r="C527" s="4" t="s">
        <v>1544</v>
      </c>
      <c r="D527" s="4" t="n">
        <v>810</v>
      </c>
      <c r="E527" s="4" t="n">
        <v>7</v>
      </c>
      <c r="F527" s="4" t="n">
        <v>6</v>
      </c>
      <c r="G527" s="4" t="n">
        <v>0</v>
      </c>
      <c r="J527" s="11" t="b">
        <f aca="false">TRUE()</f>
        <v>1</v>
      </c>
      <c r="K527" s="4" t="s">
        <v>2584</v>
      </c>
      <c r="L527" s="4" t="n">
        <v>4</v>
      </c>
      <c r="M527" s="4" t="n">
        <v>4</v>
      </c>
      <c r="N527" s="4" t="n">
        <v>4</v>
      </c>
      <c r="O527" s="4" t="n">
        <v>4</v>
      </c>
      <c r="P527" s="0" t="str">
        <f aca="false">IF(E527=0,"not_reached",IF(AND(F527&gt;0,G527=0),"allowed","blocked"))</f>
        <v>allowed</v>
      </c>
      <c r="Q527" s="0" t="str">
        <f aca="false">IF(C527="success","published",IF(E527&gt;0,"blocked_at_gate","failed_before_gate"))</f>
        <v>published</v>
      </c>
      <c r="R527" s="0" t="str">
        <f aca="false">IF(C527="success","",IF(E527&gt;0,IF(I527="freshness_within_target","freshness",IF(I527="relationships_intact","relationships",IF(I527="reconciliation_residual_zero","residual",I527))),IF(H527="quality_gate","gate_infra",H527)))</f>
        <v/>
      </c>
    </row>
    <row r="528" customFormat="false" ht="15" hidden="false" customHeight="false" outlineLevel="0" collapsed="false">
      <c r="A528" s="4" t="s">
        <v>2585</v>
      </c>
      <c r="B528" s="10" t="n">
        <v>46265.8854166667</v>
      </c>
      <c r="C528" s="4" t="s">
        <v>1544</v>
      </c>
      <c r="D528" s="4" t="n">
        <v>903</v>
      </c>
      <c r="E528" s="4" t="n">
        <v>7</v>
      </c>
      <c r="F528" s="4" t="n">
        <v>6</v>
      </c>
      <c r="G528" s="4" t="n">
        <v>0</v>
      </c>
      <c r="J528" s="11" t="b">
        <f aca="false">TRUE()</f>
        <v>1</v>
      </c>
      <c r="K528" s="4" t="s">
        <v>2586</v>
      </c>
      <c r="L528" s="4" t="n">
        <v>4</v>
      </c>
      <c r="M528" s="4" t="n">
        <v>4</v>
      </c>
      <c r="N528" s="4" t="n">
        <v>4</v>
      </c>
      <c r="O528" s="4" t="n">
        <v>4</v>
      </c>
      <c r="P528" s="0" t="str">
        <f aca="false">IF(E528=0,"not_reached",IF(AND(F528&gt;0,G528=0),"allowed","blocked"))</f>
        <v>allowed</v>
      </c>
      <c r="Q528" s="0" t="str">
        <f aca="false">IF(C528="success","published",IF(E528&gt;0,"blocked_at_gate","failed_before_gate"))</f>
        <v>published</v>
      </c>
      <c r="R528" s="0" t="str">
        <f aca="false">IF(C528="success","",IF(E528&gt;0,IF(I528="freshness_within_target","freshness",IF(I528="relationships_intact","relationships",IF(I528="reconciliation_residual_zero","residual",I528))),IF(H528="quality_gate","gate_infra",H528)))</f>
        <v/>
      </c>
    </row>
    <row r="529" customFormat="false" ht="15" hidden="false" customHeight="false" outlineLevel="0" collapsed="false">
      <c r="A529" s="4" t="s">
        <v>2587</v>
      </c>
      <c r="B529" s="10" t="n">
        <v>46265.9270833333</v>
      </c>
      <c r="C529" s="4" t="s">
        <v>1544</v>
      </c>
      <c r="D529" s="4" t="n">
        <v>872</v>
      </c>
      <c r="E529" s="4" t="n">
        <v>7</v>
      </c>
      <c r="F529" s="4" t="n">
        <v>6</v>
      </c>
      <c r="G529" s="4" t="n">
        <v>0</v>
      </c>
      <c r="J529" s="11" t="b">
        <f aca="false">TRUE()</f>
        <v>1</v>
      </c>
      <c r="K529" s="4" t="s">
        <v>2588</v>
      </c>
      <c r="L529" s="4" t="n">
        <v>4</v>
      </c>
      <c r="M529" s="4" t="n">
        <v>4</v>
      </c>
      <c r="N529" s="4" t="n">
        <v>4</v>
      </c>
      <c r="O529" s="4" t="n">
        <v>4</v>
      </c>
      <c r="P529" s="0" t="str">
        <f aca="false">IF(E529=0,"not_reached",IF(AND(F529&gt;0,G529=0),"allowed","blocked"))</f>
        <v>allowed</v>
      </c>
      <c r="Q529" s="0" t="str">
        <f aca="false">IF(C529="success","published",IF(E529&gt;0,"blocked_at_gate","failed_before_gate"))</f>
        <v>published</v>
      </c>
      <c r="R529" s="0" t="str">
        <f aca="false">IF(C529="success","",IF(E529&gt;0,IF(I529="freshness_within_target","freshness",IF(I529="relationships_intact","relationships",IF(I529="reconciliation_residual_zero","residual",I529))),IF(H529="quality_gate","gate_infra",H529)))</f>
        <v/>
      </c>
    </row>
    <row r="530" customFormat="false" ht="15" hidden="false" customHeight="false" outlineLevel="0" collapsed="false">
      <c r="A530" s="4" t="s">
        <v>2589</v>
      </c>
      <c r="B530" s="10" t="n">
        <v>46265.96875</v>
      </c>
      <c r="C530" s="4" t="s">
        <v>1544</v>
      </c>
      <c r="D530" s="4" t="n">
        <v>681</v>
      </c>
      <c r="E530" s="4" t="n">
        <v>7</v>
      </c>
      <c r="F530" s="4" t="n">
        <v>6</v>
      </c>
      <c r="G530" s="4" t="n">
        <v>0</v>
      </c>
      <c r="J530" s="11" t="b">
        <f aca="false">TRUE()</f>
        <v>1</v>
      </c>
      <c r="K530" s="4" t="s">
        <v>2590</v>
      </c>
      <c r="L530" s="4" t="n">
        <v>4</v>
      </c>
      <c r="M530" s="4" t="n">
        <v>4</v>
      </c>
      <c r="N530" s="4" t="n">
        <v>4</v>
      </c>
      <c r="O530" s="4" t="n">
        <v>4</v>
      </c>
      <c r="P530" s="0" t="str">
        <f aca="false">IF(E530=0,"not_reached",IF(AND(F530&gt;0,G530=0),"allowed","blocked"))</f>
        <v>allowed</v>
      </c>
      <c r="Q530" s="0" t="str">
        <f aca="false">IF(C530="success","published",IF(E530&gt;0,"blocked_at_gate","failed_before_gate"))</f>
        <v>published</v>
      </c>
      <c r="R530" s="0" t="str">
        <f aca="false">IF(C530="success","",IF(E530&gt;0,IF(I530="freshness_within_target","freshness",IF(I530="relationships_intact","relationships",IF(I530="reconciliation_residual_zero","residual",I530))),IF(H530="quality_gate","gate_infra",H530)))</f>
        <v/>
      </c>
    </row>
    <row r="531" customFormat="false" ht="15" hidden="false" customHeight="false" outlineLevel="0" collapsed="false">
      <c r="A531" s="4" t="s">
        <v>2591</v>
      </c>
      <c r="B531" s="10" t="n">
        <v>46266.0104166667</v>
      </c>
      <c r="C531" s="4" t="s">
        <v>1544</v>
      </c>
      <c r="D531" s="4" t="n">
        <v>908</v>
      </c>
      <c r="E531" s="4" t="n">
        <v>7</v>
      </c>
      <c r="F531" s="4" t="n">
        <v>6</v>
      </c>
      <c r="G531" s="4" t="n">
        <v>0</v>
      </c>
      <c r="J531" s="11" t="b">
        <f aca="false">TRUE()</f>
        <v>1</v>
      </c>
      <c r="K531" s="4" t="s">
        <v>2592</v>
      </c>
      <c r="L531" s="4" t="n">
        <v>4</v>
      </c>
      <c r="M531" s="4" t="n">
        <v>4</v>
      </c>
      <c r="N531" s="4" t="n">
        <v>4</v>
      </c>
      <c r="O531" s="4" t="n">
        <v>4</v>
      </c>
      <c r="P531" s="0" t="str">
        <f aca="false">IF(E531=0,"not_reached",IF(AND(F531&gt;0,G531=0),"allowed","blocked"))</f>
        <v>allowed</v>
      </c>
      <c r="Q531" s="0" t="str">
        <f aca="false">IF(C531="success","published",IF(E531&gt;0,"blocked_at_gate","failed_before_gate"))</f>
        <v>published</v>
      </c>
      <c r="R531" s="0" t="str">
        <f aca="false">IF(C531="success","",IF(E531&gt;0,IF(I531="freshness_within_target","freshness",IF(I531="relationships_intact","relationships",IF(I531="reconciliation_residual_zero","residual",I531))),IF(H531="quality_gate","gate_infra",H531)))</f>
        <v/>
      </c>
    </row>
    <row r="532" customFormat="false" ht="15" hidden="false" customHeight="false" outlineLevel="0" collapsed="false">
      <c r="A532" s="4" t="s">
        <v>2593</v>
      </c>
      <c r="B532" s="10" t="n">
        <v>46266.0520833333</v>
      </c>
      <c r="C532" s="4" t="s">
        <v>1544</v>
      </c>
      <c r="D532" s="4" t="n">
        <v>759</v>
      </c>
      <c r="E532" s="4" t="n">
        <v>7</v>
      </c>
      <c r="F532" s="4" t="n">
        <v>6</v>
      </c>
      <c r="G532" s="4" t="n">
        <v>0</v>
      </c>
      <c r="J532" s="11" t="b">
        <f aca="false">TRUE()</f>
        <v>1</v>
      </c>
      <c r="K532" s="4" t="s">
        <v>2594</v>
      </c>
      <c r="L532" s="4" t="n">
        <v>4</v>
      </c>
      <c r="M532" s="4" t="n">
        <v>4</v>
      </c>
      <c r="N532" s="4" t="n">
        <v>4</v>
      </c>
      <c r="O532" s="4" t="n">
        <v>4</v>
      </c>
      <c r="P532" s="0" t="str">
        <f aca="false">IF(E532=0,"not_reached",IF(AND(F532&gt;0,G532=0),"allowed","blocked"))</f>
        <v>allowed</v>
      </c>
      <c r="Q532" s="0" t="str">
        <f aca="false">IF(C532="success","published",IF(E532&gt;0,"blocked_at_gate","failed_before_gate"))</f>
        <v>published</v>
      </c>
      <c r="R532" s="0" t="str">
        <f aca="false">IF(C532="success","",IF(E532&gt;0,IF(I532="freshness_within_target","freshness",IF(I532="relationships_intact","relationships",IF(I532="reconciliation_residual_zero","residual",I532))),IF(H532="quality_gate","gate_infra",H532)))</f>
        <v/>
      </c>
    </row>
    <row r="533" customFormat="false" ht="15" hidden="false" customHeight="false" outlineLevel="0" collapsed="false">
      <c r="A533" s="4" t="s">
        <v>2595</v>
      </c>
      <c r="B533" s="10" t="n">
        <v>46266.09375</v>
      </c>
      <c r="C533" s="4" t="s">
        <v>1544</v>
      </c>
      <c r="D533" s="4" t="n">
        <v>797</v>
      </c>
      <c r="E533" s="4" t="n">
        <v>7</v>
      </c>
      <c r="F533" s="4" t="n">
        <v>6</v>
      </c>
      <c r="G533" s="4" t="n">
        <v>0</v>
      </c>
      <c r="J533" s="11" t="b">
        <f aca="false">TRUE()</f>
        <v>1</v>
      </c>
      <c r="K533" s="4" t="s">
        <v>2596</v>
      </c>
      <c r="L533" s="4" t="n">
        <v>4</v>
      </c>
      <c r="M533" s="4" t="n">
        <v>4</v>
      </c>
      <c r="N533" s="4" t="n">
        <v>4</v>
      </c>
      <c r="O533" s="4" t="n">
        <v>4</v>
      </c>
      <c r="P533" s="0" t="str">
        <f aca="false">IF(E533=0,"not_reached",IF(AND(F533&gt;0,G533=0),"allowed","blocked"))</f>
        <v>allowed</v>
      </c>
      <c r="Q533" s="0" t="str">
        <f aca="false">IF(C533="success","published",IF(E533&gt;0,"blocked_at_gate","failed_before_gate"))</f>
        <v>published</v>
      </c>
      <c r="R533" s="0" t="str">
        <f aca="false">IF(C533="success","",IF(E533&gt;0,IF(I533="freshness_within_target","freshness",IF(I533="relationships_intact","relationships",IF(I533="reconciliation_residual_zero","residual",I533))),IF(H533="quality_gate","gate_infra",H533)))</f>
        <v/>
      </c>
    </row>
    <row r="534" customFormat="false" ht="15" hidden="false" customHeight="false" outlineLevel="0" collapsed="false">
      <c r="A534" s="4" t="s">
        <v>2597</v>
      </c>
      <c r="B534" s="10" t="n">
        <v>46266.1354166667</v>
      </c>
      <c r="C534" s="4" t="s">
        <v>1544</v>
      </c>
      <c r="D534" s="4" t="n">
        <v>803</v>
      </c>
      <c r="E534" s="4" t="n">
        <v>7</v>
      </c>
      <c r="F534" s="4" t="n">
        <v>6</v>
      </c>
      <c r="G534" s="4" t="n">
        <v>0</v>
      </c>
      <c r="J534" s="11" t="b">
        <f aca="false">TRUE()</f>
        <v>1</v>
      </c>
      <c r="K534" s="4" t="s">
        <v>2598</v>
      </c>
      <c r="L534" s="4" t="n">
        <v>4</v>
      </c>
      <c r="M534" s="4" t="n">
        <v>4</v>
      </c>
      <c r="N534" s="4" t="n">
        <v>4</v>
      </c>
      <c r="O534" s="4" t="n">
        <v>4</v>
      </c>
      <c r="P534" s="0" t="str">
        <f aca="false">IF(E534=0,"not_reached",IF(AND(F534&gt;0,G534=0),"allowed","blocked"))</f>
        <v>allowed</v>
      </c>
      <c r="Q534" s="0" t="str">
        <f aca="false">IF(C534="success","published",IF(E534&gt;0,"blocked_at_gate","failed_before_gate"))</f>
        <v>published</v>
      </c>
      <c r="R534" s="0" t="str">
        <f aca="false">IF(C534="success","",IF(E534&gt;0,IF(I534="freshness_within_target","freshness",IF(I534="relationships_intact","relationships",IF(I534="reconciliation_residual_zero","residual",I534))),IF(H534="quality_gate","gate_infra",H534)))</f>
        <v/>
      </c>
    </row>
    <row r="535" customFormat="false" ht="15" hidden="false" customHeight="false" outlineLevel="0" collapsed="false">
      <c r="A535" s="4" t="s">
        <v>2599</v>
      </c>
      <c r="B535" s="10" t="n">
        <v>46266.1770833333</v>
      </c>
      <c r="C535" s="4" t="s">
        <v>1544</v>
      </c>
      <c r="D535" s="4" t="n">
        <v>957</v>
      </c>
      <c r="E535" s="4" t="n">
        <v>7</v>
      </c>
      <c r="F535" s="4" t="n">
        <v>6</v>
      </c>
      <c r="G535" s="4" t="n">
        <v>0</v>
      </c>
      <c r="J535" s="11" t="b">
        <f aca="false">TRUE()</f>
        <v>1</v>
      </c>
      <c r="K535" s="4" t="s">
        <v>2600</v>
      </c>
      <c r="L535" s="4" t="n">
        <v>4</v>
      </c>
      <c r="M535" s="4" t="n">
        <v>4</v>
      </c>
      <c r="N535" s="4" t="n">
        <v>4</v>
      </c>
      <c r="O535" s="4" t="n">
        <v>4</v>
      </c>
      <c r="P535" s="0" t="str">
        <f aca="false">IF(E535=0,"not_reached",IF(AND(F535&gt;0,G535=0),"allowed","blocked"))</f>
        <v>allowed</v>
      </c>
      <c r="Q535" s="0" t="str">
        <f aca="false">IF(C535="success","published",IF(E535&gt;0,"blocked_at_gate","failed_before_gate"))</f>
        <v>published</v>
      </c>
      <c r="R535" s="0" t="str">
        <f aca="false">IF(C535="success","",IF(E535&gt;0,IF(I535="freshness_within_target","freshness",IF(I535="relationships_intact","relationships",IF(I535="reconciliation_residual_zero","residual",I535))),IF(H535="quality_gate","gate_infra",H535)))</f>
        <v/>
      </c>
    </row>
    <row r="536" customFormat="false" ht="15" hidden="false" customHeight="false" outlineLevel="0" collapsed="false">
      <c r="A536" s="4" t="s">
        <v>2601</v>
      </c>
      <c r="B536" s="10" t="n">
        <v>46266.21875</v>
      </c>
      <c r="C536" s="4" t="s">
        <v>1544</v>
      </c>
      <c r="D536" s="4" t="n">
        <v>798</v>
      </c>
      <c r="E536" s="4" t="n">
        <v>7</v>
      </c>
      <c r="F536" s="4" t="n">
        <v>6</v>
      </c>
      <c r="G536" s="4" t="n">
        <v>0</v>
      </c>
      <c r="J536" s="11" t="b">
        <f aca="false">TRUE()</f>
        <v>1</v>
      </c>
      <c r="K536" s="4" t="s">
        <v>2602</v>
      </c>
      <c r="L536" s="4" t="n">
        <v>4</v>
      </c>
      <c r="M536" s="4" t="n">
        <v>4</v>
      </c>
      <c r="N536" s="4" t="n">
        <v>4</v>
      </c>
      <c r="O536" s="4" t="n">
        <v>4</v>
      </c>
      <c r="P536" s="0" t="str">
        <f aca="false">IF(E536=0,"not_reached",IF(AND(F536&gt;0,G536=0),"allowed","blocked"))</f>
        <v>allowed</v>
      </c>
      <c r="Q536" s="0" t="str">
        <f aca="false">IF(C536="success","published",IF(E536&gt;0,"blocked_at_gate","failed_before_gate"))</f>
        <v>published</v>
      </c>
      <c r="R536" s="0" t="str">
        <f aca="false">IF(C536="success","",IF(E536&gt;0,IF(I536="freshness_within_target","freshness",IF(I536="relationships_intact","relationships",IF(I536="reconciliation_residual_zero","residual",I536))),IF(H536="quality_gate","gate_infra",H536)))</f>
        <v/>
      </c>
    </row>
    <row r="537" customFormat="false" ht="15" hidden="false" customHeight="false" outlineLevel="0" collapsed="false">
      <c r="A537" s="4" t="s">
        <v>2603</v>
      </c>
      <c r="B537" s="10" t="n">
        <v>46266.2604166667</v>
      </c>
      <c r="C537" s="4" t="s">
        <v>1544</v>
      </c>
      <c r="D537" s="4" t="n">
        <v>787</v>
      </c>
      <c r="E537" s="4" t="n">
        <v>7</v>
      </c>
      <c r="F537" s="4" t="n">
        <v>6</v>
      </c>
      <c r="G537" s="4" t="n">
        <v>0</v>
      </c>
      <c r="J537" s="11" t="b">
        <f aca="false">TRUE()</f>
        <v>1</v>
      </c>
      <c r="K537" s="4" t="s">
        <v>2604</v>
      </c>
      <c r="L537" s="4" t="n">
        <v>4</v>
      </c>
      <c r="M537" s="4" t="n">
        <v>4</v>
      </c>
      <c r="N537" s="4" t="n">
        <v>4</v>
      </c>
      <c r="O537" s="4" t="n">
        <v>4</v>
      </c>
      <c r="P537" s="0" t="str">
        <f aca="false">IF(E537=0,"not_reached",IF(AND(F537&gt;0,G537=0),"allowed","blocked"))</f>
        <v>allowed</v>
      </c>
      <c r="Q537" s="0" t="str">
        <f aca="false">IF(C537="success","published",IF(E537&gt;0,"blocked_at_gate","failed_before_gate"))</f>
        <v>published</v>
      </c>
      <c r="R537" s="0" t="str">
        <f aca="false">IF(C537="success","",IF(E537&gt;0,IF(I537="freshness_within_target","freshness",IF(I537="relationships_intact","relationships",IF(I537="reconciliation_residual_zero","residual",I537))),IF(H537="quality_gate","gate_infra",H537)))</f>
        <v/>
      </c>
    </row>
    <row r="538" customFormat="false" ht="15" hidden="false" customHeight="false" outlineLevel="0" collapsed="false">
      <c r="A538" s="4" t="s">
        <v>2605</v>
      </c>
      <c r="B538" s="10" t="n">
        <v>46266.3020833333</v>
      </c>
      <c r="C538" s="4" t="s">
        <v>1544</v>
      </c>
      <c r="D538" s="4" t="n">
        <v>707</v>
      </c>
      <c r="E538" s="4" t="n">
        <v>7</v>
      </c>
      <c r="F538" s="4" t="n">
        <v>6</v>
      </c>
      <c r="G538" s="4" t="n">
        <v>0</v>
      </c>
      <c r="J538" s="11" t="b">
        <f aca="false">TRUE()</f>
        <v>1</v>
      </c>
      <c r="K538" s="4" t="s">
        <v>2606</v>
      </c>
      <c r="L538" s="4" t="n">
        <v>4</v>
      </c>
      <c r="M538" s="4" t="n">
        <v>4</v>
      </c>
      <c r="N538" s="4" t="n">
        <v>4</v>
      </c>
      <c r="O538" s="4" t="n">
        <v>4</v>
      </c>
      <c r="P538" s="0" t="str">
        <f aca="false">IF(E538=0,"not_reached",IF(AND(F538&gt;0,G538=0),"allowed","blocked"))</f>
        <v>allowed</v>
      </c>
      <c r="Q538" s="0" t="str">
        <f aca="false">IF(C538="success","published",IF(E538&gt;0,"blocked_at_gate","failed_before_gate"))</f>
        <v>published</v>
      </c>
      <c r="R538" s="0" t="str">
        <f aca="false">IF(C538="success","",IF(E538&gt;0,IF(I538="freshness_within_target","freshness",IF(I538="relationships_intact","relationships",IF(I538="reconciliation_residual_zero","residual",I538))),IF(H538="quality_gate","gate_infra",H538)))</f>
        <v/>
      </c>
    </row>
    <row r="539" customFormat="false" ht="15" hidden="false" customHeight="false" outlineLevel="0" collapsed="false">
      <c r="A539" s="4" t="s">
        <v>2607</v>
      </c>
      <c r="B539" s="10" t="n">
        <v>46266.34375</v>
      </c>
      <c r="C539" s="4" t="s">
        <v>1544</v>
      </c>
      <c r="D539" s="4" t="n">
        <v>677</v>
      </c>
      <c r="E539" s="4" t="n">
        <v>7</v>
      </c>
      <c r="F539" s="4" t="n">
        <v>6</v>
      </c>
      <c r="G539" s="4" t="n">
        <v>0</v>
      </c>
      <c r="J539" s="11" t="b">
        <f aca="false">TRUE()</f>
        <v>1</v>
      </c>
      <c r="K539" s="4" t="s">
        <v>2608</v>
      </c>
      <c r="L539" s="4" t="n">
        <v>4</v>
      </c>
      <c r="M539" s="4" t="n">
        <v>4</v>
      </c>
      <c r="N539" s="4" t="n">
        <v>4</v>
      </c>
      <c r="O539" s="4" t="n">
        <v>4</v>
      </c>
      <c r="P539" s="0" t="str">
        <f aca="false">IF(E539=0,"not_reached",IF(AND(F539&gt;0,G539=0),"allowed","blocked"))</f>
        <v>allowed</v>
      </c>
      <c r="Q539" s="0" t="str">
        <f aca="false">IF(C539="success","published",IF(E539&gt;0,"blocked_at_gate","failed_before_gate"))</f>
        <v>published</v>
      </c>
      <c r="R539" s="0" t="str">
        <f aca="false">IF(C539="success","",IF(E539&gt;0,IF(I539="freshness_within_target","freshness",IF(I539="relationships_intact","relationships",IF(I539="reconciliation_residual_zero","residual",I539))),IF(H539="quality_gate","gate_infra",H539)))</f>
        <v/>
      </c>
    </row>
    <row r="540" customFormat="false" ht="15" hidden="false" customHeight="false" outlineLevel="0" collapsed="false">
      <c r="A540" s="4" t="s">
        <v>2609</v>
      </c>
      <c r="B540" s="10" t="n">
        <v>46266.3854166667</v>
      </c>
      <c r="C540" s="4" t="s">
        <v>1544</v>
      </c>
      <c r="D540" s="4" t="n">
        <v>892</v>
      </c>
      <c r="E540" s="4" t="n">
        <v>7</v>
      </c>
      <c r="F540" s="4" t="n">
        <v>6</v>
      </c>
      <c r="G540" s="4" t="n">
        <v>0</v>
      </c>
      <c r="J540" s="11" t="b">
        <f aca="false">TRUE()</f>
        <v>1</v>
      </c>
      <c r="K540" s="4" t="s">
        <v>2610</v>
      </c>
      <c r="L540" s="4" t="n">
        <v>4</v>
      </c>
      <c r="M540" s="4" t="n">
        <v>4</v>
      </c>
      <c r="N540" s="4" t="n">
        <v>4</v>
      </c>
      <c r="O540" s="4" t="n">
        <v>4</v>
      </c>
      <c r="P540" s="0" t="str">
        <f aca="false">IF(E540=0,"not_reached",IF(AND(F540&gt;0,G540=0),"allowed","blocked"))</f>
        <v>allowed</v>
      </c>
      <c r="Q540" s="0" t="str">
        <f aca="false">IF(C540="success","published",IF(E540&gt;0,"blocked_at_gate","failed_before_gate"))</f>
        <v>published</v>
      </c>
      <c r="R540" s="0" t="str">
        <f aca="false">IF(C540="success","",IF(E540&gt;0,IF(I540="freshness_within_target","freshness",IF(I540="relationships_intact","relationships",IF(I540="reconciliation_residual_zero","residual",I540))),IF(H540="quality_gate","gate_infra",H540)))</f>
        <v/>
      </c>
    </row>
    <row r="541" customFormat="false" ht="15" hidden="false" customHeight="false" outlineLevel="0" collapsed="false">
      <c r="A541" s="4" t="s">
        <v>2611</v>
      </c>
      <c r="B541" s="10" t="n">
        <v>46266.4270833333</v>
      </c>
      <c r="C541" s="4" t="s">
        <v>1544</v>
      </c>
      <c r="D541" s="4" t="n">
        <v>680</v>
      </c>
      <c r="E541" s="4" t="n">
        <v>7</v>
      </c>
      <c r="F541" s="4" t="n">
        <v>6</v>
      </c>
      <c r="G541" s="4" t="n">
        <v>0</v>
      </c>
      <c r="J541" s="11" t="b">
        <f aca="false">TRUE()</f>
        <v>1</v>
      </c>
      <c r="K541" s="4" t="s">
        <v>2612</v>
      </c>
      <c r="L541" s="4" t="n">
        <v>4</v>
      </c>
      <c r="M541" s="4" t="n">
        <v>4</v>
      </c>
      <c r="N541" s="4" t="n">
        <v>4</v>
      </c>
      <c r="O541" s="4" t="n">
        <v>4</v>
      </c>
      <c r="P541" s="0" t="str">
        <f aca="false">IF(E541=0,"not_reached",IF(AND(F541&gt;0,G541=0),"allowed","blocked"))</f>
        <v>allowed</v>
      </c>
      <c r="Q541" s="0" t="str">
        <f aca="false">IF(C541="success","published",IF(E541&gt;0,"blocked_at_gate","failed_before_gate"))</f>
        <v>published</v>
      </c>
      <c r="R541" s="0" t="str">
        <f aca="false">IF(C541="success","",IF(E541&gt;0,IF(I541="freshness_within_target","freshness",IF(I541="relationships_intact","relationships",IF(I541="reconciliation_residual_zero","residual",I541))),IF(H541="quality_gate","gate_infra",H541)))</f>
        <v/>
      </c>
    </row>
    <row r="542" customFormat="false" ht="15" hidden="false" customHeight="false" outlineLevel="0" collapsed="false">
      <c r="A542" s="4" t="s">
        <v>2613</v>
      </c>
      <c r="B542" s="10" t="n">
        <v>46266.46875</v>
      </c>
      <c r="C542" s="4" t="s">
        <v>1544</v>
      </c>
      <c r="D542" s="4" t="n">
        <v>954</v>
      </c>
      <c r="E542" s="4" t="n">
        <v>7</v>
      </c>
      <c r="F542" s="4" t="n">
        <v>6</v>
      </c>
      <c r="G542" s="4" t="n">
        <v>0</v>
      </c>
      <c r="J542" s="11" t="b">
        <f aca="false">TRUE()</f>
        <v>1</v>
      </c>
      <c r="K542" s="4" t="s">
        <v>2614</v>
      </c>
      <c r="L542" s="4" t="n">
        <v>4</v>
      </c>
      <c r="M542" s="4" t="n">
        <v>4</v>
      </c>
      <c r="N542" s="4" t="n">
        <v>4</v>
      </c>
      <c r="O542" s="4" t="n">
        <v>4</v>
      </c>
      <c r="P542" s="0" t="str">
        <f aca="false">IF(E542=0,"not_reached",IF(AND(F542&gt;0,G542=0),"allowed","blocked"))</f>
        <v>allowed</v>
      </c>
      <c r="Q542" s="0" t="str">
        <f aca="false">IF(C542="success","published",IF(E542&gt;0,"blocked_at_gate","failed_before_gate"))</f>
        <v>published</v>
      </c>
      <c r="R542" s="0" t="str">
        <f aca="false">IF(C542="success","",IF(E542&gt;0,IF(I542="freshness_within_target","freshness",IF(I542="relationships_intact","relationships",IF(I542="reconciliation_residual_zero","residual",I542))),IF(H542="quality_gate","gate_infra",H542)))</f>
        <v/>
      </c>
    </row>
    <row r="543" customFormat="false" ht="15" hidden="false" customHeight="false" outlineLevel="0" collapsed="false">
      <c r="A543" s="4" t="s">
        <v>2615</v>
      </c>
      <c r="B543" s="10" t="n">
        <v>46266.5104166667</v>
      </c>
      <c r="C543" s="4" t="s">
        <v>1544</v>
      </c>
      <c r="D543" s="4" t="n">
        <v>868</v>
      </c>
      <c r="E543" s="4" t="n">
        <v>7</v>
      </c>
      <c r="F543" s="4" t="n">
        <v>6</v>
      </c>
      <c r="G543" s="4" t="n">
        <v>0</v>
      </c>
      <c r="J543" s="11" t="b">
        <f aca="false">TRUE()</f>
        <v>1</v>
      </c>
      <c r="K543" s="4" t="s">
        <v>2616</v>
      </c>
      <c r="L543" s="4" t="n">
        <v>4</v>
      </c>
      <c r="M543" s="4" t="n">
        <v>4</v>
      </c>
      <c r="N543" s="4" t="n">
        <v>4</v>
      </c>
      <c r="O543" s="4" t="n">
        <v>4</v>
      </c>
      <c r="P543" s="0" t="str">
        <f aca="false">IF(E543=0,"not_reached",IF(AND(F543&gt;0,G543=0),"allowed","blocked"))</f>
        <v>allowed</v>
      </c>
      <c r="Q543" s="0" t="str">
        <f aca="false">IF(C543="success","published",IF(E543&gt;0,"blocked_at_gate","failed_before_gate"))</f>
        <v>published</v>
      </c>
      <c r="R543" s="0" t="str">
        <f aca="false">IF(C543="success","",IF(E543&gt;0,IF(I543="freshness_within_target","freshness",IF(I543="relationships_intact","relationships",IF(I543="reconciliation_residual_zero","residual",I543))),IF(H543="quality_gate","gate_infra",H543)))</f>
        <v/>
      </c>
    </row>
    <row r="544" customFormat="false" ht="15" hidden="false" customHeight="false" outlineLevel="0" collapsed="false">
      <c r="A544" s="4" t="s">
        <v>2617</v>
      </c>
      <c r="B544" s="10" t="n">
        <v>46266.5520833333</v>
      </c>
      <c r="C544" s="4" t="s">
        <v>1544</v>
      </c>
      <c r="D544" s="4" t="n">
        <v>759</v>
      </c>
      <c r="E544" s="4" t="n">
        <v>7</v>
      </c>
      <c r="F544" s="4" t="n">
        <v>6</v>
      </c>
      <c r="G544" s="4" t="n">
        <v>0</v>
      </c>
      <c r="J544" s="11" t="b">
        <f aca="false">TRUE()</f>
        <v>1</v>
      </c>
      <c r="K544" s="4" t="s">
        <v>2618</v>
      </c>
      <c r="L544" s="4" t="n">
        <v>4</v>
      </c>
      <c r="M544" s="4" t="n">
        <v>4</v>
      </c>
      <c r="N544" s="4" t="n">
        <v>4</v>
      </c>
      <c r="O544" s="4" t="n">
        <v>4</v>
      </c>
      <c r="P544" s="0" t="str">
        <f aca="false">IF(E544=0,"not_reached",IF(AND(F544&gt;0,G544=0),"allowed","blocked"))</f>
        <v>allowed</v>
      </c>
      <c r="Q544" s="0" t="str">
        <f aca="false">IF(C544="success","published",IF(E544&gt;0,"blocked_at_gate","failed_before_gate"))</f>
        <v>published</v>
      </c>
      <c r="R544" s="0" t="str">
        <f aca="false">IF(C544="success","",IF(E544&gt;0,IF(I544="freshness_within_target","freshness",IF(I544="relationships_intact","relationships",IF(I544="reconciliation_residual_zero","residual",I544))),IF(H544="quality_gate","gate_infra",H544)))</f>
        <v/>
      </c>
    </row>
    <row r="545" customFormat="false" ht="15" hidden="false" customHeight="false" outlineLevel="0" collapsed="false">
      <c r="A545" s="4" t="s">
        <v>2619</v>
      </c>
      <c r="B545" s="10" t="n">
        <v>46266.59375</v>
      </c>
      <c r="C545" s="4" t="s">
        <v>1544</v>
      </c>
      <c r="D545" s="4" t="n">
        <v>837</v>
      </c>
      <c r="E545" s="4" t="n">
        <v>7</v>
      </c>
      <c r="F545" s="4" t="n">
        <v>6</v>
      </c>
      <c r="G545" s="4" t="n">
        <v>0</v>
      </c>
      <c r="J545" s="11" t="b">
        <f aca="false">TRUE()</f>
        <v>1</v>
      </c>
      <c r="K545" s="4" t="s">
        <v>2620</v>
      </c>
      <c r="L545" s="4" t="n">
        <v>4</v>
      </c>
      <c r="M545" s="4" t="n">
        <v>4</v>
      </c>
      <c r="N545" s="4" t="n">
        <v>4</v>
      </c>
      <c r="O545" s="4" t="n">
        <v>4</v>
      </c>
      <c r="P545" s="0" t="str">
        <f aca="false">IF(E545=0,"not_reached",IF(AND(F545&gt;0,G545=0),"allowed","blocked"))</f>
        <v>allowed</v>
      </c>
      <c r="Q545" s="0" t="str">
        <f aca="false">IF(C545="success","published",IF(E545&gt;0,"blocked_at_gate","failed_before_gate"))</f>
        <v>published</v>
      </c>
      <c r="R545" s="0" t="str">
        <f aca="false">IF(C545="success","",IF(E545&gt;0,IF(I545="freshness_within_target","freshness",IF(I545="relationships_intact","relationships",IF(I545="reconciliation_residual_zero","residual",I545))),IF(H545="quality_gate","gate_infra",H545)))</f>
        <v/>
      </c>
    </row>
    <row r="546" customFormat="false" ht="15" hidden="false" customHeight="false" outlineLevel="0" collapsed="false">
      <c r="A546" s="4" t="s">
        <v>2621</v>
      </c>
      <c r="B546" s="10" t="n">
        <v>46266.6354166667</v>
      </c>
      <c r="C546" s="4" t="s">
        <v>1901</v>
      </c>
      <c r="D546" s="4" t="n">
        <v>1077</v>
      </c>
      <c r="E546" s="4" t="n">
        <v>0</v>
      </c>
      <c r="F546" s="4" t="n">
        <v>0</v>
      </c>
      <c r="G546" s="4" t="n">
        <v>0</v>
      </c>
      <c r="H546" s="4" t="s">
        <v>61</v>
      </c>
      <c r="J546" s="11" t="b">
        <f aca="false">FALSE()</f>
        <v>0</v>
      </c>
      <c r="L546" s="4" t="n">
        <v>2</v>
      </c>
      <c r="M546" s="4" t="n">
        <v>1</v>
      </c>
      <c r="N546" s="4" t="n">
        <v>4</v>
      </c>
      <c r="O546" s="4" t="n">
        <v>1</v>
      </c>
      <c r="P546" s="0" t="str">
        <f aca="false">IF(E546=0,"not_reached",IF(AND(F546&gt;0,G546=0),"allowed","blocked"))</f>
        <v>not_reached</v>
      </c>
      <c r="Q546" s="0" t="str">
        <f aca="false">IF(C546="success","published",IF(E546&gt;0,"blocked_at_gate","failed_before_gate"))</f>
        <v>failed_before_gate</v>
      </c>
      <c r="R546" s="0" t="str">
        <f aca="false">IF(C546="success","",IF(E546&gt;0,IF(I546="freshness_within_target","freshness",IF(I546="relationships_intact","relationships",IF(I546="reconciliation_residual_zero","residual",I546))),IF(H546="quality_gate","gate_infra",H546)))</f>
        <v>transform</v>
      </c>
    </row>
    <row r="547" customFormat="false" ht="15" hidden="false" customHeight="false" outlineLevel="0" collapsed="false">
      <c r="A547" s="4" t="s">
        <v>2622</v>
      </c>
      <c r="B547" s="10" t="n">
        <v>46266.6770833333</v>
      </c>
      <c r="C547" s="4" t="s">
        <v>1544</v>
      </c>
      <c r="D547" s="4" t="n">
        <v>919</v>
      </c>
      <c r="E547" s="4" t="n">
        <v>7</v>
      </c>
      <c r="F547" s="4" t="n">
        <v>6</v>
      </c>
      <c r="G547" s="4" t="n">
        <v>0</v>
      </c>
      <c r="J547" s="11" t="b">
        <f aca="false">TRUE()</f>
        <v>1</v>
      </c>
      <c r="K547" s="4" t="s">
        <v>2623</v>
      </c>
      <c r="L547" s="4" t="n">
        <v>4</v>
      </c>
      <c r="M547" s="4" t="n">
        <v>4</v>
      </c>
      <c r="N547" s="4" t="n">
        <v>4</v>
      </c>
      <c r="O547" s="4" t="n">
        <v>4</v>
      </c>
      <c r="P547" s="0" t="str">
        <f aca="false">IF(E547=0,"not_reached",IF(AND(F547&gt;0,G547=0),"allowed","blocked"))</f>
        <v>allowed</v>
      </c>
      <c r="Q547" s="0" t="str">
        <f aca="false">IF(C547="success","published",IF(E547&gt;0,"blocked_at_gate","failed_before_gate"))</f>
        <v>published</v>
      </c>
      <c r="R547" s="0" t="str">
        <f aca="false">IF(C547="success","",IF(E547&gt;0,IF(I547="freshness_within_target","freshness",IF(I547="relationships_intact","relationships",IF(I547="reconciliation_residual_zero","residual",I547))),IF(H547="quality_gate","gate_infra",H547)))</f>
        <v/>
      </c>
    </row>
    <row r="548" customFormat="false" ht="15" hidden="false" customHeight="false" outlineLevel="0" collapsed="false">
      <c r="A548" s="4" t="s">
        <v>2624</v>
      </c>
      <c r="B548" s="10" t="n">
        <v>46266.71875</v>
      </c>
      <c r="C548" s="4" t="s">
        <v>1544</v>
      </c>
      <c r="D548" s="4" t="n">
        <v>897</v>
      </c>
      <c r="E548" s="4" t="n">
        <v>7</v>
      </c>
      <c r="F548" s="4" t="n">
        <v>6</v>
      </c>
      <c r="G548" s="4" t="n">
        <v>0</v>
      </c>
      <c r="J548" s="11" t="b">
        <f aca="false">TRUE()</f>
        <v>1</v>
      </c>
      <c r="K548" s="4" t="s">
        <v>2625</v>
      </c>
      <c r="L548" s="4" t="n">
        <v>4</v>
      </c>
      <c r="M548" s="4" t="n">
        <v>4</v>
      </c>
      <c r="N548" s="4" t="n">
        <v>4</v>
      </c>
      <c r="O548" s="4" t="n">
        <v>4</v>
      </c>
      <c r="P548" s="0" t="str">
        <f aca="false">IF(E548=0,"not_reached",IF(AND(F548&gt;0,G548=0),"allowed","blocked"))</f>
        <v>allowed</v>
      </c>
      <c r="Q548" s="0" t="str">
        <f aca="false">IF(C548="success","published",IF(E548&gt;0,"blocked_at_gate","failed_before_gate"))</f>
        <v>published</v>
      </c>
      <c r="R548" s="0" t="str">
        <f aca="false">IF(C548="success","",IF(E548&gt;0,IF(I548="freshness_within_target","freshness",IF(I548="relationships_intact","relationships",IF(I548="reconciliation_residual_zero","residual",I548))),IF(H548="quality_gate","gate_infra",H548)))</f>
        <v/>
      </c>
    </row>
    <row r="549" customFormat="false" ht="15" hidden="false" customHeight="false" outlineLevel="0" collapsed="false">
      <c r="A549" s="4" t="s">
        <v>2626</v>
      </c>
      <c r="B549" s="10" t="n">
        <v>46266.7604166667</v>
      </c>
      <c r="C549" s="4" t="s">
        <v>1544</v>
      </c>
      <c r="D549" s="4" t="n">
        <v>673</v>
      </c>
      <c r="E549" s="4" t="n">
        <v>7</v>
      </c>
      <c r="F549" s="4" t="n">
        <v>6</v>
      </c>
      <c r="G549" s="4" t="n">
        <v>0</v>
      </c>
      <c r="J549" s="11" t="b">
        <f aca="false">TRUE()</f>
        <v>1</v>
      </c>
      <c r="K549" s="4" t="s">
        <v>2627</v>
      </c>
      <c r="L549" s="4" t="n">
        <v>4</v>
      </c>
      <c r="M549" s="4" t="n">
        <v>4</v>
      </c>
      <c r="N549" s="4" t="n">
        <v>4</v>
      </c>
      <c r="O549" s="4" t="n">
        <v>4</v>
      </c>
      <c r="P549" s="0" t="str">
        <f aca="false">IF(E549=0,"not_reached",IF(AND(F549&gt;0,G549=0),"allowed","blocked"))</f>
        <v>allowed</v>
      </c>
      <c r="Q549" s="0" t="str">
        <f aca="false">IF(C549="success","published",IF(E549&gt;0,"blocked_at_gate","failed_before_gate"))</f>
        <v>published</v>
      </c>
      <c r="R549" s="0" t="str">
        <f aca="false">IF(C549="success","",IF(E549&gt;0,IF(I549="freshness_within_target","freshness",IF(I549="relationships_intact","relationships",IF(I549="reconciliation_residual_zero","residual",I549))),IF(H549="quality_gate","gate_infra",H549)))</f>
        <v/>
      </c>
    </row>
    <row r="550" customFormat="false" ht="15" hidden="false" customHeight="false" outlineLevel="0" collapsed="false">
      <c r="A550" s="4" t="s">
        <v>2628</v>
      </c>
      <c r="B550" s="10" t="n">
        <v>46266.8020833333</v>
      </c>
      <c r="C550" s="4" t="s">
        <v>1544</v>
      </c>
      <c r="D550" s="4" t="n">
        <v>842</v>
      </c>
      <c r="E550" s="4" t="n">
        <v>7</v>
      </c>
      <c r="F550" s="4" t="n">
        <v>6</v>
      </c>
      <c r="G550" s="4" t="n">
        <v>0</v>
      </c>
      <c r="J550" s="11" t="b">
        <f aca="false">TRUE()</f>
        <v>1</v>
      </c>
      <c r="K550" s="4" t="s">
        <v>2629</v>
      </c>
      <c r="L550" s="4" t="n">
        <v>4</v>
      </c>
      <c r="M550" s="4" t="n">
        <v>4</v>
      </c>
      <c r="N550" s="4" t="n">
        <v>4</v>
      </c>
      <c r="O550" s="4" t="n">
        <v>4</v>
      </c>
      <c r="P550" s="0" t="str">
        <f aca="false">IF(E550=0,"not_reached",IF(AND(F550&gt;0,G550=0),"allowed","blocked"))</f>
        <v>allowed</v>
      </c>
      <c r="Q550" s="0" t="str">
        <f aca="false">IF(C550="success","published",IF(E550&gt;0,"blocked_at_gate","failed_before_gate"))</f>
        <v>published</v>
      </c>
      <c r="R550" s="0" t="str">
        <f aca="false">IF(C550="success","",IF(E550&gt;0,IF(I550="freshness_within_target","freshness",IF(I550="relationships_intact","relationships",IF(I550="reconciliation_residual_zero","residual",I550))),IF(H550="quality_gate","gate_infra",H550)))</f>
        <v/>
      </c>
    </row>
    <row r="551" customFormat="false" ht="15" hidden="false" customHeight="false" outlineLevel="0" collapsed="false">
      <c r="A551" s="4" t="s">
        <v>2630</v>
      </c>
      <c r="B551" s="10" t="n">
        <v>46266.84375</v>
      </c>
      <c r="C551" s="4" t="s">
        <v>1544</v>
      </c>
      <c r="D551" s="4" t="n">
        <v>942</v>
      </c>
      <c r="E551" s="4" t="n">
        <v>7</v>
      </c>
      <c r="F551" s="4" t="n">
        <v>6</v>
      </c>
      <c r="G551" s="4" t="n">
        <v>0</v>
      </c>
      <c r="J551" s="11" t="b">
        <f aca="false">TRUE()</f>
        <v>1</v>
      </c>
      <c r="K551" s="4" t="s">
        <v>2631</v>
      </c>
      <c r="L551" s="4" t="n">
        <v>4</v>
      </c>
      <c r="M551" s="4" t="n">
        <v>4</v>
      </c>
      <c r="N551" s="4" t="n">
        <v>4</v>
      </c>
      <c r="O551" s="4" t="n">
        <v>4</v>
      </c>
      <c r="P551" s="0" t="str">
        <f aca="false">IF(E551=0,"not_reached",IF(AND(F551&gt;0,G551=0),"allowed","blocked"))</f>
        <v>allowed</v>
      </c>
      <c r="Q551" s="0" t="str">
        <f aca="false">IF(C551="success","published",IF(E551&gt;0,"blocked_at_gate","failed_before_gate"))</f>
        <v>published</v>
      </c>
      <c r="R551" s="0" t="str">
        <f aca="false">IF(C551="success","",IF(E551&gt;0,IF(I551="freshness_within_target","freshness",IF(I551="relationships_intact","relationships",IF(I551="reconciliation_residual_zero","residual",I551))),IF(H551="quality_gate","gate_infra",H551)))</f>
        <v/>
      </c>
    </row>
    <row r="552" customFormat="false" ht="15" hidden="false" customHeight="false" outlineLevel="0" collapsed="false">
      <c r="A552" s="4" t="s">
        <v>2632</v>
      </c>
      <c r="B552" s="10" t="n">
        <v>46266.8854166667</v>
      </c>
      <c r="C552" s="4" t="s">
        <v>1544</v>
      </c>
      <c r="D552" s="4" t="n">
        <v>862</v>
      </c>
      <c r="E552" s="4" t="n">
        <v>7</v>
      </c>
      <c r="F552" s="4" t="n">
        <v>6</v>
      </c>
      <c r="G552" s="4" t="n">
        <v>0</v>
      </c>
      <c r="J552" s="11" t="b">
        <f aca="false">TRUE()</f>
        <v>1</v>
      </c>
      <c r="K552" s="4" t="s">
        <v>2633</v>
      </c>
      <c r="L552" s="4" t="n">
        <v>4</v>
      </c>
      <c r="M552" s="4" t="n">
        <v>4</v>
      </c>
      <c r="N552" s="4" t="n">
        <v>4</v>
      </c>
      <c r="O552" s="4" t="n">
        <v>4</v>
      </c>
      <c r="P552" s="0" t="str">
        <f aca="false">IF(E552=0,"not_reached",IF(AND(F552&gt;0,G552=0),"allowed","blocked"))</f>
        <v>allowed</v>
      </c>
      <c r="Q552" s="0" t="str">
        <f aca="false">IF(C552="success","published",IF(E552&gt;0,"blocked_at_gate","failed_before_gate"))</f>
        <v>published</v>
      </c>
      <c r="R552" s="0" t="str">
        <f aca="false">IF(C552="success","",IF(E552&gt;0,IF(I552="freshness_within_target","freshness",IF(I552="relationships_intact","relationships",IF(I552="reconciliation_residual_zero","residual",I552))),IF(H552="quality_gate","gate_infra",H552)))</f>
        <v/>
      </c>
    </row>
    <row r="553" customFormat="false" ht="15" hidden="false" customHeight="false" outlineLevel="0" collapsed="false">
      <c r="A553" s="4" t="s">
        <v>2634</v>
      </c>
      <c r="B553" s="10" t="n">
        <v>46266.9270833333</v>
      </c>
      <c r="C553" s="4" t="s">
        <v>1544</v>
      </c>
      <c r="D553" s="4" t="n">
        <v>925</v>
      </c>
      <c r="E553" s="4" t="n">
        <v>7</v>
      </c>
      <c r="F553" s="4" t="n">
        <v>6</v>
      </c>
      <c r="G553" s="4" t="n">
        <v>0</v>
      </c>
      <c r="J553" s="11" t="b">
        <f aca="false">TRUE()</f>
        <v>1</v>
      </c>
      <c r="K553" s="4" t="s">
        <v>2635</v>
      </c>
      <c r="L553" s="4" t="n">
        <v>4</v>
      </c>
      <c r="M553" s="4" t="n">
        <v>4</v>
      </c>
      <c r="N553" s="4" t="n">
        <v>4</v>
      </c>
      <c r="O553" s="4" t="n">
        <v>4</v>
      </c>
      <c r="P553" s="0" t="str">
        <f aca="false">IF(E553=0,"not_reached",IF(AND(F553&gt;0,G553=0),"allowed","blocked"))</f>
        <v>allowed</v>
      </c>
      <c r="Q553" s="0" t="str">
        <f aca="false">IF(C553="success","published",IF(E553&gt;0,"blocked_at_gate","failed_before_gate"))</f>
        <v>published</v>
      </c>
      <c r="R553" s="0" t="str">
        <f aca="false">IF(C553="success","",IF(E553&gt;0,IF(I553="freshness_within_target","freshness",IF(I553="relationships_intact","relationships",IF(I553="reconciliation_residual_zero","residual",I553))),IF(H553="quality_gate","gate_infra",H553)))</f>
        <v/>
      </c>
    </row>
    <row r="554" customFormat="false" ht="15" hidden="false" customHeight="false" outlineLevel="0" collapsed="false">
      <c r="A554" s="4" t="s">
        <v>2636</v>
      </c>
      <c r="B554" s="10" t="n">
        <v>46266.96875</v>
      </c>
      <c r="C554" s="4" t="s">
        <v>1544</v>
      </c>
      <c r="D554" s="4" t="n">
        <v>1182</v>
      </c>
      <c r="E554" s="4" t="n">
        <v>7</v>
      </c>
      <c r="F554" s="4" t="n">
        <v>6</v>
      </c>
      <c r="G554" s="4" t="n">
        <v>0</v>
      </c>
      <c r="J554" s="11" t="b">
        <f aca="false">TRUE()</f>
        <v>1</v>
      </c>
      <c r="K554" s="4" t="s">
        <v>2637</v>
      </c>
      <c r="L554" s="4" t="n">
        <v>4</v>
      </c>
      <c r="M554" s="4" t="n">
        <v>4</v>
      </c>
      <c r="N554" s="4" t="n">
        <v>5</v>
      </c>
      <c r="O554" s="4" t="n">
        <v>4</v>
      </c>
      <c r="P554" s="0" t="str">
        <f aca="false">IF(E554=0,"not_reached",IF(AND(F554&gt;0,G554=0),"allowed","blocked"))</f>
        <v>allowed</v>
      </c>
      <c r="Q554" s="0" t="str">
        <f aca="false">IF(C554="success","published",IF(E554&gt;0,"blocked_at_gate","failed_before_gate"))</f>
        <v>published</v>
      </c>
      <c r="R554" s="0" t="str">
        <f aca="false">IF(C554="success","",IF(E554&gt;0,IF(I554="freshness_within_target","freshness",IF(I554="relationships_intact","relationships",IF(I554="reconciliation_residual_zero","residual",I554))),IF(H554="quality_gate","gate_infra",H554)))</f>
        <v/>
      </c>
    </row>
    <row r="555" customFormat="false" ht="15" hidden="false" customHeight="false" outlineLevel="0" collapsed="false">
      <c r="A555" s="4" t="s">
        <v>2638</v>
      </c>
      <c r="B555" s="10" t="n">
        <v>46267.0104166667</v>
      </c>
      <c r="C555" s="4" t="s">
        <v>1544</v>
      </c>
      <c r="D555" s="4" t="n">
        <v>840</v>
      </c>
      <c r="E555" s="4" t="n">
        <v>7</v>
      </c>
      <c r="F555" s="4" t="n">
        <v>6</v>
      </c>
      <c r="G555" s="4" t="n">
        <v>0</v>
      </c>
      <c r="J555" s="11" t="b">
        <f aca="false">TRUE()</f>
        <v>1</v>
      </c>
      <c r="K555" s="4" t="s">
        <v>2639</v>
      </c>
      <c r="L555" s="4" t="n">
        <v>4</v>
      </c>
      <c r="M555" s="4" t="n">
        <v>4</v>
      </c>
      <c r="N555" s="4" t="n">
        <v>4</v>
      </c>
      <c r="O555" s="4" t="n">
        <v>4</v>
      </c>
      <c r="P555" s="0" t="str">
        <f aca="false">IF(E555=0,"not_reached",IF(AND(F555&gt;0,G555=0),"allowed","blocked"))</f>
        <v>allowed</v>
      </c>
      <c r="Q555" s="0" t="str">
        <f aca="false">IF(C555="success","published",IF(E555&gt;0,"blocked_at_gate","failed_before_gate"))</f>
        <v>published</v>
      </c>
      <c r="R555" s="0" t="str">
        <f aca="false">IF(C555="success","",IF(E555&gt;0,IF(I555="freshness_within_target","freshness",IF(I555="relationships_intact","relationships",IF(I555="reconciliation_residual_zero","residual",I555))),IF(H555="quality_gate","gate_infra",H555)))</f>
        <v/>
      </c>
    </row>
    <row r="556" customFormat="false" ht="15" hidden="false" customHeight="false" outlineLevel="0" collapsed="false">
      <c r="A556" s="4" t="s">
        <v>2640</v>
      </c>
      <c r="B556" s="10" t="n">
        <v>46267.0520833333</v>
      </c>
      <c r="C556" s="4" t="s">
        <v>1544</v>
      </c>
      <c r="D556" s="4" t="n">
        <v>1134</v>
      </c>
      <c r="E556" s="4" t="n">
        <v>7</v>
      </c>
      <c r="F556" s="4" t="n">
        <v>6</v>
      </c>
      <c r="G556" s="4" t="n">
        <v>0</v>
      </c>
      <c r="J556" s="11" t="b">
        <f aca="false">TRUE()</f>
        <v>1</v>
      </c>
      <c r="K556" s="4" t="s">
        <v>2641</v>
      </c>
      <c r="L556" s="4" t="n">
        <v>4</v>
      </c>
      <c r="M556" s="4" t="n">
        <v>4</v>
      </c>
      <c r="N556" s="4" t="n">
        <v>5</v>
      </c>
      <c r="O556" s="4" t="n">
        <v>4</v>
      </c>
      <c r="P556" s="0" t="str">
        <f aca="false">IF(E556=0,"not_reached",IF(AND(F556&gt;0,G556=0),"allowed","blocked"))</f>
        <v>allowed</v>
      </c>
      <c r="Q556" s="0" t="str">
        <f aca="false">IF(C556="success","published",IF(E556&gt;0,"blocked_at_gate","failed_before_gate"))</f>
        <v>published</v>
      </c>
      <c r="R556" s="0" t="str">
        <f aca="false">IF(C556="success","",IF(E556&gt;0,IF(I556="freshness_within_target","freshness",IF(I556="relationships_intact","relationships",IF(I556="reconciliation_residual_zero","residual",I556))),IF(H556="quality_gate","gate_infra",H556)))</f>
        <v/>
      </c>
    </row>
    <row r="557" customFormat="false" ht="15" hidden="false" customHeight="false" outlineLevel="0" collapsed="false">
      <c r="A557" s="4" t="s">
        <v>2642</v>
      </c>
      <c r="B557" s="10" t="n">
        <v>46267.09375</v>
      </c>
      <c r="C557" s="4" t="s">
        <v>1544</v>
      </c>
      <c r="D557" s="4" t="n">
        <v>872</v>
      </c>
      <c r="E557" s="4" t="n">
        <v>7</v>
      </c>
      <c r="F557" s="4" t="n">
        <v>6</v>
      </c>
      <c r="G557" s="4" t="n">
        <v>0</v>
      </c>
      <c r="J557" s="11" t="b">
        <f aca="false">TRUE()</f>
        <v>1</v>
      </c>
      <c r="K557" s="4" t="s">
        <v>2643</v>
      </c>
      <c r="L557" s="4" t="n">
        <v>4</v>
      </c>
      <c r="M557" s="4" t="n">
        <v>4</v>
      </c>
      <c r="N557" s="4" t="n">
        <v>4</v>
      </c>
      <c r="O557" s="4" t="n">
        <v>4</v>
      </c>
      <c r="P557" s="0" t="str">
        <f aca="false">IF(E557=0,"not_reached",IF(AND(F557&gt;0,G557=0),"allowed","blocked"))</f>
        <v>allowed</v>
      </c>
      <c r="Q557" s="0" t="str">
        <f aca="false">IF(C557="success","published",IF(E557&gt;0,"blocked_at_gate","failed_before_gate"))</f>
        <v>published</v>
      </c>
      <c r="R557" s="0" t="str">
        <f aca="false">IF(C557="success","",IF(E557&gt;0,IF(I557="freshness_within_target","freshness",IF(I557="relationships_intact","relationships",IF(I557="reconciliation_residual_zero","residual",I557))),IF(H557="quality_gate","gate_infra",H557)))</f>
        <v/>
      </c>
    </row>
    <row r="558" customFormat="false" ht="15" hidden="false" customHeight="false" outlineLevel="0" collapsed="false">
      <c r="A558" s="4" t="s">
        <v>2644</v>
      </c>
      <c r="B558" s="10" t="n">
        <v>46267.1354166667</v>
      </c>
      <c r="C558" s="4" t="s">
        <v>1544</v>
      </c>
      <c r="D558" s="4" t="n">
        <v>671</v>
      </c>
      <c r="E558" s="4" t="n">
        <v>7</v>
      </c>
      <c r="F558" s="4" t="n">
        <v>6</v>
      </c>
      <c r="G558" s="4" t="n">
        <v>0</v>
      </c>
      <c r="J558" s="11" t="b">
        <f aca="false">TRUE()</f>
        <v>1</v>
      </c>
      <c r="K558" s="4" t="s">
        <v>2645</v>
      </c>
      <c r="L558" s="4" t="n">
        <v>4</v>
      </c>
      <c r="M558" s="4" t="n">
        <v>4</v>
      </c>
      <c r="N558" s="4" t="n">
        <v>4</v>
      </c>
      <c r="O558" s="4" t="n">
        <v>4</v>
      </c>
      <c r="P558" s="0" t="str">
        <f aca="false">IF(E558=0,"not_reached",IF(AND(F558&gt;0,G558=0),"allowed","blocked"))</f>
        <v>allowed</v>
      </c>
      <c r="Q558" s="0" t="str">
        <f aca="false">IF(C558="success","published",IF(E558&gt;0,"blocked_at_gate","failed_before_gate"))</f>
        <v>published</v>
      </c>
      <c r="R558" s="0" t="str">
        <f aca="false">IF(C558="success","",IF(E558&gt;0,IF(I558="freshness_within_target","freshness",IF(I558="relationships_intact","relationships",IF(I558="reconciliation_residual_zero","residual",I558))),IF(H558="quality_gate","gate_infra",H558)))</f>
        <v/>
      </c>
    </row>
    <row r="559" customFormat="false" ht="15" hidden="false" customHeight="false" outlineLevel="0" collapsed="false">
      <c r="A559" s="4" t="s">
        <v>2646</v>
      </c>
      <c r="B559" s="10" t="n">
        <v>46267.1770833333</v>
      </c>
      <c r="C559" s="4" t="s">
        <v>1544</v>
      </c>
      <c r="D559" s="4" t="n">
        <v>703</v>
      </c>
      <c r="E559" s="4" t="n">
        <v>7</v>
      </c>
      <c r="F559" s="4" t="n">
        <v>6</v>
      </c>
      <c r="G559" s="4" t="n">
        <v>0</v>
      </c>
      <c r="J559" s="11" t="b">
        <f aca="false">TRUE()</f>
        <v>1</v>
      </c>
      <c r="K559" s="4" t="s">
        <v>2647</v>
      </c>
      <c r="L559" s="4" t="n">
        <v>4</v>
      </c>
      <c r="M559" s="4" t="n">
        <v>4</v>
      </c>
      <c r="N559" s="4" t="n">
        <v>4</v>
      </c>
      <c r="O559" s="4" t="n">
        <v>4</v>
      </c>
      <c r="P559" s="0" t="str">
        <f aca="false">IF(E559=0,"not_reached",IF(AND(F559&gt;0,G559=0),"allowed","blocked"))</f>
        <v>allowed</v>
      </c>
      <c r="Q559" s="0" t="str">
        <f aca="false">IF(C559="success","published",IF(E559&gt;0,"blocked_at_gate","failed_before_gate"))</f>
        <v>published</v>
      </c>
      <c r="R559" s="0" t="str">
        <f aca="false">IF(C559="success","",IF(E559&gt;0,IF(I559="freshness_within_target","freshness",IF(I559="relationships_intact","relationships",IF(I559="reconciliation_residual_zero","residual",I559))),IF(H559="quality_gate","gate_infra",H559)))</f>
        <v/>
      </c>
    </row>
    <row r="560" customFormat="false" ht="15" hidden="false" customHeight="false" outlineLevel="0" collapsed="false">
      <c r="A560" s="4" t="s">
        <v>2648</v>
      </c>
      <c r="B560" s="10" t="n">
        <v>46267.21875</v>
      </c>
      <c r="C560" s="4" t="s">
        <v>1544</v>
      </c>
      <c r="D560" s="4" t="n">
        <v>822</v>
      </c>
      <c r="E560" s="4" t="n">
        <v>7</v>
      </c>
      <c r="F560" s="4" t="n">
        <v>6</v>
      </c>
      <c r="G560" s="4" t="n">
        <v>0</v>
      </c>
      <c r="J560" s="11" t="b">
        <f aca="false">TRUE()</f>
        <v>1</v>
      </c>
      <c r="K560" s="4" t="s">
        <v>2649</v>
      </c>
      <c r="L560" s="4" t="n">
        <v>4</v>
      </c>
      <c r="M560" s="4" t="n">
        <v>4</v>
      </c>
      <c r="N560" s="4" t="n">
        <v>4</v>
      </c>
      <c r="O560" s="4" t="n">
        <v>4</v>
      </c>
      <c r="P560" s="0" t="str">
        <f aca="false">IF(E560=0,"not_reached",IF(AND(F560&gt;0,G560=0),"allowed","blocked"))</f>
        <v>allowed</v>
      </c>
      <c r="Q560" s="0" t="str">
        <f aca="false">IF(C560="success","published",IF(E560&gt;0,"blocked_at_gate","failed_before_gate"))</f>
        <v>published</v>
      </c>
      <c r="R560" s="0" t="str">
        <f aca="false">IF(C560="success","",IF(E560&gt;0,IF(I560="freshness_within_target","freshness",IF(I560="relationships_intact","relationships",IF(I560="reconciliation_residual_zero","residual",I560))),IF(H560="quality_gate","gate_infra",H560)))</f>
        <v/>
      </c>
    </row>
    <row r="561" customFormat="false" ht="15" hidden="false" customHeight="false" outlineLevel="0" collapsed="false">
      <c r="A561" s="4" t="s">
        <v>2650</v>
      </c>
      <c r="B561" s="10" t="n">
        <v>46267.2604166667</v>
      </c>
      <c r="C561" s="4" t="s">
        <v>1544</v>
      </c>
      <c r="D561" s="4" t="n">
        <v>807</v>
      </c>
      <c r="E561" s="4" t="n">
        <v>7</v>
      </c>
      <c r="F561" s="4" t="n">
        <v>6</v>
      </c>
      <c r="G561" s="4" t="n">
        <v>0</v>
      </c>
      <c r="J561" s="11" t="b">
        <f aca="false">TRUE()</f>
        <v>1</v>
      </c>
      <c r="K561" s="4" t="s">
        <v>2651</v>
      </c>
      <c r="L561" s="4" t="n">
        <v>4</v>
      </c>
      <c r="M561" s="4" t="n">
        <v>4</v>
      </c>
      <c r="N561" s="4" t="n">
        <v>4</v>
      </c>
      <c r="O561" s="4" t="n">
        <v>4</v>
      </c>
      <c r="P561" s="0" t="str">
        <f aca="false">IF(E561=0,"not_reached",IF(AND(F561&gt;0,G561=0),"allowed","blocked"))</f>
        <v>allowed</v>
      </c>
      <c r="Q561" s="0" t="str">
        <f aca="false">IF(C561="success","published",IF(E561&gt;0,"blocked_at_gate","failed_before_gate"))</f>
        <v>published</v>
      </c>
      <c r="R561" s="0" t="str">
        <f aca="false">IF(C561="success","",IF(E561&gt;0,IF(I561="freshness_within_target","freshness",IF(I561="relationships_intact","relationships",IF(I561="reconciliation_residual_zero","residual",I561))),IF(H561="quality_gate","gate_infra",H561)))</f>
        <v/>
      </c>
    </row>
    <row r="562" customFormat="false" ht="15" hidden="false" customHeight="false" outlineLevel="0" collapsed="false">
      <c r="A562" s="4" t="s">
        <v>2652</v>
      </c>
      <c r="B562" s="10" t="n">
        <v>46267.3020833333</v>
      </c>
      <c r="C562" s="4" t="s">
        <v>1544</v>
      </c>
      <c r="D562" s="4" t="n">
        <v>836</v>
      </c>
      <c r="E562" s="4" t="n">
        <v>7</v>
      </c>
      <c r="F562" s="4" t="n">
        <v>6</v>
      </c>
      <c r="G562" s="4" t="n">
        <v>0</v>
      </c>
      <c r="J562" s="11" t="b">
        <f aca="false">TRUE()</f>
        <v>1</v>
      </c>
      <c r="K562" s="4" t="s">
        <v>2653</v>
      </c>
      <c r="L562" s="4" t="n">
        <v>4</v>
      </c>
      <c r="M562" s="4" t="n">
        <v>4</v>
      </c>
      <c r="N562" s="4" t="n">
        <v>4</v>
      </c>
      <c r="O562" s="4" t="n">
        <v>4</v>
      </c>
      <c r="P562" s="0" t="str">
        <f aca="false">IF(E562=0,"not_reached",IF(AND(F562&gt;0,G562=0),"allowed","blocked"))</f>
        <v>allowed</v>
      </c>
      <c r="Q562" s="0" t="str">
        <f aca="false">IF(C562="success","published",IF(E562&gt;0,"blocked_at_gate","failed_before_gate"))</f>
        <v>published</v>
      </c>
      <c r="R562" s="0" t="str">
        <f aca="false">IF(C562="success","",IF(E562&gt;0,IF(I562="freshness_within_target","freshness",IF(I562="relationships_intact","relationships",IF(I562="reconciliation_residual_zero","residual",I562))),IF(H562="quality_gate","gate_infra",H562)))</f>
        <v/>
      </c>
    </row>
    <row r="563" customFormat="false" ht="15" hidden="false" customHeight="false" outlineLevel="0" collapsed="false">
      <c r="A563" s="4" t="s">
        <v>2654</v>
      </c>
      <c r="B563" s="10" t="n">
        <v>46267.34375</v>
      </c>
      <c r="C563" s="4" t="s">
        <v>1544</v>
      </c>
      <c r="D563" s="4" t="n">
        <v>702</v>
      </c>
      <c r="E563" s="4" t="n">
        <v>7</v>
      </c>
      <c r="F563" s="4" t="n">
        <v>6</v>
      </c>
      <c r="G563" s="4" t="n">
        <v>0</v>
      </c>
      <c r="J563" s="11" t="b">
        <f aca="false">TRUE()</f>
        <v>1</v>
      </c>
      <c r="K563" s="4" t="s">
        <v>2655</v>
      </c>
      <c r="L563" s="4" t="n">
        <v>4</v>
      </c>
      <c r="M563" s="4" t="n">
        <v>4</v>
      </c>
      <c r="N563" s="4" t="n">
        <v>4</v>
      </c>
      <c r="O563" s="4" t="n">
        <v>4</v>
      </c>
      <c r="P563" s="0" t="str">
        <f aca="false">IF(E563=0,"not_reached",IF(AND(F563&gt;0,G563=0),"allowed","blocked"))</f>
        <v>allowed</v>
      </c>
      <c r="Q563" s="0" t="str">
        <f aca="false">IF(C563="success","published",IF(E563&gt;0,"blocked_at_gate","failed_before_gate"))</f>
        <v>published</v>
      </c>
      <c r="R563" s="0" t="str">
        <f aca="false">IF(C563="success","",IF(E563&gt;0,IF(I563="freshness_within_target","freshness",IF(I563="relationships_intact","relationships",IF(I563="reconciliation_residual_zero","residual",I563))),IF(H563="quality_gate","gate_infra",H563)))</f>
        <v/>
      </c>
    </row>
    <row r="564" customFormat="false" ht="15" hidden="false" customHeight="false" outlineLevel="0" collapsed="false">
      <c r="A564" s="4" t="s">
        <v>2656</v>
      </c>
      <c r="B564" s="10" t="n">
        <v>46267.3854166667</v>
      </c>
      <c r="C564" s="4" t="s">
        <v>1544</v>
      </c>
      <c r="D564" s="4" t="n">
        <v>667</v>
      </c>
      <c r="E564" s="4" t="n">
        <v>7</v>
      </c>
      <c r="F564" s="4" t="n">
        <v>6</v>
      </c>
      <c r="G564" s="4" t="n">
        <v>0</v>
      </c>
      <c r="J564" s="11" t="b">
        <f aca="false">TRUE()</f>
        <v>1</v>
      </c>
      <c r="K564" s="4" t="s">
        <v>2657</v>
      </c>
      <c r="L564" s="4" t="n">
        <v>4</v>
      </c>
      <c r="M564" s="4" t="n">
        <v>4</v>
      </c>
      <c r="N564" s="4" t="n">
        <v>4</v>
      </c>
      <c r="O564" s="4" t="n">
        <v>4</v>
      </c>
      <c r="P564" s="0" t="str">
        <f aca="false">IF(E564=0,"not_reached",IF(AND(F564&gt;0,G564=0),"allowed","blocked"))</f>
        <v>allowed</v>
      </c>
      <c r="Q564" s="0" t="str">
        <f aca="false">IF(C564="success","published",IF(E564&gt;0,"blocked_at_gate","failed_before_gate"))</f>
        <v>published</v>
      </c>
      <c r="R564" s="0" t="str">
        <f aca="false">IF(C564="success","",IF(E564&gt;0,IF(I564="freshness_within_target","freshness",IF(I564="relationships_intact","relationships",IF(I564="reconciliation_residual_zero","residual",I564))),IF(H564="quality_gate","gate_infra",H564)))</f>
        <v/>
      </c>
    </row>
    <row r="565" customFormat="false" ht="15" hidden="false" customHeight="false" outlineLevel="0" collapsed="false">
      <c r="A565" s="4" t="s">
        <v>2658</v>
      </c>
      <c r="B565" s="10" t="n">
        <v>46267.4270833333</v>
      </c>
      <c r="C565" s="4" t="s">
        <v>1544</v>
      </c>
      <c r="D565" s="4" t="n">
        <v>876</v>
      </c>
      <c r="E565" s="4" t="n">
        <v>7</v>
      </c>
      <c r="F565" s="4" t="n">
        <v>6</v>
      </c>
      <c r="G565" s="4" t="n">
        <v>0</v>
      </c>
      <c r="J565" s="11" t="b">
        <f aca="false">TRUE()</f>
        <v>1</v>
      </c>
      <c r="K565" s="4" t="s">
        <v>2659</v>
      </c>
      <c r="L565" s="4" t="n">
        <v>4</v>
      </c>
      <c r="M565" s="4" t="n">
        <v>4</v>
      </c>
      <c r="N565" s="4" t="n">
        <v>4</v>
      </c>
      <c r="O565" s="4" t="n">
        <v>4</v>
      </c>
      <c r="P565" s="0" t="str">
        <f aca="false">IF(E565=0,"not_reached",IF(AND(F565&gt;0,G565=0),"allowed","blocked"))</f>
        <v>allowed</v>
      </c>
      <c r="Q565" s="0" t="str">
        <f aca="false">IF(C565="success","published",IF(E565&gt;0,"blocked_at_gate","failed_before_gate"))</f>
        <v>published</v>
      </c>
      <c r="R565" s="0" t="str">
        <f aca="false">IF(C565="success","",IF(E565&gt;0,IF(I565="freshness_within_target","freshness",IF(I565="relationships_intact","relationships",IF(I565="reconciliation_residual_zero","residual",I565))),IF(H565="quality_gate","gate_infra",H565)))</f>
        <v/>
      </c>
    </row>
    <row r="566" customFormat="false" ht="15" hidden="false" customHeight="false" outlineLevel="0" collapsed="false">
      <c r="A566" s="4" t="s">
        <v>2660</v>
      </c>
      <c r="B566" s="10" t="n">
        <v>46267.46875</v>
      </c>
      <c r="C566" s="4" t="s">
        <v>1544</v>
      </c>
      <c r="D566" s="4" t="n">
        <v>749</v>
      </c>
      <c r="E566" s="4" t="n">
        <v>7</v>
      </c>
      <c r="F566" s="4" t="n">
        <v>6</v>
      </c>
      <c r="G566" s="4" t="n">
        <v>0</v>
      </c>
      <c r="J566" s="11" t="b">
        <f aca="false">TRUE()</f>
        <v>1</v>
      </c>
      <c r="K566" s="4" t="s">
        <v>2661</v>
      </c>
      <c r="L566" s="4" t="n">
        <v>4</v>
      </c>
      <c r="M566" s="4" t="n">
        <v>4</v>
      </c>
      <c r="N566" s="4" t="n">
        <v>4</v>
      </c>
      <c r="O566" s="4" t="n">
        <v>4</v>
      </c>
      <c r="P566" s="0" t="str">
        <f aca="false">IF(E566=0,"not_reached",IF(AND(F566&gt;0,G566=0),"allowed","blocked"))</f>
        <v>allowed</v>
      </c>
      <c r="Q566" s="0" t="str">
        <f aca="false">IF(C566="success","published",IF(E566&gt;0,"blocked_at_gate","failed_before_gate"))</f>
        <v>published</v>
      </c>
      <c r="R566" s="0" t="str">
        <f aca="false">IF(C566="success","",IF(E566&gt;0,IF(I566="freshness_within_target","freshness",IF(I566="relationships_intact","relationships",IF(I566="reconciliation_residual_zero","residual",I566))),IF(H566="quality_gate","gate_infra",H566)))</f>
        <v/>
      </c>
    </row>
    <row r="567" customFormat="false" ht="15" hidden="false" customHeight="false" outlineLevel="0" collapsed="false">
      <c r="A567" s="4" t="s">
        <v>2662</v>
      </c>
      <c r="B567" s="10" t="n">
        <v>46267.5104166667</v>
      </c>
      <c r="C567" s="4" t="s">
        <v>1544</v>
      </c>
      <c r="D567" s="4" t="n">
        <v>853</v>
      </c>
      <c r="E567" s="4" t="n">
        <v>7</v>
      </c>
      <c r="F567" s="4" t="n">
        <v>6</v>
      </c>
      <c r="G567" s="4" t="n">
        <v>0</v>
      </c>
      <c r="J567" s="11" t="b">
        <f aca="false">TRUE()</f>
        <v>1</v>
      </c>
      <c r="K567" s="4" t="s">
        <v>2663</v>
      </c>
      <c r="L567" s="4" t="n">
        <v>4</v>
      </c>
      <c r="M567" s="4" t="n">
        <v>4</v>
      </c>
      <c r="N567" s="4" t="n">
        <v>4</v>
      </c>
      <c r="O567" s="4" t="n">
        <v>4</v>
      </c>
      <c r="P567" s="0" t="str">
        <f aca="false">IF(E567=0,"not_reached",IF(AND(F567&gt;0,G567=0),"allowed","blocked"))</f>
        <v>allowed</v>
      </c>
      <c r="Q567" s="0" t="str">
        <f aca="false">IF(C567="success","published",IF(E567&gt;0,"blocked_at_gate","failed_before_gate"))</f>
        <v>published</v>
      </c>
      <c r="R567" s="0" t="str">
        <f aca="false">IF(C567="success","",IF(E567&gt;0,IF(I567="freshness_within_target","freshness",IF(I567="relationships_intact","relationships",IF(I567="reconciliation_residual_zero","residual",I567))),IF(H567="quality_gate","gate_infra",H567)))</f>
        <v/>
      </c>
    </row>
    <row r="568" customFormat="false" ht="15" hidden="false" customHeight="false" outlineLevel="0" collapsed="false">
      <c r="A568" s="4" t="s">
        <v>2664</v>
      </c>
      <c r="B568" s="10" t="n">
        <v>46267.5520833333</v>
      </c>
      <c r="C568" s="4" t="s">
        <v>1544</v>
      </c>
      <c r="D568" s="4" t="n">
        <v>667</v>
      </c>
      <c r="E568" s="4" t="n">
        <v>7</v>
      </c>
      <c r="F568" s="4" t="n">
        <v>6</v>
      </c>
      <c r="G568" s="4" t="n">
        <v>0</v>
      </c>
      <c r="J568" s="11" t="b">
        <f aca="false">TRUE()</f>
        <v>1</v>
      </c>
      <c r="K568" s="4" t="s">
        <v>2665</v>
      </c>
      <c r="L568" s="4" t="n">
        <v>4</v>
      </c>
      <c r="M568" s="4" t="n">
        <v>4</v>
      </c>
      <c r="N568" s="4" t="n">
        <v>4</v>
      </c>
      <c r="O568" s="4" t="n">
        <v>4</v>
      </c>
      <c r="P568" s="0" t="str">
        <f aca="false">IF(E568=0,"not_reached",IF(AND(F568&gt;0,G568=0),"allowed","blocked"))</f>
        <v>allowed</v>
      </c>
      <c r="Q568" s="0" t="str">
        <f aca="false">IF(C568="success","published",IF(E568&gt;0,"blocked_at_gate","failed_before_gate"))</f>
        <v>published</v>
      </c>
      <c r="R568" s="0" t="str">
        <f aca="false">IF(C568="success","",IF(E568&gt;0,IF(I568="freshness_within_target","freshness",IF(I568="relationships_intact","relationships",IF(I568="reconciliation_residual_zero","residual",I568))),IF(H568="quality_gate","gate_infra",H568)))</f>
        <v/>
      </c>
    </row>
    <row r="569" customFormat="false" ht="15" hidden="false" customHeight="false" outlineLevel="0" collapsed="false">
      <c r="A569" s="4" t="s">
        <v>2666</v>
      </c>
      <c r="B569" s="10" t="n">
        <v>46267.59375</v>
      </c>
      <c r="C569" s="4" t="s">
        <v>1544</v>
      </c>
      <c r="D569" s="4" t="n">
        <v>737</v>
      </c>
      <c r="E569" s="4" t="n">
        <v>7</v>
      </c>
      <c r="F569" s="4" t="n">
        <v>6</v>
      </c>
      <c r="G569" s="4" t="n">
        <v>0</v>
      </c>
      <c r="J569" s="11" t="b">
        <f aca="false">TRUE()</f>
        <v>1</v>
      </c>
      <c r="K569" s="4" t="s">
        <v>2667</v>
      </c>
      <c r="L569" s="4" t="n">
        <v>4</v>
      </c>
      <c r="M569" s="4" t="n">
        <v>4</v>
      </c>
      <c r="N569" s="4" t="n">
        <v>4</v>
      </c>
      <c r="O569" s="4" t="n">
        <v>4</v>
      </c>
      <c r="P569" s="0" t="str">
        <f aca="false">IF(E569=0,"not_reached",IF(AND(F569&gt;0,G569=0),"allowed","blocked"))</f>
        <v>allowed</v>
      </c>
      <c r="Q569" s="0" t="str">
        <f aca="false">IF(C569="success","published",IF(E569&gt;0,"blocked_at_gate","failed_before_gate"))</f>
        <v>published</v>
      </c>
      <c r="R569" s="0" t="str">
        <f aca="false">IF(C569="success","",IF(E569&gt;0,IF(I569="freshness_within_target","freshness",IF(I569="relationships_intact","relationships",IF(I569="reconciliation_residual_zero","residual",I569))),IF(H569="quality_gate","gate_infra",H569)))</f>
        <v/>
      </c>
    </row>
    <row r="570" customFormat="false" ht="15" hidden="false" customHeight="false" outlineLevel="0" collapsed="false">
      <c r="A570" s="4" t="s">
        <v>2668</v>
      </c>
      <c r="B570" s="10" t="n">
        <v>46267.6354166667</v>
      </c>
      <c r="C570" s="4" t="s">
        <v>1544</v>
      </c>
      <c r="D570" s="4" t="n">
        <v>785</v>
      </c>
      <c r="E570" s="4" t="n">
        <v>7</v>
      </c>
      <c r="F570" s="4" t="n">
        <v>6</v>
      </c>
      <c r="G570" s="4" t="n">
        <v>0</v>
      </c>
      <c r="J570" s="11" t="b">
        <f aca="false">TRUE()</f>
        <v>1</v>
      </c>
      <c r="K570" s="4" t="s">
        <v>2669</v>
      </c>
      <c r="L570" s="4" t="n">
        <v>4</v>
      </c>
      <c r="M570" s="4" t="n">
        <v>4</v>
      </c>
      <c r="N570" s="4" t="n">
        <v>4</v>
      </c>
      <c r="O570" s="4" t="n">
        <v>4</v>
      </c>
      <c r="P570" s="0" t="str">
        <f aca="false">IF(E570=0,"not_reached",IF(AND(F570&gt;0,G570=0),"allowed","blocked"))</f>
        <v>allowed</v>
      </c>
      <c r="Q570" s="0" t="str">
        <f aca="false">IF(C570="success","published",IF(E570&gt;0,"blocked_at_gate","failed_before_gate"))</f>
        <v>published</v>
      </c>
      <c r="R570" s="0" t="str">
        <f aca="false">IF(C570="success","",IF(E570&gt;0,IF(I570="freshness_within_target","freshness",IF(I570="relationships_intact","relationships",IF(I570="reconciliation_residual_zero","residual",I570))),IF(H570="quality_gate","gate_infra",H570)))</f>
        <v/>
      </c>
    </row>
    <row r="571" customFormat="false" ht="15" hidden="false" customHeight="false" outlineLevel="0" collapsed="false">
      <c r="A571" s="4" t="s">
        <v>2670</v>
      </c>
      <c r="B571" s="10" t="n">
        <v>46267.6770833333</v>
      </c>
      <c r="C571" s="4" t="s">
        <v>1544</v>
      </c>
      <c r="D571" s="4" t="n">
        <v>902</v>
      </c>
      <c r="E571" s="4" t="n">
        <v>7</v>
      </c>
      <c r="F571" s="4" t="n">
        <v>6</v>
      </c>
      <c r="G571" s="4" t="n">
        <v>0</v>
      </c>
      <c r="J571" s="11" t="b">
        <f aca="false">TRUE()</f>
        <v>1</v>
      </c>
      <c r="K571" s="4" t="s">
        <v>2671</v>
      </c>
      <c r="L571" s="4" t="n">
        <v>4</v>
      </c>
      <c r="M571" s="4" t="n">
        <v>4</v>
      </c>
      <c r="N571" s="4" t="n">
        <v>4</v>
      </c>
      <c r="O571" s="4" t="n">
        <v>4</v>
      </c>
      <c r="P571" s="0" t="str">
        <f aca="false">IF(E571=0,"not_reached",IF(AND(F571&gt;0,G571=0),"allowed","blocked"))</f>
        <v>allowed</v>
      </c>
      <c r="Q571" s="0" t="str">
        <f aca="false">IF(C571="success","published",IF(E571&gt;0,"blocked_at_gate","failed_before_gate"))</f>
        <v>published</v>
      </c>
      <c r="R571" s="0" t="str">
        <f aca="false">IF(C571="success","",IF(E571&gt;0,IF(I571="freshness_within_target","freshness",IF(I571="relationships_intact","relationships",IF(I571="reconciliation_residual_zero","residual",I571))),IF(H571="quality_gate","gate_infra",H571)))</f>
        <v/>
      </c>
    </row>
    <row r="572" customFormat="false" ht="15" hidden="false" customHeight="false" outlineLevel="0" collapsed="false">
      <c r="A572" s="4" t="s">
        <v>2672</v>
      </c>
      <c r="B572" s="10" t="n">
        <v>46267.71875</v>
      </c>
      <c r="C572" s="4" t="s">
        <v>1544</v>
      </c>
      <c r="D572" s="4" t="n">
        <v>944</v>
      </c>
      <c r="E572" s="4" t="n">
        <v>7</v>
      </c>
      <c r="F572" s="4" t="n">
        <v>6</v>
      </c>
      <c r="G572" s="4" t="n">
        <v>0</v>
      </c>
      <c r="J572" s="11" t="b">
        <f aca="false">TRUE()</f>
        <v>1</v>
      </c>
      <c r="K572" s="4" t="s">
        <v>2673</v>
      </c>
      <c r="L572" s="4" t="n">
        <v>4</v>
      </c>
      <c r="M572" s="4" t="n">
        <v>4</v>
      </c>
      <c r="N572" s="4" t="n">
        <v>4</v>
      </c>
      <c r="O572" s="4" t="n">
        <v>4</v>
      </c>
      <c r="P572" s="0" t="str">
        <f aca="false">IF(E572=0,"not_reached",IF(AND(F572&gt;0,G572=0),"allowed","blocked"))</f>
        <v>allowed</v>
      </c>
      <c r="Q572" s="0" t="str">
        <f aca="false">IF(C572="success","published",IF(E572&gt;0,"blocked_at_gate","failed_before_gate"))</f>
        <v>published</v>
      </c>
      <c r="R572" s="0" t="str">
        <f aca="false">IF(C572="success","",IF(E572&gt;0,IF(I572="freshness_within_target","freshness",IF(I572="relationships_intact","relationships",IF(I572="reconciliation_residual_zero","residual",I572))),IF(H572="quality_gate","gate_infra",H572)))</f>
        <v/>
      </c>
    </row>
    <row r="573" customFormat="false" ht="15" hidden="false" customHeight="false" outlineLevel="0" collapsed="false">
      <c r="A573" s="4" t="s">
        <v>2674</v>
      </c>
      <c r="B573" s="10" t="n">
        <v>46267.7604166667</v>
      </c>
      <c r="C573" s="4" t="s">
        <v>1544</v>
      </c>
      <c r="D573" s="4" t="n">
        <v>947</v>
      </c>
      <c r="E573" s="4" t="n">
        <v>7</v>
      </c>
      <c r="F573" s="4" t="n">
        <v>6</v>
      </c>
      <c r="G573" s="4" t="n">
        <v>0</v>
      </c>
      <c r="J573" s="11" t="b">
        <f aca="false">TRUE()</f>
        <v>1</v>
      </c>
      <c r="K573" s="4" t="s">
        <v>2675</v>
      </c>
      <c r="L573" s="4" t="n">
        <v>4</v>
      </c>
      <c r="M573" s="4" t="n">
        <v>4</v>
      </c>
      <c r="N573" s="4" t="n">
        <v>4</v>
      </c>
      <c r="O573" s="4" t="n">
        <v>4</v>
      </c>
      <c r="P573" s="0" t="str">
        <f aca="false">IF(E573=0,"not_reached",IF(AND(F573&gt;0,G573=0),"allowed","blocked"))</f>
        <v>allowed</v>
      </c>
      <c r="Q573" s="0" t="str">
        <f aca="false">IF(C573="success","published",IF(E573&gt;0,"blocked_at_gate","failed_before_gate"))</f>
        <v>published</v>
      </c>
      <c r="R573" s="0" t="str">
        <f aca="false">IF(C573="success","",IF(E573&gt;0,IF(I573="freshness_within_target","freshness",IF(I573="relationships_intact","relationships",IF(I573="reconciliation_residual_zero","residual",I573))),IF(H573="quality_gate","gate_infra",H573)))</f>
        <v/>
      </c>
    </row>
    <row r="574" customFormat="false" ht="15" hidden="false" customHeight="false" outlineLevel="0" collapsed="false">
      <c r="A574" s="4" t="s">
        <v>2676</v>
      </c>
      <c r="B574" s="10" t="n">
        <v>46267.8020833333</v>
      </c>
      <c r="C574" s="4" t="s">
        <v>1544</v>
      </c>
      <c r="D574" s="4" t="n">
        <v>858</v>
      </c>
      <c r="E574" s="4" t="n">
        <v>7</v>
      </c>
      <c r="F574" s="4" t="n">
        <v>6</v>
      </c>
      <c r="G574" s="4" t="n">
        <v>0</v>
      </c>
      <c r="J574" s="11" t="b">
        <f aca="false">TRUE()</f>
        <v>1</v>
      </c>
      <c r="K574" s="4" t="s">
        <v>2677</v>
      </c>
      <c r="L574" s="4" t="n">
        <v>4</v>
      </c>
      <c r="M574" s="4" t="n">
        <v>4</v>
      </c>
      <c r="N574" s="4" t="n">
        <v>4</v>
      </c>
      <c r="O574" s="4" t="n">
        <v>4</v>
      </c>
      <c r="P574" s="0" t="str">
        <f aca="false">IF(E574=0,"not_reached",IF(AND(F574&gt;0,G574=0),"allowed","blocked"))</f>
        <v>allowed</v>
      </c>
      <c r="Q574" s="0" t="str">
        <f aca="false">IF(C574="success","published",IF(E574&gt;0,"blocked_at_gate","failed_before_gate"))</f>
        <v>published</v>
      </c>
      <c r="R574" s="0" t="str">
        <f aca="false">IF(C574="success","",IF(E574&gt;0,IF(I574="freshness_within_target","freshness",IF(I574="relationships_intact","relationships",IF(I574="reconciliation_residual_zero","residual",I574))),IF(H574="quality_gate","gate_infra",H574)))</f>
        <v/>
      </c>
    </row>
    <row r="575" customFormat="false" ht="15" hidden="false" customHeight="false" outlineLevel="0" collapsed="false">
      <c r="A575" s="4" t="s">
        <v>2678</v>
      </c>
      <c r="B575" s="10" t="n">
        <v>46267.84375</v>
      </c>
      <c r="C575" s="4" t="s">
        <v>1544</v>
      </c>
      <c r="D575" s="4" t="n">
        <v>886</v>
      </c>
      <c r="E575" s="4" t="n">
        <v>7</v>
      </c>
      <c r="F575" s="4" t="n">
        <v>6</v>
      </c>
      <c r="G575" s="4" t="n">
        <v>0</v>
      </c>
      <c r="J575" s="11" t="b">
        <f aca="false">TRUE()</f>
        <v>1</v>
      </c>
      <c r="K575" s="4" t="s">
        <v>2679</v>
      </c>
      <c r="L575" s="4" t="n">
        <v>4</v>
      </c>
      <c r="M575" s="4" t="n">
        <v>4</v>
      </c>
      <c r="N575" s="4" t="n">
        <v>4</v>
      </c>
      <c r="O575" s="4" t="n">
        <v>4</v>
      </c>
      <c r="P575" s="0" t="str">
        <f aca="false">IF(E575=0,"not_reached",IF(AND(F575&gt;0,G575=0),"allowed","blocked"))</f>
        <v>allowed</v>
      </c>
      <c r="Q575" s="0" t="str">
        <f aca="false">IF(C575="success","published",IF(E575&gt;0,"blocked_at_gate","failed_before_gate"))</f>
        <v>published</v>
      </c>
      <c r="R575" s="0" t="str">
        <f aca="false">IF(C575="success","",IF(E575&gt;0,IF(I575="freshness_within_target","freshness",IF(I575="relationships_intact","relationships",IF(I575="reconciliation_residual_zero","residual",I575))),IF(H575="quality_gate","gate_infra",H575)))</f>
        <v/>
      </c>
    </row>
    <row r="576" customFormat="false" ht="15" hidden="false" customHeight="false" outlineLevel="0" collapsed="false">
      <c r="A576" s="4" t="s">
        <v>2680</v>
      </c>
      <c r="B576" s="10" t="n">
        <v>46267.8854166667</v>
      </c>
      <c r="C576" s="4" t="s">
        <v>1901</v>
      </c>
      <c r="D576" s="4" t="n">
        <v>924</v>
      </c>
      <c r="E576" s="4" t="n">
        <v>0</v>
      </c>
      <c r="F576" s="4" t="n">
        <v>0</v>
      </c>
      <c r="G576" s="4" t="n">
        <v>0</v>
      </c>
      <c r="H576" s="4" t="s">
        <v>1954</v>
      </c>
      <c r="J576" s="11" t="b">
        <f aca="false">FALSE()</f>
        <v>0</v>
      </c>
      <c r="L576" s="4" t="n">
        <v>3</v>
      </c>
      <c r="M576" s="4" t="n">
        <v>2</v>
      </c>
      <c r="N576" s="4" t="n">
        <v>5</v>
      </c>
      <c r="O576" s="4" t="n">
        <v>2</v>
      </c>
      <c r="P576" s="0" t="str">
        <f aca="false">IF(E576=0,"not_reached",IF(AND(F576&gt;0,G576=0),"allowed","blocked"))</f>
        <v>not_reached</v>
      </c>
      <c r="Q576" s="0" t="str">
        <f aca="false">IF(C576="success","published",IF(E576&gt;0,"blocked_at_gate","failed_before_gate"))</f>
        <v>failed_before_gate</v>
      </c>
      <c r="R576" s="0" t="str">
        <f aca="false">IF(C576="success","",IF(E576&gt;0,IF(I576="freshness_within_target","freshness",IF(I576="relationships_intact","relationships",IF(I576="reconciliation_residual_zero","residual",I576))),IF(H576="quality_gate","gate_infra",H576)))</f>
        <v>gate_infra</v>
      </c>
    </row>
    <row r="577" customFormat="false" ht="15" hidden="false" customHeight="false" outlineLevel="0" collapsed="false">
      <c r="A577" s="4" t="s">
        <v>2681</v>
      </c>
      <c r="B577" s="10" t="n">
        <v>46267.9270833333</v>
      </c>
      <c r="C577" s="4" t="s">
        <v>1544</v>
      </c>
      <c r="D577" s="4" t="n">
        <v>771</v>
      </c>
      <c r="E577" s="4" t="n">
        <v>7</v>
      </c>
      <c r="F577" s="4" t="n">
        <v>6</v>
      </c>
      <c r="G577" s="4" t="n">
        <v>0</v>
      </c>
      <c r="J577" s="11" t="b">
        <f aca="false">TRUE()</f>
        <v>1</v>
      </c>
      <c r="K577" s="4" t="s">
        <v>2682</v>
      </c>
      <c r="L577" s="4" t="n">
        <v>4</v>
      </c>
      <c r="M577" s="4" t="n">
        <v>4</v>
      </c>
      <c r="N577" s="4" t="n">
        <v>4</v>
      </c>
      <c r="O577" s="4" t="n">
        <v>4</v>
      </c>
      <c r="P577" s="0" t="str">
        <f aca="false">IF(E577=0,"not_reached",IF(AND(F577&gt;0,G577=0),"allowed","blocked"))</f>
        <v>allowed</v>
      </c>
      <c r="Q577" s="0" t="str">
        <f aca="false">IF(C577="success","published",IF(E577&gt;0,"blocked_at_gate","failed_before_gate"))</f>
        <v>published</v>
      </c>
      <c r="R577" s="0" t="str">
        <f aca="false">IF(C577="success","",IF(E577&gt;0,IF(I577="freshness_within_target","freshness",IF(I577="relationships_intact","relationships",IF(I577="reconciliation_residual_zero","residual",I577))),IF(H577="quality_gate","gate_infra",H577)))</f>
        <v/>
      </c>
    </row>
    <row r="578" customFormat="false" ht="15" hidden="false" customHeight="false" outlineLevel="0" collapsed="false">
      <c r="A578" s="4" t="s">
        <v>2683</v>
      </c>
      <c r="B578" s="10" t="n">
        <v>46267.96875</v>
      </c>
      <c r="C578" s="4" t="s">
        <v>1544</v>
      </c>
      <c r="D578" s="4" t="n">
        <v>867</v>
      </c>
      <c r="E578" s="4" t="n">
        <v>7</v>
      </c>
      <c r="F578" s="4" t="n">
        <v>6</v>
      </c>
      <c r="G578" s="4" t="n">
        <v>0</v>
      </c>
      <c r="J578" s="11" t="b">
        <f aca="false">TRUE()</f>
        <v>1</v>
      </c>
      <c r="K578" s="4" t="s">
        <v>2684</v>
      </c>
      <c r="L578" s="4" t="n">
        <v>4</v>
      </c>
      <c r="M578" s="4" t="n">
        <v>4</v>
      </c>
      <c r="N578" s="4" t="n">
        <v>4</v>
      </c>
      <c r="O578" s="4" t="n">
        <v>4</v>
      </c>
      <c r="P578" s="0" t="str">
        <f aca="false">IF(E578=0,"not_reached",IF(AND(F578&gt;0,G578=0),"allowed","blocked"))</f>
        <v>allowed</v>
      </c>
      <c r="Q578" s="0" t="str">
        <f aca="false">IF(C578="success","published",IF(E578&gt;0,"blocked_at_gate","failed_before_gate"))</f>
        <v>published</v>
      </c>
      <c r="R578" s="0" t="str">
        <f aca="false">IF(C578="success","",IF(E578&gt;0,IF(I578="freshness_within_target","freshness",IF(I578="relationships_intact","relationships",IF(I578="reconciliation_residual_zero","residual",I578))),IF(H578="quality_gate","gate_infra",H578)))</f>
        <v/>
      </c>
    </row>
    <row r="579" customFormat="false" ht="15" hidden="false" customHeight="false" outlineLevel="0" collapsed="false">
      <c r="A579" s="4" t="s">
        <v>2685</v>
      </c>
      <c r="B579" s="10" t="n">
        <v>46268.0104166667</v>
      </c>
      <c r="C579" s="4" t="s">
        <v>1544</v>
      </c>
      <c r="D579" s="4" t="n">
        <v>760</v>
      </c>
      <c r="E579" s="4" t="n">
        <v>7</v>
      </c>
      <c r="F579" s="4" t="n">
        <v>6</v>
      </c>
      <c r="G579" s="4" t="n">
        <v>0</v>
      </c>
      <c r="J579" s="11" t="b">
        <f aca="false">TRUE()</f>
        <v>1</v>
      </c>
      <c r="K579" s="4" t="s">
        <v>2686</v>
      </c>
      <c r="L579" s="4" t="n">
        <v>4</v>
      </c>
      <c r="M579" s="4" t="n">
        <v>4</v>
      </c>
      <c r="N579" s="4" t="n">
        <v>4</v>
      </c>
      <c r="O579" s="4" t="n">
        <v>4</v>
      </c>
      <c r="P579" s="0" t="str">
        <f aca="false">IF(E579=0,"not_reached",IF(AND(F579&gt;0,G579=0),"allowed","blocked"))</f>
        <v>allowed</v>
      </c>
      <c r="Q579" s="0" t="str">
        <f aca="false">IF(C579="success","published",IF(E579&gt;0,"blocked_at_gate","failed_before_gate"))</f>
        <v>published</v>
      </c>
      <c r="R579" s="0" t="str">
        <f aca="false">IF(C579="success","",IF(E579&gt;0,IF(I579="freshness_within_target","freshness",IF(I579="relationships_intact","relationships",IF(I579="reconciliation_residual_zero","residual",I579))),IF(H579="quality_gate","gate_infra",H579)))</f>
        <v/>
      </c>
    </row>
    <row r="580" customFormat="false" ht="15" hidden="false" customHeight="false" outlineLevel="0" collapsed="false">
      <c r="A580" s="4" t="s">
        <v>2687</v>
      </c>
      <c r="B580" s="10" t="n">
        <v>46268.0520833333</v>
      </c>
      <c r="C580" s="4" t="s">
        <v>1544</v>
      </c>
      <c r="D580" s="4" t="n">
        <v>720</v>
      </c>
      <c r="E580" s="4" t="n">
        <v>7</v>
      </c>
      <c r="F580" s="4" t="n">
        <v>6</v>
      </c>
      <c r="G580" s="4" t="n">
        <v>0</v>
      </c>
      <c r="J580" s="11" t="b">
        <f aca="false">TRUE()</f>
        <v>1</v>
      </c>
      <c r="K580" s="4" t="s">
        <v>2688</v>
      </c>
      <c r="L580" s="4" t="n">
        <v>4</v>
      </c>
      <c r="M580" s="4" t="n">
        <v>4</v>
      </c>
      <c r="N580" s="4" t="n">
        <v>4</v>
      </c>
      <c r="O580" s="4" t="n">
        <v>4</v>
      </c>
      <c r="P580" s="0" t="str">
        <f aca="false">IF(E580=0,"not_reached",IF(AND(F580&gt;0,G580=0),"allowed","blocked"))</f>
        <v>allowed</v>
      </c>
      <c r="Q580" s="0" t="str">
        <f aca="false">IF(C580="success","published",IF(E580&gt;0,"blocked_at_gate","failed_before_gate"))</f>
        <v>published</v>
      </c>
      <c r="R580" s="0" t="str">
        <f aca="false">IF(C580="success","",IF(E580&gt;0,IF(I580="freshness_within_target","freshness",IF(I580="relationships_intact","relationships",IF(I580="reconciliation_residual_zero","residual",I580))),IF(H580="quality_gate","gate_infra",H580)))</f>
        <v/>
      </c>
    </row>
    <row r="581" customFormat="false" ht="15" hidden="false" customHeight="false" outlineLevel="0" collapsed="false">
      <c r="A581" s="4" t="s">
        <v>2689</v>
      </c>
      <c r="B581" s="10" t="n">
        <v>46268.09375</v>
      </c>
      <c r="C581" s="4" t="s">
        <v>1544</v>
      </c>
      <c r="D581" s="4" t="n">
        <v>811</v>
      </c>
      <c r="E581" s="4" t="n">
        <v>7</v>
      </c>
      <c r="F581" s="4" t="n">
        <v>6</v>
      </c>
      <c r="G581" s="4" t="n">
        <v>0</v>
      </c>
      <c r="J581" s="11" t="b">
        <f aca="false">TRUE()</f>
        <v>1</v>
      </c>
      <c r="K581" s="4" t="s">
        <v>2690</v>
      </c>
      <c r="L581" s="4" t="n">
        <v>4</v>
      </c>
      <c r="M581" s="4" t="n">
        <v>4</v>
      </c>
      <c r="N581" s="4" t="n">
        <v>4</v>
      </c>
      <c r="O581" s="4" t="n">
        <v>4</v>
      </c>
      <c r="P581" s="0" t="str">
        <f aca="false">IF(E581=0,"not_reached",IF(AND(F581&gt;0,G581=0),"allowed","blocked"))</f>
        <v>allowed</v>
      </c>
      <c r="Q581" s="0" t="str">
        <f aca="false">IF(C581="success","published",IF(E581&gt;0,"blocked_at_gate","failed_before_gate"))</f>
        <v>published</v>
      </c>
      <c r="R581" s="0" t="str">
        <f aca="false">IF(C581="success","",IF(E581&gt;0,IF(I581="freshness_within_target","freshness",IF(I581="relationships_intact","relationships",IF(I581="reconciliation_residual_zero","residual",I581))),IF(H581="quality_gate","gate_infra",H581)))</f>
        <v/>
      </c>
    </row>
    <row r="582" customFormat="false" ht="15" hidden="false" customHeight="false" outlineLevel="0" collapsed="false">
      <c r="A582" s="4" t="s">
        <v>2691</v>
      </c>
      <c r="B582" s="10" t="n">
        <v>46268.1354166667</v>
      </c>
      <c r="C582" s="4" t="s">
        <v>1544</v>
      </c>
      <c r="D582" s="4" t="n">
        <v>857</v>
      </c>
      <c r="E582" s="4" t="n">
        <v>7</v>
      </c>
      <c r="F582" s="4" t="n">
        <v>6</v>
      </c>
      <c r="G582" s="4" t="n">
        <v>0</v>
      </c>
      <c r="J582" s="11" t="b">
        <f aca="false">TRUE()</f>
        <v>1</v>
      </c>
      <c r="K582" s="4" t="s">
        <v>2692</v>
      </c>
      <c r="L582" s="4" t="n">
        <v>4</v>
      </c>
      <c r="M582" s="4" t="n">
        <v>4</v>
      </c>
      <c r="N582" s="4" t="n">
        <v>4</v>
      </c>
      <c r="O582" s="4" t="n">
        <v>4</v>
      </c>
      <c r="P582" s="0" t="str">
        <f aca="false">IF(E582=0,"not_reached",IF(AND(F582&gt;0,G582=0),"allowed","blocked"))</f>
        <v>allowed</v>
      </c>
      <c r="Q582" s="0" t="str">
        <f aca="false">IF(C582="success","published",IF(E582&gt;0,"blocked_at_gate","failed_before_gate"))</f>
        <v>published</v>
      </c>
      <c r="R582" s="0" t="str">
        <f aca="false">IF(C582="success","",IF(E582&gt;0,IF(I582="freshness_within_target","freshness",IF(I582="relationships_intact","relationships",IF(I582="reconciliation_residual_zero","residual",I582))),IF(H582="quality_gate","gate_infra",H582)))</f>
        <v/>
      </c>
    </row>
    <row r="583" customFormat="false" ht="15" hidden="false" customHeight="false" outlineLevel="0" collapsed="false">
      <c r="A583" s="4" t="s">
        <v>2693</v>
      </c>
      <c r="B583" s="10" t="n">
        <v>46268.1770833333</v>
      </c>
      <c r="C583" s="4" t="s">
        <v>1544</v>
      </c>
      <c r="D583" s="4" t="n">
        <v>812</v>
      </c>
      <c r="E583" s="4" t="n">
        <v>7</v>
      </c>
      <c r="F583" s="4" t="n">
        <v>6</v>
      </c>
      <c r="G583" s="4" t="n">
        <v>0</v>
      </c>
      <c r="J583" s="11" t="b">
        <f aca="false">TRUE()</f>
        <v>1</v>
      </c>
      <c r="K583" s="4" t="s">
        <v>2694</v>
      </c>
      <c r="L583" s="4" t="n">
        <v>4</v>
      </c>
      <c r="M583" s="4" t="n">
        <v>4</v>
      </c>
      <c r="N583" s="4" t="n">
        <v>4</v>
      </c>
      <c r="O583" s="4" t="n">
        <v>4</v>
      </c>
      <c r="P583" s="0" t="str">
        <f aca="false">IF(E583=0,"not_reached",IF(AND(F583&gt;0,G583=0),"allowed","blocked"))</f>
        <v>allowed</v>
      </c>
      <c r="Q583" s="0" t="str">
        <f aca="false">IF(C583="success","published",IF(E583&gt;0,"blocked_at_gate","failed_before_gate"))</f>
        <v>published</v>
      </c>
      <c r="R583" s="0" t="str">
        <f aca="false">IF(C583="success","",IF(E583&gt;0,IF(I583="freshness_within_target","freshness",IF(I583="relationships_intact","relationships",IF(I583="reconciliation_residual_zero","residual",I583))),IF(H583="quality_gate","gate_infra",H583)))</f>
        <v/>
      </c>
    </row>
    <row r="584" customFormat="false" ht="15" hidden="false" customHeight="false" outlineLevel="0" collapsed="false">
      <c r="A584" s="4" t="s">
        <v>2695</v>
      </c>
      <c r="B584" s="10" t="n">
        <v>46268.21875</v>
      </c>
      <c r="C584" s="4" t="s">
        <v>1544</v>
      </c>
      <c r="D584" s="4" t="n">
        <v>903</v>
      </c>
      <c r="E584" s="4" t="n">
        <v>7</v>
      </c>
      <c r="F584" s="4" t="n">
        <v>6</v>
      </c>
      <c r="G584" s="4" t="n">
        <v>0</v>
      </c>
      <c r="J584" s="11" t="b">
        <f aca="false">TRUE()</f>
        <v>1</v>
      </c>
      <c r="K584" s="4" t="s">
        <v>2696</v>
      </c>
      <c r="L584" s="4" t="n">
        <v>4</v>
      </c>
      <c r="M584" s="4" t="n">
        <v>4</v>
      </c>
      <c r="N584" s="4" t="n">
        <v>4</v>
      </c>
      <c r="O584" s="4" t="n">
        <v>4</v>
      </c>
      <c r="P584" s="0" t="str">
        <f aca="false">IF(E584=0,"not_reached",IF(AND(F584&gt;0,G584=0),"allowed","blocked"))</f>
        <v>allowed</v>
      </c>
      <c r="Q584" s="0" t="str">
        <f aca="false">IF(C584="success","published",IF(E584&gt;0,"blocked_at_gate","failed_before_gate"))</f>
        <v>published</v>
      </c>
      <c r="R584" s="0" t="str">
        <f aca="false">IF(C584="success","",IF(E584&gt;0,IF(I584="freshness_within_target","freshness",IF(I584="relationships_intact","relationships",IF(I584="reconciliation_residual_zero","residual",I584))),IF(H584="quality_gate","gate_infra",H584)))</f>
        <v/>
      </c>
    </row>
    <row r="585" customFormat="false" ht="15" hidden="false" customHeight="false" outlineLevel="0" collapsed="false">
      <c r="A585" s="4" t="s">
        <v>2697</v>
      </c>
      <c r="B585" s="10" t="n">
        <v>46268.2604166667</v>
      </c>
      <c r="C585" s="4" t="s">
        <v>1544</v>
      </c>
      <c r="D585" s="4" t="n">
        <v>801</v>
      </c>
      <c r="E585" s="4" t="n">
        <v>7</v>
      </c>
      <c r="F585" s="4" t="n">
        <v>6</v>
      </c>
      <c r="G585" s="4" t="n">
        <v>0</v>
      </c>
      <c r="J585" s="11" t="b">
        <f aca="false">TRUE()</f>
        <v>1</v>
      </c>
      <c r="K585" s="4" t="s">
        <v>2698</v>
      </c>
      <c r="L585" s="4" t="n">
        <v>4</v>
      </c>
      <c r="M585" s="4" t="n">
        <v>4</v>
      </c>
      <c r="N585" s="4" t="n">
        <v>4</v>
      </c>
      <c r="O585" s="4" t="n">
        <v>4</v>
      </c>
      <c r="P585" s="0" t="str">
        <f aca="false">IF(E585=0,"not_reached",IF(AND(F585&gt;0,G585=0),"allowed","blocked"))</f>
        <v>allowed</v>
      </c>
      <c r="Q585" s="0" t="str">
        <f aca="false">IF(C585="success","published",IF(E585&gt;0,"blocked_at_gate","failed_before_gate"))</f>
        <v>published</v>
      </c>
      <c r="R585" s="0" t="str">
        <f aca="false">IF(C585="success","",IF(E585&gt;0,IF(I585="freshness_within_target","freshness",IF(I585="relationships_intact","relationships",IF(I585="reconciliation_residual_zero","residual",I585))),IF(H585="quality_gate","gate_infra",H585)))</f>
        <v/>
      </c>
    </row>
    <row r="586" customFormat="false" ht="15" hidden="false" customHeight="false" outlineLevel="0" collapsed="false">
      <c r="A586" s="4" t="s">
        <v>2699</v>
      </c>
      <c r="B586" s="10" t="n">
        <v>46268.3020833333</v>
      </c>
      <c r="C586" s="4" t="s">
        <v>1544</v>
      </c>
      <c r="D586" s="4" t="n">
        <v>755</v>
      </c>
      <c r="E586" s="4" t="n">
        <v>7</v>
      </c>
      <c r="F586" s="4" t="n">
        <v>6</v>
      </c>
      <c r="G586" s="4" t="n">
        <v>0</v>
      </c>
      <c r="J586" s="11" t="b">
        <f aca="false">TRUE()</f>
        <v>1</v>
      </c>
      <c r="K586" s="4" t="s">
        <v>2700</v>
      </c>
      <c r="L586" s="4" t="n">
        <v>4</v>
      </c>
      <c r="M586" s="4" t="n">
        <v>4</v>
      </c>
      <c r="N586" s="4" t="n">
        <v>4</v>
      </c>
      <c r="O586" s="4" t="n">
        <v>4</v>
      </c>
      <c r="P586" s="0" t="str">
        <f aca="false">IF(E586=0,"not_reached",IF(AND(F586&gt;0,G586=0),"allowed","blocked"))</f>
        <v>allowed</v>
      </c>
      <c r="Q586" s="0" t="str">
        <f aca="false">IF(C586="success","published",IF(E586&gt;0,"blocked_at_gate","failed_before_gate"))</f>
        <v>published</v>
      </c>
      <c r="R586" s="0" t="str">
        <f aca="false">IF(C586="success","",IF(E586&gt;0,IF(I586="freshness_within_target","freshness",IF(I586="relationships_intact","relationships",IF(I586="reconciliation_residual_zero","residual",I586))),IF(H586="quality_gate","gate_infra",H586)))</f>
        <v/>
      </c>
    </row>
    <row r="587" customFormat="false" ht="15" hidden="false" customHeight="false" outlineLevel="0" collapsed="false">
      <c r="A587" s="4" t="s">
        <v>2701</v>
      </c>
      <c r="B587" s="10" t="n">
        <v>46268.34375</v>
      </c>
      <c r="C587" s="4" t="s">
        <v>1544</v>
      </c>
      <c r="D587" s="4" t="n">
        <v>871</v>
      </c>
      <c r="E587" s="4" t="n">
        <v>7</v>
      </c>
      <c r="F587" s="4" t="n">
        <v>6</v>
      </c>
      <c r="G587" s="4" t="n">
        <v>0</v>
      </c>
      <c r="J587" s="11" t="b">
        <f aca="false">TRUE()</f>
        <v>1</v>
      </c>
      <c r="K587" s="4" t="s">
        <v>2702</v>
      </c>
      <c r="L587" s="4" t="n">
        <v>4</v>
      </c>
      <c r="M587" s="4" t="n">
        <v>4</v>
      </c>
      <c r="N587" s="4" t="n">
        <v>4</v>
      </c>
      <c r="O587" s="4" t="n">
        <v>4</v>
      </c>
      <c r="P587" s="0" t="str">
        <f aca="false">IF(E587=0,"not_reached",IF(AND(F587&gt;0,G587=0),"allowed","blocked"))</f>
        <v>allowed</v>
      </c>
      <c r="Q587" s="0" t="str">
        <f aca="false">IF(C587="success","published",IF(E587&gt;0,"blocked_at_gate","failed_before_gate"))</f>
        <v>published</v>
      </c>
      <c r="R587" s="0" t="str">
        <f aca="false">IF(C587="success","",IF(E587&gt;0,IF(I587="freshness_within_target","freshness",IF(I587="relationships_intact","relationships",IF(I587="reconciliation_residual_zero","residual",I587))),IF(H587="quality_gate","gate_infra",H587)))</f>
        <v/>
      </c>
    </row>
    <row r="588" customFormat="false" ht="15" hidden="false" customHeight="false" outlineLevel="0" collapsed="false">
      <c r="A588" s="4" t="s">
        <v>2703</v>
      </c>
      <c r="B588" s="10" t="n">
        <v>46268.3854166667</v>
      </c>
      <c r="C588" s="4" t="s">
        <v>1544</v>
      </c>
      <c r="D588" s="4" t="n">
        <v>825</v>
      </c>
      <c r="E588" s="4" t="n">
        <v>7</v>
      </c>
      <c r="F588" s="4" t="n">
        <v>6</v>
      </c>
      <c r="G588" s="4" t="n">
        <v>0</v>
      </c>
      <c r="J588" s="11" t="b">
        <f aca="false">TRUE()</f>
        <v>1</v>
      </c>
      <c r="K588" s="4" t="s">
        <v>2704</v>
      </c>
      <c r="L588" s="4" t="n">
        <v>4</v>
      </c>
      <c r="M588" s="4" t="n">
        <v>4</v>
      </c>
      <c r="N588" s="4" t="n">
        <v>4</v>
      </c>
      <c r="O588" s="4" t="n">
        <v>4</v>
      </c>
      <c r="P588" s="0" t="str">
        <f aca="false">IF(E588=0,"not_reached",IF(AND(F588&gt;0,G588=0),"allowed","blocked"))</f>
        <v>allowed</v>
      </c>
      <c r="Q588" s="0" t="str">
        <f aca="false">IF(C588="success","published",IF(E588&gt;0,"blocked_at_gate","failed_before_gate"))</f>
        <v>published</v>
      </c>
      <c r="R588" s="0" t="str">
        <f aca="false">IF(C588="success","",IF(E588&gt;0,IF(I588="freshness_within_target","freshness",IF(I588="relationships_intact","relationships",IF(I588="reconciliation_residual_zero","residual",I588))),IF(H588="quality_gate","gate_infra",H588)))</f>
        <v/>
      </c>
    </row>
    <row r="589" customFormat="false" ht="15" hidden="false" customHeight="false" outlineLevel="0" collapsed="false">
      <c r="A589" s="4" t="s">
        <v>2705</v>
      </c>
      <c r="B589" s="10" t="n">
        <v>46268.4270833333</v>
      </c>
      <c r="C589" s="4" t="s">
        <v>1544</v>
      </c>
      <c r="D589" s="4" t="n">
        <v>749</v>
      </c>
      <c r="E589" s="4" t="n">
        <v>7</v>
      </c>
      <c r="F589" s="4" t="n">
        <v>6</v>
      </c>
      <c r="G589" s="4" t="n">
        <v>0</v>
      </c>
      <c r="J589" s="11" t="b">
        <f aca="false">TRUE()</f>
        <v>1</v>
      </c>
      <c r="K589" s="4" t="s">
        <v>2706</v>
      </c>
      <c r="L589" s="4" t="n">
        <v>4</v>
      </c>
      <c r="M589" s="4" t="n">
        <v>4</v>
      </c>
      <c r="N589" s="4" t="n">
        <v>4</v>
      </c>
      <c r="O589" s="4" t="n">
        <v>4</v>
      </c>
      <c r="P589" s="0" t="str">
        <f aca="false">IF(E589=0,"not_reached",IF(AND(F589&gt;0,G589=0),"allowed","blocked"))</f>
        <v>allowed</v>
      </c>
      <c r="Q589" s="0" t="str">
        <f aca="false">IF(C589="success","published",IF(E589&gt;0,"blocked_at_gate","failed_before_gate"))</f>
        <v>published</v>
      </c>
      <c r="R589" s="0" t="str">
        <f aca="false">IF(C589="success","",IF(E589&gt;0,IF(I589="freshness_within_target","freshness",IF(I589="relationships_intact","relationships",IF(I589="reconciliation_residual_zero","residual",I589))),IF(H589="quality_gate","gate_infra",H589)))</f>
        <v/>
      </c>
    </row>
    <row r="590" customFormat="false" ht="15" hidden="false" customHeight="false" outlineLevel="0" collapsed="false">
      <c r="A590" s="4" t="s">
        <v>2707</v>
      </c>
      <c r="B590" s="10" t="n">
        <v>46268.46875</v>
      </c>
      <c r="C590" s="4" t="s">
        <v>1544</v>
      </c>
      <c r="D590" s="4" t="n">
        <v>675</v>
      </c>
      <c r="E590" s="4" t="n">
        <v>7</v>
      </c>
      <c r="F590" s="4" t="n">
        <v>6</v>
      </c>
      <c r="G590" s="4" t="n">
        <v>0</v>
      </c>
      <c r="J590" s="11" t="b">
        <f aca="false">TRUE()</f>
        <v>1</v>
      </c>
      <c r="K590" s="4" t="s">
        <v>2708</v>
      </c>
      <c r="L590" s="4" t="n">
        <v>4</v>
      </c>
      <c r="M590" s="4" t="n">
        <v>4</v>
      </c>
      <c r="N590" s="4" t="n">
        <v>4</v>
      </c>
      <c r="O590" s="4" t="n">
        <v>4</v>
      </c>
      <c r="P590" s="0" t="str">
        <f aca="false">IF(E590=0,"not_reached",IF(AND(F590&gt;0,G590=0),"allowed","blocked"))</f>
        <v>allowed</v>
      </c>
      <c r="Q590" s="0" t="str">
        <f aca="false">IF(C590="success","published",IF(E590&gt;0,"blocked_at_gate","failed_before_gate"))</f>
        <v>published</v>
      </c>
      <c r="R590" s="0" t="str">
        <f aca="false">IF(C590="success","",IF(E590&gt;0,IF(I590="freshness_within_target","freshness",IF(I590="relationships_intact","relationships",IF(I590="reconciliation_residual_zero","residual",I590))),IF(H590="quality_gate","gate_infra",H590)))</f>
        <v/>
      </c>
    </row>
    <row r="591" customFormat="false" ht="15" hidden="false" customHeight="false" outlineLevel="0" collapsed="false">
      <c r="A591" s="4" t="s">
        <v>2709</v>
      </c>
      <c r="B591" s="10" t="n">
        <v>46268.5104166667</v>
      </c>
      <c r="C591" s="4" t="s">
        <v>1544</v>
      </c>
      <c r="D591" s="4" t="n">
        <v>797</v>
      </c>
      <c r="E591" s="4" t="n">
        <v>7</v>
      </c>
      <c r="F591" s="4" t="n">
        <v>6</v>
      </c>
      <c r="G591" s="4" t="n">
        <v>0</v>
      </c>
      <c r="J591" s="11" t="b">
        <f aca="false">TRUE()</f>
        <v>1</v>
      </c>
      <c r="K591" s="4" t="s">
        <v>2710</v>
      </c>
      <c r="L591" s="4" t="n">
        <v>4</v>
      </c>
      <c r="M591" s="4" t="n">
        <v>4</v>
      </c>
      <c r="N591" s="4" t="n">
        <v>4</v>
      </c>
      <c r="O591" s="4" t="n">
        <v>4</v>
      </c>
      <c r="P591" s="0" t="str">
        <f aca="false">IF(E591=0,"not_reached",IF(AND(F591&gt;0,G591=0),"allowed","blocked"))</f>
        <v>allowed</v>
      </c>
      <c r="Q591" s="0" t="str">
        <f aca="false">IF(C591="success","published",IF(E591&gt;0,"blocked_at_gate","failed_before_gate"))</f>
        <v>published</v>
      </c>
      <c r="R591" s="0" t="str">
        <f aca="false">IF(C591="success","",IF(E591&gt;0,IF(I591="freshness_within_target","freshness",IF(I591="relationships_intact","relationships",IF(I591="reconciliation_residual_zero","residual",I591))),IF(H591="quality_gate","gate_infra",H591)))</f>
        <v/>
      </c>
    </row>
    <row r="592" customFormat="false" ht="15" hidden="false" customHeight="false" outlineLevel="0" collapsed="false">
      <c r="A592" s="4" t="s">
        <v>2711</v>
      </c>
      <c r="B592" s="10" t="n">
        <v>46268.5520833333</v>
      </c>
      <c r="C592" s="4" t="s">
        <v>1544</v>
      </c>
      <c r="D592" s="4" t="n">
        <v>807</v>
      </c>
      <c r="E592" s="4" t="n">
        <v>7</v>
      </c>
      <c r="F592" s="4" t="n">
        <v>6</v>
      </c>
      <c r="G592" s="4" t="n">
        <v>0</v>
      </c>
      <c r="J592" s="11" t="b">
        <f aca="false">TRUE()</f>
        <v>1</v>
      </c>
      <c r="K592" s="4" t="s">
        <v>2712</v>
      </c>
      <c r="L592" s="4" t="n">
        <v>4</v>
      </c>
      <c r="M592" s="4" t="n">
        <v>4</v>
      </c>
      <c r="N592" s="4" t="n">
        <v>4</v>
      </c>
      <c r="O592" s="4" t="n">
        <v>4</v>
      </c>
      <c r="P592" s="0" t="str">
        <f aca="false">IF(E592=0,"not_reached",IF(AND(F592&gt;0,G592=0),"allowed","blocked"))</f>
        <v>allowed</v>
      </c>
      <c r="Q592" s="0" t="str">
        <f aca="false">IF(C592="success","published",IF(E592&gt;0,"blocked_at_gate","failed_before_gate"))</f>
        <v>published</v>
      </c>
      <c r="R592" s="0" t="str">
        <f aca="false">IF(C592="success","",IF(E592&gt;0,IF(I592="freshness_within_target","freshness",IF(I592="relationships_intact","relationships",IF(I592="reconciliation_residual_zero","residual",I592))),IF(H592="quality_gate","gate_infra",H592)))</f>
        <v/>
      </c>
    </row>
    <row r="593" customFormat="false" ht="15" hidden="false" customHeight="false" outlineLevel="0" collapsed="false">
      <c r="A593" s="4" t="s">
        <v>2713</v>
      </c>
      <c r="B593" s="10" t="n">
        <v>46268.59375</v>
      </c>
      <c r="C593" s="4" t="s">
        <v>1544</v>
      </c>
      <c r="D593" s="4" t="n">
        <v>864</v>
      </c>
      <c r="E593" s="4" t="n">
        <v>7</v>
      </c>
      <c r="F593" s="4" t="n">
        <v>6</v>
      </c>
      <c r="G593" s="4" t="n">
        <v>0</v>
      </c>
      <c r="J593" s="11" t="b">
        <f aca="false">TRUE()</f>
        <v>1</v>
      </c>
      <c r="K593" s="4" t="s">
        <v>2714</v>
      </c>
      <c r="L593" s="4" t="n">
        <v>4</v>
      </c>
      <c r="M593" s="4" t="n">
        <v>4</v>
      </c>
      <c r="N593" s="4" t="n">
        <v>4</v>
      </c>
      <c r="O593" s="4" t="n">
        <v>4</v>
      </c>
      <c r="P593" s="0" t="str">
        <f aca="false">IF(E593=0,"not_reached",IF(AND(F593&gt;0,G593=0),"allowed","blocked"))</f>
        <v>allowed</v>
      </c>
      <c r="Q593" s="0" t="str">
        <f aca="false">IF(C593="success","published",IF(E593&gt;0,"blocked_at_gate","failed_before_gate"))</f>
        <v>published</v>
      </c>
      <c r="R593" s="0" t="str">
        <f aca="false">IF(C593="success","",IF(E593&gt;0,IF(I593="freshness_within_target","freshness",IF(I593="relationships_intact","relationships",IF(I593="reconciliation_residual_zero","residual",I593))),IF(H593="quality_gate","gate_infra",H593)))</f>
        <v/>
      </c>
    </row>
    <row r="594" customFormat="false" ht="15" hidden="false" customHeight="false" outlineLevel="0" collapsed="false">
      <c r="A594" s="4" t="s">
        <v>2715</v>
      </c>
      <c r="B594" s="10" t="n">
        <v>46268.6354166667</v>
      </c>
      <c r="C594" s="4" t="s">
        <v>1544</v>
      </c>
      <c r="D594" s="4" t="n">
        <v>1083</v>
      </c>
      <c r="E594" s="4" t="n">
        <v>7</v>
      </c>
      <c r="F594" s="4" t="n">
        <v>6</v>
      </c>
      <c r="G594" s="4" t="n">
        <v>0</v>
      </c>
      <c r="J594" s="11" t="b">
        <f aca="false">TRUE()</f>
        <v>1</v>
      </c>
      <c r="K594" s="4" t="s">
        <v>2716</v>
      </c>
      <c r="L594" s="4" t="n">
        <v>4</v>
      </c>
      <c r="M594" s="4" t="n">
        <v>4</v>
      </c>
      <c r="N594" s="4" t="n">
        <v>5</v>
      </c>
      <c r="O594" s="4" t="n">
        <v>4</v>
      </c>
      <c r="P594" s="0" t="str">
        <f aca="false">IF(E594=0,"not_reached",IF(AND(F594&gt;0,G594=0),"allowed","blocked"))</f>
        <v>allowed</v>
      </c>
      <c r="Q594" s="0" t="str">
        <f aca="false">IF(C594="success","published",IF(E594&gt;0,"blocked_at_gate","failed_before_gate"))</f>
        <v>published</v>
      </c>
      <c r="R594" s="0" t="str">
        <f aca="false">IF(C594="success","",IF(E594&gt;0,IF(I594="freshness_within_target","freshness",IF(I594="relationships_intact","relationships",IF(I594="reconciliation_residual_zero","residual",I594))),IF(H594="quality_gate","gate_infra",H594)))</f>
        <v/>
      </c>
    </row>
    <row r="595" customFormat="false" ht="15" hidden="false" customHeight="false" outlineLevel="0" collapsed="false">
      <c r="A595" s="4" t="s">
        <v>2717</v>
      </c>
      <c r="B595" s="10" t="n">
        <v>46268.6770833333</v>
      </c>
      <c r="C595" s="4" t="s">
        <v>1544</v>
      </c>
      <c r="D595" s="4" t="n">
        <v>843</v>
      </c>
      <c r="E595" s="4" t="n">
        <v>7</v>
      </c>
      <c r="F595" s="4" t="n">
        <v>6</v>
      </c>
      <c r="G595" s="4" t="n">
        <v>0</v>
      </c>
      <c r="J595" s="11" t="b">
        <f aca="false">TRUE()</f>
        <v>1</v>
      </c>
      <c r="K595" s="4" t="s">
        <v>2718</v>
      </c>
      <c r="L595" s="4" t="n">
        <v>4</v>
      </c>
      <c r="M595" s="4" t="n">
        <v>4</v>
      </c>
      <c r="N595" s="4" t="n">
        <v>4</v>
      </c>
      <c r="O595" s="4" t="n">
        <v>4</v>
      </c>
      <c r="P595" s="0" t="str">
        <f aca="false">IF(E595=0,"not_reached",IF(AND(F595&gt;0,G595=0),"allowed","blocked"))</f>
        <v>allowed</v>
      </c>
      <c r="Q595" s="0" t="str">
        <f aca="false">IF(C595="success","published",IF(E595&gt;0,"blocked_at_gate","failed_before_gate"))</f>
        <v>published</v>
      </c>
      <c r="R595" s="0" t="str">
        <f aca="false">IF(C595="success","",IF(E595&gt;0,IF(I595="freshness_within_target","freshness",IF(I595="relationships_intact","relationships",IF(I595="reconciliation_residual_zero","residual",I595))),IF(H595="quality_gate","gate_infra",H595)))</f>
        <v/>
      </c>
    </row>
    <row r="596" customFormat="false" ht="15" hidden="false" customHeight="false" outlineLevel="0" collapsed="false">
      <c r="A596" s="4" t="s">
        <v>2719</v>
      </c>
      <c r="B596" s="10" t="n">
        <v>46268.71875</v>
      </c>
      <c r="C596" s="4" t="s">
        <v>1544</v>
      </c>
      <c r="D596" s="4" t="n">
        <v>864</v>
      </c>
      <c r="E596" s="4" t="n">
        <v>7</v>
      </c>
      <c r="F596" s="4" t="n">
        <v>6</v>
      </c>
      <c r="G596" s="4" t="n">
        <v>0</v>
      </c>
      <c r="J596" s="11" t="b">
        <f aca="false">TRUE()</f>
        <v>1</v>
      </c>
      <c r="K596" s="4" t="s">
        <v>2720</v>
      </c>
      <c r="L596" s="4" t="n">
        <v>4</v>
      </c>
      <c r="M596" s="4" t="n">
        <v>4</v>
      </c>
      <c r="N596" s="4" t="n">
        <v>4</v>
      </c>
      <c r="O596" s="4" t="n">
        <v>4</v>
      </c>
      <c r="P596" s="0" t="str">
        <f aca="false">IF(E596=0,"not_reached",IF(AND(F596&gt;0,G596=0),"allowed","blocked"))</f>
        <v>allowed</v>
      </c>
      <c r="Q596" s="0" t="str">
        <f aca="false">IF(C596="success","published",IF(E596&gt;0,"blocked_at_gate","failed_before_gate"))</f>
        <v>published</v>
      </c>
      <c r="R596" s="0" t="str">
        <f aca="false">IF(C596="success","",IF(E596&gt;0,IF(I596="freshness_within_target","freshness",IF(I596="relationships_intact","relationships",IF(I596="reconciliation_residual_zero","residual",I596))),IF(H596="quality_gate","gate_infra",H596)))</f>
        <v/>
      </c>
    </row>
    <row r="597" customFormat="false" ht="15" hidden="false" customHeight="false" outlineLevel="0" collapsed="false">
      <c r="A597" s="4" t="s">
        <v>2721</v>
      </c>
      <c r="B597" s="10" t="n">
        <v>46268.7604166667</v>
      </c>
      <c r="C597" s="4" t="s">
        <v>1544</v>
      </c>
      <c r="D597" s="4" t="n">
        <v>864</v>
      </c>
      <c r="E597" s="4" t="n">
        <v>7</v>
      </c>
      <c r="F597" s="4" t="n">
        <v>6</v>
      </c>
      <c r="G597" s="4" t="n">
        <v>0</v>
      </c>
      <c r="J597" s="11" t="b">
        <f aca="false">TRUE()</f>
        <v>1</v>
      </c>
      <c r="K597" s="4" t="s">
        <v>2722</v>
      </c>
      <c r="L597" s="4" t="n">
        <v>4</v>
      </c>
      <c r="M597" s="4" t="n">
        <v>4</v>
      </c>
      <c r="N597" s="4" t="n">
        <v>4</v>
      </c>
      <c r="O597" s="4" t="n">
        <v>4</v>
      </c>
      <c r="P597" s="0" t="str">
        <f aca="false">IF(E597=0,"not_reached",IF(AND(F597&gt;0,G597=0),"allowed","blocked"))</f>
        <v>allowed</v>
      </c>
      <c r="Q597" s="0" t="str">
        <f aca="false">IF(C597="success","published",IF(E597&gt;0,"blocked_at_gate","failed_before_gate"))</f>
        <v>published</v>
      </c>
      <c r="R597" s="0" t="str">
        <f aca="false">IF(C597="success","",IF(E597&gt;0,IF(I597="freshness_within_target","freshness",IF(I597="relationships_intact","relationships",IF(I597="reconciliation_residual_zero","residual",I597))),IF(H597="quality_gate","gate_infra",H597)))</f>
        <v/>
      </c>
    </row>
    <row r="598" customFormat="false" ht="15" hidden="false" customHeight="false" outlineLevel="0" collapsed="false">
      <c r="A598" s="4" t="s">
        <v>2723</v>
      </c>
      <c r="B598" s="10" t="n">
        <v>46268.8020833333</v>
      </c>
      <c r="C598" s="4" t="s">
        <v>1544</v>
      </c>
      <c r="D598" s="4" t="n">
        <v>858</v>
      </c>
      <c r="E598" s="4" t="n">
        <v>7</v>
      </c>
      <c r="F598" s="4" t="n">
        <v>6</v>
      </c>
      <c r="G598" s="4" t="n">
        <v>0</v>
      </c>
      <c r="J598" s="11" t="b">
        <f aca="false">TRUE()</f>
        <v>1</v>
      </c>
      <c r="K598" s="4" t="s">
        <v>2724</v>
      </c>
      <c r="L598" s="4" t="n">
        <v>4</v>
      </c>
      <c r="M598" s="4" t="n">
        <v>4</v>
      </c>
      <c r="N598" s="4" t="n">
        <v>4</v>
      </c>
      <c r="O598" s="4" t="n">
        <v>4</v>
      </c>
      <c r="P598" s="0" t="str">
        <f aca="false">IF(E598=0,"not_reached",IF(AND(F598&gt;0,G598=0),"allowed","blocked"))</f>
        <v>allowed</v>
      </c>
      <c r="Q598" s="0" t="str">
        <f aca="false">IF(C598="success","published",IF(E598&gt;0,"blocked_at_gate","failed_before_gate"))</f>
        <v>published</v>
      </c>
      <c r="R598" s="0" t="str">
        <f aca="false">IF(C598="success","",IF(E598&gt;0,IF(I598="freshness_within_target","freshness",IF(I598="relationships_intact","relationships",IF(I598="reconciliation_residual_zero","residual",I598))),IF(H598="quality_gate","gate_infra",H598)))</f>
        <v/>
      </c>
    </row>
    <row r="599" customFormat="false" ht="15" hidden="false" customHeight="false" outlineLevel="0" collapsed="false">
      <c r="A599" s="4" t="s">
        <v>2725</v>
      </c>
      <c r="B599" s="10" t="n">
        <v>46268.84375</v>
      </c>
      <c r="C599" s="4" t="s">
        <v>1544</v>
      </c>
      <c r="D599" s="4" t="n">
        <v>915</v>
      </c>
      <c r="E599" s="4" t="n">
        <v>7</v>
      </c>
      <c r="F599" s="4" t="n">
        <v>6</v>
      </c>
      <c r="G599" s="4" t="n">
        <v>0</v>
      </c>
      <c r="J599" s="11" t="b">
        <f aca="false">TRUE()</f>
        <v>1</v>
      </c>
      <c r="K599" s="4" t="s">
        <v>2726</v>
      </c>
      <c r="L599" s="4" t="n">
        <v>4</v>
      </c>
      <c r="M599" s="4" t="n">
        <v>4</v>
      </c>
      <c r="N599" s="4" t="n">
        <v>4</v>
      </c>
      <c r="O599" s="4" t="n">
        <v>4</v>
      </c>
      <c r="P599" s="0" t="str">
        <f aca="false">IF(E599=0,"not_reached",IF(AND(F599&gt;0,G599=0),"allowed","blocked"))</f>
        <v>allowed</v>
      </c>
      <c r="Q599" s="0" t="str">
        <f aca="false">IF(C599="success","published",IF(E599&gt;0,"blocked_at_gate","failed_before_gate"))</f>
        <v>published</v>
      </c>
      <c r="R599" s="0" t="str">
        <f aca="false">IF(C599="success","",IF(E599&gt;0,IF(I599="freshness_within_target","freshness",IF(I599="relationships_intact","relationships",IF(I599="reconciliation_residual_zero","residual",I599))),IF(H599="quality_gate","gate_infra",H599)))</f>
        <v/>
      </c>
    </row>
    <row r="600" customFormat="false" ht="15" hidden="false" customHeight="false" outlineLevel="0" collapsed="false">
      <c r="A600" s="4" t="s">
        <v>2727</v>
      </c>
      <c r="B600" s="10" t="n">
        <v>46268.8854166667</v>
      </c>
      <c r="C600" s="4" t="s">
        <v>1544</v>
      </c>
      <c r="D600" s="4" t="n">
        <v>887</v>
      </c>
      <c r="E600" s="4" t="n">
        <v>7</v>
      </c>
      <c r="F600" s="4" t="n">
        <v>6</v>
      </c>
      <c r="G600" s="4" t="n">
        <v>0</v>
      </c>
      <c r="J600" s="11" t="b">
        <f aca="false">TRUE()</f>
        <v>1</v>
      </c>
      <c r="K600" s="4" t="s">
        <v>2728</v>
      </c>
      <c r="L600" s="4" t="n">
        <v>4</v>
      </c>
      <c r="M600" s="4" t="n">
        <v>4</v>
      </c>
      <c r="N600" s="4" t="n">
        <v>4</v>
      </c>
      <c r="O600" s="4" t="n">
        <v>4</v>
      </c>
      <c r="P600" s="0" t="str">
        <f aca="false">IF(E600=0,"not_reached",IF(AND(F600&gt;0,G600=0),"allowed","blocked"))</f>
        <v>allowed</v>
      </c>
      <c r="Q600" s="0" t="str">
        <f aca="false">IF(C600="success","published",IF(E600&gt;0,"blocked_at_gate","failed_before_gate"))</f>
        <v>published</v>
      </c>
      <c r="R600" s="0" t="str">
        <f aca="false">IF(C600="success","",IF(E600&gt;0,IF(I600="freshness_within_target","freshness",IF(I600="relationships_intact","relationships",IF(I600="reconciliation_residual_zero","residual",I600))),IF(H600="quality_gate","gate_infra",H600)))</f>
        <v/>
      </c>
    </row>
    <row r="601" customFormat="false" ht="15" hidden="false" customHeight="false" outlineLevel="0" collapsed="false">
      <c r="A601" s="4" t="s">
        <v>2729</v>
      </c>
      <c r="B601" s="10" t="n">
        <v>46268.9270833333</v>
      </c>
      <c r="C601" s="4" t="s">
        <v>1544</v>
      </c>
      <c r="D601" s="4" t="n">
        <v>749</v>
      </c>
      <c r="E601" s="4" t="n">
        <v>7</v>
      </c>
      <c r="F601" s="4" t="n">
        <v>6</v>
      </c>
      <c r="G601" s="4" t="n">
        <v>0</v>
      </c>
      <c r="J601" s="11" t="b">
        <f aca="false">TRUE()</f>
        <v>1</v>
      </c>
      <c r="K601" s="4" t="s">
        <v>2730</v>
      </c>
      <c r="L601" s="4" t="n">
        <v>4</v>
      </c>
      <c r="M601" s="4" t="n">
        <v>4</v>
      </c>
      <c r="N601" s="4" t="n">
        <v>4</v>
      </c>
      <c r="O601" s="4" t="n">
        <v>4</v>
      </c>
      <c r="P601" s="0" t="str">
        <f aca="false">IF(E601=0,"not_reached",IF(AND(F601&gt;0,G601=0),"allowed","blocked"))</f>
        <v>allowed</v>
      </c>
      <c r="Q601" s="0" t="str">
        <f aca="false">IF(C601="success","published",IF(E601&gt;0,"blocked_at_gate","failed_before_gate"))</f>
        <v>published</v>
      </c>
      <c r="R601" s="0" t="str">
        <f aca="false">IF(C601="success","",IF(E601&gt;0,IF(I601="freshness_within_target","freshness",IF(I601="relationships_intact","relationships",IF(I601="reconciliation_residual_zero","residual",I601))),IF(H601="quality_gate","gate_infra",H601)))</f>
        <v/>
      </c>
    </row>
    <row r="602" customFormat="false" ht="15" hidden="false" customHeight="false" outlineLevel="0" collapsed="false">
      <c r="A602" s="4" t="s">
        <v>2731</v>
      </c>
      <c r="B602" s="10" t="n">
        <v>46268.96875</v>
      </c>
      <c r="C602" s="4" t="s">
        <v>1544</v>
      </c>
      <c r="D602" s="4" t="n">
        <v>811</v>
      </c>
      <c r="E602" s="4" t="n">
        <v>7</v>
      </c>
      <c r="F602" s="4" t="n">
        <v>6</v>
      </c>
      <c r="G602" s="4" t="n">
        <v>0</v>
      </c>
      <c r="J602" s="11" t="b">
        <f aca="false">TRUE()</f>
        <v>1</v>
      </c>
      <c r="K602" s="4" t="s">
        <v>2732</v>
      </c>
      <c r="L602" s="4" t="n">
        <v>4</v>
      </c>
      <c r="M602" s="4" t="n">
        <v>4</v>
      </c>
      <c r="N602" s="4" t="n">
        <v>4</v>
      </c>
      <c r="O602" s="4" t="n">
        <v>4</v>
      </c>
      <c r="P602" s="0" t="str">
        <f aca="false">IF(E602=0,"not_reached",IF(AND(F602&gt;0,G602=0),"allowed","blocked"))</f>
        <v>allowed</v>
      </c>
      <c r="Q602" s="0" t="str">
        <f aca="false">IF(C602="success","published",IF(E602&gt;0,"blocked_at_gate","failed_before_gate"))</f>
        <v>published</v>
      </c>
      <c r="R602" s="0" t="str">
        <f aca="false">IF(C602="success","",IF(E602&gt;0,IF(I602="freshness_within_target","freshness",IF(I602="relationships_intact","relationships",IF(I602="reconciliation_residual_zero","residual",I602))),IF(H602="quality_gate","gate_infra",H602)))</f>
        <v/>
      </c>
    </row>
    <row r="603" customFormat="false" ht="15" hidden="false" customHeight="false" outlineLevel="0" collapsed="false">
      <c r="A603" s="4" t="s">
        <v>2733</v>
      </c>
      <c r="B603" s="10" t="n">
        <v>46269.0104166667</v>
      </c>
      <c r="C603" s="4" t="s">
        <v>1544</v>
      </c>
      <c r="D603" s="4" t="n">
        <v>683</v>
      </c>
      <c r="E603" s="4" t="n">
        <v>7</v>
      </c>
      <c r="F603" s="4" t="n">
        <v>6</v>
      </c>
      <c r="G603" s="4" t="n">
        <v>0</v>
      </c>
      <c r="J603" s="11" t="b">
        <f aca="false">TRUE()</f>
        <v>1</v>
      </c>
      <c r="K603" s="4" t="s">
        <v>2734</v>
      </c>
      <c r="L603" s="4" t="n">
        <v>4</v>
      </c>
      <c r="M603" s="4" t="n">
        <v>4</v>
      </c>
      <c r="N603" s="4" t="n">
        <v>4</v>
      </c>
      <c r="O603" s="4" t="n">
        <v>4</v>
      </c>
      <c r="P603" s="0" t="str">
        <f aca="false">IF(E603=0,"not_reached",IF(AND(F603&gt;0,G603=0),"allowed","blocked"))</f>
        <v>allowed</v>
      </c>
      <c r="Q603" s="0" t="str">
        <f aca="false">IF(C603="success","published",IF(E603&gt;0,"blocked_at_gate","failed_before_gate"))</f>
        <v>published</v>
      </c>
      <c r="R603" s="0" t="str">
        <f aca="false">IF(C603="success","",IF(E603&gt;0,IF(I603="freshness_within_target","freshness",IF(I603="relationships_intact","relationships",IF(I603="reconciliation_residual_zero","residual",I603))),IF(H603="quality_gate","gate_infra",H603)))</f>
        <v/>
      </c>
    </row>
    <row r="604" customFormat="false" ht="15" hidden="false" customHeight="false" outlineLevel="0" collapsed="false">
      <c r="A604" s="4" t="s">
        <v>2735</v>
      </c>
      <c r="B604" s="10" t="n">
        <v>46269.0520833333</v>
      </c>
      <c r="C604" s="4" t="s">
        <v>1544</v>
      </c>
      <c r="D604" s="4" t="n">
        <v>814</v>
      </c>
      <c r="E604" s="4" t="n">
        <v>7</v>
      </c>
      <c r="F604" s="4" t="n">
        <v>6</v>
      </c>
      <c r="G604" s="4" t="n">
        <v>0</v>
      </c>
      <c r="J604" s="11" t="b">
        <f aca="false">TRUE()</f>
        <v>1</v>
      </c>
      <c r="K604" s="4" t="s">
        <v>2736</v>
      </c>
      <c r="L604" s="4" t="n">
        <v>4</v>
      </c>
      <c r="M604" s="4" t="n">
        <v>4</v>
      </c>
      <c r="N604" s="4" t="n">
        <v>4</v>
      </c>
      <c r="O604" s="4" t="n">
        <v>4</v>
      </c>
      <c r="P604" s="0" t="str">
        <f aca="false">IF(E604=0,"not_reached",IF(AND(F604&gt;0,G604=0),"allowed","blocked"))</f>
        <v>allowed</v>
      </c>
      <c r="Q604" s="0" t="str">
        <f aca="false">IF(C604="success","published",IF(E604&gt;0,"blocked_at_gate","failed_before_gate"))</f>
        <v>published</v>
      </c>
      <c r="R604" s="0" t="str">
        <f aca="false">IF(C604="success","",IF(E604&gt;0,IF(I604="freshness_within_target","freshness",IF(I604="relationships_intact","relationships",IF(I604="reconciliation_residual_zero","residual",I604))),IF(H604="quality_gate","gate_infra",H604)))</f>
        <v/>
      </c>
    </row>
    <row r="605" customFormat="false" ht="15" hidden="false" customHeight="false" outlineLevel="0" collapsed="false">
      <c r="A605" s="4" t="s">
        <v>2737</v>
      </c>
      <c r="B605" s="10" t="n">
        <v>46269.09375</v>
      </c>
      <c r="C605" s="4" t="s">
        <v>1544</v>
      </c>
      <c r="D605" s="4" t="n">
        <v>914</v>
      </c>
      <c r="E605" s="4" t="n">
        <v>7</v>
      </c>
      <c r="F605" s="4" t="n">
        <v>6</v>
      </c>
      <c r="G605" s="4" t="n">
        <v>0</v>
      </c>
      <c r="J605" s="11" t="b">
        <f aca="false">TRUE()</f>
        <v>1</v>
      </c>
      <c r="K605" s="4" t="s">
        <v>2738</v>
      </c>
      <c r="L605" s="4" t="n">
        <v>4</v>
      </c>
      <c r="M605" s="4" t="n">
        <v>4</v>
      </c>
      <c r="N605" s="4" t="n">
        <v>4</v>
      </c>
      <c r="O605" s="4" t="n">
        <v>4</v>
      </c>
      <c r="P605" s="0" t="str">
        <f aca="false">IF(E605=0,"not_reached",IF(AND(F605&gt;0,G605=0),"allowed","blocked"))</f>
        <v>allowed</v>
      </c>
      <c r="Q605" s="0" t="str">
        <f aca="false">IF(C605="success","published",IF(E605&gt;0,"blocked_at_gate","failed_before_gate"))</f>
        <v>published</v>
      </c>
      <c r="R605" s="0" t="str">
        <f aca="false">IF(C605="success","",IF(E605&gt;0,IF(I605="freshness_within_target","freshness",IF(I605="relationships_intact","relationships",IF(I605="reconciliation_residual_zero","residual",I605))),IF(H605="quality_gate","gate_infra",H605)))</f>
        <v/>
      </c>
    </row>
    <row r="606" customFormat="false" ht="15" hidden="false" customHeight="false" outlineLevel="0" collapsed="false">
      <c r="A606" s="4" t="s">
        <v>2739</v>
      </c>
      <c r="B606" s="10" t="n">
        <v>46269.1354166667</v>
      </c>
      <c r="C606" s="4" t="s">
        <v>1544</v>
      </c>
      <c r="D606" s="4" t="n">
        <v>700</v>
      </c>
      <c r="E606" s="4" t="n">
        <v>7</v>
      </c>
      <c r="F606" s="4" t="n">
        <v>6</v>
      </c>
      <c r="G606" s="4" t="n">
        <v>0</v>
      </c>
      <c r="J606" s="11" t="b">
        <f aca="false">TRUE()</f>
        <v>1</v>
      </c>
      <c r="K606" s="4" t="s">
        <v>2740</v>
      </c>
      <c r="L606" s="4" t="n">
        <v>4</v>
      </c>
      <c r="M606" s="4" t="n">
        <v>4</v>
      </c>
      <c r="N606" s="4" t="n">
        <v>4</v>
      </c>
      <c r="O606" s="4" t="n">
        <v>4</v>
      </c>
      <c r="P606" s="0" t="str">
        <f aca="false">IF(E606=0,"not_reached",IF(AND(F606&gt;0,G606=0),"allowed","blocked"))</f>
        <v>allowed</v>
      </c>
      <c r="Q606" s="0" t="str">
        <f aca="false">IF(C606="success","published",IF(E606&gt;0,"blocked_at_gate","failed_before_gate"))</f>
        <v>published</v>
      </c>
      <c r="R606" s="0" t="str">
        <f aca="false">IF(C606="success","",IF(E606&gt;0,IF(I606="freshness_within_target","freshness",IF(I606="relationships_intact","relationships",IF(I606="reconciliation_residual_zero","residual",I606))),IF(H606="quality_gate","gate_infra",H606)))</f>
        <v/>
      </c>
    </row>
    <row r="607" customFormat="false" ht="15" hidden="false" customHeight="false" outlineLevel="0" collapsed="false">
      <c r="A607" s="4" t="s">
        <v>2741</v>
      </c>
      <c r="B607" s="10" t="n">
        <v>46269.1770833333</v>
      </c>
      <c r="C607" s="4" t="s">
        <v>1544</v>
      </c>
      <c r="D607" s="4" t="n">
        <v>871</v>
      </c>
      <c r="E607" s="4" t="n">
        <v>7</v>
      </c>
      <c r="F607" s="4" t="n">
        <v>6</v>
      </c>
      <c r="G607" s="4" t="n">
        <v>0</v>
      </c>
      <c r="J607" s="11" t="b">
        <f aca="false">TRUE()</f>
        <v>1</v>
      </c>
      <c r="K607" s="4" t="s">
        <v>2742</v>
      </c>
      <c r="L607" s="4" t="n">
        <v>4</v>
      </c>
      <c r="M607" s="4" t="n">
        <v>4</v>
      </c>
      <c r="N607" s="4" t="n">
        <v>4</v>
      </c>
      <c r="O607" s="4" t="n">
        <v>4</v>
      </c>
      <c r="P607" s="0" t="str">
        <f aca="false">IF(E607=0,"not_reached",IF(AND(F607&gt;0,G607=0),"allowed","blocked"))</f>
        <v>allowed</v>
      </c>
      <c r="Q607" s="0" t="str">
        <f aca="false">IF(C607="success","published",IF(E607&gt;0,"blocked_at_gate","failed_before_gate"))</f>
        <v>published</v>
      </c>
      <c r="R607" s="0" t="str">
        <f aca="false">IF(C607="success","",IF(E607&gt;0,IF(I607="freshness_within_target","freshness",IF(I607="relationships_intact","relationships",IF(I607="reconciliation_residual_zero","residual",I607))),IF(H607="quality_gate","gate_infra",H607)))</f>
        <v/>
      </c>
    </row>
    <row r="608" customFormat="false" ht="15" hidden="false" customHeight="false" outlineLevel="0" collapsed="false">
      <c r="A608" s="4" t="s">
        <v>2743</v>
      </c>
      <c r="B608" s="10" t="n">
        <v>46269.21875</v>
      </c>
      <c r="C608" s="4" t="s">
        <v>1544</v>
      </c>
      <c r="D608" s="4" t="n">
        <v>784</v>
      </c>
      <c r="E608" s="4" t="n">
        <v>7</v>
      </c>
      <c r="F608" s="4" t="n">
        <v>6</v>
      </c>
      <c r="G608" s="4" t="n">
        <v>0</v>
      </c>
      <c r="J608" s="11" t="b">
        <f aca="false">TRUE()</f>
        <v>1</v>
      </c>
      <c r="K608" s="4" t="s">
        <v>2744</v>
      </c>
      <c r="L608" s="4" t="n">
        <v>4</v>
      </c>
      <c r="M608" s="4" t="n">
        <v>4</v>
      </c>
      <c r="N608" s="4" t="n">
        <v>4</v>
      </c>
      <c r="O608" s="4" t="n">
        <v>4</v>
      </c>
      <c r="P608" s="0" t="str">
        <f aca="false">IF(E608=0,"not_reached",IF(AND(F608&gt;0,G608=0),"allowed","blocked"))</f>
        <v>allowed</v>
      </c>
      <c r="Q608" s="0" t="str">
        <f aca="false">IF(C608="success","published",IF(E608&gt;0,"blocked_at_gate","failed_before_gate"))</f>
        <v>published</v>
      </c>
      <c r="R608" s="0" t="str">
        <f aca="false">IF(C608="success","",IF(E608&gt;0,IF(I608="freshness_within_target","freshness",IF(I608="relationships_intact","relationships",IF(I608="reconciliation_residual_zero","residual",I608))),IF(H608="quality_gate","gate_infra",H608)))</f>
        <v/>
      </c>
    </row>
    <row r="609" customFormat="false" ht="15" hidden="false" customHeight="false" outlineLevel="0" collapsed="false">
      <c r="A609" s="4" t="s">
        <v>2745</v>
      </c>
      <c r="B609" s="10" t="n">
        <v>46269.2604166667</v>
      </c>
      <c r="C609" s="4" t="s">
        <v>1544</v>
      </c>
      <c r="D609" s="4" t="n">
        <v>908</v>
      </c>
      <c r="E609" s="4" t="n">
        <v>7</v>
      </c>
      <c r="F609" s="4" t="n">
        <v>6</v>
      </c>
      <c r="G609" s="4" t="n">
        <v>0</v>
      </c>
      <c r="J609" s="11" t="b">
        <f aca="false">TRUE()</f>
        <v>1</v>
      </c>
      <c r="K609" s="4" t="s">
        <v>2746</v>
      </c>
      <c r="L609" s="4" t="n">
        <v>4</v>
      </c>
      <c r="M609" s="4" t="n">
        <v>4</v>
      </c>
      <c r="N609" s="4" t="n">
        <v>4</v>
      </c>
      <c r="O609" s="4" t="n">
        <v>4</v>
      </c>
      <c r="P609" s="0" t="str">
        <f aca="false">IF(E609=0,"not_reached",IF(AND(F609&gt;0,G609=0),"allowed","blocked"))</f>
        <v>allowed</v>
      </c>
      <c r="Q609" s="0" t="str">
        <f aca="false">IF(C609="success","published",IF(E609&gt;0,"blocked_at_gate","failed_before_gate"))</f>
        <v>published</v>
      </c>
      <c r="R609" s="0" t="str">
        <f aca="false">IF(C609="success","",IF(E609&gt;0,IF(I609="freshness_within_target","freshness",IF(I609="relationships_intact","relationships",IF(I609="reconciliation_residual_zero","residual",I609))),IF(H609="quality_gate","gate_infra",H609)))</f>
        <v/>
      </c>
    </row>
    <row r="610" customFormat="false" ht="15" hidden="false" customHeight="false" outlineLevel="0" collapsed="false">
      <c r="A610" s="4" t="s">
        <v>2747</v>
      </c>
      <c r="B610" s="10" t="n">
        <v>46269.3020833333</v>
      </c>
      <c r="C610" s="4" t="s">
        <v>1544</v>
      </c>
      <c r="D610" s="4" t="n">
        <v>933</v>
      </c>
      <c r="E610" s="4" t="n">
        <v>7</v>
      </c>
      <c r="F610" s="4" t="n">
        <v>6</v>
      </c>
      <c r="G610" s="4" t="n">
        <v>0</v>
      </c>
      <c r="J610" s="11" t="b">
        <f aca="false">TRUE()</f>
        <v>1</v>
      </c>
      <c r="K610" s="4" t="s">
        <v>2748</v>
      </c>
      <c r="L610" s="4" t="n">
        <v>4</v>
      </c>
      <c r="M610" s="4" t="n">
        <v>4</v>
      </c>
      <c r="N610" s="4" t="n">
        <v>4</v>
      </c>
      <c r="O610" s="4" t="n">
        <v>4</v>
      </c>
      <c r="P610" s="0" t="str">
        <f aca="false">IF(E610=0,"not_reached",IF(AND(F610&gt;0,G610=0),"allowed","blocked"))</f>
        <v>allowed</v>
      </c>
      <c r="Q610" s="0" t="str">
        <f aca="false">IF(C610="success","published",IF(E610&gt;0,"blocked_at_gate","failed_before_gate"))</f>
        <v>published</v>
      </c>
      <c r="R610" s="0" t="str">
        <f aca="false">IF(C610="success","",IF(E610&gt;0,IF(I610="freshness_within_target","freshness",IF(I610="relationships_intact","relationships",IF(I610="reconciliation_residual_zero","residual",I610))),IF(H610="quality_gate","gate_infra",H610)))</f>
        <v/>
      </c>
    </row>
    <row r="611" customFormat="false" ht="15" hidden="false" customHeight="false" outlineLevel="0" collapsed="false">
      <c r="A611" s="4" t="s">
        <v>2749</v>
      </c>
      <c r="B611" s="10" t="n">
        <v>46269.34375</v>
      </c>
      <c r="C611" s="4" t="s">
        <v>1544</v>
      </c>
      <c r="D611" s="4" t="n">
        <v>751</v>
      </c>
      <c r="E611" s="4" t="n">
        <v>7</v>
      </c>
      <c r="F611" s="4" t="n">
        <v>6</v>
      </c>
      <c r="G611" s="4" t="n">
        <v>0</v>
      </c>
      <c r="J611" s="11" t="b">
        <f aca="false">TRUE()</f>
        <v>1</v>
      </c>
      <c r="K611" s="4" t="s">
        <v>2750</v>
      </c>
      <c r="L611" s="4" t="n">
        <v>4</v>
      </c>
      <c r="M611" s="4" t="n">
        <v>4</v>
      </c>
      <c r="N611" s="4" t="n">
        <v>4</v>
      </c>
      <c r="O611" s="4" t="n">
        <v>4</v>
      </c>
      <c r="P611" s="0" t="str">
        <f aca="false">IF(E611=0,"not_reached",IF(AND(F611&gt;0,G611=0),"allowed","blocked"))</f>
        <v>allowed</v>
      </c>
      <c r="Q611" s="0" t="str">
        <f aca="false">IF(C611="success","published",IF(E611&gt;0,"blocked_at_gate","failed_before_gate"))</f>
        <v>published</v>
      </c>
      <c r="R611" s="0" t="str">
        <f aca="false">IF(C611="success","",IF(E611&gt;0,IF(I611="freshness_within_target","freshness",IF(I611="relationships_intact","relationships",IF(I611="reconciliation_residual_zero","residual",I611))),IF(H611="quality_gate","gate_infra",H611)))</f>
        <v/>
      </c>
    </row>
    <row r="612" customFormat="false" ht="15" hidden="false" customHeight="false" outlineLevel="0" collapsed="false">
      <c r="A612" s="4" t="s">
        <v>2751</v>
      </c>
      <c r="B612" s="10" t="n">
        <v>46269.3854166667</v>
      </c>
      <c r="C612" s="4" t="s">
        <v>1544</v>
      </c>
      <c r="D612" s="4" t="n">
        <v>937</v>
      </c>
      <c r="E612" s="4" t="n">
        <v>7</v>
      </c>
      <c r="F612" s="4" t="n">
        <v>6</v>
      </c>
      <c r="G612" s="4" t="n">
        <v>0</v>
      </c>
      <c r="J612" s="11" t="b">
        <f aca="false">TRUE()</f>
        <v>1</v>
      </c>
      <c r="K612" s="4" t="s">
        <v>2752</v>
      </c>
      <c r="L612" s="4" t="n">
        <v>4</v>
      </c>
      <c r="M612" s="4" t="n">
        <v>4</v>
      </c>
      <c r="N612" s="4" t="n">
        <v>4</v>
      </c>
      <c r="O612" s="4" t="n">
        <v>4</v>
      </c>
      <c r="P612" s="0" t="str">
        <f aca="false">IF(E612=0,"not_reached",IF(AND(F612&gt;0,G612=0),"allowed","blocked"))</f>
        <v>allowed</v>
      </c>
      <c r="Q612" s="0" t="str">
        <f aca="false">IF(C612="success","published",IF(E612&gt;0,"blocked_at_gate","failed_before_gate"))</f>
        <v>published</v>
      </c>
      <c r="R612" s="0" t="str">
        <f aca="false">IF(C612="success","",IF(E612&gt;0,IF(I612="freshness_within_target","freshness",IF(I612="relationships_intact","relationships",IF(I612="reconciliation_residual_zero","residual",I612))),IF(H612="quality_gate","gate_infra",H612)))</f>
        <v/>
      </c>
    </row>
    <row r="613" customFormat="false" ht="15" hidden="false" customHeight="false" outlineLevel="0" collapsed="false">
      <c r="A613" s="4" t="s">
        <v>2753</v>
      </c>
      <c r="B613" s="10" t="n">
        <v>46269.4270833333</v>
      </c>
      <c r="C613" s="4" t="s">
        <v>1544</v>
      </c>
      <c r="D613" s="4" t="n">
        <v>673</v>
      </c>
      <c r="E613" s="4" t="n">
        <v>7</v>
      </c>
      <c r="F613" s="4" t="n">
        <v>6</v>
      </c>
      <c r="G613" s="4" t="n">
        <v>0</v>
      </c>
      <c r="J613" s="11" t="b">
        <f aca="false">TRUE()</f>
        <v>1</v>
      </c>
      <c r="K613" s="4" t="s">
        <v>2754</v>
      </c>
      <c r="L613" s="4" t="n">
        <v>4</v>
      </c>
      <c r="M613" s="4" t="n">
        <v>4</v>
      </c>
      <c r="N613" s="4" t="n">
        <v>4</v>
      </c>
      <c r="O613" s="4" t="n">
        <v>4</v>
      </c>
      <c r="P613" s="0" t="str">
        <f aca="false">IF(E613=0,"not_reached",IF(AND(F613&gt;0,G613=0),"allowed","blocked"))</f>
        <v>allowed</v>
      </c>
      <c r="Q613" s="0" t="str">
        <f aca="false">IF(C613="success","published",IF(E613&gt;0,"blocked_at_gate","failed_before_gate"))</f>
        <v>published</v>
      </c>
      <c r="R613" s="0" t="str">
        <f aca="false">IF(C613="success","",IF(E613&gt;0,IF(I613="freshness_within_target","freshness",IF(I613="relationships_intact","relationships",IF(I613="reconciliation_residual_zero","residual",I613))),IF(H613="quality_gate","gate_infra",H613)))</f>
        <v/>
      </c>
    </row>
    <row r="614" customFormat="false" ht="15" hidden="false" customHeight="false" outlineLevel="0" collapsed="false">
      <c r="A614" s="4" t="s">
        <v>2755</v>
      </c>
      <c r="B614" s="10" t="n">
        <v>46269.46875</v>
      </c>
      <c r="C614" s="4" t="s">
        <v>1544</v>
      </c>
      <c r="D614" s="4" t="n">
        <v>866</v>
      </c>
      <c r="E614" s="4" t="n">
        <v>7</v>
      </c>
      <c r="F614" s="4" t="n">
        <v>6</v>
      </c>
      <c r="G614" s="4" t="n">
        <v>0</v>
      </c>
      <c r="J614" s="11" t="b">
        <f aca="false">TRUE()</f>
        <v>1</v>
      </c>
      <c r="K614" s="4" t="s">
        <v>2756</v>
      </c>
      <c r="L614" s="4" t="n">
        <v>4</v>
      </c>
      <c r="M614" s="4" t="n">
        <v>4</v>
      </c>
      <c r="N614" s="4" t="n">
        <v>4</v>
      </c>
      <c r="O614" s="4" t="n">
        <v>4</v>
      </c>
      <c r="P614" s="0" t="str">
        <f aca="false">IF(E614=0,"not_reached",IF(AND(F614&gt;0,G614=0),"allowed","blocked"))</f>
        <v>allowed</v>
      </c>
      <c r="Q614" s="0" t="str">
        <f aca="false">IF(C614="success","published",IF(E614&gt;0,"blocked_at_gate","failed_before_gate"))</f>
        <v>published</v>
      </c>
      <c r="R614" s="0" t="str">
        <f aca="false">IF(C614="success","",IF(E614&gt;0,IF(I614="freshness_within_target","freshness",IF(I614="relationships_intact","relationships",IF(I614="reconciliation_residual_zero","residual",I614))),IF(H614="quality_gate","gate_infra",H614)))</f>
        <v/>
      </c>
    </row>
    <row r="615" customFormat="false" ht="15" hidden="false" customHeight="false" outlineLevel="0" collapsed="false">
      <c r="A615" s="4" t="s">
        <v>2757</v>
      </c>
      <c r="B615" s="10" t="n">
        <v>46269.5104166667</v>
      </c>
      <c r="C615" s="4" t="s">
        <v>1544</v>
      </c>
      <c r="D615" s="4" t="n">
        <v>743</v>
      </c>
      <c r="E615" s="4" t="n">
        <v>7</v>
      </c>
      <c r="F615" s="4" t="n">
        <v>6</v>
      </c>
      <c r="G615" s="4" t="n">
        <v>0</v>
      </c>
      <c r="J615" s="11" t="b">
        <f aca="false">TRUE()</f>
        <v>1</v>
      </c>
      <c r="K615" s="4" t="s">
        <v>2758</v>
      </c>
      <c r="L615" s="4" t="n">
        <v>4</v>
      </c>
      <c r="M615" s="4" t="n">
        <v>4</v>
      </c>
      <c r="N615" s="4" t="n">
        <v>4</v>
      </c>
      <c r="O615" s="4" t="n">
        <v>4</v>
      </c>
      <c r="P615" s="0" t="str">
        <f aca="false">IF(E615=0,"not_reached",IF(AND(F615&gt;0,G615=0),"allowed","blocked"))</f>
        <v>allowed</v>
      </c>
      <c r="Q615" s="0" t="str">
        <f aca="false">IF(C615="success","published",IF(E615&gt;0,"blocked_at_gate","failed_before_gate"))</f>
        <v>published</v>
      </c>
      <c r="R615" s="0" t="str">
        <f aca="false">IF(C615="success","",IF(E615&gt;0,IF(I615="freshness_within_target","freshness",IF(I615="relationships_intact","relationships",IF(I615="reconciliation_residual_zero","residual",I615))),IF(H615="quality_gate","gate_infra",H615)))</f>
        <v/>
      </c>
    </row>
    <row r="616" customFormat="false" ht="15" hidden="false" customHeight="false" outlineLevel="0" collapsed="false">
      <c r="A616" s="4" t="s">
        <v>2759</v>
      </c>
      <c r="B616" s="10" t="n">
        <v>46269.5520833333</v>
      </c>
      <c r="C616" s="4" t="s">
        <v>1544</v>
      </c>
      <c r="D616" s="4" t="n">
        <v>755</v>
      </c>
      <c r="E616" s="4" t="n">
        <v>7</v>
      </c>
      <c r="F616" s="4" t="n">
        <v>6</v>
      </c>
      <c r="G616" s="4" t="n">
        <v>0</v>
      </c>
      <c r="J616" s="11" t="b">
        <f aca="false">TRUE()</f>
        <v>1</v>
      </c>
      <c r="K616" s="4" t="s">
        <v>2760</v>
      </c>
      <c r="L616" s="4" t="n">
        <v>4</v>
      </c>
      <c r="M616" s="4" t="n">
        <v>4</v>
      </c>
      <c r="N616" s="4" t="n">
        <v>4</v>
      </c>
      <c r="O616" s="4" t="n">
        <v>4</v>
      </c>
      <c r="P616" s="0" t="str">
        <f aca="false">IF(E616=0,"not_reached",IF(AND(F616&gt;0,G616=0),"allowed","blocked"))</f>
        <v>allowed</v>
      </c>
      <c r="Q616" s="0" t="str">
        <f aca="false">IF(C616="success","published",IF(E616&gt;0,"blocked_at_gate","failed_before_gate"))</f>
        <v>published</v>
      </c>
      <c r="R616" s="0" t="str">
        <f aca="false">IF(C616="success","",IF(E616&gt;0,IF(I616="freshness_within_target","freshness",IF(I616="relationships_intact","relationships",IF(I616="reconciliation_residual_zero","residual",I616))),IF(H616="quality_gate","gate_infra",H616)))</f>
        <v/>
      </c>
    </row>
    <row r="617" customFormat="false" ht="15" hidden="false" customHeight="false" outlineLevel="0" collapsed="false">
      <c r="A617" s="4" t="s">
        <v>2761</v>
      </c>
      <c r="B617" s="10" t="n">
        <v>46269.59375</v>
      </c>
      <c r="C617" s="4" t="s">
        <v>1544</v>
      </c>
      <c r="D617" s="4" t="n">
        <v>857</v>
      </c>
      <c r="E617" s="4" t="n">
        <v>7</v>
      </c>
      <c r="F617" s="4" t="n">
        <v>6</v>
      </c>
      <c r="G617" s="4" t="n">
        <v>0</v>
      </c>
      <c r="J617" s="11" t="b">
        <f aca="false">TRUE()</f>
        <v>1</v>
      </c>
      <c r="K617" s="4" t="s">
        <v>2762</v>
      </c>
      <c r="L617" s="4" t="n">
        <v>4</v>
      </c>
      <c r="M617" s="4" t="n">
        <v>4</v>
      </c>
      <c r="N617" s="4" t="n">
        <v>4</v>
      </c>
      <c r="O617" s="4" t="n">
        <v>4</v>
      </c>
      <c r="P617" s="0" t="str">
        <f aca="false">IF(E617=0,"not_reached",IF(AND(F617&gt;0,G617=0),"allowed","blocked"))</f>
        <v>allowed</v>
      </c>
      <c r="Q617" s="0" t="str">
        <f aca="false">IF(C617="success","published",IF(E617&gt;0,"blocked_at_gate","failed_before_gate"))</f>
        <v>published</v>
      </c>
      <c r="R617" s="0" t="str">
        <f aca="false">IF(C617="success","",IF(E617&gt;0,IF(I617="freshness_within_target","freshness",IF(I617="relationships_intact","relationships",IF(I617="reconciliation_residual_zero","residual",I617))),IF(H617="quality_gate","gate_infra",H617)))</f>
        <v/>
      </c>
    </row>
    <row r="618" customFormat="false" ht="15" hidden="false" customHeight="false" outlineLevel="0" collapsed="false">
      <c r="A618" s="4" t="s">
        <v>2763</v>
      </c>
      <c r="B618" s="10" t="n">
        <v>46269.6354166667</v>
      </c>
      <c r="C618" s="4" t="s">
        <v>1544</v>
      </c>
      <c r="D618" s="4" t="n">
        <v>777</v>
      </c>
      <c r="E618" s="4" t="n">
        <v>7</v>
      </c>
      <c r="F618" s="4" t="n">
        <v>6</v>
      </c>
      <c r="G618" s="4" t="n">
        <v>0</v>
      </c>
      <c r="J618" s="11" t="b">
        <f aca="false">TRUE()</f>
        <v>1</v>
      </c>
      <c r="K618" s="4" t="s">
        <v>2764</v>
      </c>
      <c r="L618" s="4" t="n">
        <v>4</v>
      </c>
      <c r="M618" s="4" t="n">
        <v>4</v>
      </c>
      <c r="N618" s="4" t="n">
        <v>4</v>
      </c>
      <c r="O618" s="4" t="n">
        <v>4</v>
      </c>
      <c r="P618" s="0" t="str">
        <f aca="false">IF(E618=0,"not_reached",IF(AND(F618&gt;0,G618=0),"allowed","blocked"))</f>
        <v>allowed</v>
      </c>
      <c r="Q618" s="0" t="str">
        <f aca="false">IF(C618="success","published",IF(E618&gt;0,"blocked_at_gate","failed_before_gate"))</f>
        <v>published</v>
      </c>
      <c r="R618" s="0" t="str">
        <f aca="false">IF(C618="success","",IF(E618&gt;0,IF(I618="freshness_within_target","freshness",IF(I618="relationships_intact","relationships",IF(I618="reconciliation_residual_zero","residual",I618))),IF(H618="quality_gate","gate_infra",H618)))</f>
        <v/>
      </c>
    </row>
    <row r="619" customFormat="false" ht="15" hidden="false" customHeight="false" outlineLevel="0" collapsed="false">
      <c r="A619" s="4" t="s">
        <v>2765</v>
      </c>
      <c r="B619" s="10" t="n">
        <v>46269.6770833333</v>
      </c>
      <c r="C619" s="4" t="s">
        <v>1544</v>
      </c>
      <c r="D619" s="4" t="n">
        <v>1079</v>
      </c>
      <c r="E619" s="4" t="n">
        <v>7</v>
      </c>
      <c r="F619" s="4" t="n">
        <v>6</v>
      </c>
      <c r="G619" s="4" t="n">
        <v>0</v>
      </c>
      <c r="J619" s="11" t="b">
        <f aca="false">TRUE()</f>
        <v>1</v>
      </c>
      <c r="K619" s="4" t="s">
        <v>2766</v>
      </c>
      <c r="L619" s="4" t="n">
        <v>4</v>
      </c>
      <c r="M619" s="4" t="n">
        <v>4</v>
      </c>
      <c r="N619" s="4" t="n">
        <v>5</v>
      </c>
      <c r="O619" s="4" t="n">
        <v>4</v>
      </c>
      <c r="P619" s="0" t="str">
        <f aca="false">IF(E619=0,"not_reached",IF(AND(F619&gt;0,G619=0),"allowed","blocked"))</f>
        <v>allowed</v>
      </c>
      <c r="Q619" s="0" t="str">
        <f aca="false">IF(C619="success","published",IF(E619&gt;0,"blocked_at_gate","failed_before_gate"))</f>
        <v>published</v>
      </c>
      <c r="R619" s="0" t="str">
        <f aca="false">IF(C619="success","",IF(E619&gt;0,IF(I619="freshness_within_target","freshness",IF(I619="relationships_intact","relationships",IF(I619="reconciliation_residual_zero","residual",I619))),IF(H619="quality_gate","gate_infra",H619)))</f>
        <v/>
      </c>
    </row>
    <row r="620" customFormat="false" ht="15" hidden="false" customHeight="false" outlineLevel="0" collapsed="false">
      <c r="A620" s="4" t="s">
        <v>2767</v>
      </c>
      <c r="B620" s="10" t="n">
        <v>46269.71875</v>
      </c>
      <c r="C620" s="4" t="s">
        <v>1544</v>
      </c>
      <c r="D620" s="4" t="n">
        <v>791</v>
      </c>
      <c r="E620" s="4" t="n">
        <v>7</v>
      </c>
      <c r="F620" s="4" t="n">
        <v>6</v>
      </c>
      <c r="G620" s="4" t="n">
        <v>0</v>
      </c>
      <c r="J620" s="11" t="b">
        <f aca="false">TRUE()</f>
        <v>1</v>
      </c>
      <c r="K620" s="4" t="s">
        <v>2768</v>
      </c>
      <c r="L620" s="4" t="n">
        <v>4</v>
      </c>
      <c r="M620" s="4" t="n">
        <v>4</v>
      </c>
      <c r="N620" s="4" t="n">
        <v>4</v>
      </c>
      <c r="O620" s="4" t="n">
        <v>4</v>
      </c>
      <c r="P620" s="0" t="str">
        <f aca="false">IF(E620=0,"not_reached",IF(AND(F620&gt;0,G620=0),"allowed","blocked"))</f>
        <v>allowed</v>
      </c>
      <c r="Q620" s="0" t="str">
        <f aca="false">IF(C620="success","published",IF(E620&gt;0,"blocked_at_gate","failed_before_gate"))</f>
        <v>published</v>
      </c>
      <c r="R620" s="0" t="str">
        <f aca="false">IF(C620="success","",IF(E620&gt;0,IF(I620="freshness_within_target","freshness",IF(I620="relationships_intact","relationships",IF(I620="reconciliation_residual_zero","residual",I620))),IF(H620="quality_gate","gate_infra",H620)))</f>
        <v/>
      </c>
    </row>
    <row r="621" customFormat="false" ht="15" hidden="false" customHeight="false" outlineLevel="0" collapsed="false">
      <c r="A621" s="4" t="s">
        <v>2769</v>
      </c>
      <c r="B621" s="10" t="n">
        <v>46269.7604166667</v>
      </c>
      <c r="C621" s="4" t="s">
        <v>1544</v>
      </c>
      <c r="D621" s="4" t="n">
        <v>714</v>
      </c>
      <c r="E621" s="4" t="n">
        <v>7</v>
      </c>
      <c r="F621" s="4" t="n">
        <v>6</v>
      </c>
      <c r="G621" s="4" t="n">
        <v>0</v>
      </c>
      <c r="J621" s="11" t="b">
        <f aca="false">TRUE()</f>
        <v>1</v>
      </c>
      <c r="K621" s="4" t="s">
        <v>2770</v>
      </c>
      <c r="L621" s="4" t="n">
        <v>4</v>
      </c>
      <c r="M621" s="4" t="n">
        <v>4</v>
      </c>
      <c r="N621" s="4" t="n">
        <v>4</v>
      </c>
      <c r="O621" s="4" t="n">
        <v>4</v>
      </c>
      <c r="P621" s="0" t="str">
        <f aca="false">IF(E621=0,"not_reached",IF(AND(F621&gt;0,G621=0),"allowed","blocked"))</f>
        <v>allowed</v>
      </c>
      <c r="Q621" s="0" t="str">
        <f aca="false">IF(C621="success","published",IF(E621&gt;0,"blocked_at_gate","failed_before_gate"))</f>
        <v>published</v>
      </c>
      <c r="R621" s="0" t="str">
        <f aca="false">IF(C621="success","",IF(E621&gt;0,IF(I621="freshness_within_target","freshness",IF(I621="relationships_intact","relationships",IF(I621="reconciliation_residual_zero","residual",I621))),IF(H621="quality_gate","gate_infra",H621)))</f>
        <v/>
      </c>
    </row>
    <row r="622" customFormat="false" ht="15" hidden="false" customHeight="false" outlineLevel="0" collapsed="false">
      <c r="A622" s="4" t="s">
        <v>2771</v>
      </c>
      <c r="B622" s="10" t="n">
        <v>46269.8020833333</v>
      </c>
      <c r="C622" s="4" t="s">
        <v>1544</v>
      </c>
      <c r="D622" s="4" t="n">
        <v>819</v>
      </c>
      <c r="E622" s="4" t="n">
        <v>7</v>
      </c>
      <c r="F622" s="4" t="n">
        <v>6</v>
      </c>
      <c r="G622" s="4" t="n">
        <v>0</v>
      </c>
      <c r="J622" s="11" t="b">
        <f aca="false">TRUE()</f>
        <v>1</v>
      </c>
      <c r="K622" s="4" t="s">
        <v>2772</v>
      </c>
      <c r="L622" s="4" t="n">
        <v>4</v>
      </c>
      <c r="M622" s="4" t="n">
        <v>4</v>
      </c>
      <c r="N622" s="4" t="n">
        <v>4</v>
      </c>
      <c r="O622" s="4" t="n">
        <v>4</v>
      </c>
      <c r="P622" s="0" t="str">
        <f aca="false">IF(E622=0,"not_reached",IF(AND(F622&gt;0,G622=0),"allowed","blocked"))</f>
        <v>allowed</v>
      </c>
      <c r="Q622" s="0" t="str">
        <f aca="false">IF(C622="success","published",IF(E622&gt;0,"blocked_at_gate","failed_before_gate"))</f>
        <v>published</v>
      </c>
      <c r="R622" s="0" t="str">
        <f aca="false">IF(C622="success","",IF(E622&gt;0,IF(I622="freshness_within_target","freshness",IF(I622="relationships_intact","relationships",IF(I622="reconciliation_residual_zero","residual",I622))),IF(H622="quality_gate","gate_infra",H622)))</f>
        <v/>
      </c>
    </row>
    <row r="623" customFormat="false" ht="15" hidden="false" customHeight="false" outlineLevel="0" collapsed="false">
      <c r="A623" s="4" t="s">
        <v>2773</v>
      </c>
      <c r="B623" s="10" t="n">
        <v>46269.84375</v>
      </c>
      <c r="C623" s="4" t="s">
        <v>1544</v>
      </c>
      <c r="D623" s="4" t="n">
        <v>933</v>
      </c>
      <c r="E623" s="4" t="n">
        <v>7</v>
      </c>
      <c r="F623" s="4" t="n">
        <v>6</v>
      </c>
      <c r="G623" s="4" t="n">
        <v>0</v>
      </c>
      <c r="J623" s="11" t="b">
        <f aca="false">TRUE()</f>
        <v>1</v>
      </c>
      <c r="K623" s="4" t="s">
        <v>2774</v>
      </c>
      <c r="L623" s="4" t="n">
        <v>4</v>
      </c>
      <c r="M623" s="4" t="n">
        <v>4</v>
      </c>
      <c r="N623" s="4" t="n">
        <v>4</v>
      </c>
      <c r="O623" s="4" t="n">
        <v>4</v>
      </c>
      <c r="P623" s="0" t="str">
        <f aca="false">IF(E623=0,"not_reached",IF(AND(F623&gt;0,G623=0),"allowed","blocked"))</f>
        <v>allowed</v>
      </c>
      <c r="Q623" s="0" t="str">
        <f aca="false">IF(C623="success","published",IF(E623&gt;0,"blocked_at_gate","failed_before_gate"))</f>
        <v>published</v>
      </c>
      <c r="R623" s="0" t="str">
        <f aca="false">IF(C623="success","",IF(E623&gt;0,IF(I623="freshness_within_target","freshness",IF(I623="relationships_intact","relationships",IF(I623="reconciliation_residual_zero","residual",I623))),IF(H623="quality_gate","gate_infra",H623)))</f>
        <v/>
      </c>
    </row>
    <row r="624" customFormat="false" ht="15" hidden="false" customHeight="false" outlineLevel="0" collapsed="false">
      <c r="A624" s="4" t="s">
        <v>2775</v>
      </c>
      <c r="B624" s="10" t="n">
        <v>46269.8854166667</v>
      </c>
      <c r="C624" s="4" t="s">
        <v>1544</v>
      </c>
      <c r="D624" s="4" t="n">
        <v>782</v>
      </c>
      <c r="E624" s="4" t="n">
        <v>7</v>
      </c>
      <c r="F624" s="4" t="n">
        <v>6</v>
      </c>
      <c r="G624" s="4" t="n">
        <v>0</v>
      </c>
      <c r="J624" s="11" t="b">
        <f aca="false">TRUE()</f>
        <v>1</v>
      </c>
      <c r="K624" s="4" t="s">
        <v>2776</v>
      </c>
      <c r="L624" s="4" t="n">
        <v>4</v>
      </c>
      <c r="M624" s="4" t="n">
        <v>4</v>
      </c>
      <c r="N624" s="4" t="n">
        <v>4</v>
      </c>
      <c r="O624" s="4" t="n">
        <v>4</v>
      </c>
      <c r="P624" s="0" t="str">
        <f aca="false">IF(E624=0,"not_reached",IF(AND(F624&gt;0,G624=0),"allowed","blocked"))</f>
        <v>allowed</v>
      </c>
      <c r="Q624" s="0" t="str">
        <f aca="false">IF(C624="success","published",IF(E624&gt;0,"blocked_at_gate","failed_before_gate"))</f>
        <v>published</v>
      </c>
      <c r="R624" s="0" t="str">
        <f aca="false">IF(C624="success","",IF(E624&gt;0,IF(I624="freshness_within_target","freshness",IF(I624="relationships_intact","relationships",IF(I624="reconciliation_residual_zero","residual",I624))),IF(H624="quality_gate","gate_infra",H624)))</f>
        <v/>
      </c>
    </row>
    <row r="625" customFormat="false" ht="15" hidden="false" customHeight="false" outlineLevel="0" collapsed="false">
      <c r="A625" s="4" t="s">
        <v>2777</v>
      </c>
      <c r="B625" s="10" t="n">
        <v>46269.9270833333</v>
      </c>
      <c r="C625" s="4" t="s">
        <v>1544</v>
      </c>
      <c r="D625" s="4" t="n">
        <v>681</v>
      </c>
      <c r="E625" s="4" t="n">
        <v>7</v>
      </c>
      <c r="F625" s="4" t="n">
        <v>6</v>
      </c>
      <c r="G625" s="4" t="n">
        <v>0</v>
      </c>
      <c r="J625" s="11" t="b">
        <f aca="false">TRUE()</f>
        <v>1</v>
      </c>
      <c r="K625" s="4" t="s">
        <v>2778</v>
      </c>
      <c r="L625" s="4" t="n">
        <v>4</v>
      </c>
      <c r="M625" s="4" t="n">
        <v>4</v>
      </c>
      <c r="N625" s="4" t="n">
        <v>4</v>
      </c>
      <c r="O625" s="4" t="n">
        <v>4</v>
      </c>
      <c r="P625" s="0" t="str">
        <f aca="false">IF(E625=0,"not_reached",IF(AND(F625&gt;0,G625=0),"allowed","blocked"))</f>
        <v>allowed</v>
      </c>
      <c r="Q625" s="0" t="str">
        <f aca="false">IF(C625="success","published",IF(E625&gt;0,"blocked_at_gate","failed_before_gate"))</f>
        <v>published</v>
      </c>
      <c r="R625" s="0" t="str">
        <f aca="false">IF(C625="success","",IF(E625&gt;0,IF(I625="freshness_within_target","freshness",IF(I625="relationships_intact","relationships",IF(I625="reconciliation_residual_zero","residual",I625))),IF(H625="quality_gate","gate_infra",H625)))</f>
        <v/>
      </c>
    </row>
    <row r="626" customFormat="false" ht="15" hidden="false" customHeight="false" outlineLevel="0" collapsed="false">
      <c r="A626" s="4" t="s">
        <v>2779</v>
      </c>
      <c r="B626" s="10" t="n">
        <v>46269.96875</v>
      </c>
      <c r="C626" s="4" t="s">
        <v>1544</v>
      </c>
      <c r="D626" s="4" t="n">
        <v>705</v>
      </c>
      <c r="E626" s="4" t="n">
        <v>7</v>
      </c>
      <c r="F626" s="4" t="n">
        <v>6</v>
      </c>
      <c r="G626" s="4" t="n">
        <v>0</v>
      </c>
      <c r="J626" s="11" t="b">
        <f aca="false">TRUE()</f>
        <v>1</v>
      </c>
      <c r="K626" s="4" t="s">
        <v>2780</v>
      </c>
      <c r="L626" s="4" t="n">
        <v>4</v>
      </c>
      <c r="M626" s="4" t="n">
        <v>4</v>
      </c>
      <c r="N626" s="4" t="n">
        <v>4</v>
      </c>
      <c r="O626" s="4" t="n">
        <v>4</v>
      </c>
      <c r="P626" s="0" t="str">
        <f aca="false">IF(E626=0,"not_reached",IF(AND(F626&gt;0,G626=0),"allowed","blocked"))</f>
        <v>allowed</v>
      </c>
      <c r="Q626" s="0" t="str">
        <f aca="false">IF(C626="success","published",IF(E626&gt;0,"blocked_at_gate","failed_before_gate"))</f>
        <v>published</v>
      </c>
      <c r="R626" s="0" t="str">
        <f aca="false">IF(C626="success","",IF(E626&gt;0,IF(I626="freshness_within_target","freshness",IF(I626="relationships_intact","relationships",IF(I626="reconciliation_residual_zero","residual",I626))),IF(H626="quality_gate","gate_infra",H626)))</f>
        <v/>
      </c>
    </row>
    <row r="627" customFormat="false" ht="15" hidden="false" customHeight="false" outlineLevel="0" collapsed="false">
      <c r="A627" s="4" t="s">
        <v>2781</v>
      </c>
      <c r="B627" s="10" t="n">
        <v>46270.0104166667</v>
      </c>
      <c r="C627" s="4" t="s">
        <v>1544</v>
      </c>
      <c r="D627" s="4" t="n">
        <v>768</v>
      </c>
      <c r="E627" s="4" t="n">
        <v>7</v>
      </c>
      <c r="F627" s="4" t="n">
        <v>6</v>
      </c>
      <c r="G627" s="4" t="n">
        <v>0</v>
      </c>
      <c r="J627" s="11" t="b">
        <f aca="false">TRUE()</f>
        <v>1</v>
      </c>
      <c r="K627" s="4" t="s">
        <v>2782</v>
      </c>
      <c r="L627" s="4" t="n">
        <v>4</v>
      </c>
      <c r="M627" s="4" t="n">
        <v>4</v>
      </c>
      <c r="N627" s="4" t="n">
        <v>4</v>
      </c>
      <c r="O627" s="4" t="n">
        <v>4</v>
      </c>
      <c r="P627" s="0" t="str">
        <f aca="false">IF(E627=0,"not_reached",IF(AND(F627&gt;0,G627=0),"allowed","blocked"))</f>
        <v>allowed</v>
      </c>
      <c r="Q627" s="0" t="str">
        <f aca="false">IF(C627="success","published",IF(E627&gt;0,"blocked_at_gate","failed_before_gate"))</f>
        <v>published</v>
      </c>
      <c r="R627" s="0" t="str">
        <f aca="false">IF(C627="success","",IF(E627&gt;0,IF(I627="freshness_within_target","freshness",IF(I627="relationships_intact","relationships",IF(I627="reconciliation_residual_zero","residual",I627))),IF(H627="quality_gate","gate_infra",H627)))</f>
        <v/>
      </c>
    </row>
    <row r="628" customFormat="false" ht="15" hidden="false" customHeight="false" outlineLevel="0" collapsed="false">
      <c r="A628" s="4" t="s">
        <v>2783</v>
      </c>
      <c r="B628" s="10" t="n">
        <v>46270.0520833333</v>
      </c>
      <c r="C628" s="4" t="s">
        <v>1544</v>
      </c>
      <c r="D628" s="4" t="n">
        <v>745</v>
      </c>
      <c r="E628" s="4" t="n">
        <v>7</v>
      </c>
      <c r="F628" s="4" t="n">
        <v>6</v>
      </c>
      <c r="G628" s="4" t="n">
        <v>0</v>
      </c>
      <c r="J628" s="11" t="b">
        <f aca="false">TRUE()</f>
        <v>1</v>
      </c>
      <c r="K628" s="4" t="s">
        <v>2784</v>
      </c>
      <c r="L628" s="4" t="n">
        <v>4</v>
      </c>
      <c r="M628" s="4" t="n">
        <v>4</v>
      </c>
      <c r="N628" s="4" t="n">
        <v>4</v>
      </c>
      <c r="O628" s="4" t="n">
        <v>4</v>
      </c>
      <c r="P628" s="0" t="str">
        <f aca="false">IF(E628=0,"not_reached",IF(AND(F628&gt;0,G628=0),"allowed","blocked"))</f>
        <v>allowed</v>
      </c>
      <c r="Q628" s="0" t="str">
        <f aca="false">IF(C628="success","published",IF(E628&gt;0,"blocked_at_gate","failed_before_gate"))</f>
        <v>published</v>
      </c>
      <c r="R628" s="0" t="str">
        <f aca="false">IF(C628="success","",IF(E628&gt;0,IF(I628="freshness_within_target","freshness",IF(I628="relationships_intact","relationships",IF(I628="reconciliation_residual_zero","residual",I628))),IF(H628="quality_gate","gate_infra",H628)))</f>
        <v/>
      </c>
    </row>
    <row r="629" customFormat="false" ht="15" hidden="false" customHeight="false" outlineLevel="0" collapsed="false">
      <c r="A629" s="4" t="s">
        <v>2785</v>
      </c>
      <c r="B629" s="10" t="n">
        <v>46270.09375</v>
      </c>
      <c r="C629" s="4" t="s">
        <v>1544</v>
      </c>
      <c r="D629" s="4" t="n">
        <v>960</v>
      </c>
      <c r="E629" s="4" t="n">
        <v>7</v>
      </c>
      <c r="F629" s="4" t="n">
        <v>6</v>
      </c>
      <c r="G629" s="4" t="n">
        <v>0</v>
      </c>
      <c r="J629" s="11" t="b">
        <f aca="false">TRUE()</f>
        <v>1</v>
      </c>
      <c r="K629" s="4" t="s">
        <v>2786</v>
      </c>
      <c r="L629" s="4" t="n">
        <v>4</v>
      </c>
      <c r="M629" s="4" t="n">
        <v>4</v>
      </c>
      <c r="N629" s="4" t="n">
        <v>4</v>
      </c>
      <c r="O629" s="4" t="n">
        <v>4</v>
      </c>
      <c r="P629" s="0" t="str">
        <f aca="false">IF(E629=0,"not_reached",IF(AND(F629&gt;0,G629=0),"allowed","blocked"))</f>
        <v>allowed</v>
      </c>
      <c r="Q629" s="0" t="str">
        <f aca="false">IF(C629="success","published",IF(E629&gt;0,"blocked_at_gate","failed_before_gate"))</f>
        <v>published</v>
      </c>
      <c r="R629" s="0" t="str">
        <f aca="false">IF(C629="success","",IF(E629&gt;0,IF(I629="freshness_within_target","freshness",IF(I629="relationships_intact","relationships",IF(I629="reconciliation_residual_zero","residual",I629))),IF(H629="quality_gate","gate_infra",H629)))</f>
        <v/>
      </c>
    </row>
    <row r="630" customFormat="false" ht="15" hidden="false" customHeight="false" outlineLevel="0" collapsed="false">
      <c r="A630" s="4" t="s">
        <v>2787</v>
      </c>
      <c r="B630" s="10" t="n">
        <v>46270.1354166667</v>
      </c>
      <c r="C630" s="4" t="s">
        <v>1544</v>
      </c>
      <c r="D630" s="4" t="n">
        <v>826</v>
      </c>
      <c r="E630" s="4" t="n">
        <v>7</v>
      </c>
      <c r="F630" s="4" t="n">
        <v>6</v>
      </c>
      <c r="G630" s="4" t="n">
        <v>0</v>
      </c>
      <c r="J630" s="11" t="b">
        <f aca="false">TRUE()</f>
        <v>1</v>
      </c>
      <c r="K630" s="4" t="s">
        <v>2788</v>
      </c>
      <c r="L630" s="4" t="n">
        <v>4</v>
      </c>
      <c r="M630" s="4" t="n">
        <v>4</v>
      </c>
      <c r="N630" s="4" t="n">
        <v>4</v>
      </c>
      <c r="O630" s="4" t="n">
        <v>4</v>
      </c>
      <c r="P630" s="0" t="str">
        <f aca="false">IF(E630=0,"not_reached",IF(AND(F630&gt;0,G630=0),"allowed","blocked"))</f>
        <v>allowed</v>
      </c>
      <c r="Q630" s="0" t="str">
        <f aca="false">IF(C630="success","published",IF(E630&gt;0,"blocked_at_gate","failed_before_gate"))</f>
        <v>published</v>
      </c>
      <c r="R630" s="0" t="str">
        <f aca="false">IF(C630="success","",IF(E630&gt;0,IF(I630="freshness_within_target","freshness",IF(I630="relationships_intact","relationships",IF(I630="reconciliation_residual_zero","residual",I630))),IF(H630="quality_gate","gate_infra",H630)))</f>
        <v/>
      </c>
    </row>
    <row r="631" customFormat="false" ht="15" hidden="false" customHeight="false" outlineLevel="0" collapsed="false">
      <c r="A631" s="4" t="s">
        <v>2789</v>
      </c>
      <c r="B631" s="10" t="n">
        <v>46270.1770833333</v>
      </c>
      <c r="C631" s="4" t="s">
        <v>1544</v>
      </c>
      <c r="D631" s="4" t="n">
        <v>807</v>
      </c>
      <c r="E631" s="4" t="n">
        <v>7</v>
      </c>
      <c r="F631" s="4" t="n">
        <v>6</v>
      </c>
      <c r="G631" s="4" t="n">
        <v>0</v>
      </c>
      <c r="J631" s="11" t="b">
        <f aca="false">TRUE()</f>
        <v>1</v>
      </c>
      <c r="K631" s="4" t="s">
        <v>2790</v>
      </c>
      <c r="L631" s="4" t="n">
        <v>4</v>
      </c>
      <c r="M631" s="4" t="n">
        <v>4</v>
      </c>
      <c r="N631" s="4" t="n">
        <v>4</v>
      </c>
      <c r="O631" s="4" t="n">
        <v>4</v>
      </c>
      <c r="P631" s="0" t="str">
        <f aca="false">IF(E631=0,"not_reached",IF(AND(F631&gt;0,G631=0),"allowed","blocked"))</f>
        <v>allowed</v>
      </c>
      <c r="Q631" s="0" t="str">
        <f aca="false">IF(C631="success","published",IF(E631&gt;0,"blocked_at_gate","failed_before_gate"))</f>
        <v>published</v>
      </c>
      <c r="R631" s="0" t="str">
        <f aca="false">IF(C631="success","",IF(E631&gt;0,IF(I631="freshness_within_target","freshness",IF(I631="relationships_intact","relationships",IF(I631="reconciliation_residual_zero","residual",I631))),IF(H631="quality_gate","gate_infra",H631)))</f>
        <v/>
      </c>
    </row>
    <row r="632" customFormat="false" ht="15" hidden="false" customHeight="false" outlineLevel="0" collapsed="false">
      <c r="A632" s="4" t="s">
        <v>2791</v>
      </c>
      <c r="B632" s="10" t="n">
        <v>46270.21875</v>
      </c>
      <c r="C632" s="4" t="s">
        <v>1544</v>
      </c>
      <c r="D632" s="4" t="n">
        <v>929</v>
      </c>
      <c r="E632" s="4" t="n">
        <v>7</v>
      </c>
      <c r="F632" s="4" t="n">
        <v>6</v>
      </c>
      <c r="G632" s="4" t="n">
        <v>0</v>
      </c>
      <c r="J632" s="11" t="b">
        <f aca="false">TRUE()</f>
        <v>1</v>
      </c>
      <c r="K632" s="4" t="s">
        <v>2792</v>
      </c>
      <c r="L632" s="4" t="n">
        <v>4</v>
      </c>
      <c r="M632" s="4" t="n">
        <v>4</v>
      </c>
      <c r="N632" s="4" t="n">
        <v>4</v>
      </c>
      <c r="O632" s="4" t="n">
        <v>4</v>
      </c>
      <c r="P632" s="0" t="str">
        <f aca="false">IF(E632=0,"not_reached",IF(AND(F632&gt;0,G632=0),"allowed","blocked"))</f>
        <v>allowed</v>
      </c>
      <c r="Q632" s="0" t="str">
        <f aca="false">IF(C632="success","published",IF(E632&gt;0,"blocked_at_gate","failed_before_gate"))</f>
        <v>published</v>
      </c>
      <c r="R632" s="0" t="str">
        <f aca="false">IF(C632="success","",IF(E632&gt;0,IF(I632="freshness_within_target","freshness",IF(I632="relationships_intact","relationships",IF(I632="reconciliation_residual_zero","residual",I632))),IF(H632="quality_gate","gate_infra",H632)))</f>
        <v/>
      </c>
    </row>
    <row r="633" customFormat="false" ht="15" hidden="false" customHeight="false" outlineLevel="0" collapsed="false">
      <c r="A633" s="4" t="s">
        <v>2793</v>
      </c>
      <c r="B633" s="10" t="n">
        <v>46270.2604166667</v>
      </c>
      <c r="C633" s="4" t="s">
        <v>1544</v>
      </c>
      <c r="D633" s="4" t="n">
        <v>864</v>
      </c>
      <c r="E633" s="4" t="n">
        <v>7</v>
      </c>
      <c r="F633" s="4" t="n">
        <v>6</v>
      </c>
      <c r="G633" s="4" t="n">
        <v>0</v>
      </c>
      <c r="J633" s="11" t="b">
        <f aca="false">TRUE()</f>
        <v>1</v>
      </c>
      <c r="K633" s="4" t="s">
        <v>2794</v>
      </c>
      <c r="L633" s="4" t="n">
        <v>4</v>
      </c>
      <c r="M633" s="4" t="n">
        <v>4</v>
      </c>
      <c r="N633" s="4" t="n">
        <v>4</v>
      </c>
      <c r="O633" s="4" t="n">
        <v>4</v>
      </c>
      <c r="P633" s="0" t="str">
        <f aca="false">IF(E633=0,"not_reached",IF(AND(F633&gt;0,G633=0),"allowed","blocked"))</f>
        <v>allowed</v>
      </c>
      <c r="Q633" s="0" t="str">
        <f aca="false">IF(C633="success","published",IF(E633&gt;0,"blocked_at_gate","failed_before_gate"))</f>
        <v>published</v>
      </c>
      <c r="R633" s="0" t="str">
        <f aca="false">IF(C633="success","",IF(E633&gt;0,IF(I633="freshness_within_target","freshness",IF(I633="relationships_intact","relationships",IF(I633="reconciliation_residual_zero","residual",I633))),IF(H633="quality_gate","gate_infra",H633)))</f>
        <v/>
      </c>
    </row>
    <row r="634" customFormat="false" ht="15" hidden="false" customHeight="false" outlineLevel="0" collapsed="false">
      <c r="A634" s="4" t="s">
        <v>2795</v>
      </c>
      <c r="B634" s="10" t="n">
        <v>46270.3020833333</v>
      </c>
      <c r="C634" s="4" t="s">
        <v>1544</v>
      </c>
      <c r="D634" s="4" t="n">
        <v>771</v>
      </c>
      <c r="E634" s="4" t="n">
        <v>7</v>
      </c>
      <c r="F634" s="4" t="n">
        <v>6</v>
      </c>
      <c r="G634" s="4" t="n">
        <v>0</v>
      </c>
      <c r="J634" s="11" t="b">
        <f aca="false">TRUE()</f>
        <v>1</v>
      </c>
      <c r="K634" s="4" t="s">
        <v>2796</v>
      </c>
      <c r="L634" s="4" t="n">
        <v>4</v>
      </c>
      <c r="M634" s="4" t="n">
        <v>4</v>
      </c>
      <c r="N634" s="4" t="n">
        <v>4</v>
      </c>
      <c r="O634" s="4" t="n">
        <v>4</v>
      </c>
      <c r="P634" s="0" t="str">
        <f aca="false">IF(E634=0,"not_reached",IF(AND(F634&gt;0,G634=0),"allowed","blocked"))</f>
        <v>allowed</v>
      </c>
      <c r="Q634" s="0" t="str">
        <f aca="false">IF(C634="success","published",IF(E634&gt;0,"blocked_at_gate","failed_before_gate"))</f>
        <v>published</v>
      </c>
      <c r="R634" s="0" t="str">
        <f aca="false">IF(C634="success","",IF(E634&gt;0,IF(I634="freshness_within_target","freshness",IF(I634="relationships_intact","relationships",IF(I634="reconciliation_residual_zero","residual",I634))),IF(H634="quality_gate","gate_infra",H634)))</f>
        <v/>
      </c>
    </row>
    <row r="635" customFormat="false" ht="15" hidden="false" customHeight="false" outlineLevel="0" collapsed="false">
      <c r="A635" s="4" t="s">
        <v>2797</v>
      </c>
      <c r="B635" s="10" t="n">
        <v>46270.34375</v>
      </c>
      <c r="C635" s="4" t="s">
        <v>1544</v>
      </c>
      <c r="D635" s="4" t="n">
        <v>914</v>
      </c>
      <c r="E635" s="4" t="n">
        <v>7</v>
      </c>
      <c r="F635" s="4" t="n">
        <v>6</v>
      </c>
      <c r="G635" s="4" t="n">
        <v>0</v>
      </c>
      <c r="J635" s="11" t="b">
        <f aca="false">TRUE()</f>
        <v>1</v>
      </c>
      <c r="K635" s="4" t="s">
        <v>2798</v>
      </c>
      <c r="L635" s="4" t="n">
        <v>4</v>
      </c>
      <c r="M635" s="4" t="n">
        <v>4</v>
      </c>
      <c r="N635" s="4" t="n">
        <v>4</v>
      </c>
      <c r="O635" s="4" t="n">
        <v>4</v>
      </c>
      <c r="P635" s="0" t="str">
        <f aca="false">IF(E635=0,"not_reached",IF(AND(F635&gt;0,G635=0),"allowed","blocked"))</f>
        <v>allowed</v>
      </c>
      <c r="Q635" s="0" t="str">
        <f aca="false">IF(C635="success","published",IF(E635&gt;0,"blocked_at_gate","failed_before_gate"))</f>
        <v>published</v>
      </c>
      <c r="R635" s="0" t="str">
        <f aca="false">IF(C635="success","",IF(E635&gt;0,IF(I635="freshness_within_target","freshness",IF(I635="relationships_intact","relationships",IF(I635="reconciliation_residual_zero","residual",I635))),IF(H635="quality_gate","gate_infra",H635)))</f>
        <v/>
      </c>
    </row>
    <row r="636" customFormat="false" ht="15" hidden="false" customHeight="false" outlineLevel="0" collapsed="false">
      <c r="A636" s="4" t="s">
        <v>2799</v>
      </c>
      <c r="B636" s="10" t="n">
        <v>46270.3854166667</v>
      </c>
      <c r="C636" s="4" t="s">
        <v>1544</v>
      </c>
      <c r="D636" s="4" t="n">
        <v>843</v>
      </c>
      <c r="E636" s="4" t="n">
        <v>7</v>
      </c>
      <c r="F636" s="4" t="n">
        <v>6</v>
      </c>
      <c r="G636" s="4" t="n">
        <v>0</v>
      </c>
      <c r="J636" s="11" t="b">
        <f aca="false">TRUE()</f>
        <v>1</v>
      </c>
      <c r="K636" s="4" t="s">
        <v>2800</v>
      </c>
      <c r="L636" s="4" t="n">
        <v>4</v>
      </c>
      <c r="M636" s="4" t="n">
        <v>4</v>
      </c>
      <c r="N636" s="4" t="n">
        <v>4</v>
      </c>
      <c r="O636" s="4" t="n">
        <v>4</v>
      </c>
      <c r="P636" s="0" t="str">
        <f aca="false">IF(E636=0,"not_reached",IF(AND(F636&gt;0,G636=0),"allowed","blocked"))</f>
        <v>allowed</v>
      </c>
      <c r="Q636" s="0" t="str">
        <f aca="false">IF(C636="success","published",IF(E636&gt;0,"blocked_at_gate","failed_before_gate"))</f>
        <v>published</v>
      </c>
      <c r="R636" s="0" t="str">
        <f aca="false">IF(C636="success","",IF(E636&gt;0,IF(I636="freshness_within_target","freshness",IF(I636="relationships_intact","relationships",IF(I636="reconciliation_residual_zero","residual",I636))),IF(H636="quality_gate","gate_infra",H636)))</f>
        <v/>
      </c>
    </row>
    <row r="637" customFormat="false" ht="15" hidden="false" customHeight="false" outlineLevel="0" collapsed="false">
      <c r="A637" s="4" t="s">
        <v>2801</v>
      </c>
      <c r="B637" s="10" t="n">
        <v>46270.4270833333</v>
      </c>
      <c r="C637" s="4" t="s">
        <v>1544</v>
      </c>
      <c r="D637" s="4" t="n">
        <v>791</v>
      </c>
      <c r="E637" s="4" t="n">
        <v>7</v>
      </c>
      <c r="F637" s="4" t="n">
        <v>6</v>
      </c>
      <c r="G637" s="4" t="n">
        <v>0</v>
      </c>
      <c r="J637" s="11" t="b">
        <f aca="false">TRUE()</f>
        <v>1</v>
      </c>
      <c r="K637" s="4" t="s">
        <v>2802</v>
      </c>
      <c r="L637" s="4" t="n">
        <v>4</v>
      </c>
      <c r="M637" s="4" t="n">
        <v>4</v>
      </c>
      <c r="N637" s="4" t="n">
        <v>4</v>
      </c>
      <c r="O637" s="4" t="n">
        <v>4</v>
      </c>
      <c r="P637" s="0" t="str">
        <f aca="false">IF(E637=0,"not_reached",IF(AND(F637&gt;0,G637=0),"allowed","blocked"))</f>
        <v>allowed</v>
      </c>
      <c r="Q637" s="0" t="str">
        <f aca="false">IF(C637="success","published",IF(E637&gt;0,"blocked_at_gate","failed_before_gate"))</f>
        <v>published</v>
      </c>
      <c r="R637" s="0" t="str">
        <f aca="false">IF(C637="success","",IF(E637&gt;0,IF(I637="freshness_within_target","freshness",IF(I637="relationships_intact","relationships",IF(I637="reconciliation_residual_zero","residual",I637))),IF(H637="quality_gate","gate_infra",H637)))</f>
        <v/>
      </c>
    </row>
    <row r="638" customFormat="false" ht="15" hidden="false" customHeight="false" outlineLevel="0" collapsed="false">
      <c r="A638" s="4" t="s">
        <v>2803</v>
      </c>
      <c r="B638" s="10" t="n">
        <v>46270.46875</v>
      </c>
      <c r="C638" s="4" t="s">
        <v>1544</v>
      </c>
      <c r="D638" s="4" t="n">
        <v>711</v>
      </c>
      <c r="E638" s="4" t="n">
        <v>7</v>
      </c>
      <c r="F638" s="4" t="n">
        <v>6</v>
      </c>
      <c r="G638" s="4" t="n">
        <v>0</v>
      </c>
      <c r="J638" s="11" t="b">
        <f aca="false">TRUE()</f>
        <v>1</v>
      </c>
      <c r="K638" s="4" t="s">
        <v>2804</v>
      </c>
      <c r="L638" s="4" t="n">
        <v>4</v>
      </c>
      <c r="M638" s="4" t="n">
        <v>4</v>
      </c>
      <c r="N638" s="4" t="n">
        <v>4</v>
      </c>
      <c r="O638" s="4" t="n">
        <v>4</v>
      </c>
      <c r="P638" s="0" t="str">
        <f aca="false">IF(E638=0,"not_reached",IF(AND(F638&gt;0,G638=0),"allowed","blocked"))</f>
        <v>allowed</v>
      </c>
      <c r="Q638" s="0" t="str">
        <f aca="false">IF(C638="success","published",IF(E638&gt;0,"blocked_at_gate","failed_before_gate"))</f>
        <v>published</v>
      </c>
      <c r="R638" s="0" t="str">
        <f aca="false">IF(C638="success","",IF(E638&gt;0,IF(I638="freshness_within_target","freshness",IF(I638="relationships_intact","relationships",IF(I638="reconciliation_residual_zero","residual",I638))),IF(H638="quality_gate","gate_infra",H638)))</f>
        <v/>
      </c>
    </row>
    <row r="639" customFormat="false" ht="15" hidden="false" customHeight="false" outlineLevel="0" collapsed="false">
      <c r="A639" s="4" t="s">
        <v>2805</v>
      </c>
      <c r="B639" s="10" t="n">
        <v>46270.5104166667</v>
      </c>
      <c r="C639" s="4" t="s">
        <v>1544</v>
      </c>
      <c r="D639" s="4" t="n">
        <v>1017</v>
      </c>
      <c r="E639" s="4" t="n">
        <v>7</v>
      </c>
      <c r="F639" s="4" t="n">
        <v>6</v>
      </c>
      <c r="G639" s="4" t="n">
        <v>0</v>
      </c>
      <c r="J639" s="11" t="b">
        <f aca="false">TRUE()</f>
        <v>1</v>
      </c>
      <c r="K639" s="4" t="s">
        <v>2806</v>
      </c>
      <c r="L639" s="4" t="n">
        <v>4</v>
      </c>
      <c r="M639" s="4" t="n">
        <v>4</v>
      </c>
      <c r="N639" s="4" t="n">
        <v>5</v>
      </c>
      <c r="O639" s="4" t="n">
        <v>4</v>
      </c>
      <c r="P639" s="0" t="str">
        <f aca="false">IF(E639=0,"not_reached",IF(AND(F639&gt;0,G639=0),"allowed","blocked"))</f>
        <v>allowed</v>
      </c>
      <c r="Q639" s="0" t="str">
        <f aca="false">IF(C639="success","published",IF(E639&gt;0,"blocked_at_gate","failed_before_gate"))</f>
        <v>published</v>
      </c>
      <c r="R639" s="0" t="str">
        <f aca="false">IF(C639="success","",IF(E639&gt;0,IF(I639="freshness_within_target","freshness",IF(I639="relationships_intact","relationships",IF(I639="reconciliation_residual_zero","residual",I639))),IF(H639="quality_gate","gate_infra",H639)))</f>
        <v/>
      </c>
    </row>
    <row r="640" customFormat="false" ht="15" hidden="false" customHeight="false" outlineLevel="0" collapsed="false">
      <c r="A640" s="4" t="s">
        <v>2807</v>
      </c>
      <c r="B640" s="10" t="n">
        <v>46270.5520833333</v>
      </c>
      <c r="C640" s="4" t="s">
        <v>1544</v>
      </c>
      <c r="D640" s="4" t="n">
        <v>860</v>
      </c>
      <c r="E640" s="4" t="n">
        <v>7</v>
      </c>
      <c r="F640" s="4" t="n">
        <v>6</v>
      </c>
      <c r="G640" s="4" t="n">
        <v>0</v>
      </c>
      <c r="J640" s="11" t="b">
        <f aca="false">TRUE()</f>
        <v>1</v>
      </c>
      <c r="K640" s="4" t="s">
        <v>2808</v>
      </c>
      <c r="L640" s="4" t="n">
        <v>4</v>
      </c>
      <c r="M640" s="4" t="n">
        <v>4</v>
      </c>
      <c r="N640" s="4" t="n">
        <v>4</v>
      </c>
      <c r="O640" s="4" t="n">
        <v>4</v>
      </c>
      <c r="P640" s="0" t="str">
        <f aca="false">IF(E640=0,"not_reached",IF(AND(F640&gt;0,G640=0),"allowed","blocked"))</f>
        <v>allowed</v>
      </c>
      <c r="Q640" s="0" t="str">
        <f aca="false">IF(C640="success","published",IF(E640&gt;0,"blocked_at_gate","failed_before_gate"))</f>
        <v>published</v>
      </c>
      <c r="R640" s="0" t="str">
        <f aca="false">IF(C640="success","",IF(E640&gt;0,IF(I640="freshness_within_target","freshness",IF(I640="relationships_intact","relationships",IF(I640="reconciliation_residual_zero","residual",I640))),IF(H640="quality_gate","gate_infra",H640)))</f>
        <v/>
      </c>
    </row>
    <row r="641" customFormat="false" ht="15" hidden="false" customHeight="false" outlineLevel="0" collapsed="false">
      <c r="A641" s="4" t="s">
        <v>2809</v>
      </c>
      <c r="B641" s="10" t="n">
        <v>46270.59375</v>
      </c>
      <c r="C641" s="4" t="s">
        <v>1544</v>
      </c>
      <c r="D641" s="4" t="n">
        <v>675</v>
      </c>
      <c r="E641" s="4" t="n">
        <v>7</v>
      </c>
      <c r="F641" s="4" t="n">
        <v>6</v>
      </c>
      <c r="G641" s="4" t="n">
        <v>0</v>
      </c>
      <c r="J641" s="11" t="b">
        <f aca="false">TRUE()</f>
        <v>1</v>
      </c>
      <c r="K641" s="4" t="s">
        <v>2810</v>
      </c>
      <c r="L641" s="4" t="n">
        <v>4</v>
      </c>
      <c r="M641" s="4" t="n">
        <v>4</v>
      </c>
      <c r="N641" s="4" t="n">
        <v>4</v>
      </c>
      <c r="O641" s="4" t="n">
        <v>4</v>
      </c>
      <c r="P641" s="0" t="str">
        <f aca="false">IF(E641=0,"not_reached",IF(AND(F641&gt;0,G641=0),"allowed","blocked"))</f>
        <v>allowed</v>
      </c>
      <c r="Q641" s="0" t="str">
        <f aca="false">IF(C641="success","published",IF(E641&gt;0,"blocked_at_gate","failed_before_gate"))</f>
        <v>published</v>
      </c>
      <c r="R641" s="0" t="str">
        <f aca="false">IF(C641="success","",IF(E641&gt;0,IF(I641="freshness_within_target","freshness",IF(I641="relationships_intact","relationships",IF(I641="reconciliation_residual_zero","residual",I641))),IF(H641="quality_gate","gate_infra",H641)))</f>
        <v/>
      </c>
    </row>
    <row r="642" customFormat="false" ht="15" hidden="false" customHeight="false" outlineLevel="0" collapsed="false">
      <c r="A642" s="4" t="s">
        <v>2811</v>
      </c>
      <c r="B642" s="10" t="n">
        <v>46270.6354166667</v>
      </c>
      <c r="C642" s="4" t="s">
        <v>1544</v>
      </c>
      <c r="D642" s="4" t="n">
        <v>907</v>
      </c>
      <c r="E642" s="4" t="n">
        <v>7</v>
      </c>
      <c r="F642" s="4" t="n">
        <v>6</v>
      </c>
      <c r="G642" s="4" t="n">
        <v>0</v>
      </c>
      <c r="J642" s="11" t="b">
        <f aca="false">TRUE()</f>
        <v>1</v>
      </c>
      <c r="K642" s="4" t="s">
        <v>2812</v>
      </c>
      <c r="L642" s="4" t="n">
        <v>4</v>
      </c>
      <c r="M642" s="4" t="n">
        <v>4</v>
      </c>
      <c r="N642" s="4" t="n">
        <v>4</v>
      </c>
      <c r="O642" s="4" t="n">
        <v>4</v>
      </c>
      <c r="P642" s="0" t="str">
        <f aca="false">IF(E642=0,"not_reached",IF(AND(F642&gt;0,G642=0),"allowed","blocked"))</f>
        <v>allowed</v>
      </c>
      <c r="Q642" s="0" t="str">
        <f aca="false">IF(C642="success","published",IF(E642&gt;0,"blocked_at_gate","failed_before_gate"))</f>
        <v>published</v>
      </c>
      <c r="R642" s="0" t="str">
        <f aca="false">IF(C642="success","",IF(E642&gt;0,IF(I642="freshness_within_target","freshness",IF(I642="relationships_intact","relationships",IF(I642="reconciliation_residual_zero","residual",I642))),IF(H642="quality_gate","gate_infra",H642)))</f>
        <v/>
      </c>
    </row>
    <row r="643" customFormat="false" ht="15" hidden="false" customHeight="false" outlineLevel="0" collapsed="false">
      <c r="A643" s="4" t="s">
        <v>2813</v>
      </c>
      <c r="B643" s="10" t="n">
        <v>46270.6770833333</v>
      </c>
      <c r="C643" s="4" t="s">
        <v>1544</v>
      </c>
      <c r="D643" s="4" t="n">
        <v>902</v>
      </c>
      <c r="E643" s="4" t="n">
        <v>7</v>
      </c>
      <c r="F643" s="4" t="n">
        <v>6</v>
      </c>
      <c r="G643" s="4" t="n">
        <v>0</v>
      </c>
      <c r="J643" s="11" t="b">
        <f aca="false">TRUE()</f>
        <v>1</v>
      </c>
      <c r="K643" s="4" t="s">
        <v>2814</v>
      </c>
      <c r="L643" s="4" t="n">
        <v>4</v>
      </c>
      <c r="M643" s="4" t="n">
        <v>4</v>
      </c>
      <c r="N643" s="4" t="n">
        <v>4</v>
      </c>
      <c r="O643" s="4" t="n">
        <v>4</v>
      </c>
      <c r="P643" s="0" t="str">
        <f aca="false">IF(E643=0,"not_reached",IF(AND(F643&gt;0,G643=0),"allowed","blocked"))</f>
        <v>allowed</v>
      </c>
      <c r="Q643" s="0" t="str">
        <f aca="false">IF(C643="success","published",IF(E643&gt;0,"blocked_at_gate","failed_before_gate"))</f>
        <v>published</v>
      </c>
      <c r="R643" s="0" t="str">
        <f aca="false">IF(C643="success","",IF(E643&gt;0,IF(I643="freshness_within_target","freshness",IF(I643="relationships_intact","relationships",IF(I643="reconciliation_residual_zero","residual",I643))),IF(H643="quality_gate","gate_infra",H643)))</f>
        <v/>
      </c>
    </row>
    <row r="644" customFormat="false" ht="15" hidden="false" customHeight="false" outlineLevel="0" collapsed="false">
      <c r="A644" s="4" t="s">
        <v>2815</v>
      </c>
      <c r="B644" s="10" t="n">
        <v>46270.71875</v>
      </c>
      <c r="C644" s="4" t="s">
        <v>1544</v>
      </c>
      <c r="D644" s="4" t="n">
        <v>704</v>
      </c>
      <c r="E644" s="4" t="n">
        <v>7</v>
      </c>
      <c r="F644" s="4" t="n">
        <v>6</v>
      </c>
      <c r="G644" s="4" t="n">
        <v>0</v>
      </c>
      <c r="J644" s="11" t="b">
        <f aca="false">TRUE()</f>
        <v>1</v>
      </c>
      <c r="K644" s="4" t="s">
        <v>2816</v>
      </c>
      <c r="L644" s="4" t="n">
        <v>4</v>
      </c>
      <c r="M644" s="4" t="n">
        <v>4</v>
      </c>
      <c r="N644" s="4" t="n">
        <v>4</v>
      </c>
      <c r="O644" s="4" t="n">
        <v>4</v>
      </c>
      <c r="P644" s="0" t="str">
        <f aca="false">IF(E644=0,"not_reached",IF(AND(F644&gt;0,G644=0),"allowed","blocked"))</f>
        <v>allowed</v>
      </c>
      <c r="Q644" s="0" t="str">
        <f aca="false">IF(C644="success","published",IF(E644&gt;0,"blocked_at_gate","failed_before_gate"))</f>
        <v>published</v>
      </c>
      <c r="R644" s="0" t="str">
        <f aca="false">IF(C644="success","",IF(E644&gt;0,IF(I644="freshness_within_target","freshness",IF(I644="relationships_intact","relationships",IF(I644="reconciliation_residual_zero","residual",I644))),IF(H644="quality_gate","gate_infra",H644)))</f>
        <v/>
      </c>
    </row>
    <row r="645" customFormat="false" ht="15" hidden="false" customHeight="false" outlineLevel="0" collapsed="false">
      <c r="A645" s="4" t="s">
        <v>2817</v>
      </c>
      <c r="B645" s="10" t="n">
        <v>46270.7604166667</v>
      </c>
      <c r="C645" s="4" t="s">
        <v>1544</v>
      </c>
      <c r="D645" s="4" t="n">
        <v>883</v>
      </c>
      <c r="E645" s="4" t="n">
        <v>7</v>
      </c>
      <c r="F645" s="4" t="n">
        <v>6</v>
      </c>
      <c r="G645" s="4" t="n">
        <v>0</v>
      </c>
      <c r="J645" s="11" t="b">
        <f aca="false">TRUE()</f>
        <v>1</v>
      </c>
      <c r="K645" s="4" t="s">
        <v>2818</v>
      </c>
      <c r="L645" s="4" t="n">
        <v>4</v>
      </c>
      <c r="M645" s="4" t="n">
        <v>4</v>
      </c>
      <c r="N645" s="4" t="n">
        <v>4</v>
      </c>
      <c r="O645" s="4" t="n">
        <v>4</v>
      </c>
      <c r="P645" s="0" t="str">
        <f aca="false">IF(E645=0,"not_reached",IF(AND(F645&gt;0,G645=0),"allowed","blocked"))</f>
        <v>allowed</v>
      </c>
      <c r="Q645" s="0" t="str">
        <f aca="false">IF(C645="success","published",IF(E645&gt;0,"blocked_at_gate","failed_before_gate"))</f>
        <v>published</v>
      </c>
      <c r="R645" s="0" t="str">
        <f aca="false">IF(C645="success","",IF(E645&gt;0,IF(I645="freshness_within_target","freshness",IF(I645="relationships_intact","relationships",IF(I645="reconciliation_residual_zero","residual",I645))),IF(H645="quality_gate","gate_infra",H645)))</f>
        <v/>
      </c>
    </row>
    <row r="646" customFormat="false" ht="15" hidden="false" customHeight="false" outlineLevel="0" collapsed="false">
      <c r="A646" s="4" t="s">
        <v>2819</v>
      </c>
      <c r="B646" s="10" t="n">
        <v>46270.8020833333</v>
      </c>
      <c r="C646" s="4" t="s">
        <v>1544</v>
      </c>
      <c r="D646" s="4" t="n">
        <v>799</v>
      </c>
      <c r="E646" s="4" t="n">
        <v>7</v>
      </c>
      <c r="F646" s="4" t="n">
        <v>6</v>
      </c>
      <c r="G646" s="4" t="n">
        <v>0</v>
      </c>
      <c r="J646" s="11" t="b">
        <f aca="false">TRUE()</f>
        <v>1</v>
      </c>
      <c r="K646" s="4" t="s">
        <v>2820</v>
      </c>
      <c r="L646" s="4" t="n">
        <v>4</v>
      </c>
      <c r="M646" s="4" t="n">
        <v>4</v>
      </c>
      <c r="N646" s="4" t="n">
        <v>4</v>
      </c>
      <c r="O646" s="4" t="n">
        <v>4</v>
      </c>
      <c r="P646" s="0" t="str">
        <f aca="false">IF(E646=0,"not_reached",IF(AND(F646&gt;0,G646=0),"allowed","blocked"))</f>
        <v>allowed</v>
      </c>
      <c r="Q646" s="0" t="str">
        <f aca="false">IF(C646="success","published",IF(E646&gt;0,"blocked_at_gate","failed_before_gate"))</f>
        <v>published</v>
      </c>
      <c r="R646" s="0" t="str">
        <f aca="false">IF(C646="success","",IF(E646&gt;0,IF(I646="freshness_within_target","freshness",IF(I646="relationships_intact","relationships",IF(I646="reconciliation_residual_zero","residual",I646))),IF(H646="quality_gate","gate_infra",H646)))</f>
        <v/>
      </c>
    </row>
    <row r="647" customFormat="false" ht="15" hidden="false" customHeight="false" outlineLevel="0" collapsed="false">
      <c r="A647" s="4" t="s">
        <v>2821</v>
      </c>
      <c r="B647" s="10" t="n">
        <v>46270.84375</v>
      </c>
      <c r="C647" s="4" t="s">
        <v>1544</v>
      </c>
      <c r="D647" s="4" t="n">
        <v>865</v>
      </c>
      <c r="E647" s="4" t="n">
        <v>7</v>
      </c>
      <c r="F647" s="4" t="n">
        <v>6</v>
      </c>
      <c r="G647" s="4" t="n">
        <v>0</v>
      </c>
      <c r="J647" s="11" t="b">
        <f aca="false">TRUE()</f>
        <v>1</v>
      </c>
      <c r="K647" s="4" t="s">
        <v>2822</v>
      </c>
      <c r="L647" s="4" t="n">
        <v>4</v>
      </c>
      <c r="M647" s="4" t="n">
        <v>4</v>
      </c>
      <c r="N647" s="4" t="n">
        <v>4</v>
      </c>
      <c r="O647" s="4" t="n">
        <v>4</v>
      </c>
      <c r="P647" s="0" t="str">
        <f aca="false">IF(E647=0,"not_reached",IF(AND(F647&gt;0,G647=0),"allowed","blocked"))</f>
        <v>allowed</v>
      </c>
      <c r="Q647" s="0" t="str">
        <f aca="false">IF(C647="success","published",IF(E647&gt;0,"blocked_at_gate","failed_before_gate"))</f>
        <v>published</v>
      </c>
      <c r="R647" s="0" t="str">
        <f aca="false">IF(C647="success","",IF(E647&gt;0,IF(I647="freshness_within_target","freshness",IF(I647="relationships_intact","relationships",IF(I647="reconciliation_residual_zero","residual",I647))),IF(H647="quality_gate","gate_infra",H647)))</f>
        <v/>
      </c>
    </row>
    <row r="648" customFormat="false" ht="15" hidden="false" customHeight="false" outlineLevel="0" collapsed="false">
      <c r="A648" s="4" t="s">
        <v>2823</v>
      </c>
      <c r="B648" s="10" t="n">
        <v>46270.8854166667</v>
      </c>
      <c r="C648" s="4" t="s">
        <v>1544</v>
      </c>
      <c r="D648" s="4" t="n">
        <v>953</v>
      </c>
      <c r="E648" s="4" t="n">
        <v>7</v>
      </c>
      <c r="F648" s="4" t="n">
        <v>6</v>
      </c>
      <c r="G648" s="4" t="n">
        <v>0</v>
      </c>
      <c r="J648" s="11" t="b">
        <f aca="false">TRUE()</f>
        <v>1</v>
      </c>
      <c r="K648" s="4" t="s">
        <v>2824</v>
      </c>
      <c r="L648" s="4" t="n">
        <v>4</v>
      </c>
      <c r="M648" s="4" t="n">
        <v>4</v>
      </c>
      <c r="N648" s="4" t="n">
        <v>4</v>
      </c>
      <c r="O648" s="4" t="n">
        <v>4</v>
      </c>
      <c r="P648" s="0" t="str">
        <f aca="false">IF(E648=0,"not_reached",IF(AND(F648&gt;0,G648=0),"allowed","blocked"))</f>
        <v>allowed</v>
      </c>
      <c r="Q648" s="0" t="str">
        <f aca="false">IF(C648="success","published",IF(E648&gt;0,"blocked_at_gate","failed_before_gate"))</f>
        <v>published</v>
      </c>
      <c r="R648" s="0" t="str">
        <f aca="false">IF(C648="success","",IF(E648&gt;0,IF(I648="freshness_within_target","freshness",IF(I648="relationships_intact","relationships",IF(I648="reconciliation_residual_zero","residual",I648))),IF(H648="quality_gate","gate_infra",H648)))</f>
        <v/>
      </c>
    </row>
    <row r="649" customFormat="false" ht="15" hidden="false" customHeight="false" outlineLevel="0" collapsed="false">
      <c r="A649" s="4" t="s">
        <v>2825</v>
      </c>
      <c r="B649" s="10" t="n">
        <v>46270.9270833333</v>
      </c>
      <c r="C649" s="4" t="s">
        <v>1544</v>
      </c>
      <c r="D649" s="4" t="n">
        <v>842</v>
      </c>
      <c r="E649" s="4" t="n">
        <v>7</v>
      </c>
      <c r="F649" s="4" t="n">
        <v>6</v>
      </c>
      <c r="G649" s="4" t="n">
        <v>0</v>
      </c>
      <c r="J649" s="11" t="b">
        <f aca="false">TRUE()</f>
        <v>1</v>
      </c>
      <c r="K649" s="4" t="s">
        <v>2826</v>
      </c>
      <c r="L649" s="4" t="n">
        <v>4</v>
      </c>
      <c r="M649" s="4" t="n">
        <v>4</v>
      </c>
      <c r="N649" s="4" t="n">
        <v>4</v>
      </c>
      <c r="O649" s="4" t="n">
        <v>4</v>
      </c>
      <c r="P649" s="0" t="str">
        <f aca="false">IF(E649=0,"not_reached",IF(AND(F649&gt;0,G649=0),"allowed","blocked"))</f>
        <v>allowed</v>
      </c>
      <c r="Q649" s="0" t="str">
        <f aca="false">IF(C649="success","published",IF(E649&gt;0,"blocked_at_gate","failed_before_gate"))</f>
        <v>published</v>
      </c>
      <c r="R649" s="0" t="str">
        <f aca="false">IF(C649="success","",IF(E649&gt;0,IF(I649="freshness_within_target","freshness",IF(I649="relationships_intact","relationships",IF(I649="reconciliation_residual_zero","residual",I649))),IF(H649="quality_gate","gate_infra",H649)))</f>
        <v/>
      </c>
    </row>
    <row r="650" customFormat="false" ht="15" hidden="false" customHeight="false" outlineLevel="0" collapsed="false">
      <c r="A650" s="4" t="s">
        <v>2827</v>
      </c>
      <c r="B650" s="10" t="n">
        <v>46270.96875</v>
      </c>
      <c r="C650" s="4" t="s">
        <v>1544</v>
      </c>
      <c r="D650" s="4" t="n">
        <v>780</v>
      </c>
      <c r="E650" s="4" t="n">
        <v>7</v>
      </c>
      <c r="F650" s="4" t="n">
        <v>6</v>
      </c>
      <c r="G650" s="4" t="n">
        <v>0</v>
      </c>
      <c r="J650" s="11" t="b">
        <f aca="false">TRUE()</f>
        <v>1</v>
      </c>
      <c r="K650" s="4" t="s">
        <v>2828</v>
      </c>
      <c r="L650" s="4" t="n">
        <v>4</v>
      </c>
      <c r="M650" s="4" t="n">
        <v>4</v>
      </c>
      <c r="N650" s="4" t="n">
        <v>4</v>
      </c>
      <c r="O650" s="4" t="n">
        <v>4</v>
      </c>
      <c r="P650" s="0" t="str">
        <f aca="false">IF(E650=0,"not_reached",IF(AND(F650&gt;0,G650=0),"allowed","blocked"))</f>
        <v>allowed</v>
      </c>
      <c r="Q650" s="0" t="str">
        <f aca="false">IF(C650="success","published",IF(E650&gt;0,"blocked_at_gate","failed_before_gate"))</f>
        <v>published</v>
      </c>
      <c r="R650" s="0" t="str">
        <f aca="false">IF(C650="success","",IF(E650&gt;0,IF(I650="freshness_within_target","freshness",IF(I650="relationships_intact","relationships",IF(I650="reconciliation_residual_zero","residual",I650))),IF(H650="quality_gate","gate_infra",H650)))</f>
        <v/>
      </c>
    </row>
    <row r="651" customFormat="false" ht="15" hidden="false" customHeight="false" outlineLevel="0" collapsed="false">
      <c r="A651" s="4" t="s">
        <v>2829</v>
      </c>
      <c r="B651" s="10" t="n">
        <v>46271.0104166667</v>
      </c>
      <c r="C651" s="4" t="s">
        <v>1544</v>
      </c>
      <c r="D651" s="4" t="n">
        <v>806</v>
      </c>
      <c r="E651" s="4" t="n">
        <v>7</v>
      </c>
      <c r="F651" s="4" t="n">
        <v>6</v>
      </c>
      <c r="G651" s="4" t="n">
        <v>0</v>
      </c>
      <c r="J651" s="11" t="b">
        <f aca="false">TRUE()</f>
        <v>1</v>
      </c>
      <c r="K651" s="4" t="s">
        <v>2830</v>
      </c>
      <c r="L651" s="4" t="n">
        <v>4</v>
      </c>
      <c r="M651" s="4" t="n">
        <v>4</v>
      </c>
      <c r="N651" s="4" t="n">
        <v>4</v>
      </c>
      <c r="O651" s="4" t="n">
        <v>4</v>
      </c>
      <c r="P651" s="0" t="str">
        <f aca="false">IF(E651=0,"not_reached",IF(AND(F651&gt;0,G651=0),"allowed","blocked"))</f>
        <v>allowed</v>
      </c>
      <c r="Q651" s="0" t="str">
        <f aca="false">IF(C651="success","published",IF(E651&gt;0,"blocked_at_gate","failed_before_gate"))</f>
        <v>published</v>
      </c>
      <c r="R651" s="0" t="str">
        <f aca="false">IF(C651="success","",IF(E651&gt;0,IF(I651="freshness_within_target","freshness",IF(I651="relationships_intact","relationships",IF(I651="reconciliation_residual_zero","residual",I651))),IF(H651="quality_gate","gate_infra",H651)))</f>
        <v/>
      </c>
    </row>
    <row r="652" customFormat="false" ht="15" hidden="false" customHeight="false" outlineLevel="0" collapsed="false">
      <c r="A652" s="4" t="s">
        <v>2831</v>
      </c>
      <c r="B652" s="10" t="n">
        <v>46271.0520833333</v>
      </c>
      <c r="C652" s="4" t="s">
        <v>1544</v>
      </c>
      <c r="D652" s="4" t="n">
        <v>715</v>
      </c>
      <c r="E652" s="4" t="n">
        <v>7</v>
      </c>
      <c r="F652" s="4" t="n">
        <v>6</v>
      </c>
      <c r="G652" s="4" t="n">
        <v>0</v>
      </c>
      <c r="J652" s="11" t="b">
        <f aca="false">TRUE()</f>
        <v>1</v>
      </c>
      <c r="K652" s="4" t="s">
        <v>2832</v>
      </c>
      <c r="L652" s="4" t="n">
        <v>4</v>
      </c>
      <c r="M652" s="4" t="n">
        <v>4</v>
      </c>
      <c r="N652" s="4" t="n">
        <v>4</v>
      </c>
      <c r="O652" s="4" t="n">
        <v>4</v>
      </c>
      <c r="P652" s="0" t="str">
        <f aca="false">IF(E652=0,"not_reached",IF(AND(F652&gt;0,G652=0),"allowed","blocked"))</f>
        <v>allowed</v>
      </c>
      <c r="Q652" s="0" t="str">
        <f aca="false">IF(C652="success","published",IF(E652&gt;0,"blocked_at_gate","failed_before_gate"))</f>
        <v>published</v>
      </c>
      <c r="R652" s="0" t="str">
        <f aca="false">IF(C652="success","",IF(E652&gt;0,IF(I652="freshness_within_target","freshness",IF(I652="relationships_intact","relationships",IF(I652="reconciliation_residual_zero","residual",I652))),IF(H652="quality_gate","gate_infra",H652)))</f>
        <v/>
      </c>
    </row>
    <row r="653" customFormat="false" ht="15" hidden="false" customHeight="false" outlineLevel="0" collapsed="false">
      <c r="A653" s="4" t="s">
        <v>2833</v>
      </c>
      <c r="B653" s="10" t="n">
        <v>46271.09375</v>
      </c>
      <c r="C653" s="4" t="s">
        <v>1544</v>
      </c>
      <c r="D653" s="4" t="n">
        <v>831</v>
      </c>
      <c r="E653" s="4" t="n">
        <v>7</v>
      </c>
      <c r="F653" s="4" t="n">
        <v>6</v>
      </c>
      <c r="G653" s="4" t="n">
        <v>0</v>
      </c>
      <c r="J653" s="11" t="b">
        <f aca="false">TRUE()</f>
        <v>1</v>
      </c>
      <c r="K653" s="4" t="s">
        <v>2834</v>
      </c>
      <c r="L653" s="4" t="n">
        <v>4</v>
      </c>
      <c r="M653" s="4" t="n">
        <v>4</v>
      </c>
      <c r="N653" s="4" t="n">
        <v>4</v>
      </c>
      <c r="O653" s="4" t="n">
        <v>4</v>
      </c>
      <c r="P653" s="0" t="str">
        <f aca="false">IF(E653=0,"not_reached",IF(AND(F653&gt;0,G653=0),"allowed","blocked"))</f>
        <v>allowed</v>
      </c>
      <c r="Q653" s="0" t="str">
        <f aca="false">IF(C653="success","published",IF(E653&gt;0,"blocked_at_gate","failed_before_gate"))</f>
        <v>published</v>
      </c>
      <c r="R653" s="0" t="str">
        <f aca="false">IF(C653="success","",IF(E653&gt;0,IF(I653="freshness_within_target","freshness",IF(I653="relationships_intact","relationships",IF(I653="reconciliation_residual_zero","residual",I653))),IF(H653="quality_gate","gate_infra",H653)))</f>
        <v/>
      </c>
    </row>
    <row r="654" customFormat="false" ht="15" hidden="false" customHeight="false" outlineLevel="0" collapsed="false">
      <c r="A654" s="4" t="s">
        <v>2835</v>
      </c>
      <c r="B654" s="10" t="n">
        <v>46271.1354166667</v>
      </c>
      <c r="C654" s="4" t="s">
        <v>1544</v>
      </c>
      <c r="D654" s="4" t="n">
        <v>883</v>
      </c>
      <c r="E654" s="4" t="n">
        <v>7</v>
      </c>
      <c r="F654" s="4" t="n">
        <v>6</v>
      </c>
      <c r="G654" s="4" t="n">
        <v>0</v>
      </c>
      <c r="J654" s="11" t="b">
        <f aca="false">TRUE()</f>
        <v>1</v>
      </c>
      <c r="K654" s="4" t="s">
        <v>2836</v>
      </c>
      <c r="L654" s="4" t="n">
        <v>4</v>
      </c>
      <c r="M654" s="4" t="n">
        <v>4</v>
      </c>
      <c r="N654" s="4" t="n">
        <v>4</v>
      </c>
      <c r="O654" s="4" t="n">
        <v>4</v>
      </c>
      <c r="P654" s="0" t="str">
        <f aca="false">IF(E654=0,"not_reached",IF(AND(F654&gt;0,G654=0),"allowed","blocked"))</f>
        <v>allowed</v>
      </c>
      <c r="Q654" s="0" t="str">
        <f aca="false">IF(C654="success","published",IF(E654&gt;0,"blocked_at_gate","failed_before_gate"))</f>
        <v>published</v>
      </c>
      <c r="R654" s="0" t="str">
        <f aca="false">IF(C654="success","",IF(E654&gt;0,IF(I654="freshness_within_target","freshness",IF(I654="relationships_intact","relationships",IF(I654="reconciliation_residual_zero","residual",I654))),IF(H654="quality_gate","gate_infra",H654)))</f>
        <v/>
      </c>
    </row>
    <row r="655" customFormat="false" ht="15" hidden="false" customHeight="false" outlineLevel="0" collapsed="false">
      <c r="A655" s="4" t="s">
        <v>2837</v>
      </c>
      <c r="B655" s="10" t="n">
        <v>46271.1770833333</v>
      </c>
      <c r="C655" s="4" t="s">
        <v>1544</v>
      </c>
      <c r="D655" s="4" t="n">
        <v>801</v>
      </c>
      <c r="E655" s="4" t="n">
        <v>7</v>
      </c>
      <c r="F655" s="4" t="n">
        <v>6</v>
      </c>
      <c r="G655" s="4" t="n">
        <v>0</v>
      </c>
      <c r="J655" s="11" t="b">
        <f aca="false">TRUE()</f>
        <v>1</v>
      </c>
      <c r="K655" s="4" t="s">
        <v>2838</v>
      </c>
      <c r="L655" s="4" t="n">
        <v>4</v>
      </c>
      <c r="M655" s="4" t="n">
        <v>4</v>
      </c>
      <c r="N655" s="4" t="n">
        <v>4</v>
      </c>
      <c r="O655" s="4" t="n">
        <v>4</v>
      </c>
      <c r="P655" s="0" t="str">
        <f aca="false">IF(E655=0,"not_reached",IF(AND(F655&gt;0,G655=0),"allowed","blocked"))</f>
        <v>allowed</v>
      </c>
      <c r="Q655" s="0" t="str">
        <f aca="false">IF(C655="success","published",IF(E655&gt;0,"blocked_at_gate","failed_before_gate"))</f>
        <v>published</v>
      </c>
      <c r="R655" s="0" t="str">
        <f aca="false">IF(C655="success","",IF(E655&gt;0,IF(I655="freshness_within_target","freshness",IF(I655="relationships_intact","relationships",IF(I655="reconciliation_residual_zero","residual",I655))),IF(H655="quality_gate","gate_infra",H655)))</f>
        <v/>
      </c>
    </row>
    <row r="656" customFormat="false" ht="15" hidden="false" customHeight="false" outlineLevel="0" collapsed="false">
      <c r="A656" s="4" t="s">
        <v>2839</v>
      </c>
      <c r="B656" s="10" t="n">
        <v>46271.21875</v>
      </c>
      <c r="C656" s="4" t="s">
        <v>1544</v>
      </c>
      <c r="D656" s="4" t="n">
        <v>1068</v>
      </c>
      <c r="E656" s="4" t="n">
        <v>7</v>
      </c>
      <c r="F656" s="4" t="n">
        <v>6</v>
      </c>
      <c r="G656" s="4" t="n">
        <v>0</v>
      </c>
      <c r="J656" s="11" t="b">
        <f aca="false">TRUE()</f>
        <v>1</v>
      </c>
      <c r="K656" s="4" t="s">
        <v>2840</v>
      </c>
      <c r="L656" s="4" t="n">
        <v>4</v>
      </c>
      <c r="M656" s="4" t="n">
        <v>4</v>
      </c>
      <c r="N656" s="4" t="n">
        <v>5</v>
      </c>
      <c r="O656" s="4" t="n">
        <v>4</v>
      </c>
      <c r="P656" s="0" t="str">
        <f aca="false">IF(E656=0,"not_reached",IF(AND(F656&gt;0,G656=0),"allowed","blocked"))</f>
        <v>allowed</v>
      </c>
      <c r="Q656" s="0" t="str">
        <f aca="false">IF(C656="success","published",IF(E656&gt;0,"blocked_at_gate","failed_before_gate"))</f>
        <v>published</v>
      </c>
      <c r="R656" s="0" t="str">
        <f aca="false">IF(C656="success","",IF(E656&gt;0,IF(I656="freshness_within_target","freshness",IF(I656="relationships_intact","relationships",IF(I656="reconciliation_residual_zero","residual",I656))),IF(H656="quality_gate","gate_infra",H656)))</f>
        <v/>
      </c>
    </row>
    <row r="657" customFormat="false" ht="15" hidden="false" customHeight="false" outlineLevel="0" collapsed="false">
      <c r="A657" s="4" t="s">
        <v>2841</v>
      </c>
      <c r="B657" s="10" t="n">
        <v>46271.2604166667</v>
      </c>
      <c r="C657" s="4" t="s">
        <v>1544</v>
      </c>
      <c r="D657" s="4" t="n">
        <v>708</v>
      </c>
      <c r="E657" s="4" t="n">
        <v>7</v>
      </c>
      <c r="F657" s="4" t="n">
        <v>6</v>
      </c>
      <c r="G657" s="4" t="n">
        <v>0</v>
      </c>
      <c r="J657" s="11" t="b">
        <f aca="false">TRUE()</f>
        <v>1</v>
      </c>
      <c r="K657" s="4" t="s">
        <v>2842</v>
      </c>
      <c r="L657" s="4" t="n">
        <v>4</v>
      </c>
      <c r="M657" s="4" t="n">
        <v>4</v>
      </c>
      <c r="N657" s="4" t="n">
        <v>4</v>
      </c>
      <c r="O657" s="4" t="n">
        <v>4</v>
      </c>
      <c r="P657" s="0" t="str">
        <f aca="false">IF(E657=0,"not_reached",IF(AND(F657&gt;0,G657=0),"allowed","blocked"))</f>
        <v>allowed</v>
      </c>
      <c r="Q657" s="0" t="str">
        <f aca="false">IF(C657="success","published",IF(E657&gt;0,"blocked_at_gate","failed_before_gate"))</f>
        <v>published</v>
      </c>
      <c r="R657" s="0" t="str">
        <f aca="false">IF(C657="success","",IF(E657&gt;0,IF(I657="freshness_within_target","freshness",IF(I657="relationships_intact","relationships",IF(I657="reconciliation_residual_zero","residual",I657))),IF(H657="quality_gate","gate_infra",H657)))</f>
        <v/>
      </c>
    </row>
    <row r="658" customFormat="false" ht="15" hidden="false" customHeight="false" outlineLevel="0" collapsed="false">
      <c r="A658" s="4" t="s">
        <v>2843</v>
      </c>
      <c r="B658" s="10" t="n">
        <v>46271.3020833333</v>
      </c>
      <c r="C658" s="4" t="s">
        <v>1901</v>
      </c>
      <c r="D658" s="4" t="n">
        <v>981</v>
      </c>
      <c r="E658" s="4" t="n">
        <v>0</v>
      </c>
      <c r="F658" s="4" t="n">
        <v>0</v>
      </c>
      <c r="G658" s="4" t="n">
        <v>0</v>
      </c>
      <c r="H658" s="4" t="s">
        <v>1954</v>
      </c>
      <c r="J658" s="11" t="b">
        <f aca="false">FALSE()</f>
        <v>0</v>
      </c>
      <c r="L658" s="4" t="n">
        <v>3</v>
      </c>
      <c r="M658" s="4" t="n">
        <v>2</v>
      </c>
      <c r="N658" s="4" t="n">
        <v>5</v>
      </c>
      <c r="O658" s="4" t="n">
        <v>2</v>
      </c>
      <c r="P658" s="0" t="str">
        <f aca="false">IF(E658=0,"not_reached",IF(AND(F658&gt;0,G658=0),"allowed","blocked"))</f>
        <v>not_reached</v>
      </c>
      <c r="Q658" s="0" t="str">
        <f aca="false">IF(C658="success","published",IF(E658&gt;0,"blocked_at_gate","failed_before_gate"))</f>
        <v>failed_before_gate</v>
      </c>
      <c r="R658" s="0" t="str">
        <f aca="false">IF(C658="success","",IF(E658&gt;0,IF(I658="freshness_within_target","freshness",IF(I658="relationships_intact","relationships",IF(I658="reconciliation_residual_zero","residual",I658))),IF(H658="quality_gate","gate_infra",H658)))</f>
        <v>gate_infra</v>
      </c>
    </row>
    <row r="659" customFormat="false" ht="15" hidden="false" customHeight="false" outlineLevel="0" collapsed="false">
      <c r="A659" s="4" t="s">
        <v>2844</v>
      </c>
      <c r="B659" s="10" t="n">
        <v>46271.34375</v>
      </c>
      <c r="C659" s="4" t="s">
        <v>1544</v>
      </c>
      <c r="D659" s="4" t="n">
        <v>722</v>
      </c>
      <c r="E659" s="4" t="n">
        <v>7</v>
      </c>
      <c r="F659" s="4" t="n">
        <v>6</v>
      </c>
      <c r="G659" s="4" t="n">
        <v>0</v>
      </c>
      <c r="J659" s="11" t="b">
        <f aca="false">TRUE()</f>
        <v>1</v>
      </c>
      <c r="K659" s="4" t="s">
        <v>2845</v>
      </c>
      <c r="L659" s="4" t="n">
        <v>4</v>
      </c>
      <c r="M659" s="4" t="n">
        <v>4</v>
      </c>
      <c r="N659" s="4" t="n">
        <v>4</v>
      </c>
      <c r="O659" s="4" t="n">
        <v>4</v>
      </c>
      <c r="P659" s="0" t="str">
        <f aca="false">IF(E659=0,"not_reached",IF(AND(F659&gt;0,G659=0),"allowed","blocked"))</f>
        <v>allowed</v>
      </c>
      <c r="Q659" s="0" t="str">
        <f aca="false">IF(C659="success","published",IF(E659&gt;0,"blocked_at_gate","failed_before_gate"))</f>
        <v>published</v>
      </c>
      <c r="R659" s="0" t="str">
        <f aca="false">IF(C659="success","",IF(E659&gt;0,IF(I659="freshness_within_target","freshness",IF(I659="relationships_intact","relationships",IF(I659="reconciliation_residual_zero","residual",I659))),IF(H659="quality_gate","gate_infra",H659)))</f>
        <v/>
      </c>
    </row>
    <row r="660" customFormat="false" ht="15" hidden="false" customHeight="false" outlineLevel="0" collapsed="false">
      <c r="A660" s="4" t="s">
        <v>2846</v>
      </c>
      <c r="B660" s="10" t="n">
        <v>46271.3854166667</v>
      </c>
      <c r="C660" s="4" t="s">
        <v>1544</v>
      </c>
      <c r="D660" s="4" t="n">
        <v>875</v>
      </c>
      <c r="E660" s="4" t="n">
        <v>7</v>
      </c>
      <c r="F660" s="4" t="n">
        <v>6</v>
      </c>
      <c r="G660" s="4" t="n">
        <v>0</v>
      </c>
      <c r="J660" s="11" t="b">
        <f aca="false">TRUE()</f>
        <v>1</v>
      </c>
      <c r="K660" s="4" t="s">
        <v>2847</v>
      </c>
      <c r="L660" s="4" t="n">
        <v>4</v>
      </c>
      <c r="M660" s="4" t="n">
        <v>4</v>
      </c>
      <c r="N660" s="4" t="n">
        <v>4</v>
      </c>
      <c r="O660" s="4" t="n">
        <v>4</v>
      </c>
      <c r="P660" s="0" t="str">
        <f aca="false">IF(E660=0,"not_reached",IF(AND(F660&gt;0,G660=0),"allowed","blocked"))</f>
        <v>allowed</v>
      </c>
      <c r="Q660" s="0" t="str">
        <f aca="false">IF(C660="success","published",IF(E660&gt;0,"blocked_at_gate","failed_before_gate"))</f>
        <v>published</v>
      </c>
      <c r="R660" s="0" t="str">
        <f aca="false">IF(C660="success","",IF(E660&gt;0,IF(I660="freshness_within_target","freshness",IF(I660="relationships_intact","relationships",IF(I660="reconciliation_residual_zero","residual",I660))),IF(H660="quality_gate","gate_infra",H660)))</f>
        <v/>
      </c>
    </row>
    <row r="661" customFormat="false" ht="15" hidden="false" customHeight="false" outlineLevel="0" collapsed="false">
      <c r="A661" s="4" t="s">
        <v>2848</v>
      </c>
      <c r="B661" s="10" t="n">
        <v>46271.4270833333</v>
      </c>
      <c r="C661" s="4" t="s">
        <v>1544</v>
      </c>
      <c r="D661" s="4" t="n">
        <v>911</v>
      </c>
      <c r="E661" s="4" t="n">
        <v>7</v>
      </c>
      <c r="F661" s="4" t="n">
        <v>6</v>
      </c>
      <c r="G661" s="4" t="n">
        <v>0</v>
      </c>
      <c r="J661" s="11" t="b">
        <f aca="false">TRUE()</f>
        <v>1</v>
      </c>
      <c r="K661" s="4" t="s">
        <v>2849</v>
      </c>
      <c r="L661" s="4" t="n">
        <v>4</v>
      </c>
      <c r="M661" s="4" t="n">
        <v>4</v>
      </c>
      <c r="N661" s="4" t="n">
        <v>4</v>
      </c>
      <c r="O661" s="4" t="n">
        <v>4</v>
      </c>
      <c r="P661" s="0" t="str">
        <f aca="false">IF(E661=0,"not_reached",IF(AND(F661&gt;0,G661=0),"allowed","blocked"))</f>
        <v>allowed</v>
      </c>
      <c r="Q661" s="0" t="str">
        <f aca="false">IF(C661="success","published",IF(E661&gt;0,"blocked_at_gate","failed_before_gate"))</f>
        <v>published</v>
      </c>
      <c r="R661" s="0" t="str">
        <f aca="false">IF(C661="success","",IF(E661&gt;0,IF(I661="freshness_within_target","freshness",IF(I661="relationships_intact","relationships",IF(I661="reconciliation_residual_zero","residual",I661))),IF(H661="quality_gate","gate_infra",H661)))</f>
        <v/>
      </c>
    </row>
    <row r="662" customFormat="false" ht="15" hidden="false" customHeight="false" outlineLevel="0" collapsed="false">
      <c r="A662" s="4" t="s">
        <v>2850</v>
      </c>
      <c r="B662" s="10" t="n">
        <v>46271.46875</v>
      </c>
      <c r="C662" s="4" t="s">
        <v>1544</v>
      </c>
      <c r="D662" s="4" t="n">
        <v>954</v>
      </c>
      <c r="E662" s="4" t="n">
        <v>7</v>
      </c>
      <c r="F662" s="4" t="n">
        <v>6</v>
      </c>
      <c r="G662" s="4" t="n">
        <v>0</v>
      </c>
      <c r="J662" s="11" t="b">
        <f aca="false">TRUE()</f>
        <v>1</v>
      </c>
      <c r="K662" s="4" t="s">
        <v>2851</v>
      </c>
      <c r="L662" s="4" t="n">
        <v>4</v>
      </c>
      <c r="M662" s="4" t="n">
        <v>4</v>
      </c>
      <c r="N662" s="4" t="n">
        <v>4</v>
      </c>
      <c r="O662" s="4" t="n">
        <v>4</v>
      </c>
      <c r="P662" s="0" t="str">
        <f aca="false">IF(E662=0,"not_reached",IF(AND(F662&gt;0,G662=0),"allowed","blocked"))</f>
        <v>allowed</v>
      </c>
      <c r="Q662" s="0" t="str">
        <f aca="false">IF(C662="success","published",IF(E662&gt;0,"blocked_at_gate","failed_before_gate"))</f>
        <v>published</v>
      </c>
      <c r="R662" s="0" t="str">
        <f aca="false">IF(C662="success","",IF(E662&gt;0,IF(I662="freshness_within_target","freshness",IF(I662="relationships_intact","relationships",IF(I662="reconciliation_residual_zero","residual",I662))),IF(H662="quality_gate","gate_infra",H662)))</f>
        <v/>
      </c>
    </row>
    <row r="663" customFormat="false" ht="15" hidden="false" customHeight="false" outlineLevel="0" collapsed="false">
      <c r="A663" s="4" t="s">
        <v>2852</v>
      </c>
      <c r="B663" s="10" t="n">
        <v>46271.5104166667</v>
      </c>
      <c r="C663" s="4" t="s">
        <v>1544</v>
      </c>
      <c r="D663" s="4" t="n">
        <v>888</v>
      </c>
      <c r="E663" s="4" t="n">
        <v>7</v>
      </c>
      <c r="F663" s="4" t="n">
        <v>6</v>
      </c>
      <c r="G663" s="4" t="n">
        <v>0</v>
      </c>
      <c r="J663" s="11" t="b">
        <f aca="false">TRUE()</f>
        <v>1</v>
      </c>
      <c r="K663" s="4" t="s">
        <v>2853</v>
      </c>
      <c r="L663" s="4" t="n">
        <v>4</v>
      </c>
      <c r="M663" s="4" t="n">
        <v>4</v>
      </c>
      <c r="N663" s="4" t="n">
        <v>4</v>
      </c>
      <c r="O663" s="4" t="n">
        <v>4</v>
      </c>
      <c r="P663" s="0" t="str">
        <f aca="false">IF(E663=0,"not_reached",IF(AND(F663&gt;0,G663=0),"allowed","blocked"))</f>
        <v>allowed</v>
      </c>
      <c r="Q663" s="0" t="str">
        <f aca="false">IF(C663="success","published",IF(E663&gt;0,"blocked_at_gate","failed_before_gate"))</f>
        <v>published</v>
      </c>
      <c r="R663" s="0" t="str">
        <f aca="false">IF(C663="success","",IF(E663&gt;0,IF(I663="freshness_within_target","freshness",IF(I663="relationships_intact","relationships",IF(I663="reconciliation_residual_zero","residual",I663))),IF(H663="quality_gate","gate_infra",H663)))</f>
        <v/>
      </c>
    </row>
    <row r="664" customFormat="false" ht="15" hidden="false" customHeight="false" outlineLevel="0" collapsed="false">
      <c r="A664" s="4" t="s">
        <v>2854</v>
      </c>
      <c r="B664" s="10" t="n">
        <v>46271.5520833333</v>
      </c>
      <c r="C664" s="4" t="s">
        <v>1544</v>
      </c>
      <c r="D664" s="4" t="n">
        <v>753</v>
      </c>
      <c r="E664" s="4" t="n">
        <v>7</v>
      </c>
      <c r="F664" s="4" t="n">
        <v>6</v>
      </c>
      <c r="G664" s="4" t="n">
        <v>0</v>
      </c>
      <c r="J664" s="11" t="b">
        <f aca="false">TRUE()</f>
        <v>1</v>
      </c>
      <c r="K664" s="4" t="s">
        <v>2855</v>
      </c>
      <c r="L664" s="4" t="n">
        <v>4</v>
      </c>
      <c r="M664" s="4" t="n">
        <v>4</v>
      </c>
      <c r="N664" s="4" t="n">
        <v>4</v>
      </c>
      <c r="O664" s="4" t="n">
        <v>4</v>
      </c>
      <c r="P664" s="0" t="str">
        <f aca="false">IF(E664=0,"not_reached",IF(AND(F664&gt;0,G664=0),"allowed","blocked"))</f>
        <v>allowed</v>
      </c>
      <c r="Q664" s="0" t="str">
        <f aca="false">IF(C664="success","published",IF(E664&gt;0,"blocked_at_gate","failed_before_gate"))</f>
        <v>published</v>
      </c>
      <c r="R664" s="0" t="str">
        <f aca="false">IF(C664="success","",IF(E664&gt;0,IF(I664="freshness_within_target","freshness",IF(I664="relationships_intact","relationships",IF(I664="reconciliation_residual_zero","residual",I664))),IF(H664="quality_gate","gate_infra",H664)))</f>
        <v/>
      </c>
    </row>
    <row r="665" customFormat="false" ht="15" hidden="false" customHeight="false" outlineLevel="0" collapsed="false">
      <c r="A665" s="4" t="s">
        <v>2856</v>
      </c>
      <c r="B665" s="10" t="n">
        <v>46271.59375</v>
      </c>
      <c r="C665" s="4" t="s">
        <v>1544</v>
      </c>
      <c r="D665" s="4" t="n">
        <v>1110</v>
      </c>
      <c r="E665" s="4" t="n">
        <v>7</v>
      </c>
      <c r="F665" s="4" t="n">
        <v>6</v>
      </c>
      <c r="G665" s="4" t="n">
        <v>0</v>
      </c>
      <c r="J665" s="11" t="b">
        <f aca="false">TRUE()</f>
        <v>1</v>
      </c>
      <c r="K665" s="4" t="s">
        <v>2857</v>
      </c>
      <c r="L665" s="4" t="n">
        <v>4</v>
      </c>
      <c r="M665" s="4" t="n">
        <v>4</v>
      </c>
      <c r="N665" s="4" t="n">
        <v>5</v>
      </c>
      <c r="O665" s="4" t="n">
        <v>4</v>
      </c>
      <c r="P665" s="0" t="str">
        <f aca="false">IF(E665=0,"not_reached",IF(AND(F665&gt;0,G665=0),"allowed","blocked"))</f>
        <v>allowed</v>
      </c>
      <c r="Q665" s="0" t="str">
        <f aca="false">IF(C665="success","published",IF(E665&gt;0,"blocked_at_gate","failed_before_gate"))</f>
        <v>published</v>
      </c>
      <c r="R665" s="0" t="str">
        <f aca="false">IF(C665="success","",IF(E665&gt;0,IF(I665="freshness_within_target","freshness",IF(I665="relationships_intact","relationships",IF(I665="reconciliation_residual_zero","residual",I665))),IF(H665="quality_gate","gate_infra",H665)))</f>
        <v/>
      </c>
    </row>
    <row r="666" customFormat="false" ht="15" hidden="false" customHeight="false" outlineLevel="0" collapsed="false">
      <c r="A666" s="4" t="s">
        <v>2858</v>
      </c>
      <c r="B666" s="10" t="n">
        <v>46271.6354166667</v>
      </c>
      <c r="C666" s="4" t="s">
        <v>1544</v>
      </c>
      <c r="D666" s="4" t="n">
        <v>1065</v>
      </c>
      <c r="E666" s="4" t="n">
        <v>7</v>
      </c>
      <c r="F666" s="4" t="n">
        <v>6</v>
      </c>
      <c r="G666" s="4" t="n">
        <v>0</v>
      </c>
      <c r="J666" s="11" t="b">
        <f aca="false">TRUE()</f>
        <v>1</v>
      </c>
      <c r="K666" s="4" t="s">
        <v>2859</v>
      </c>
      <c r="L666" s="4" t="n">
        <v>4</v>
      </c>
      <c r="M666" s="4" t="n">
        <v>4</v>
      </c>
      <c r="N666" s="4" t="n">
        <v>5</v>
      </c>
      <c r="O666" s="4" t="n">
        <v>4</v>
      </c>
      <c r="P666" s="0" t="str">
        <f aca="false">IF(E666=0,"not_reached",IF(AND(F666&gt;0,G666=0),"allowed","blocked"))</f>
        <v>allowed</v>
      </c>
      <c r="Q666" s="0" t="str">
        <f aca="false">IF(C666="success","published",IF(E666&gt;0,"blocked_at_gate","failed_before_gate"))</f>
        <v>published</v>
      </c>
      <c r="R666" s="0" t="str">
        <f aca="false">IF(C666="success","",IF(E666&gt;0,IF(I666="freshness_within_target","freshness",IF(I666="relationships_intact","relationships",IF(I666="reconciliation_residual_zero","residual",I666))),IF(H666="quality_gate","gate_infra",H666)))</f>
        <v/>
      </c>
    </row>
    <row r="667" customFormat="false" ht="15" hidden="false" customHeight="false" outlineLevel="0" collapsed="false">
      <c r="A667" s="4" t="s">
        <v>2860</v>
      </c>
      <c r="B667" s="10" t="n">
        <v>46271.6770833333</v>
      </c>
      <c r="C667" s="4" t="s">
        <v>1544</v>
      </c>
      <c r="D667" s="4" t="n">
        <v>1093</v>
      </c>
      <c r="E667" s="4" t="n">
        <v>7</v>
      </c>
      <c r="F667" s="4" t="n">
        <v>6</v>
      </c>
      <c r="G667" s="4" t="n">
        <v>0</v>
      </c>
      <c r="J667" s="11" t="b">
        <f aca="false">TRUE()</f>
        <v>1</v>
      </c>
      <c r="K667" s="4" t="s">
        <v>2861</v>
      </c>
      <c r="L667" s="4" t="n">
        <v>4</v>
      </c>
      <c r="M667" s="4" t="n">
        <v>4</v>
      </c>
      <c r="N667" s="4" t="n">
        <v>5</v>
      </c>
      <c r="O667" s="4" t="n">
        <v>4</v>
      </c>
      <c r="P667" s="0" t="str">
        <f aca="false">IF(E667=0,"not_reached",IF(AND(F667&gt;0,G667=0),"allowed","blocked"))</f>
        <v>allowed</v>
      </c>
      <c r="Q667" s="0" t="str">
        <f aca="false">IF(C667="success","published",IF(E667&gt;0,"blocked_at_gate","failed_before_gate"))</f>
        <v>published</v>
      </c>
      <c r="R667" s="0" t="str">
        <f aca="false">IF(C667="success","",IF(E667&gt;0,IF(I667="freshness_within_target","freshness",IF(I667="relationships_intact","relationships",IF(I667="reconciliation_residual_zero","residual",I667))),IF(H667="quality_gate","gate_infra",H667)))</f>
        <v/>
      </c>
    </row>
    <row r="668" customFormat="false" ht="15" hidden="false" customHeight="false" outlineLevel="0" collapsed="false">
      <c r="A668" s="4" t="s">
        <v>2862</v>
      </c>
      <c r="B668" s="10" t="n">
        <v>46271.71875</v>
      </c>
      <c r="C668" s="4" t="s">
        <v>1544</v>
      </c>
      <c r="D668" s="4" t="n">
        <v>773</v>
      </c>
      <c r="E668" s="4" t="n">
        <v>7</v>
      </c>
      <c r="F668" s="4" t="n">
        <v>6</v>
      </c>
      <c r="G668" s="4" t="n">
        <v>0</v>
      </c>
      <c r="J668" s="11" t="b">
        <f aca="false">TRUE()</f>
        <v>1</v>
      </c>
      <c r="K668" s="4" t="s">
        <v>2863</v>
      </c>
      <c r="L668" s="4" t="n">
        <v>4</v>
      </c>
      <c r="M668" s="4" t="n">
        <v>4</v>
      </c>
      <c r="N668" s="4" t="n">
        <v>4</v>
      </c>
      <c r="O668" s="4" t="n">
        <v>4</v>
      </c>
      <c r="P668" s="0" t="str">
        <f aca="false">IF(E668=0,"not_reached",IF(AND(F668&gt;0,G668=0),"allowed","blocked"))</f>
        <v>allowed</v>
      </c>
      <c r="Q668" s="0" t="str">
        <f aca="false">IF(C668="success","published",IF(E668&gt;0,"blocked_at_gate","failed_before_gate"))</f>
        <v>published</v>
      </c>
      <c r="R668" s="0" t="str">
        <f aca="false">IF(C668="success","",IF(E668&gt;0,IF(I668="freshness_within_target","freshness",IF(I668="relationships_intact","relationships",IF(I668="reconciliation_residual_zero","residual",I668))),IF(H668="quality_gate","gate_infra",H668)))</f>
        <v/>
      </c>
    </row>
    <row r="669" customFormat="false" ht="15" hidden="false" customHeight="false" outlineLevel="0" collapsed="false">
      <c r="A669" s="4" t="s">
        <v>2864</v>
      </c>
      <c r="B669" s="10" t="n">
        <v>46271.7604166667</v>
      </c>
      <c r="C669" s="4" t="s">
        <v>1544</v>
      </c>
      <c r="D669" s="4" t="n">
        <v>713</v>
      </c>
      <c r="E669" s="4" t="n">
        <v>7</v>
      </c>
      <c r="F669" s="4" t="n">
        <v>6</v>
      </c>
      <c r="G669" s="4" t="n">
        <v>0</v>
      </c>
      <c r="J669" s="11" t="b">
        <f aca="false">TRUE()</f>
        <v>1</v>
      </c>
      <c r="K669" s="4" t="s">
        <v>2865</v>
      </c>
      <c r="L669" s="4" t="n">
        <v>4</v>
      </c>
      <c r="M669" s="4" t="n">
        <v>4</v>
      </c>
      <c r="N669" s="4" t="n">
        <v>4</v>
      </c>
      <c r="O669" s="4" t="n">
        <v>4</v>
      </c>
      <c r="P669" s="0" t="str">
        <f aca="false">IF(E669=0,"not_reached",IF(AND(F669&gt;0,G669=0),"allowed","blocked"))</f>
        <v>allowed</v>
      </c>
      <c r="Q669" s="0" t="str">
        <f aca="false">IF(C669="success","published",IF(E669&gt;0,"blocked_at_gate","failed_before_gate"))</f>
        <v>published</v>
      </c>
      <c r="R669" s="0" t="str">
        <f aca="false">IF(C669="success","",IF(E669&gt;0,IF(I669="freshness_within_target","freshness",IF(I669="relationships_intact","relationships",IF(I669="reconciliation_residual_zero","residual",I669))),IF(H669="quality_gate","gate_infra",H669)))</f>
        <v/>
      </c>
    </row>
    <row r="670" customFormat="false" ht="15" hidden="false" customHeight="false" outlineLevel="0" collapsed="false">
      <c r="A670" s="4" t="s">
        <v>2866</v>
      </c>
      <c r="B670" s="10" t="n">
        <v>46271.8020833333</v>
      </c>
      <c r="C670" s="4" t="s">
        <v>1544</v>
      </c>
      <c r="D670" s="4" t="n">
        <v>670</v>
      </c>
      <c r="E670" s="4" t="n">
        <v>7</v>
      </c>
      <c r="F670" s="4" t="n">
        <v>6</v>
      </c>
      <c r="G670" s="4" t="n">
        <v>0</v>
      </c>
      <c r="J670" s="11" t="b">
        <f aca="false">TRUE()</f>
        <v>1</v>
      </c>
      <c r="K670" s="4" t="s">
        <v>2867</v>
      </c>
      <c r="L670" s="4" t="n">
        <v>4</v>
      </c>
      <c r="M670" s="4" t="n">
        <v>4</v>
      </c>
      <c r="N670" s="4" t="n">
        <v>4</v>
      </c>
      <c r="O670" s="4" t="n">
        <v>4</v>
      </c>
      <c r="P670" s="0" t="str">
        <f aca="false">IF(E670=0,"not_reached",IF(AND(F670&gt;0,G670=0),"allowed","blocked"))</f>
        <v>allowed</v>
      </c>
      <c r="Q670" s="0" t="str">
        <f aca="false">IF(C670="success","published",IF(E670&gt;0,"blocked_at_gate","failed_before_gate"))</f>
        <v>published</v>
      </c>
      <c r="R670" s="0" t="str">
        <f aca="false">IF(C670="success","",IF(E670&gt;0,IF(I670="freshness_within_target","freshness",IF(I670="relationships_intact","relationships",IF(I670="reconciliation_residual_zero","residual",I670))),IF(H670="quality_gate","gate_infra",H670)))</f>
        <v/>
      </c>
    </row>
    <row r="671" customFormat="false" ht="15" hidden="false" customHeight="false" outlineLevel="0" collapsed="false">
      <c r="A671" s="4" t="s">
        <v>2868</v>
      </c>
      <c r="B671" s="10" t="n">
        <v>46271.84375</v>
      </c>
      <c r="C671" s="4" t="s">
        <v>1544</v>
      </c>
      <c r="D671" s="4" t="n">
        <v>874</v>
      </c>
      <c r="E671" s="4" t="n">
        <v>7</v>
      </c>
      <c r="F671" s="4" t="n">
        <v>6</v>
      </c>
      <c r="G671" s="4" t="n">
        <v>0</v>
      </c>
      <c r="J671" s="11" t="b">
        <f aca="false">TRUE()</f>
        <v>1</v>
      </c>
      <c r="K671" s="4" t="s">
        <v>2869</v>
      </c>
      <c r="L671" s="4" t="n">
        <v>4</v>
      </c>
      <c r="M671" s="4" t="n">
        <v>4</v>
      </c>
      <c r="N671" s="4" t="n">
        <v>4</v>
      </c>
      <c r="O671" s="4" t="n">
        <v>4</v>
      </c>
      <c r="P671" s="0" t="str">
        <f aca="false">IF(E671=0,"not_reached",IF(AND(F671&gt;0,G671=0),"allowed","blocked"))</f>
        <v>allowed</v>
      </c>
      <c r="Q671" s="0" t="str">
        <f aca="false">IF(C671="success","published",IF(E671&gt;0,"blocked_at_gate","failed_before_gate"))</f>
        <v>published</v>
      </c>
      <c r="R671" s="0" t="str">
        <f aca="false">IF(C671="success","",IF(E671&gt;0,IF(I671="freshness_within_target","freshness",IF(I671="relationships_intact","relationships",IF(I671="reconciliation_residual_zero","residual",I671))),IF(H671="quality_gate","gate_infra",H671)))</f>
        <v/>
      </c>
    </row>
    <row r="672" customFormat="false" ht="15" hidden="false" customHeight="false" outlineLevel="0" collapsed="false">
      <c r="A672" s="4" t="s">
        <v>2870</v>
      </c>
      <c r="B672" s="10" t="n">
        <v>46271.8854166667</v>
      </c>
      <c r="C672" s="4" t="s">
        <v>1544</v>
      </c>
      <c r="D672" s="4" t="n">
        <v>1086</v>
      </c>
      <c r="E672" s="4" t="n">
        <v>7</v>
      </c>
      <c r="F672" s="4" t="n">
        <v>6</v>
      </c>
      <c r="G672" s="4" t="n">
        <v>0</v>
      </c>
      <c r="J672" s="11" t="b">
        <f aca="false">TRUE()</f>
        <v>1</v>
      </c>
      <c r="K672" s="4" t="s">
        <v>2871</v>
      </c>
      <c r="L672" s="4" t="n">
        <v>4</v>
      </c>
      <c r="M672" s="4" t="n">
        <v>4</v>
      </c>
      <c r="N672" s="4" t="n">
        <v>5</v>
      </c>
      <c r="O672" s="4" t="n">
        <v>4</v>
      </c>
      <c r="P672" s="0" t="str">
        <f aca="false">IF(E672=0,"not_reached",IF(AND(F672&gt;0,G672=0),"allowed","blocked"))</f>
        <v>allowed</v>
      </c>
      <c r="Q672" s="0" t="str">
        <f aca="false">IF(C672="success","published",IF(E672&gt;0,"blocked_at_gate","failed_before_gate"))</f>
        <v>published</v>
      </c>
      <c r="R672" s="0" t="str">
        <f aca="false">IF(C672="success","",IF(E672&gt;0,IF(I672="freshness_within_target","freshness",IF(I672="relationships_intact","relationships",IF(I672="reconciliation_residual_zero","residual",I672))),IF(H672="quality_gate","gate_infra",H672)))</f>
        <v/>
      </c>
    </row>
    <row r="673" customFormat="false" ht="15" hidden="false" customHeight="false" outlineLevel="0" collapsed="false">
      <c r="A673" s="4" t="s">
        <v>2872</v>
      </c>
      <c r="B673" s="10" t="n">
        <v>46271.9270833333</v>
      </c>
      <c r="C673" s="4" t="s">
        <v>1544</v>
      </c>
      <c r="D673" s="4" t="n">
        <v>923</v>
      </c>
      <c r="E673" s="4" t="n">
        <v>7</v>
      </c>
      <c r="F673" s="4" t="n">
        <v>6</v>
      </c>
      <c r="G673" s="4" t="n">
        <v>0</v>
      </c>
      <c r="J673" s="11" t="b">
        <f aca="false">TRUE()</f>
        <v>1</v>
      </c>
      <c r="K673" s="4" t="s">
        <v>2873</v>
      </c>
      <c r="L673" s="4" t="n">
        <v>4</v>
      </c>
      <c r="M673" s="4" t="n">
        <v>4</v>
      </c>
      <c r="N673" s="4" t="n">
        <v>4</v>
      </c>
      <c r="O673" s="4" t="n">
        <v>4</v>
      </c>
      <c r="P673" s="0" t="str">
        <f aca="false">IF(E673=0,"not_reached",IF(AND(F673&gt;0,G673=0),"allowed","blocked"))</f>
        <v>allowed</v>
      </c>
      <c r="Q673" s="0" t="str">
        <f aca="false">IF(C673="success","published",IF(E673&gt;0,"blocked_at_gate","failed_before_gate"))</f>
        <v>published</v>
      </c>
      <c r="R673" s="0" t="str">
        <f aca="false">IF(C673="success","",IF(E673&gt;0,IF(I673="freshness_within_target","freshness",IF(I673="relationships_intact","relationships",IF(I673="reconciliation_residual_zero","residual",I673))),IF(H673="quality_gate","gate_infra",H673)))</f>
        <v/>
      </c>
    </row>
    <row r="674" customFormat="false" ht="15" hidden="false" customHeight="false" outlineLevel="0" collapsed="false">
      <c r="A674" s="4" t="s">
        <v>2874</v>
      </c>
      <c r="B674" s="10" t="n">
        <v>46271.96875</v>
      </c>
      <c r="C674" s="4" t="s">
        <v>1544</v>
      </c>
      <c r="D674" s="4" t="n">
        <v>700</v>
      </c>
      <c r="E674" s="4" t="n">
        <v>7</v>
      </c>
      <c r="F674" s="4" t="n">
        <v>6</v>
      </c>
      <c r="G674" s="4" t="n">
        <v>0</v>
      </c>
      <c r="J674" s="11" t="b">
        <f aca="false">TRUE()</f>
        <v>1</v>
      </c>
      <c r="K674" s="4" t="s">
        <v>2875</v>
      </c>
      <c r="L674" s="4" t="n">
        <v>4</v>
      </c>
      <c r="M674" s="4" t="n">
        <v>4</v>
      </c>
      <c r="N674" s="4" t="n">
        <v>4</v>
      </c>
      <c r="O674" s="4" t="n">
        <v>4</v>
      </c>
      <c r="P674" s="0" t="str">
        <f aca="false">IF(E674=0,"not_reached",IF(AND(F674&gt;0,G674=0),"allowed","blocked"))</f>
        <v>allowed</v>
      </c>
      <c r="Q674" s="0" t="str">
        <f aca="false">IF(C674="success","published",IF(E674&gt;0,"blocked_at_gate","failed_before_gate"))</f>
        <v>published</v>
      </c>
      <c r="R674" s="0" t="str">
        <f aca="false">IF(C674="success","",IF(E674&gt;0,IF(I674="freshness_within_target","freshness",IF(I674="relationships_intact","relationships",IF(I674="reconciliation_residual_zero","residual",I674))),IF(H674="quality_gate","gate_infra",H674)))</f>
        <v/>
      </c>
    </row>
    <row r="675" customFormat="false" ht="15" hidden="false" customHeight="false" outlineLevel="0" collapsed="false">
      <c r="A675" s="4" t="s">
        <v>2876</v>
      </c>
      <c r="B675" s="10" t="n">
        <v>46272.0104166667</v>
      </c>
      <c r="C675" s="4" t="s">
        <v>1544</v>
      </c>
      <c r="D675" s="4" t="n">
        <v>690</v>
      </c>
      <c r="E675" s="4" t="n">
        <v>7</v>
      </c>
      <c r="F675" s="4" t="n">
        <v>6</v>
      </c>
      <c r="G675" s="4" t="n">
        <v>0</v>
      </c>
      <c r="J675" s="11" t="b">
        <f aca="false">TRUE()</f>
        <v>1</v>
      </c>
      <c r="K675" s="4" t="s">
        <v>2877</v>
      </c>
      <c r="L675" s="4" t="n">
        <v>4</v>
      </c>
      <c r="M675" s="4" t="n">
        <v>4</v>
      </c>
      <c r="N675" s="4" t="n">
        <v>4</v>
      </c>
      <c r="O675" s="4" t="n">
        <v>4</v>
      </c>
      <c r="P675" s="0" t="str">
        <f aca="false">IF(E675=0,"not_reached",IF(AND(F675&gt;0,G675=0),"allowed","blocked"))</f>
        <v>allowed</v>
      </c>
      <c r="Q675" s="0" t="str">
        <f aca="false">IF(C675="success","published",IF(E675&gt;0,"blocked_at_gate","failed_before_gate"))</f>
        <v>published</v>
      </c>
      <c r="R675" s="0" t="str">
        <f aca="false">IF(C675="success","",IF(E675&gt;0,IF(I675="freshness_within_target","freshness",IF(I675="relationships_intact","relationships",IF(I675="reconciliation_residual_zero","residual",I675))),IF(H675="quality_gate","gate_infra",H675)))</f>
        <v/>
      </c>
    </row>
    <row r="676" customFormat="false" ht="15" hidden="false" customHeight="false" outlineLevel="0" collapsed="false">
      <c r="A676" s="4" t="s">
        <v>2878</v>
      </c>
      <c r="B676" s="10" t="n">
        <v>46272.0520833333</v>
      </c>
      <c r="C676" s="4" t="s">
        <v>1544</v>
      </c>
      <c r="D676" s="4" t="n">
        <v>744</v>
      </c>
      <c r="E676" s="4" t="n">
        <v>7</v>
      </c>
      <c r="F676" s="4" t="n">
        <v>6</v>
      </c>
      <c r="G676" s="4" t="n">
        <v>0</v>
      </c>
      <c r="J676" s="11" t="b">
        <f aca="false">TRUE()</f>
        <v>1</v>
      </c>
      <c r="K676" s="4" t="s">
        <v>2879</v>
      </c>
      <c r="L676" s="4" t="n">
        <v>4</v>
      </c>
      <c r="M676" s="4" t="n">
        <v>4</v>
      </c>
      <c r="N676" s="4" t="n">
        <v>4</v>
      </c>
      <c r="O676" s="4" t="n">
        <v>4</v>
      </c>
      <c r="P676" s="0" t="str">
        <f aca="false">IF(E676=0,"not_reached",IF(AND(F676&gt;0,G676=0),"allowed","blocked"))</f>
        <v>allowed</v>
      </c>
      <c r="Q676" s="0" t="str">
        <f aca="false">IF(C676="success","published",IF(E676&gt;0,"blocked_at_gate","failed_before_gate"))</f>
        <v>published</v>
      </c>
      <c r="R676" s="0" t="str">
        <f aca="false">IF(C676="success","",IF(E676&gt;0,IF(I676="freshness_within_target","freshness",IF(I676="relationships_intact","relationships",IF(I676="reconciliation_residual_zero","residual",I676))),IF(H676="quality_gate","gate_infra",H676)))</f>
        <v/>
      </c>
    </row>
    <row r="677" customFormat="false" ht="15" hidden="false" customHeight="false" outlineLevel="0" collapsed="false">
      <c r="A677" s="4" t="s">
        <v>2880</v>
      </c>
      <c r="B677" s="10" t="n">
        <v>46272.09375</v>
      </c>
      <c r="C677" s="4" t="s">
        <v>1544</v>
      </c>
      <c r="D677" s="4" t="n">
        <v>955</v>
      </c>
      <c r="E677" s="4" t="n">
        <v>7</v>
      </c>
      <c r="F677" s="4" t="n">
        <v>6</v>
      </c>
      <c r="G677" s="4" t="n">
        <v>0</v>
      </c>
      <c r="J677" s="11" t="b">
        <f aca="false">TRUE()</f>
        <v>1</v>
      </c>
      <c r="K677" s="4" t="s">
        <v>2881</v>
      </c>
      <c r="L677" s="4" t="n">
        <v>4</v>
      </c>
      <c r="M677" s="4" t="n">
        <v>4</v>
      </c>
      <c r="N677" s="4" t="n">
        <v>4</v>
      </c>
      <c r="O677" s="4" t="n">
        <v>4</v>
      </c>
      <c r="P677" s="0" t="str">
        <f aca="false">IF(E677=0,"not_reached",IF(AND(F677&gt;0,G677=0),"allowed","blocked"))</f>
        <v>allowed</v>
      </c>
      <c r="Q677" s="0" t="str">
        <f aca="false">IF(C677="success","published",IF(E677&gt;0,"blocked_at_gate","failed_before_gate"))</f>
        <v>published</v>
      </c>
      <c r="R677" s="0" t="str">
        <f aca="false">IF(C677="success","",IF(E677&gt;0,IF(I677="freshness_within_target","freshness",IF(I677="relationships_intact","relationships",IF(I677="reconciliation_residual_zero","residual",I677))),IF(H677="quality_gate","gate_infra",H677)))</f>
        <v/>
      </c>
    </row>
    <row r="678" customFormat="false" ht="15" hidden="false" customHeight="false" outlineLevel="0" collapsed="false">
      <c r="A678" s="4" t="s">
        <v>2882</v>
      </c>
      <c r="B678" s="10" t="n">
        <v>46272.1354166667</v>
      </c>
      <c r="C678" s="4" t="s">
        <v>1544</v>
      </c>
      <c r="D678" s="4" t="n">
        <v>1148</v>
      </c>
      <c r="E678" s="4" t="n">
        <v>7</v>
      </c>
      <c r="F678" s="4" t="n">
        <v>6</v>
      </c>
      <c r="G678" s="4" t="n">
        <v>0</v>
      </c>
      <c r="J678" s="11" t="b">
        <f aca="false">TRUE()</f>
        <v>1</v>
      </c>
      <c r="K678" s="4" t="s">
        <v>2883</v>
      </c>
      <c r="L678" s="4" t="n">
        <v>4</v>
      </c>
      <c r="M678" s="4" t="n">
        <v>4</v>
      </c>
      <c r="N678" s="4" t="n">
        <v>5</v>
      </c>
      <c r="O678" s="4" t="n">
        <v>4</v>
      </c>
      <c r="P678" s="0" t="str">
        <f aca="false">IF(E678=0,"not_reached",IF(AND(F678&gt;0,G678=0),"allowed","blocked"))</f>
        <v>allowed</v>
      </c>
      <c r="Q678" s="0" t="str">
        <f aca="false">IF(C678="success","published",IF(E678&gt;0,"blocked_at_gate","failed_before_gate"))</f>
        <v>published</v>
      </c>
      <c r="R678" s="0" t="str">
        <f aca="false">IF(C678="success","",IF(E678&gt;0,IF(I678="freshness_within_target","freshness",IF(I678="relationships_intact","relationships",IF(I678="reconciliation_residual_zero","residual",I678))),IF(H678="quality_gate","gate_infra",H678)))</f>
        <v/>
      </c>
    </row>
    <row r="679" customFormat="false" ht="15" hidden="false" customHeight="false" outlineLevel="0" collapsed="false">
      <c r="A679" s="4" t="s">
        <v>2884</v>
      </c>
      <c r="B679" s="10" t="n">
        <v>46272.1770833333</v>
      </c>
      <c r="C679" s="4" t="s">
        <v>1544</v>
      </c>
      <c r="D679" s="4" t="n">
        <v>863</v>
      </c>
      <c r="E679" s="4" t="n">
        <v>7</v>
      </c>
      <c r="F679" s="4" t="n">
        <v>6</v>
      </c>
      <c r="G679" s="4" t="n">
        <v>0</v>
      </c>
      <c r="J679" s="11" t="b">
        <f aca="false">TRUE()</f>
        <v>1</v>
      </c>
      <c r="K679" s="4" t="s">
        <v>2885</v>
      </c>
      <c r="L679" s="4" t="n">
        <v>4</v>
      </c>
      <c r="M679" s="4" t="n">
        <v>4</v>
      </c>
      <c r="N679" s="4" t="n">
        <v>4</v>
      </c>
      <c r="O679" s="4" t="n">
        <v>4</v>
      </c>
      <c r="P679" s="0" t="str">
        <f aca="false">IF(E679=0,"not_reached",IF(AND(F679&gt;0,G679=0),"allowed","blocked"))</f>
        <v>allowed</v>
      </c>
      <c r="Q679" s="0" t="str">
        <f aca="false">IF(C679="success","published",IF(E679&gt;0,"blocked_at_gate","failed_before_gate"))</f>
        <v>published</v>
      </c>
      <c r="R679" s="0" t="str">
        <f aca="false">IF(C679="success","",IF(E679&gt;0,IF(I679="freshness_within_target","freshness",IF(I679="relationships_intact","relationships",IF(I679="reconciliation_residual_zero","residual",I679))),IF(H679="quality_gate","gate_infra",H679)))</f>
        <v/>
      </c>
    </row>
    <row r="680" customFormat="false" ht="15" hidden="false" customHeight="false" outlineLevel="0" collapsed="false">
      <c r="A680" s="4" t="s">
        <v>2886</v>
      </c>
      <c r="B680" s="10" t="n">
        <v>46272.21875</v>
      </c>
      <c r="C680" s="4" t="s">
        <v>1544</v>
      </c>
      <c r="D680" s="4" t="n">
        <v>876</v>
      </c>
      <c r="E680" s="4" t="n">
        <v>7</v>
      </c>
      <c r="F680" s="4" t="n">
        <v>6</v>
      </c>
      <c r="G680" s="4" t="n">
        <v>0</v>
      </c>
      <c r="J680" s="11" t="b">
        <f aca="false">TRUE()</f>
        <v>1</v>
      </c>
      <c r="K680" s="4" t="s">
        <v>2887</v>
      </c>
      <c r="L680" s="4" t="n">
        <v>4</v>
      </c>
      <c r="M680" s="4" t="n">
        <v>4</v>
      </c>
      <c r="N680" s="4" t="n">
        <v>4</v>
      </c>
      <c r="O680" s="4" t="n">
        <v>4</v>
      </c>
      <c r="P680" s="0" t="str">
        <f aca="false">IF(E680=0,"not_reached",IF(AND(F680&gt;0,G680=0),"allowed","blocked"))</f>
        <v>allowed</v>
      </c>
      <c r="Q680" s="0" t="str">
        <f aca="false">IF(C680="success","published",IF(E680&gt;0,"blocked_at_gate","failed_before_gate"))</f>
        <v>published</v>
      </c>
      <c r="R680" s="0" t="str">
        <f aca="false">IF(C680="success","",IF(E680&gt;0,IF(I680="freshness_within_target","freshness",IF(I680="relationships_intact","relationships",IF(I680="reconciliation_residual_zero","residual",I680))),IF(H680="quality_gate","gate_infra",H680)))</f>
        <v/>
      </c>
    </row>
    <row r="681" customFormat="false" ht="15" hidden="false" customHeight="false" outlineLevel="0" collapsed="false">
      <c r="A681" s="4" t="s">
        <v>2888</v>
      </c>
      <c r="B681" s="10" t="n">
        <v>46272.2604166667</v>
      </c>
      <c r="C681" s="4" t="s">
        <v>1544</v>
      </c>
      <c r="D681" s="4" t="n">
        <v>929</v>
      </c>
      <c r="E681" s="4" t="n">
        <v>7</v>
      </c>
      <c r="F681" s="4" t="n">
        <v>6</v>
      </c>
      <c r="G681" s="4" t="n">
        <v>0</v>
      </c>
      <c r="J681" s="11" t="b">
        <f aca="false">TRUE()</f>
        <v>1</v>
      </c>
      <c r="K681" s="4" t="s">
        <v>2889</v>
      </c>
      <c r="L681" s="4" t="n">
        <v>4</v>
      </c>
      <c r="M681" s="4" t="n">
        <v>4</v>
      </c>
      <c r="N681" s="4" t="n">
        <v>4</v>
      </c>
      <c r="O681" s="4" t="n">
        <v>4</v>
      </c>
      <c r="P681" s="0" t="str">
        <f aca="false">IF(E681=0,"not_reached",IF(AND(F681&gt;0,G681=0),"allowed","blocked"))</f>
        <v>allowed</v>
      </c>
      <c r="Q681" s="0" t="str">
        <f aca="false">IF(C681="success","published",IF(E681&gt;0,"blocked_at_gate","failed_before_gate"))</f>
        <v>published</v>
      </c>
      <c r="R681" s="0" t="str">
        <f aca="false">IF(C681="success","",IF(E681&gt;0,IF(I681="freshness_within_target","freshness",IF(I681="relationships_intact","relationships",IF(I681="reconciliation_residual_zero","residual",I681))),IF(H681="quality_gate","gate_infra",H681)))</f>
        <v/>
      </c>
    </row>
    <row r="682" customFormat="false" ht="15" hidden="false" customHeight="false" outlineLevel="0" collapsed="false">
      <c r="A682" s="4" t="s">
        <v>2890</v>
      </c>
      <c r="B682" s="10" t="n">
        <v>46272.3020833333</v>
      </c>
      <c r="C682" s="4" t="s">
        <v>1544</v>
      </c>
      <c r="D682" s="4" t="n">
        <v>860</v>
      </c>
      <c r="E682" s="4" t="n">
        <v>7</v>
      </c>
      <c r="F682" s="4" t="n">
        <v>6</v>
      </c>
      <c r="G682" s="4" t="n">
        <v>0</v>
      </c>
      <c r="J682" s="11" t="b">
        <f aca="false">TRUE()</f>
        <v>1</v>
      </c>
      <c r="K682" s="4" t="s">
        <v>2891</v>
      </c>
      <c r="L682" s="4" t="n">
        <v>4</v>
      </c>
      <c r="M682" s="4" t="n">
        <v>4</v>
      </c>
      <c r="N682" s="4" t="n">
        <v>4</v>
      </c>
      <c r="O682" s="4" t="n">
        <v>4</v>
      </c>
      <c r="P682" s="0" t="str">
        <f aca="false">IF(E682=0,"not_reached",IF(AND(F682&gt;0,G682=0),"allowed","blocked"))</f>
        <v>allowed</v>
      </c>
      <c r="Q682" s="0" t="str">
        <f aca="false">IF(C682="success","published",IF(E682&gt;0,"blocked_at_gate","failed_before_gate"))</f>
        <v>published</v>
      </c>
      <c r="R682" s="0" t="str">
        <f aca="false">IF(C682="success","",IF(E682&gt;0,IF(I682="freshness_within_target","freshness",IF(I682="relationships_intact","relationships",IF(I682="reconciliation_residual_zero","residual",I682))),IF(H682="quality_gate","gate_infra",H682)))</f>
        <v/>
      </c>
    </row>
    <row r="683" customFormat="false" ht="15" hidden="false" customHeight="false" outlineLevel="0" collapsed="false">
      <c r="A683" s="4" t="s">
        <v>2892</v>
      </c>
      <c r="B683" s="10" t="n">
        <v>46272.34375</v>
      </c>
      <c r="C683" s="4" t="s">
        <v>1544</v>
      </c>
      <c r="D683" s="4" t="n">
        <v>907</v>
      </c>
      <c r="E683" s="4" t="n">
        <v>7</v>
      </c>
      <c r="F683" s="4" t="n">
        <v>6</v>
      </c>
      <c r="G683" s="4" t="n">
        <v>0</v>
      </c>
      <c r="J683" s="11" t="b">
        <f aca="false">TRUE()</f>
        <v>1</v>
      </c>
      <c r="K683" s="4" t="s">
        <v>2893</v>
      </c>
      <c r="L683" s="4" t="n">
        <v>4</v>
      </c>
      <c r="M683" s="4" t="n">
        <v>4</v>
      </c>
      <c r="N683" s="4" t="n">
        <v>4</v>
      </c>
      <c r="O683" s="4" t="n">
        <v>4</v>
      </c>
      <c r="P683" s="0" t="str">
        <f aca="false">IF(E683=0,"not_reached",IF(AND(F683&gt;0,G683=0),"allowed","blocked"))</f>
        <v>allowed</v>
      </c>
      <c r="Q683" s="0" t="str">
        <f aca="false">IF(C683="success","published",IF(E683&gt;0,"blocked_at_gate","failed_before_gate"))</f>
        <v>published</v>
      </c>
      <c r="R683" s="0" t="str">
        <f aca="false">IF(C683="success","",IF(E683&gt;0,IF(I683="freshness_within_target","freshness",IF(I683="relationships_intact","relationships",IF(I683="reconciliation_residual_zero","residual",I683))),IF(H683="quality_gate","gate_infra",H683)))</f>
        <v/>
      </c>
    </row>
    <row r="684" customFormat="false" ht="15" hidden="false" customHeight="false" outlineLevel="0" collapsed="false">
      <c r="A684" s="4" t="s">
        <v>2894</v>
      </c>
      <c r="B684" s="10" t="n">
        <v>46272.3854166667</v>
      </c>
      <c r="C684" s="4" t="s">
        <v>1544</v>
      </c>
      <c r="D684" s="4" t="n">
        <v>696</v>
      </c>
      <c r="E684" s="4" t="n">
        <v>7</v>
      </c>
      <c r="F684" s="4" t="n">
        <v>6</v>
      </c>
      <c r="G684" s="4" t="n">
        <v>0</v>
      </c>
      <c r="J684" s="11" t="b">
        <f aca="false">TRUE()</f>
        <v>1</v>
      </c>
      <c r="K684" s="4" t="s">
        <v>2895</v>
      </c>
      <c r="L684" s="4" t="n">
        <v>4</v>
      </c>
      <c r="M684" s="4" t="n">
        <v>4</v>
      </c>
      <c r="N684" s="4" t="n">
        <v>4</v>
      </c>
      <c r="O684" s="4" t="n">
        <v>4</v>
      </c>
      <c r="P684" s="0" t="str">
        <f aca="false">IF(E684=0,"not_reached",IF(AND(F684&gt;0,G684=0),"allowed","blocked"))</f>
        <v>allowed</v>
      </c>
      <c r="Q684" s="0" t="str">
        <f aca="false">IF(C684="success","published",IF(E684&gt;0,"blocked_at_gate","failed_before_gate"))</f>
        <v>published</v>
      </c>
      <c r="R684" s="0" t="str">
        <f aca="false">IF(C684="success","",IF(E684&gt;0,IF(I684="freshness_within_target","freshness",IF(I684="relationships_intact","relationships",IF(I684="reconciliation_residual_zero","residual",I684))),IF(H684="quality_gate","gate_infra",H684)))</f>
        <v/>
      </c>
    </row>
    <row r="685" customFormat="false" ht="15" hidden="false" customHeight="false" outlineLevel="0" collapsed="false">
      <c r="A685" s="4" t="s">
        <v>2896</v>
      </c>
      <c r="B685" s="10" t="n">
        <v>46272.4270833333</v>
      </c>
      <c r="C685" s="4" t="s">
        <v>1544</v>
      </c>
      <c r="D685" s="4" t="n">
        <v>795</v>
      </c>
      <c r="E685" s="4" t="n">
        <v>7</v>
      </c>
      <c r="F685" s="4" t="n">
        <v>6</v>
      </c>
      <c r="G685" s="4" t="n">
        <v>0</v>
      </c>
      <c r="J685" s="11" t="b">
        <f aca="false">TRUE()</f>
        <v>1</v>
      </c>
      <c r="K685" s="4" t="s">
        <v>2897</v>
      </c>
      <c r="L685" s="4" t="n">
        <v>4</v>
      </c>
      <c r="M685" s="4" t="n">
        <v>4</v>
      </c>
      <c r="N685" s="4" t="n">
        <v>4</v>
      </c>
      <c r="O685" s="4" t="n">
        <v>4</v>
      </c>
      <c r="P685" s="0" t="str">
        <f aca="false">IF(E685=0,"not_reached",IF(AND(F685&gt;0,G685=0),"allowed","blocked"))</f>
        <v>allowed</v>
      </c>
      <c r="Q685" s="0" t="str">
        <f aca="false">IF(C685="success","published",IF(E685&gt;0,"blocked_at_gate","failed_before_gate"))</f>
        <v>published</v>
      </c>
      <c r="R685" s="0" t="str">
        <f aca="false">IF(C685="success","",IF(E685&gt;0,IF(I685="freshness_within_target","freshness",IF(I685="relationships_intact","relationships",IF(I685="reconciliation_residual_zero","residual",I685))),IF(H685="quality_gate","gate_infra",H685)))</f>
        <v/>
      </c>
    </row>
    <row r="686" customFormat="false" ht="15" hidden="false" customHeight="false" outlineLevel="0" collapsed="false">
      <c r="A686" s="4" t="s">
        <v>2898</v>
      </c>
      <c r="B686" s="10" t="n">
        <v>46272.46875</v>
      </c>
      <c r="C686" s="4" t="s">
        <v>1544</v>
      </c>
      <c r="D686" s="4" t="n">
        <v>691</v>
      </c>
      <c r="E686" s="4" t="n">
        <v>7</v>
      </c>
      <c r="F686" s="4" t="n">
        <v>6</v>
      </c>
      <c r="G686" s="4" t="n">
        <v>0</v>
      </c>
      <c r="J686" s="11" t="b">
        <f aca="false">TRUE()</f>
        <v>1</v>
      </c>
      <c r="K686" s="4" t="s">
        <v>2899</v>
      </c>
      <c r="L686" s="4" t="n">
        <v>4</v>
      </c>
      <c r="M686" s="4" t="n">
        <v>4</v>
      </c>
      <c r="N686" s="4" t="n">
        <v>4</v>
      </c>
      <c r="O686" s="4" t="n">
        <v>4</v>
      </c>
      <c r="P686" s="0" t="str">
        <f aca="false">IF(E686=0,"not_reached",IF(AND(F686&gt;0,G686=0),"allowed","blocked"))</f>
        <v>allowed</v>
      </c>
      <c r="Q686" s="0" t="str">
        <f aca="false">IF(C686="success","published",IF(E686&gt;0,"blocked_at_gate","failed_before_gate"))</f>
        <v>published</v>
      </c>
      <c r="R686" s="0" t="str">
        <f aca="false">IF(C686="success","",IF(E686&gt;0,IF(I686="freshness_within_target","freshness",IF(I686="relationships_intact","relationships",IF(I686="reconciliation_residual_zero","residual",I686))),IF(H686="quality_gate","gate_infra",H686)))</f>
        <v/>
      </c>
    </row>
    <row r="687" customFormat="false" ht="15" hidden="false" customHeight="false" outlineLevel="0" collapsed="false">
      <c r="A687" s="4" t="s">
        <v>2900</v>
      </c>
      <c r="B687" s="10" t="n">
        <v>46272.5104166667</v>
      </c>
      <c r="C687" s="4" t="s">
        <v>1544</v>
      </c>
      <c r="D687" s="4" t="n">
        <v>816</v>
      </c>
      <c r="E687" s="4" t="n">
        <v>7</v>
      </c>
      <c r="F687" s="4" t="n">
        <v>6</v>
      </c>
      <c r="G687" s="4" t="n">
        <v>0</v>
      </c>
      <c r="J687" s="11" t="b">
        <f aca="false">TRUE()</f>
        <v>1</v>
      </c>
      <c r="K687" s="4" t="s">
        <v>2901</v>
      </c>
      <c r="L687" s="4" t="n">
        <v>4</v>
      </c>
      <c r="M687" s="4" t="n">
        <v>4</v>
      </c>
      <c r="N687" s="4" t="n">
        <v>4</v>
      </c>
      <c r="O687" s="4" t="n">
        <v>4</v>
      </c>
      <c r="P687" s="0" t="str">
        <f aca="false">IF(E687=0,"not_reached",IF(AND(F687&gt;0,G687=0),"allowed","blocked"))</f>
        <v>allowed</v>
      </c>
      <c r="Q687" s="0" t="str">
        <f aca="false">IF(C687="success","published",IF(E687&gt;0,"blocked_at_gate","failed_before_gate"))</f>
        <v>published</v>
      </c>
      <c r="R687" s="0" t="str">
        <f aca="false">IF(C687="success","",IF(E687&gt;0,IF(I687="freshness_within_target","freshness",IF(I687="relationships_intact","relationships",IF(I687="reconciliation_residual_zero","residual",I687))),IF(H687="quality_gate","gate_infra",H687)))</f>
        <v/>
      </c>
    </row>
    <row r="688" customFormat="false" ht="15" hidden="false" customHeight="false" outlineLevel="0" collapsed="false">
      <c r="A688" s="4" t="s">
        <v>2902</v>
      </c>
      <c r="B688" s="10" t="n">
        <v>46272.5520833333</v>
      </c>
      <c r="C688" s="4" t="s">
        <v>1544</v>
      </c>
      <c r="D688" s="4" t="n">
        <v>959</v>
      </c>
      <c r="E688" s="4" t="n">
        <v>7</v>
      </c>
      <c r="F688" s="4" t="n">
        <v>6</v>
      </c>
      <c r="G688" s="4" t="n">
        <v>0</v>
      </c>
      <c r="J688" s="11" t="b">
        <f aca="false">TRUE()</f>
        <v>1</v>
      </c>
      <c r="K688" s="4" t="s">
        <v>2903</v>
      </c>
      <c r="L688" s="4" t="n">
        <v>4</v>
      </c>
      <c r="M688" s="4" t="n">
        <v>4</v>
      </c>
      <c r="N688" s="4" t="n">
        <v>4</v>
      </c>
      <c r="O688" s="4" t="n">
        <v>4</v>
      </c>
      <c r="P688" s="0" t="str">
        <f aca="false">IF(E688=0,"not_reached",IF(AND(F688&gt;0,G688=0),"allowed","blocked"))</f>
        <v>allowed</v>
      </c>
      <c r="Q688" s="0" t="str">
        <f aca="false">IF(C688="success","published",IF(E688&gt;0,"blocked_at_gate","failed_before_gate"))</f>
        <v>published</v>
      </c>
      <c r="R688" s="0" t="str">
        <f aca="false">IF(C688="success","",IF(E688&gt;0,IF(I688="freshness_within_target","freshness",IF(I688="relationships_intact","relationships",IF(I688="reconciliation_residual_zero","residual",I688))),IF(H688="quality_gate","gate_infra",H688)))</f>
        <v/>
      </c>
    </row>
    <row r="689" customFormat="false" ht="15" hidden="false" customHeight="false" outlineLevel="0" collapsed="false">
      <c r="A689" s="4" t="s">
        <v>2904</v>
      </c>
      <c r="B689" s="10" t="n">
        <v>46272.59375</v>
      </c>
      <c r="C689" s="4" t="s">
        <v>1544</v>
      </c>
      <c r="D689" s="4" t="n">
        <v>873</v>
      </c>
      <c r="E689" s="4" t="n">
        <v>7</v>
      </c>
      <c r="F689" s="4" t="n">
        <v>6</v>
      </c>
      <c r="G689" s="4" t="n">
        <v>0</v>
      </c>
      <c r="J689" s="11" t="b">
        <f aca="false">TRUE()</f>
        <v>1</v>
      </c>
      <c r="K689" s="4" t="s">
        <v>2905</v>
      </c>
      <c r="L689" s="4" t="n">
        <v>4</v>
      </c>
      <c r="M689" s="4" t="n">
        <v>4</v>
      </c>
      <c r="N689" s="4" t="n">
        <v>4</v>
      </c>
      <c r="O689" s="4" t="n">
        <v>4</v>
      </c>
      <c r="P689" s="0" t="str">
        <f aca="false">IF(E689=0,"not_reached",IF(AND(F689&gt;0,G689=0),"allowed","blocked"))</f>
        <v>allowed</v>
      </c>
      <c r="Q689" s="0" t="str">
        <f aca="false">IF(C689="success","published",IF(E689&gt;0,"blocked_at_gate","failed_before_gate"))</f>
        <v>published</v>
      </c>
      <c r="R689" s="0" t="str">
        <f aca="false">IF(C689="success","",IF(E689&gt;0,IF(I689="freshness_within_target","freshness",IF(I689="relationships_intact","relationships",IF(I689="reconciliation_residual_zero","residual",I689))),IF(H689="quality_gate","gate_infra",H689)))</f>
        <v/>
      </c>
    </row>
    <row r="690" customFormat="false" ht="15" hidden="false" customHeight="false" outlineLevel="0" collapsed="false">
      <c r="A690" s="4" t="s">
        <v>2906</v>
      </c>
      <c r="B690" s="10" t="n">
        <v>46272.6354166667</v>
      </c>
      <c r="C690" s="4" t="s">
        <v>1901</v>
      </c>
      <c r="D690" s="4" t="n">
        <v>973</v>
      </c>
      <c r="E690" s="4" t="n">
        <v>0</v>
      </c>
      <c r="F690" s="4" t="n">
        <v>0</v>
      </c>
      <c r="G690" s="4" t="n">
        <v>0</v>
      </c>
      <c r="H690" s="4" t="s">
        <v>61</v>
      </c>
      <c r="J690" s="11" t="b">
        <f aca="false">FALSE()</f>
        <v>0</v>
      </c>
      <c r="L690" s="4" t="n">
        <v>2</v>
      </c>
      <c r="M690" s="4" t="n">
        <v>1</v>
      </c>
      <c r="N690" s="4" t="n">
        <v>4</v>
      </c>
      <c r="O690" s="4" t="n">
        <v>1</v>
      </c>
      <c r="P690" s="0" t="str">
        <f aca="false">IF(E690=0,"not_reached",IF(AND(F690&gt;0,G690=0),"allowed","blocked"))</f>
        <v>not_reached</v>
      </c>
      <c r="Q690" s="0" t="str">
        <f aca="false">IF(C690="success","published",IF(E690&gt;0,"blocked_at_gate","failed_before_gate"))</f>
        <v>failed_before_gate</v>
      </c>
      <c r="R690" s="0" t="str">
        <f aca="false">IF(C690="success","",IF(E690&gt;0,IF(I690="freshness_within_target","freshness",IF(I690="relationships_intact","relationships",IF(I690="reconciliation_residual_zero","residual",I690))),IF(H690="quality_gate","gate_infra",H690)))</f>
        <v>transform</v>
      </c>
    </row>
    <row r="691" customFormat="false" ht="15" hidden="false" customHeight="false" outlineLevel="0" collapsed="false">
      <c r="A691" s="4" t="s">
        <v>2907</v>
      </c>
      <c r="B691" s="10" t="n">
        <v>46272.6770833333</v>
      </c>
      <c r="C691" s="4" t="s">
        <v>1544</v>
      </c>
      <c r="D691" s="4" t="n">
        <v>911</v>
      </c>
      <c r="E691" s="4" t="n">
        <v>7</v>
      </c>
      <c r="F691" s="4" t="n">
        <v>6</v>
      </c>
      <c r="G691" s="4" t="n">
        <v>0</v>
      </c>
      <c r="J691" s="11" t="b">
        <f aca="false">TRUE()</f>
        <v>1</v>
      </c>
      <c r="K691" s="4" t="s">
        <v>2908</v>
      </c>
      <c r="L691" s="4" t="n">
        <v>4</v>
      </c>
      <c r="M691" s="4" t="n">
        <v>4</v>
      </c>
      <c r="N691" s="4" t="n">
        <v>4</v>
      </c>
      <c r="O691" s="4" t="n">
        <v>4</v>
      </c>
      <c r="P691" s="0" t="str">
        <f aca="false">IF(E691=0,"not_reached",IF(AND(F691&gt;0,G691=0),"allowed","blocked"))</f>
        <v>allowed</v>
      </c>
      <c r="Q691" s="0" t="str">
        <f aca="false">IF(C691="success","published",IF(E691&gt;0,"blocked_at_gate","failed_before_gate"))</f>
        <v>published</v>
      </c>
      <c r="R691" s="0" t="str">
        <f aca="false">IF(C691="success","",IF(E691&gt;0,IF(I691="freshness_within_target","freshness",IF(I691="relationships_intact","relationships",IF(I691="reconciliation_residual_zero","residual",I691))),IF(H691="quality_gate","gate_infra",H691)))</f>
        <v/>
      </c>
    </row>
    <row r="692" customFormat="false" ht="15" hidden="false" customHeight="false" outlineLevel="0" collapsed="false">
      <c r="A692" s="4" t="s">
        <v>2909</v>
      </c>
      <c r="B692" s="10" t="n">
        <v>46272.71875</v>
      </c>
      <c r="C692" s="4" t="s">
        <v>1544</v>
      </c>
      <c r="D692" s="4" t="n">
        <v>784</v>
      </c>
      <c r="E692" s="4" t="n">
        <v>7</v>
      </c>
      <c r="F692" s="4" t="n">
        <v>6</v>
      </c>
      <c r="G692" s="4" t="n">
        <v>0</v>
      </c>
      <c r="J692" s="11" t="b">
        <f aca="false">TRUE()</f>
        <v>1</v>
      </c>
      <c r="K692" s="4" t="s">
        <v>2910</v>
      </c>
      <c r="L692" s="4" t="n">
        <v>4</v>
      </c>
      <c r="M692" s="4" t="n">
        <v>4</v>
      </c>
      <c r="N692" s="4" t="n">
        <v>4</v>
      </c>
      <c r="O692" s="4" t="n">
        <v>4</v>
      </c>
      <c r="P692" s="0" t="str">
        <f aca="false">IF(E692=0,"not_reached",IF(AND(F692&gt;0,G692=0),"allowed","blocked"))</f>
        <v>allowed</v>
      </c>
      <c r="Q692" s="0" t="str">
        <f aca="false">IF(C692="success","published",IF(E692&gt;0,"blocked_at_gate","failed_before_gate"))</f>
        <v>published</v>
      </c>
      <c r="R692" s="0" t="str">
        <f aca="false">IF(C692="success","",IF(E692&gt;0,IF(I692="freshness_within_target","freshness",IF(I692="relationships_intact","relationships",IF(I692="reconciliation_residual_zero","residual",I692))),IF(H692="quality_gate","gate_infra",H692)))</f>
        <v/>
      </c>
    </row>
    <row r="693" customFormat="false" ht="15" hidden="false" customHeight="false" outlineLevel="0" collapsed="false">
      <c r="A693" s="4" t="s">
        <v>2911</v>
      </c>
      <c r="B693" s="10" t="n">
        <v>46272.7604166667</v>
      </c>
      <c r="C693" s="4" t="s">
        <v>1544</v>
      </c>
      <c r="D693" s="4" t="n">
        <v>941</v>
      </c>
      <c r="E693" s="4" t="n">
        <v>7</v>
      </c>
      <c r="F693" s="4" t="n">
        <v>6</v>
      </c>
      <c r="G693" s="4" t="n">
        <v>0</v>
      </c>
      <c r="J693" s="11" t="b">
        <f aca="false">TRUE()</f>
        <v>1</v>
      </c>
      <c r="K693" s="4" t="s">
        <v>2912</v>
      </c>
      <c r="L693" s="4" t="n">
        <v>4</v>
      </c>
      <c r="M693" s="4" t="n">
        <v>4</v>
      </c>
      <c r="N693" s="4" t="n">
        <v>4</v>
      </c>
      <c r="O693" s="4" t="n">
        <v>4</v>
      </c>
      <c r="P693" s="0" t="str">
        <f aca="false">IF(E693=0,"not_reached",IF(AND(F693&gt;0,G693=0),"allowed","blocked"))</f>
        <v>allowed</v>
      </c>
      <c r="Q693" s="0" t="str">
        <f aca="false">IF(C693="success","published",IF(E693&gt;0,"blocked_at_gate","failed_before_gate"))</f>
        <v>published</v>
      </c>
      <c r="R693" s="0" t="str">
        <f aca="false">IF(C693="success","",IF(E693&gt;0,IF(I693="freshness_within_target","freshness",IF(I693="relationships_intact","relationships",IF(I693="reconciliation_residual_zero","residual",I693))),IF(H693="quality_gate","gate_infra",H693)))</f>
        <v/>
      </c>
    </row>
    <row r="694" customFormat="false" ht="15" hidden="false" customHeight="false" outlineLevel="0" collapsed="false">
      <c r="A694" s="4" t="s">
        <v>2913</v>
      </c>
      <c r="B694" s="10" t="n">
        <v>46272.8020833333</v>
      </c>
      <c r="C694" s="4" t="s">
        <v>1544</v>
      </c>
      <c r="D694" s="4" t="n">
        <v>840</v>
      </c>
      <c r="E694" s="4" t="n">
        <v>7</v>
      </c>
      <c r="F694" s="4" t="n">
        <v>6</v>
      </c>
      <c r="G694" s="4" t="n">
        <v>0</v>
      </c>
      <c r="J694" s="11" t="b">
        <f aca="false">TRUE()</f>
        <v>1</v>
      </c>
      <c r="K694" s="4" t="s">
        <v>2914</v>
      </c>
      <c r="L694" s="4" t="n">
        <v>4</v>
      </c>
      <c r="M694" s="4" t="n">
        <v>4</v>
      </c>
      <c r="N694" s="4" t="n">
        <v>4</v>
      </c>
      <c r="O694" s="4" t="n">
        <v>4</v>
      </c>
      <c r="P694" s="0" t="str">
        <f aca="false">IF(E694=0,"not_reached",IF(AND(F694&gt;0,G694=0),"allowed","blocked"))</f>
        <v>allowed</v>
      </c>
      <c r="Q694" s="0" t="str">
        <f aca="false">IF(C694="success","published",IF(E694&gt;0,"blocked_at_gate","failed_before_gate"))</f>
        <v>published</v>
      </c>
      <c r="R694" s="0" t="str">
        <f aca="false">IF(C694="success","",IF(E694&gt;0,IF(I694="freshness_within_target","freshness",IF(I694="relationships_intact","relationships",IF(I694="reconciliation_residual_zero","residual",I694))),IF(H694="quality_gate","gate_infra",H694)))</f>
        <v/>
      </c>
    </row>
    <row r="695" customFormat="false" ht="15" hidden="false" customHeight="false" outlineLevel="0" collapsed="false">
      <c r="A695" s="4" t="s">
        <v>2915</v>
      </c>
      <c r="B695" s="10" t="n">
        <v>46272.84375</v>
      </c>
      <c r="C695" s="4" t="s">
        <v>1544</v>
      </c>
      <c r="D695" s="4" t="n">
        <v>778</v>
      </c>
      <c r="E695" s="4" t="n">
        <v>7</v>
      </c>
      <c r="F695" s="4" t="n">
        <v>6</v>
      </c>
      <c r="G695" s="4" t="n">
        <v>0</v>
      </c>
      <c r="J695" s="11" t="b">
        <f aca="false">TRUE()</f>
        <v>1</v>
      </c>
      <c r="K695" s="4" t="s">
        <v>2916</v>
      </c>
      <c r="L695" s="4" t="n">
        <v>4</v>
      </c>
      <c r="M695" s="4" t="n">
        <v>4</v>
      </c>
      <c r="N695" s="4" t="n">
        <v>4</v>
      </c>
      <c r="O695" s="4" t="n">
        <v>4</v>
      </c>
      <c r="P695" s="0" t="str">
        <f aca="false">IF(E695=0,"not_reached",IF(AND(F695&gt;0,G695=0),"allowed","blocked"))</f>
        <v>allowed</v>
      </c>
      <c r="Q695" s="0" t="str">
        <f aca="false">IF(C695="success","published",IF(E695&gt;0,"blocked_at_gate","failed_before_gate"))</f>
        <v>published</v>
      </c>
      <c r="R695" s="0" t="str">
        <f aca="false">IF(C695="success","",IF(E695&gt;0,IF(I695="freshness_within_target","freshness",IF(I695="relationships_intact","relationships",IF(I695="reconciliation_residual_zero","residual",I695))),IF(H695="quality_gate","gate_infra",H695)))</f>
        <v/>
      </c>
    </row>
    <row r="696" customFormat="false" ht="15" hidden="false" customHeight="false" outlineLevel="0" collapsed="false">
      <c r="A696" s="4" t="s">
        <v>2917</v>
      </c>
      <c r="B696" s="10" t="n">
        <v>46272.8854166667</v>
      </c>
      <c r="C696" s="4" t="s">
        <v>1544</v>
      </c>
      <c r="D696" s="4" t="n">
        <v>946</v>
      </c>
      <c r="E696" s="4" t="n">
        <v>7</v>
      </c>
      <c r="F696" s="4" t="n">
        <v>6</v>
      </c>
      <c r="G696" s="4" t="n">
        <v>0</v>
      </c>
      <c r="J696" s="11" t="b">
        <f aca="false">TRUE()</f>
        <v>1</v>
      </c>
      <c r="K696" s="4" t="s">
        <v>2918</v>
      </c>
      <c r="L696" s="4" t="n">
        <v>4</v>
      </c>
      <c r="M696" s="4" t="n">
        <v>4</v>
      </c>
      <c r="N696" s="4" t="n">
        <v>4</v>
      </c>
      <c r="O696" s="4" t="n">
        <v>4</v>
      </c>
      <c r="P696" s="0" t="str">
        <f aca="false">IF(E696=0,"not_reached",IF(AND(F696&gt;0,G696=0),"allowed","blocked"))</f>
        <v>allowed</v>
      </c>
      <c r="Q696" s="0" t="str">
        <f aca="false">IF(C696="success","published",IF(E696&gt;0,"blocked_at_gate","failed_before_gate"))</f>
        <v>published</v>
      </c>
      <c r="R696" s="0" t="str">
        <f aca="false">IF(C696="success","",IF(E696&gt;0,IF(I696="freshness_within_target","freshness",IF(I696="relationships_intact","relationships",IF(I696="reconciliation_residual_zero","residual",I696))),IF(H696="quality_gate","gate_infra",H696)))</f>
        <v/>
      </c>
    </row>
    <row r="697" customFormat="false" ht="15" hidden="false" customHeight="false" outlineLevel="0" collapsed="false">
      <c r="A697" s="4" t="s">
        <v>2919</v>
      </c>
      <c r="B697" s="10" t="n">
        <v>46272.9270833333</v>
      </c>
      <c r="C697" s="4" t="s">
        <v>1544</v>
      </c>
      <c r="D697" s="4" t="n">
        <v>852</v>
      </c>
      <c r="E697" s="4" t="n">
        <v>7</v>
      </c>
      <c r="F697" s="4" t="n">
        <v>6</v>
      </c>
      <c r="G697" s="4" t="n">
        <v>0</v>
      </c>
      <c r="J697" s="11" t="b">
        <f aca="false">TRUE()</f>
        <v>1</v>
      </c>
      <c r="K697" s="4" t="s">
        <v>2920</v>
      </c>
      <c r="L697" s="4" t="n">
        <v>4</v>
      </c>
      <c r="M697" s="4" t="n">
        <v>4</v>
      </c>
      <c r="N697" s="4" t="n">
        <v>4</v>
      </c>
      <c r="O697" s="4" t="n">
        <v>4</v>
      </c>
      <c r="P697" s="0" t="str">
        <f aca="false">IF(E697=0,"not_reached",IF(AND(F697&gt;0,G697=0),"allowed","blocked"))</f>
        <v>allowed</v>
      </c>
      <c r="Q697" s="0" t="str">
        <f aca="false">IF(C697="success","published",IF(E697&gt;0,"blocked_at_gate","failed_before_gate"))</f>
        <v>published</v>
      </c>
      <c r="R697" s="0" t="str">
        <f aca="false">IF(C697="success","",IF(E697&gt;0,IF(I697="freshness_within_target","freshness",IF(I697="relationships_intact","relationships",IF(I697="reconciliation_residual_zero","residual",I697))),IF(H697="quality_gate","gate_infra",H697)))</f>
        <v/>
      </c>
    </row>
    <row r="698" customFormat="false" ht="15" hidden="false" customHeight="false" outlineLevel="0" collapsed="false">
      <c r="A698" s="4" t="s">
        <v>2921</v>
      </c>
      <c r="B698" s="10" t="n">
        <v>46272.96875</v>
      </c>
      <c r="C698" s="4" t="s">
        <v>1544</v>
      </c>
      <c r="D698" s="4" t="n">
        <v>793</v>
      </c>
      <c r="E698" s="4" t="n">
        <v>7</v>
      </c>
      <c r="F698" s="4" t="n">
        <v>6</v>
      </c>
      <c r="G698" s="4" t="n">
        <v>0</v>
      </c>
      <c r="J698" s="11" t="b">
        <f aca="false">TRUE()</f>
        <v>1</v>
      </c>
      <c r="K698" s="4" t="s">
        <v>2922</v>
      </c>
      <c r="L698" s="4" t="n">
        <v>4</v>
      </c>
      <c r="M698" s="4" t="n">
        <v>4</v>
      </c>
      <c r="N698" s="4" t="n">
        <v>4</v>
      </c>
      <c r="O698" s="4" t="n">
        <v>4</v>
      </c>
      <c r="P698" s="0" t="str">
        <f aca="false">IF(E698=0,"not_reached",IF(AND(F698&gt;0,G698=0),"allowed","blocked"))</f>
        <v>allowed</v>
      </c>
      <c r="Q698" s="0" t="str">
        <f aca="false">IF(C698="success","published",IF(E698&gt;0,"blocked_at_gate","failed_before_gate"))</f>
        <v>published</v>
      </c>
      <c r="R698" s="0" t="str">
        <f aca="false">IF(C698="success","",IF(E698&gt;0,IF(I698="freshness_within_target","freshness",IF(I698="relationships_intact","relationships",IF(I698="reconciliation_residual_zero","residual",I698))),IF(H698="quality_gate","gate_infra",H698)))</f>
        <v/>
      </c>
    </row>
    <row r="699" customFormat="false" ht="15" hidden="false" customHeight="false" outlineLevel="0" collapsed="false">
      <c r="A699" s="4" t="s">
        <v>2923</v>
      </c>
      <c r="B699" s="10" t="n">
        <v>46273.0104166667</v>
      </c>
      <c r="C699" s="4" t="s">
        <v>1544</v>
      </c>
      <c r="D699" s="4" t="n">
        <v>879</v>
      </c>
      <c r="E699" s="4" t="n">
        <v>7</v>
      </c>
      <c r="F699" s="4" t="n">
        <v>6</v>
      </c>
      <c r="G699" s="4" t="n">
        <v>0</v>
      </c>
      <c r="J699" s="11" t="b">
        <f aca="false">TRUE()</f>
        <v>1</v>
      </c>
      <c r="K699" s="4" t="s">
        <v>2924</v>
      </c>
      <c r="L699" s="4" t="n">
        <v>4</v>
      </c>
      <c r="M699" s="4" t="n">
        <v>4</v>
      </c>
      <c r="N699" s="4" t="n">
        <v>4</v>
      </c>
      <c r="O699" s="4" t="n">
        <v>4</v>
      </c>
      <c r="P699" s="0" t="str">
        <f aca="false">IF(E699=0,"not_reached",IF(AND(F699&gt;0,G699=0),"allowed","blocked"))</f>
        <v>allowed</v>
      </c>
      <c r="Q699" s="0" t="str">
        <f aca="false">IF(C699="success","published",IF(E699&gt;0,"blocked_at_gate","failed_before_gate"))</f>
        <v>published</v>
      </c>
      <c r="R699" s="0" t="str">
        <f aca="false">IF(C699="success","",IF(E699&gt;0,IF(I699="freshness_within_target","freshness",IF(I699="relationships_intact","relationships",IF(I699="reconciliation_residual_zero","residual",I699))),IF(H699="quality_gate","gate_infra",H699)))</f>
        <v/>
      </c>
    </row>
    <row r="700" customFormat="false" ht="15" hidden="false" customHeight="false" outlineLevel="0" collapsed="false">
      <c r="A700" s="4" t="s">
        <v>2925</v>
      </c>
      <c r="B700" s="10" t="n">
        <v>46273.0520833333</v>
      </c>
      <c r="C700" s="4" t="s">
        <v>1544</v>
      </c>
      <c r="D700" s="4" t="n">
        <v>736</v>
      </c>
      <c r="E700" s="4" t="n">
        <v>7</v>
      </c>
      <c r="F700" s="4" t="n">
        <v>6</v>
      </c>
      <c r="G700" s="4" t="n">
        <v>0</v>
      </c>
      <c r="J700" s="11" t="b">
        <f aca="false">TRUE()</f>
        <v>1</v>
      </c>
      <c r="K700" s="4" t="s">
        <v>2926</v>
      </c>
      <c r="L700" s="4" t="n">
        <v>4</v>
      </c>
      <c r="M700" s="4" t="n">
        <v>4</v>
      </c>
      <c r="N700" s="4" t="n">
        <v>4</v>
      </c>
      <c r="O700" s="4" t="n">
        <v>4</v>
      </c>
      <c r="P700" s="0" t="str">
        <f aca="false">IF(E700=0,"not_reached",IF(AND(F700&gt;0,G700=0),"allowed","blocked"))</f>
        <v>allowed</v>
      </c>
      <c r="Q700" s="0" t="str">
        <f aca="false">IF(C700="success","published",IF(E700&gt;0,"blocked_at_gate","failed_before_gate"))</f>
        <v>published</v>
      </c>
      <c r="R700" s="0" t="str">
        <f aca="false">IF(C700="success","",IF(E700&gt;0,IF(I700="freshness_within_target","freshness",IF(I700="relationships_intact","relationships",IF(I700="reconciliation_residual_zero","residual",I700))),IF(H700="quality_gate","gate_infra",H700)))</f>
        <v/>
      </c>
    </row>
    <row r="701" customFormat="false" ht="15" hidden="false" customHeight="false" outlineLevel="0" collapsed="false">
      <c r="A701" s="4" t="s">
        <v>2927</v>
      </c>
      <c r="B701" s="10" t="n">
        <v>46273.09375</v>
      </c>
      <c r="C701" s="4" t="s">
        <v>1544</v>
      </c>
      <c r="D701" s="4" t="n">
        <v>875</v>
      </c>
      <c r="E701" s="4" t="n">
        <v>7</v>
      </c>
      <c r="F701" s="4" t="n">
        <v>6</v>
      </c>
      <c r="G701" s="4" t="n">
        <v>0</v>
      </c>
      <c r="J701" s="11" t="b">
        <f aca="false">TRUE()</f>
        <v>1</v>
      </c>
      <c r="K701" s="4" t="s">
        <v>2928</v>
      </c>
      <c r="L701" s="4" t="n">
        <v>4</v>
      </c>
      <c r="M701" s="4" t="n">
        <v>4</v>
      </c>
      <c r="N701" s="4" t="n">
        <v>4</v>
      </c>
      <c r="O701" s="4" t="n">
        <v>4</v>
      </c>
      <c r="P701" s="0" t="str">
        <f aca="false">IF(E701=0,"not_reached",IF(AND(F701&gt;0,G701=0),"allowed","blocked"))</f>
        <v>allowed</v>
      </c>
      <c r="Q701" s="0" t="str">
        <f aca="false">IF(C701="success","published",IF(E701&gt;0,"blocked_at_gate","failed_before_gate"))</f>
        <v>published</v>
      </c>
      <c r="R701" s="0" t="str">
        <f aca="false">IF(C701="success","",IF(E701&gt;0,IF(I701="freshness_within_target","freshness",IF(I701="relationships_intact","relationships",IF(I701="reconciliation_residual_zero","residual",I701))),IF(H701="quality_gate","gate_infra",H701)))</f>
        <v/>
      </c>
    </row>
    <row r="702" customFormat="false" ht="15" hidden="false" customHeight="false" outlineLevel="0" collapsed="false">
      <c r="A702" s="4" t="s">
        <v>2929</v>
      </c>
      <c r="B702" s="10" t="n">
        <v>46273.1354166667</v>
      </c>
      <c r="C702" s="4" t="s">
        <v>1544</v>
      </c>
      <c r="D702" s="4" t="n">
        <v>858</v>
      </c>
      <c r="E702" s="4" t="n">
        <v>7</v>
      </c>
      <c r="F702" s="4" t="n">
        <v>6</v>
      </c>
      <c r="G702" s="4" t="n">
        <v>0</v>
      </c>
      <c r="J702" s="11" t="b">
        <f aca="false">TRUE()</f>
        <v>1</v>
      </c>
      <c r="K702" s="4" t="s">
        <v>2930</v>
      </c>
      <c r="L702" s="4" t="n">
        <v>4</v>
      </c>
      <c r="M702" s="4" t="n">
        <v>4</v>
      </c>
      <c r="N702" s="4" t="n">
        <v>4</v>
      </c>
      <c r="O702" s="4" t="n">
        <v>4</v>
      </c>
      <c r="P702" s="0" t="str">
        <f aca="false">IF(E702=0,"not_reached",IF(AND(F702&gt;0,G702=0),"allowed","blocked"))</f>
        <v>allowed</v>
      </c>
      <c r="Q702" s="0" t="str">
        <f aca="false">IF(C702="success","published",IF(E702&gt;0,"blocked_at_gate","failed_before_gate"))</f>
        <v>published</v>
      </c>
      <c r="R702" s="0" t="str">
        <f aca="false">IF(C702="success","",IF(E702&gt;0,IF(I702="freshness_within_target","freshness",IF(I702="relationships_intact","relationships",IF(I702="reconciliation_residual_zero","residual",I702))),IF(H702="quality_gate","gate_infra",H702)))</f>
        <v/>
      </c>
    </row>
    <row r="703" customFormat="false" ht="15" hidden="false" customHeight="false" outlineLevel="0" collapsed="false">
      <c r="A703" s="4" t="s">
        <v>2931</v>
      </c>
      <c r="B703" s="10" t="n">
        <v>46273.1770833333</v>
      </c>
      <c r="C703" s="4" t="s">
        <v>1544</v>
      </c>
      <c r="D703" s="4" t="n">
        <v>739</v>
      </c>
      <c r="E703" s="4" t="n">
        <v>7</v>
      </c>
      <c r="F703" s="4" t="n">
        <v>6</v>
      </c>
      <c r="G703" s="4" t="n">
        <v>0</v>
      </c>
      <c r="J703" s="11" t="b">
        <f aca="false">TRUE()</f>
        <v>1</v>
      </c>
      <c r="K703" s="4" t="s">
        <v>2932</v>
      </c>
      <c r="L703" s="4" t="n">
        <v>4</v>
      </c>
      <c r="M703" s="4" t="n">
        <v>4</v>
      </c>
      <c r="N703" s="4" t="n">
        <v>4</v>
      </c>
      <c r="O703" s="4" t="n">
        <v>4</v>
      </c>
      <c r="P703" s="0" t="str">
        <f aca="false">IF(E703=0,"not_reached",IF(AND(F703&gt;0,G703=0),"allowed","blocked"))</f>
        <v>allowed</v>
      </c>
      <c r="Q703" s="0" t="str">
        <f aca="false">IF(C703="success","published",IF(E703&gt;0,"blocked_at_gate","failed_before_gate"))</f>
        <v>published</v>
      </c>
      <c r="R703" s="0" t="str">
        <f aca="false">IF(C703="success","",IF(E703&gt;0,IF(I703="freshness_within_target","freshness",IF(I703="relationships_intact","relationships",IF(I703="reconciliation_residual_zero","residual",I703))),IF(H703="quality_gate","gate_infra",H703)))</f>
        <v/>
      </c>
    </row>
    <row r="704" customFormat="false" ht="15" hidden="false" customHeight="false" outlineLevel="0" collapsed="false">
      <c r="A704" s="4" t="s">
        <v>2933</v>
      </c>
      <c r="B704" s="10" t="n">
        <v>46273.21875</v>
      </c>
      <c r="C704" s="4" t="s">
        <v>1544</v>
      </c>
      <c r="D704" s="4" t="n">
        <v>748</v>
      </c>
      <c r="E704" s="4" t="n">
        <v>7</v>
      </c>
      <c r="F704" s="4" t="n">
        <v>6</v>
      </c>
      <c r="G704" s="4" t="n">
        <v>0</v>
      </c>
      <c r="J704" s="11" t="b">
        <f aca="false">TRUE()</f>
        <v>1</v>
      </c>
      <c r="K704" s="4" t="s">
        <v>2934</v>
      </c>
      <c r="L704" s="4" t="n">
        <v>4</v>
      </c>
      <c r="M704" s="4" t="n">
        <v>4</v>
      </c>
      <c r="N704" s="4" t="n">
        <v>4</v>
      </c>
      <c r="O704" s="4" t="n">
        <v>4</v>
      </c>
      <c r="P704" s="0" t="str">
        <f aca="false">IF(E704=0,"not_reached",IF(AND(F704&gt;0,G704=0),"allowed","blocked"))</f>
        <v>allowed</v>
      </c>
      <c r="Q704" s="0" t="str">
        <f aca="false">IF(C704="success","published",IF(E704&gt;0,"blocked_at_gate","failed_before_gate"))</f>
        <v>published</v>
      </c>
      <c r="R704" s="0" t="str">
        <f aca="false">IF(C704="success","",IF(E704&gt;0,IF(I704="freshness_within_target","freshness",IF(I704="relationships_intact","relationships",IF(I704="reconciliation_residual_zero","residual",I704))),IF(H704="quality_gate","gate_infra",H704)))</f>
        <v/>
      </c>
    </row>
    <row r="705" customFormat="false" ht="15" hidden="false" customHeight="false" outlineLevel="0" collapsed="false">
      <c r="A705" s="4" t="s">
        <v>2935</v>
      </c>
      <c r="B705" s="10" t="n">
        <v>46273.2604166667</v>
      </c>
      <c r="C705" s="4" t="s">
        <v>1544</v>
      </c>
      <c r="D705" s="4" t="n">
        <v>713</v>
      </c>
      <c r="E705" s="4" t="n">
        <v>7</v>
      </c>
      <c r="F705" s="4" t="n">
        <v>6</v>
      </c>
      <c r="G705" s="4" t="n">
        <v>0</v>
      </c>
      <c r="J705" s="11" t="b">
        <f aca="false">TRUE()</f>
        <v>1</v>
      </c>
      <c r="K705" s="4" t="s">
        <v>2936</v>
      </c>
      <c r="L705" s="4" t="n">
        <v>4</v>
      </c>
      <c r="M705" s="4" t="n">
        <v>4</v>
      </c>
      <c r="N705" s="4" t="n">
        <v>4</v>
      </c>
      <c r="O705" s="4" t="n">
        <v>4</v>
      </c>
      <c r="P705" s="0" t="str">
        <f aca="false">IF(E705=0,"not_reached",IF(AND(F705&gt;0,G705=0),"allowed","blocked"))</f>
        <v>allowed</v>
      </c>
      <c r="Q705" s="0" t="str">
        <f aca="false">IF(C705="success","published",IF(E705&gt;0,"blocked_at_gate","failed_before_gate"))</f>
        <v>published</v>
      </c>
      <c r="R705" s="0" t="str">
        <f aca="false">IF(C705="success","",IF(E705&gt;0,IF(I705="freshness_within_target","freshness",IF(I705="relationships_intact","relationships",IF(I705="reconciliation_residual_zero","residual",I705))),IF(H705="quality_gate","gate_infra",H705)))</f>
        <v/>
      </c>
    </row>
    <row r="706" customFormat="false" ht="15" hidden="false" customHeight="false" outlineLevel="0" collapsed="false">
      <c r="A706" s="4" t="s">
        <v>2937</v>
      </c>
      <c r="B706" s="10" t="n">
        <v>46273.3020833333</v>
      </c>
      <c r="C706" s="4" t="s">
        <v>1544</v>
      </c>
      <c r="D706" s="4" t="n">
        <v>862</v>
      </c>
      <c r="E706" s="4" t="n">
        <v>7</v>
      </c>
      <c r="F706" s="4" t="n">
        <v>6</v>
      </c>
      <c r="G706" s="4" t="n">
        <v>0</v>
      </c>
      <c r="J706" s="11" t="b">
        <f aca="false">TRUE()</f>
        <v>1</v>
      </c>
      <c r="K706" s="4" t="s">
        <v>2938</v>
      </c>
      <c r="L706" s="4" t="n">
        <v>4</v>
      </c>
      <c r="M706" s="4" t="n">
        <v>4</v>
      </c>
      <c r="N706" s="4" t="n">
        <v>4</v>
      </c>
      <c r="O706" s="4" t="n">
        <v>4</v>
      </c>
      <c r="P706" s="0" t="str">
        <f aca="false">IF(E706=0,"not_reached",IF(AND(F706&gt;0,G706=0),"allowed","blocked"))</f>
        <v>allowed</v>
      </c>
      <c r="Q706" s="0" t="str">
        <f aca="false">IF(C706="success","published",IF(E706&gt;0,"blocked_at_gate","failed_before_gate"))</f>
        <v>published</v>
      </c>
      <c r="R706" s="0" t="str">
        <f aca="false">IF(C706="success","",IF(E706&gt;0,IF(I706="freshness_within_target","freshness",IF(I706="relationships_intact","relationships",IF(I706="reconciliation_residual_zero","residual",I706))),IF(H706="quality_gate","gate_infra",H706)))</f>
        <v/>
      </c>
    </row>
    <row r="707" customFormat="false" ht="15" hidden="false" customHeight="false" outlineLevel="0" collapsed="false">
      <c r="A707" s="4" t="s">
        <v>2939</v>
      </c>
      <c r="B707" s="10" t="n">
        <v>46273.34375</v>
      </c>
      <c r="C707" s="4" t="s">
        <v>1544</v>
      </c>
      <c r="D707" s="4" t="n">
        <v>688</v>
      </c>
      <c r="E707" s="4" t="n">
        <v>7</v>
      </c>
      <c r="F707" s="4" t="n">
        <v>6</v>
      </c>
      <c r="G707" s="4" t="n">
        <v>0</v>
      </c>
      <c r="J707" s="11" t="b">
        <f aca="false">TRUE()</f>
        <v>1</v>
      </c>
      <c r="K707" s="4" t="s">
        <v>2940</v>
      </c>
      <c r="L707" s="4" t="n">
        <v>4</v>
      </c>
      <c r="M707" s="4" t="n">
        <v>4</v>
      </c>
      <c r="N707" s="4" t="n">
        <v>4</v>
      </c>
      <c r="O707" s="4" t="n">
        <v>4</v>
      </c>
      <c r="P707" s="0" t="str">
        <f aca="false">IF(E707=0,"not_reached",IF(AND(F707&gt;0,G707=0),"allowed","blocked"))</f>
        <v>allowed</v>
      </c>
      <c r="Q707" s="0" t="str">
        <f aca="false">IF(C707="success","published",IF(E707&gt;0,"blocked_at_gate","failed_before_gate"))</f>
        <v>published</v>
      </c>
      <c r="R707" s="0" t="str">
        <f aca="false">IF(C707="success","",IF(E707&gt;0,IF(I707="freshness_within_target","freshness",IF(I707="relationships_intact","relationships",IF(I707="reconciliation_residual_zero","residual",I707))),IF(H707="quality_gate","gate_infra",H707)))</f>
        <v/>
      </c>
    </row>
    <row r="708" customFormat="false" ht="15" hidden="false" customHeight="false" outlineLevel="0" collapsed="false">
      <c r="A708" s="4" t="s">
        <v>2941</v>
      </c>
      <c r="B708" s="10" t="n">
        <v>46273.3854166667</v>
      </c>
      <c r="C708" s="4" t="s">
        <v>1544</v>
      </c>
      <c r="D708" s="4" t="n">
        <v>868</v>
      </c>
      <c r="E708" s="4" t="n">
        <v>7</v>
      </c>
      <c r="F708" s="4" t="n">
        <v>6</v>
      </c>
      <c r="G708" s="4" t="n">
        <v>0</v>
      </c>
      <c r="J708" s="11" t="b">
        <f aca="false">TRUE()</f>
        <v>1</v>
      </c>
      <c r="K708" s="4" t="s">
        <v>2942</v>
      </c>
      <c r="L708" s="4" t="n">
        <v>4</v>
      </c>
      <c r="M708" s="4" t="n">
        <v>4</v>
      </c>
      <c r="N708" s="4" t="n">
        <v>4</v>
      </c>
      <c r="O708" s="4" t="n">
        <v>4</v>
      </c>
      <c r="P708" s="0" t="str">
        <f aca="false">IF(E708=0,"not_reached",IF(AND(F708&gt;0,G708=0),"allowed","blocked"))</f>
        <v>allowed</v>
      </c>
      <c r="Q708" s="0" t="str">
        <f aca="false">IF(C708="success","published",IF(E708&gt;0,"blocked_at_gate","failed_before_gate"))</f>
        <v>published</v>
      </c>
      <c r="R708" s="0" t="str">
        <f aca="false">IF(C708="success","",IF(E708&gt;0,IF(I708="freshness_within_target","freshness",IF(I708="relationships_intact","relationships",IF(I708="reconciliation_residual_zero","residual",I708))),IF(H708="quality_gate","gate_infra",H708)))</f>
        <v/>
      </c>
    </row>
    <row r="709" customFormat="false" ht="15" hidden="false" customHeight="false" outlineLevel="0" collapsed="false">
      <c r="A709" s="4" t="s">
        <v>2943</v>
      </c>
      <c r="B709" s="10" t="n">
        <v>46273.4270833333</v>
      </c>
      <c r="C709" s="4" t="s">
        <v>1544</v>
      </c>
      <c r="D709" s="4" t="n">
        <v>883</v>
      </c>
      <c r="E709" s="4" t="n">
        <v>7</v>
      </c>
      <c r="F709" s="4" t="n">
        <v>6</v>
      </c>
      <c r="G709" s="4" t="n">
        <v>0</v>
      </c>
      <c r="J709" s="11" t="b">
        <f aca="false">TRUE()</f>
        <v>1</v>
      </c>
      <c r="K709" s="4" t="s">
        <v>2944</v>
      </c>
      <c r="L709" s="4" t="n">
        <v>4</v>
      </c>
      <c r="M709" s="4" t="n">
        <v>4</v>
      </c>
      <c r="N709" s="4" t="n">
        <v>4</v>
      </c>
      <c r="O709" s="4" t="n">
        <v>4</v>
      </c>
      <c r="P709" s="0" t="str">
        <f aca="false">IF(E709=0,"not_reached",IF(AND(F709&gt;0,G709=0),"allowed","blocked"))</f>
        <v>allowed</v>
      </c>
      <c r="Q709" s="0" t="str">
        <f aca="false">IF(C709="success","published",IF(E709&gt;0,"blocked_at_gate","failed_before_gate"))</f>
        <v>published</v>
      </c>
      <c r="R709" s="0" t="str">
        <f aca="false">IF(C709="success","",IF(E709&gt;0,IF(I709="freshness_within_target","freshness",IF(I709="relationships_intact","relationships",IF(I709="reconciliation_residual_zero","residual",I709))),IF(H709="quality_gate","gate_infra",H709)))</f>
        <v/>
      </c>
    </row>
    <row r="710" customFormat="false" ht="15" hidden="false" customHeight="false" outlineLevel="0" collapsed="false">
      <c r="A710" s="4" t="s">
        <v>2945</v>
      </c>
      <c r="B710" s="10" t="n">
        <v>46273.46875</v>
      </c>
      <c r="C710" s="4" t="s">
        <v>1544</v>
      </c>
      <c r="D710" s="4" t="n">
        <v>1183</v>
      </c>
      <c r="E710" s="4" t="n">
        <v>7</v>
      </c>
      <c r="F710" s="4" t="n">
        <v>6</v>
      </c>
      <c r="G710" s="4" t="n">
        <v>0</v>
      </c>
      <c r="J710" s="11" t="b">
        <f aca="false">TRUE()</f>
        <v>1</v>
      </c>
      <c r="K710" s="4" t="s">
        <v>2946</v>
      </c>
      <c r="L710" s="4" t="n">
        <v>4</v>
      </c>
      <c r="M710" s="4" t="n">
        <v>4</v>
      </c>
      <c r="N710" s="4" t="n">
        <v>5</v>
      </c>
      <c r="O710" s="4" t="n">
        <v>4</v>
      </c>
      <c r="P710" s="0" t="str">
        <f aca="false">IF(E710=0,"not_reached",IF(AND(F710&gt;0,G710=0),"allowed","blocked"))</f>
        <v>allowed</v>
      </c>
      <c r="Q710" s="0" t="str">
        <f aca="false">IF(C710="success","published",IF(E710&gt;0,"blocked_at_gate","failed_before_gate"))</f>
        <v>published</v>
      </c>
      <c r="R710" s="0" t="str">
        <f aca="false">IF(C710="success","",IF(E710&gt;0,IF(I710="freshness_within_target","freshness",IF(I710="relationships_intact","relationships",IF(I710="reconciliation_residual_zero","residual",I710))),IF(H710="quality_gate","gate_infra",H710)))</f>
        <v/>
      </c>
    </row>
    <row r="711" customFormat="false" ht="15" hidden="false" customHeight="false" outlineLevel="0" collapsed="false">
      <c r="A711" s="4" t="s">
        <v>2947</v>
      </c>
      <c r="B711" s="10" t="n">
        <v>46273.5104166667</v>
      </c>
      <c r="C711" s="4" t="s">
        <v>1544</v>
      </c>
      <c r="D711" s="4" t="n">
        <v>838</v>
      </c>
      <c r="E711" s="4" t="n">
        <v>7</v>
      </c>
      <c r="F711" s="4" t="n">
        <v>6</v>
      </c>
      <c r="G711" s="4" t="n">
        <v>0</v>
      </c>
      <c r="J711" s="11" t="b">
        <f aca="false">TRUE()</f>
        <v>1</v>
      </c>
      <c r="K711" s="4" t="s">
        <v>2948</v>
      </c>
      <c r="L711" s="4" t="n">
        <v>4</v>
      </c>
      <c r="M711" s="4" t="n">
        <v>4</v>
      </c>
      <c r="N711" s="4" t="n">
        <v>4</v>
      </c>
      <c r="O711" s="4" t="n">
        <v>4</v>
      </c>
      <c r="P711" s="0" t="str">
        <f aca="false">IF(E711=0,"not_reached",IF(AND(F711&gt;0,G711=0),"allowed","blocked"))</f>
        <v>allowed</v>
      </c>
      <c r="Q711" s="0" t="str">
        <f aca="false">IF(C711="success","published",IF(E711&gt;0,"blocked_at_gate","failed_before_gate"))</f>
        <v>published</v>
      </c>
      <c r="R711" s="0" t="str">
        <f aca="false">IF(C711="success","",IF(E711&gt;0,IF(I711="freshness_within_target","freshness",IF(I711="relationships_intact","relationships",IF(I711="reconciliation_residual_zero","residual",I711))),IF(H711="quality_gate","gate_infra",H711)))</f>
        <v/>
      </c>
    </row>
    <row r="712" customFormat="false" ht="15" hidden="false" customHeight="false" outlineLevel="0" collapsed="false">
      <c r="A712" s="4" t="s">
        <v>2949</v>
      </c>
      <c r="B712" s="10" t="n">
        <v>46273.5520833333</v>
      </c>
      <c r="C712" s="4" t="s">
        <v>1544</v>
      </c>
      <c r="D712" s="4" t="n">
        <v>958</v>
      </c>
      <c r="E712" s="4" t="n">
        <v>7</v>
      </c>
      <c r="F712" s="4" t="n">
        <v>6</v>
      </c>
      <c r="G712" s="4" t="n">
        <v>0</v>
      </c>
      <c r="J712" s="11" t="b">
        <f aca="false">TRUE()</f>
        <v>1</v>
      </c>
      <c r="K712" s="4" t="s">
        <v>2950</v>
      </c>
      <c r="L712" s="4" t="n">
        <v>4</v>
      </c>
      <c r="M712" s="4" t="n">
        <v>4</v>
      </c>
      <c r="N712" s="4" t="n">
        <v>4</v>
      </c>
      <c r="O712" s="4" t="n">
        <v>4</v>
      </c>
      <c r="P712" s="0" t="str">
        <f aca="false">IF(E712=0,"not_reached",IF(AND(F712&gt;0,G712=0),"allowed","blocked"))</f>
        <v>allowed</v>
      </c>
      <c r="Q712" s="0" t="str">
        <f aca="false">IF(C712="success","published",IF(E712&gt;0,"blocked_at_gate","failed_before_gate"))</f>
        <v>published</v>
      </c>
      <c r="R712" s="0" t="str">
        <f aca="false">IF(C712="success","",IF(E712&gt;0,IF(I712="freshness_within_target","freshness",IF(I712="relationships_intact","relationships",IF(I712="reconciliation_residual_zero","residual",I712))),IF(H712="quality_gate","gate_infra",H712)))</f>
        <v/>
      </c>
    </row>
    <row r="713" customFormat="false" ht="15" hidden="false" customHeight="false" outlineLevel="0" collapsed="false">
      <c r="A713" s="4" t="s">
        <v>2951</v>
      </c>
      <c r="B713" s="10" t="n">
        <v>46273.59375</v>
      </c>
      <c r="C713" s="4" t="s">
        <v>1544</v>
      </c>
      <c r="D713" s="4" t="n">
        <v>735</v>
      </c>
      <c r="E713" s="4" t="n">
        <v>7</v>
      </c>
      <c r="F713" s="4" t="n">
        <v>6</v>
      </c>
      <c r="G713" s="4" t="n">
        <v>0</v>
      </c>
      <c r="J713" s="11" t="b">
        <f aca="false">TRUE()</f>
        <v>1</v>
      </c>
      <c r="K713" s="4" t="s">
        <v>2952</v>
      </c>
      <c r="L713" s="4" t="n">
        <v>4</v>
      </c>
      <c r="M713" s="4" t="n">
        <v>4</v>
      </c>
      <c r="N713" s="4" t="n">
        <v>4</v>
      </c>
      <c r="O713" s="4" t="n">
        <v>4</v>
      </c>
      <c r="P713" s="0" t="str">
        <f aca="false">IF(E713=0,"not_reached",IF(AND(F713&gt;0,G713=0),"allowed","blocked"))</f>
        <v>allowed</v>
      </c>
      <c r="Q713" s="0" t="str">
        <f aca="false">IF(C713="success","published",IF(E713&gt;0,"blocked_at_gate","failed_before_gate"))</f>
        <v>published</v>
      </c>
      <c r="R713" s="0" t="str">
        <f aca="false">IF(C713="success","",IF(E713&gt;0,IF(I713="freshness_within_target","freshness",IF(I713="relationships_intact","relationships",IF(I713="reconciliation_residual_zero","residual",I713))),IF(H713="quality_gate","gate_infra",H713)))</f>
        <v/>
      </c>
    </row>
    <row r="714" customFormat="false" ht="15" hidden="false" customHeight="false" outlineLevel="0" collapsed="false">
      <c r="A714" s="4" t="s">
        <v>2953</v>
      </c>
      <c r="B714" s="10" t="n">
        <v>46273.6354166667</v>
      </c>
      <c r="C714" s="4" t="s">
        <v>1544</v>
      </c>
      <c r="D714" s="4" t="n">
        <v>907</v>
      </c>
      <c r="E714" s="4" t="n">
        <v>7</v>
      </c>
      <c r="F714" s="4" t="n">
        <v>6</v>
      </c>
      <c r="G714" s="4" t="n">
        <v>0</v>
      </c>
      <c r="J714" s="11" t="b">
        <f aca="false">TRUE()</f>
        <v>1</v>
      </c>
      <c r="K714" s="4" t="s">
        <v>2954</v>
      </c>
      <c r="L714" s="4" t="n">
        <v>4</v>
      </c>
      <c r="M714" s="4" t="n">
        <v>4</v>
      </c>
      <c r="N714" s="4" t="n">
        <v>5</v>
      </c>
      <c r="O714" s="4" t="n">
        <v>4</v>
      </c>
      <c r="P714" s="0" t="str">
        <f aca="false">IF(E714=0,"not_reached",IF(AND(F714&gt;0,G714=0),"allowed","blocked"))</f>
        <v>allowed</v>
      </c>
      <c r="Q714" s="0" t="str">
        <f aca="false">IF(C714="success","published",IF(E714&gt;0,"blocked_at_gate","failed_before_gate"))</f>
        <v>published</v>
      </c>
      <c r="R714" s="0" t="str">
        <f aca="false">IF(C714="success","",IF(E714&gt;0,IF(I714="freshness_within_target","freshness",IF(I714="relationships_intact","relationships",IF(I714="reconciliation_residual_zero","residual",I714))),IF(H714="quality_gate","gate_infra",H714)))</f>
        <v/>
      </c>
    </row>
    <row r="715" customFormat="false" ht="15" hidden="false" customHeight="false" outlineLevel="0" collapsed="false">
      <c r="A715" s="4" t="s">
        <v>2955</v>
      </c>
      <c r="B715" s="10" t="n">
        <v>46273.6770833333</v>
      </c>
      <c r="C715" s="4" t="s">
        <v>1544</v>
      </c>
      <c r="D715" s="4" t="n">
        <v>738</v>
      </c>
      <c r="E715" s="4" t="n">
        <v>7</v>
      </c>
      <c r="F715" s="4" t="n">
        <v>6</v>
      </c>
      <c r="G715" s="4" t="n">
        <v>0</v>
      </c>
      <c r="J715" s="11" t="b">
        <f aca="false">TRUE()</f>
        <v>1</v>
      </c>
      <c r="K715" s="4" t="s">
        <v>2956</v>
      </c>
      <c r="L715" s="4" t="n">
        <v>4</v>
      </c>
      <c r="M715" s="4" t="n">
        <v>4</v>
      </c>
      <c r="N715" s="4" t="n">
        <v>4</v>
      </c>
      <c r="O715" s="4" t="n">
        <v>4</v>
      </c>
      <c r="P715" s="0" t="str">
        <f aca="false">IF(E715=0,"not_reached",IF(AND(F715&gt;0,G715=0),"allowed","blocked"))</f>
        <v>allowed</v>
      </c>
      <c r="Q715" s="0" t="str">
        <f aca="false">IF(C715="success","published",IF(E715&gt;0,"blocked_at_gate","failed_before_gate"))</f>
        <v>published</v>
      </c>
      <c r="R715" s="0" t="str">
        <f aca="false">IF(C715="success","",IF(E715&gt;0,IF(I715="freshness_within_target","freshness",IF(I715="relationships_intact","relationships",IF(I715="reconciliation_residual_zero","residual",I715))),IF(H715="quality_gate","gate_infra",H715)))</f>
        <v/>
      </c>
    </row>
    <row r="716" customFormat="false" ht="15" hidden="false" customHeight="false" outlineLevel="0" collapsed="false">
      <c r="A716" s="4" t="s">
        <v>2957</v>
      </c>
      <c r="B716" s="10" t="n">
        <v>46273.71875</v>
      </c>
      <c r="C716" s="4" t="s">
        <v>1544</v>
      </c>
      <c r="D716" s="4" t="n">
        <v>855</v>
      </c>
      <c r="E716" s="4" t="n">
        <v>7</v>
      </c>
      <c r="F716" s="4" t="n">
        <v>6</v>
      </c>
      <c r="G716" s="4" t="n">
        <v>0</v>
      </c>
      <c r="J716" s="11" t="b">
        <f aca="false">TRUE()</f>
        <v>1</v>
      </c>
      <c r="K716" s="4" t="s">
        <v>2958</v>
      </c>
      <c r="L716" s="4" t="n">
        <v>4</v>
      </c>
      <c r="M716" s="4" t="n">
        <v>4</v>
      </c>
      <c r="N716" s="4" t="n">
        <v>4</v>
      </c>
      <c r="O716" s="4" t="n">
        <v>4</v>
      </c>
      <c r="P716" s="0" t="str">
        <f aca="false">IF(E716=0,"not_reached",IF(AND(F716&gt;0,G716=0),"allowed","blocked"))</f>
        <v>allowed</v>
      </c>
      <c r="Q716" s="0" t="str">
        <f aca="false">IF(C716="success","published",IF(E716&gt;0,"blocked_at_gate","failed_before_gate"))</f>
        <v>published</v>
      </c>
      <c r="R716" s="0" t="str">
        <f aca="false">IF(C716="success","",IF(E716&gt;0,IF(I716="freshness_within_target","freshness",IF(I716="relationships_intact","relationships",IF(I716="reconciliation_residual_zero","residual",I716))),IF(H716="quality_gate","gate_infra",H716)))</f>
        <v/>
      </c>
    </row>
    <row r="717" customFormat="false" ht="15" hidden="false" customHeight="false" outlineLevel="0" collapsed="false">
      <c r="A717" s="4" t="s">
        <v>2959</v>
      </c>
      <c r="B717" s="10" t="n">
        <v>46273.7604166667</v>
      </c>
      <c r="C717" s="4" t="s">
        <v>1544</v>
      </c>
      <c r="D717" s="4" t="n">
        <v>732</v>
      </c>
      <c r="E717" s="4" t="n">
        <v>7</v>
      </c>
      <c r="F717" s="4" t="n">
        <v>6</v>
      </c>
      <c r="G717" s="4" t="n">
        <v>0</v>
      </c>
      <c r="J717" s="11" t="b">
        <f aca="false">TRUE()</f>
        <v>1</v>
      </c>
      <c r="K717" s="4" t="s">
        <v>2960</v>
      </c>
      <c r="L717" s="4" t="n">
        <v>4</v>
      </c>
      <c r="M717" s="4" t="n">
        <v>4</v>
      </c>
      <c r="N717" s="4" t="n">
        <v>4</v>
      </c>
      <c r="O717" s="4" t="n">
        <v>4</v>
      </c>
      <c r="P717" s="0" t="str">
        <f aca="false">IF(E717=0,"not_reached",IF(AND(F717&gt;0,G717=0),"allowed","blocked"))</f>
        <v>allowed</v>
      </c>
      <c r="Q717" s="0" t="str">
        <f aca="false">IF(C717="success","published",IF(E717&gt;0,"blocked_at_gate","failed_before_gate"))</f>
        <v>published</v>
      </c>
      <c r="R717" s="0" t="str">
        <f aca="false">IF(C717="success","",IF(E717&gt;0,IF(I717="freshness_within_target","freshness",IF(I717="relationships_intact","relationships",IF(I717="reconciliation_residual_zero","residual",I717))),IF(H717="quality_gate","gate_infra",H717)))</f>
        <v/>
      </c>
    </row>
    <row r="718" customFormat="false" ht="15" hidden="false" customHeight="false" outlineLevel="0" collapsed="false">
      <c r="A718" s="4" t="s">
        <v>2961</v>
      </c>
      <c r="B718" s="10" t="n">
        <v>46273.8020833333</v>
      </c>
      <c r="C718" s="4" t="s">
        <v>1544</v>
      </c>
      <c r="D718" s="4" t="n">
        <v>801</v>
      </c>
      <c r="E718" s="4" t="n">
        <v>7</v>
      </c>
      <c r="F718" s="4" t="n">
        <v>6</v>
      </c>
      <c r="G718" s="4" t="n">
        <v>0</v>
      </c>
      <c r="J718" s="11" t="b">
        <f aca="false">TRUE()</f>
        <v>1</v>
      </c>
      <c r="K718" s="4" t="s">
        <v>2962</v>
      </c>
      <c r="L718" s="4" t="n">
        <v>4</v>
      </c>
      <c r="M718" s="4" t="n">
        <v>4</v>
      </c>
      <c r="N718" s="4" t="n">
        <v>4</v>
      </c>
      <c r="O718" s="4" t="n">
        <v>4</v>
      </c>
      <c r="P718" s="0" t="str">
        <f aca="false">IF(E718=0,"not_reached",IF(AND(F718&gt;0,G718=0),"allowed","blocked"))</f>
        <v>allowed</v>
      </c>
      <c r="Q718" s="0" t="str">
        <f aca="false">IF(C718="success","published",IF(E718&gt;0,"blocked_at_gate","failed_before_gate"))</f>
        <v>published</v>
      </c>
      <c r="R718" s="0" t="str">
        <f aca="false">IF(C718="success","",IF(E718&gt;0,IF(I718="freshness_within_target","freshness",IF(I718="relationships_intact","relationships",IF(I718="reconciliation_residual_zero","residual",I718))),IF(H718="quality_gate","gate_infra",H718)))</f>
        <v/>
      </c>
    </row>
    <row r="719" customFormat="false" ht="15" hidden="false" customHeight="false" outlineLevel="0" collapsed="false">
      <c r="A719" s="4" t="s">
        <v>2963</v>
      </c>
      <c r="B719" s="10" t="n">
        <v>46273.84375</v>
      </c>
      <c r="C719" s="4" t="s">
        <v>1544</v>
      </c>
      <c r="D719" s="4" t="n">
        <v>711</v>
      </c>
      <c r="E719" s="4" t="n">
        <v>7</v>
      </c>
      <c r="F719" s="4" t="n">
        <v>6</v>
      </c>
      <c r="G719" s="4" t="n">
        <v>0</v>
      </c>
      <c r="J719" s="11" t="b">
        <f aca="false">TRUE()</f>
        <v>1</v>
      </c>
      <c r="K719" s="4" t="s">
        <v>2964</v>
      </c>
      <c r="L719" s="4" t="n">
        <v>4</v>
      </c>
      <c r="M719" s="4" t="n">
        <v>4</v>
      </c>
      <c r="N719" s="4" t="n">
        <v>4</v>
      </c>
      <c r="O719" s="4" t="n">
        <v>4</v>
      </c>
      <c r="P719" s="0" t="str">
        <f aca="false">IF(E719=0,"not_reached",IF(AND(F719&gt;0,G719=0),"allowed","blocked"))</f>
        <v>allowed</v>
      </c>
      <c r="Q719" s="0" t="str">
        <f aca="false">IF(C719="success","published",IF(E719&gt;0,"blocked_at_gate","failed_before_gate"))</f>
        <v>published</v>
      </c>
      <c r="R719" s="0" t="str">
        <f aca="false">IF(C719="success","",IF(E719&gt;0,IF(I719="freshness_within_target","freshness",IF(I719="relationships_intact","relationships",IF(I719="reconciliation_residual_zero","residual",I719))),IF(H719="quality_gate","gate_infra",H719)))</f>
        <v/>
      </c>
    </row>
    <row r="720" customFormat="false" ht="15" hidden="false" customHeight="false" outlineLevel="0" collapsed="false">
      <c r="A720" s="4" t="s">
        <v>2965</v>
      </c>
      <c r="B720" s="10" t="n">
        <v>46273.8854166667</v>
      </c>
      <c r="C720" s="4" t="s">
        <v>1544</v>
      </c>
      <c r="D720" s="4" t="n">
        <v>857</v>
      </c>
      <c r="E720" s="4" t="n">
        <v>7</v>
      </c>
      <c r="F720" s="4" t="n">
        <v>6</v>
      </c>
      <c r="G720" s="4" t="n">
        <v>0</v>
      </c>
      <c r="J720" s="11" t="b">
        <f aca="false">TRUE()</f>
        <v>1</v>
      </c>
      <c r="K720" s="4" t="s">
        <v>2966</v>
      </c>
      <c r="L720" s="4" t="n">
        <v>4</v>
      </c>
      <c r="M720" s="4" t="n">
        <v>4</v>
      </c>
      <c r="N720" s="4" t="n">
        <v>4</v>
      </c>
      <c r="O720" s="4" t="n">
        <v>4</v>
      </c>
      <c r="P720" s="0" t="str">
        <f aca="false">IF(E720=0,"not_reached",IF(AND(F720&gt;0,G720=0),"allowed","blocked"))</f>
        <v>allowed</v>
      </c>
      <c r="Q720" s="0" t="str">
        <f aca="false">IF(C720="success","published",IF(E720&gt;0,"blocked_at_gate","failed_before_gate"))</f>
        <v>published</v>
      </c>
      <c r="R720" s="0" t="str">
        <f aca="false">IF(C720="success","",IF(E720&gt;0,IF(I720="freshness_within_target","freshness",IF(I720="relationships_intact","relationships",IF(I720="reconciliation_residual_zero","residual",I720))),IF(H720="quality_gate","gate_infra",H720)))</f>
        <v/>
      </c>
    </row>
    <row r="721" customFormat="false" ht="15" hidden="false" customHeight="false" outlineLevel="0" collapsed="false">
      <c r="A721" s="4" t="s">
        <v>2967</v>
      </c>
      <c r="B721" s="10" t="n">
        <v>46273.9270833333</v>
      </c>
      <c r="C721" s="4" t="s">
        <v>1544</v>
      </c>
      <c r="D721" s="4" t="n">
        <v>692</v>
      </c>
      <c r="E721" s="4" t="n">
        <v>7</v>
      </c>
      <c r="F721" s="4" t="n">
        <v>6</v>
      </c>
      <c r="G721" s="4" t="n">
        <v>0</v>
      </c>
      <c r="J721" s="11" t="b">
        <f aca="false">TRUE()</f>
        <v>1</v>
      </c>
      <c r="K721" s="4" t="s">
        <v>2968</v>
      </c>
      <c r="L721" s="4" t="n">
        <v>4</v>
      </c>
      <c r="M721" s="4" t="n">
        <v>4</v>
      </c>
      <c r="N721" s="4" t="n">
        <v>4</v>
      </c>
      <c r="O721" s="4" t="n">
        <v>4</v>
      </c>
      <c r="P721" s="0" t="str">
        <f aca="false">IF(E721=0,"not_reached",IF(AND(F721&gt;0,G721=0),"allowed","blocked"))</f>
        <v>allowed</v>
      </c>
      <c r="Q721" s="0" t="str">
        <f aca="false">IF(C721="success","published",IF(E721&gt;0,"blocked_at_gate","failed_before_gate"))</f>
        <v>published</v>
      </c>
      <c r="R721" s="0" t="str">
        <f aca="false">IF(C721="success","",IF(E721&gt;0,IF(I721="freshness_within_target","freshness",IF(I721="relationships_intact","relationships",IF(I721="reconciliation_residual_zero","residual",I721))),IF(H721="quality_gate","gate_infra",H721)))</f>
        <v/>
      </c>
    </row>
    <row r="722" customFormat="false" ht="15" hidden="false" customHeight="false" outlineLevel="0" collapsed="false">
      <c r="A722" s="4" t="s">
        <v>2969</v>
      </c>
      <c r="B722" s="10" t="n">
        <v>46273.96875</v>
      </c>
      <c r="C722" s="4" t="s">
        <v>1544</v>
      </c>
      <c r="D722" s="4" t="n">
        <v>723</v>
      </c>
      <c r="E722" s="4" t="n">
        <v>7</v>
      </c>
      <c r="F722" s="4" t="n">
        <v>6</v>
      </c>
      <c r="G722" s="4" t="n">
        <v>0</v>
      </c>
      <c r="J722" s="11" t="b">
        <f aca="false">TRUE()</f>
        <v>1</v>
      </c>
      <c r="K722" s="4" t="s">
        <v>2970</v>
      </c>
      <c r="L722" s="4" t="n">
        <v>4</v>
      </c>
      <c r="M722" s="4" t="n">
        <v>4</v>
      </c>
      <c r="N722" s="4" t="n">
        <v>4</v>
      </c>
      <c r="O722" s="4" t="n">
        <v>4</v>
      </c>
      <c r="P722" s="0" t="str">
        <f aca="false">IF(E722=0,"not_reached",IF(AND(F722&gt;0,G722=0),"allowed","blocked"))</f>
        <v>allowed</v>
      </c>
      <c r="Q722" s="0" t="str">
        <f aca="false">IF(C722="success","published",IF(E722&gt;0,"blocked_at_gate","failed_before_gate"))</f>
        <v>published</v>
      </c>
      <c r="R722" s="0" t="str">
        <f aca="false">IF(C722="success","",IF(E722&gt;0,IF(I722="freshness_within_target","freshness",IF(I722="relationships_intact","relationships",IF(I722="reconciliation_residual_zero","residual",I722))),IF(H722="quality_gate","gate_infra",H722)))</f>
        <v/>
      </c>
    </row>
    <row r="723" customFormat="false" ht="15" hidden="false" customHeight="false" outlineLevel="0" collapsed="false">
      <c r="A723" s="4" t="s">
        <v>2971</v>
      </c>
      <c r="B723" s="10" t="n">
        <v>46274.0104166667</v>
      </c>
      <c r="C723" s="4" t="s">
        <v>1544</v>
      </c>
      <c r="D723" s="4" t="n">
        <v>1178</v>
      </c>
      <c r="E723" s="4" t="n">
        <v>7</v>
      </c>
      <c r="F723" s="4" t="n">
        <v>6</v>
      </c>
      <c r="G723" s="4" t="n">
        <v>0</v>
      </c>
      <c r="J723" s="11" t="b">
        <f aca="false">TRUE()</f>
        <v>1</v>
      </c>
      <c r="K723" s="4" t="s">
        <v>2972</v>
      </c>
      <c r="L723" s="4" t="n">
        <v>4</v>
      </c>
      <c r="M723" s="4" t="n">
        <v>4</v>
      </c>
      <c r="N723" s="4" t="n">
        <v>5</v>
      </c>
      <c r="O723" s="4" t="n">
        <v>4</v>
      </c>
      <c r="P723" s="0" t="str">
        <f aca="false">IF(E723=0,"not_reached",IF(AND(F723&gt;0,G723=0),"allowed","blocked"))</f>
        <v>allowed</v>
      </c>
      <c r="Q723" s="0" t="str">
        <f aca="false">IF(C723="success","published",IF(E723&gt;0,"blocked_at_gate","failed_before_gate"))</f>
        <v>published</v>
      </c>
      <c r="R723" s="0" t="str">
        <f aca="false">IF(C723="success","",IF(E723&gt;0,IF(I723="freshness_within_target","freshness",IF(I723="relationships_intact","relationships",IF(I723="reconciliation_residual_zero","residual",I723))),IF(H723="quality_gate","gate_infra",H723)))</f>
        <v/>
      </c>
    </row>
    <row r="724" customFormat="false" ht="15" hidden="false" customHeight="false" outlineLevel="0" collapsed="false">
      <c r="A724" s="4" t="s">
        <v>2973</v>
      </c>
      <c r="B724" s="10" t="n">
        <v>46274.0520833333</v>
      </c>
      <c r="C724" s="4" t="s">
        <v>1544</v>
      </c>
      <c r="D724" s="4" t="n">
        <v>702</v>
      </c>
      <c r="E724" s="4" t="n">
        <v>7</v>
      </c>
      <c r="F724" s="4" t="n">
        <v>6</v>
      </c>
      <c r="G724" s="4" t="n">
        <v>0</v>
      </c>
      <c r="J724" s="11" t="b">
        <f aca="false">TRUE()</f>
        <v>1</v>
      </c>
      <c r="K724" s="4" t="s">
        <v>2974</v>
      </c>
      <c r="L724" s="4" t="n">
        <v>4</v>
      </c>
      <c r="M724" s="4" t="n">
        <v>4</v>
      </c>
      <c r="N724" s="4" t="n">
        <v>4</v>
      </c>
      <c r="O724" s="4" t="n">
        <v>4</v>
      </c>
      <c r="P724" s="0" t="str">
        <f aca="false">IF(E724=0,"not_reached",IF(AND(F724&gt;0,G724=0),"allowed","blocked"))</f>
        <v>allowed</v>
      </c>
      <c r="Q724" s="0" t="str">
        <f aca="false">IF(C724="success","published",IF(E724&gt;0,"blocked_at_gate","failed_before_gate"))</f>
        <v>published</v>
      </c>
      <c r="R724" s="0" t="str">
        <f aca="false">IF(C724="success","",IF(E724&gt;0,IF(I724="freshness_within_target","freshness",IF(I724="relationships_intact","relationships",IF(I724="reconciliation_residual_zero","residual",I724))),IF(H724="quality_gate","gate_infra",H724)))</f>
        <v/>
      </c>
    </row>
    <row r="725" customFormat="false" ht="15" hidden="false" customHeight="false" outlineLevel="0" collapsed="false">
      <c r="A725" s="4" t="s">
        <v>2975</v>
      </c>
      <c r="B725" s="10" t="n">
        <v>46274.09375</v>
      </c>
      <c r="C725" s="4" t="s">
        <v>1544</v>
      </c>
      <c r="D725" s="4" t="n">
        <v>687</v>
      </c>
      <c r="E725" s="4" t="n">
        <v>7</v>
      </c>
      <c r="F725" s="4" t="n">
        <v>6</v>
      </c>
      <c r="G725" s="4" t="n">
        <v>0</v>
      </c>
      <c r="J725" s="11" t="b">
        <f aca="false">TRUE()</f>
        <v>1</v>
      </c>
      <c r="K725" s="4" t="s">
        <v>2976</v>
      </c>
      <c r="L725" s="4" t="n">
        <v>4</v>
      </c>
      <c r="M725" s="4" t="n">
        <v>4</v>
      </c>
      <c r="N725" s="4" t="n">
        <v>4</v>
      </c>
      <c r="O725" s="4" t="n">
        <v>4</v>
      </c>
      <c r="P725" s="0" t="str">
        <f aca="false">IF(E725=0,"not_reached",IF(AND(F725&gt;0,G725=0),"allowed","blocked"))</f>
        <v>allowed</v>
      </c>
      <c r="Q725" s="0" t="str">
        <f aca="false">IF(C725="success","published",IF(E725&gt;0,"blocked_at_gate","failed_before_gate"))</f>
        <v>published</v>
      </c>
      <c r="R725" s="0" t="str">
        <f aca="false">IF(C725="success","",IF(E725&gt;0,IF(I725="freshness_within_target","freshness",IF(I725="relationships_intact","relationships",IF(I725="reconciliation_residual_zero","residual",I725))),IF(H725="quality_gate","gate_infra",H725)))</f>
        <v/>
      </c>
    </row>
    <row r="726" customFormat="false" ht="15" hidden="false" customHeight="false" outlineLevel="0" collapsed="false">
      <c r="A726" s="4" t="s">
        <v>2977</v>
      </c>
      <c r="B726" s="10" t="n">
        <v>46274.1354166667</v>
      </c>
      <c r="C726" s="4" t="s">
        <v>1544</v>
      </c>
      <c r="D726" s="4" t="n">
        <v>903</v>
      </c>
      <c r="E726" s="4" t="n">
        <v>7</v>
      </c>
      <c r="F726" s="4" t="n">
        <v>6</v>
      </c>
      <c r="G726" s="4" t="n">
        <v>0</v>
      </c>
      <c r="J726" s="11" t="b">
        <f aca="false">TRUE()</f>
        <v>1</v>
      </c>
      <c r="K726" s="4" t="s">
        <v>2978</v>
      </c>
      <c r="L726" s="4" t="n">
        <v>4</v>
      </c>
      <c r="M726" s="4" t="n">
        <v>4</v>
      </c>
      <c r="N726" s="4" t="n">
        <v>4</v>
      </c>
      <c r="O726" s="4" t="n">
        <v>4</v>
      </c>
      <c r="P726" s="0" t="str">
        <f aca="false">IF(E726=0,"not_reached",IF(AND(F726&gt;0,G726=0),"allowed","blocked"))</f>
        <v>allowed</v>
      </c>
      <c r="Q726" s="0" t="str">
        <f aca="false">IF(C726="success","published",IF(E726&gt;0,"blocked_at_gate","failed_before_gate"))</f>
        <v>published</v>
      </c>
      <c r="R726" s="0" t="str">
        <f aca="false">IF(C726="success","",IF(E726&gt;0,IF(I726="freshness_within_target","freshness",IF(I726="relationships_intact","relationships",IF(I726="reconciliation_residual_zero","residual",I726))),IF(H726="quality_gate","gate_infra",H726)))</f>
        <v/>
      </c>
    </row>
    <row r="727" customFormat="false" ht="15" hidden="false" customHeight="false" outlineLevel="0" collapsed="false">
      <c r="A727" s="4" t="s">
        <v>2979</v>
      </c>
      <c r="B727" s="10" t="n">
        <v>46274.1770833333</v>
      </c>
      <c r="C727" s="4" t="s">
        <v>1544</v>
      </c>
      <c r="D727" s="4" t="n">
        <v>889</v>
      </c>
      <c r="E727" s="4" t="n">
        <v>7</v>
      </c>
      <c r="F727" s="4" t="n">
        <v>6</v>
      </c>
      <c r="G727" s="4" t="n">
        <v>0</v>
      </c>
      <c r="J727" s="11" t="b">
        <f aca="false">TRUE()</f>
        <v>1</v>
      </c>
      <c r="K727" s="4" t="s">
        <v>2980</v>
      </c>
      <c r="L727" s="4" t="n">
        <v>4</v>
      </c>
      <c r="M727" s="4" t="n">
        <v>4</v>
      </c>
      <c r="N727" s="4" t="n">
        <v>4</v>
      </c>
      <c r="O727" s="4" t="n">
        <v>4</v>
      </c>
      <c r="P727" s="0" t="str">
        <f aca="false">IF(E727=0,"not_reached",IF(AND(F727&gt;0,G727=0),"allowed","blocked"))</f>
        <v>allowed</v>
      </c>
      <c r="Q727" s="0" t="str">
        <f aca="false">IF(C727="success","published",IF(E727&gt;0,"blocked_at_gate","failed_before_gate"))</f>
        <v>published</v>
      </c>
      <c r="R727" s="0" t="str">
        <f aca="false">IF(C727="success","",IF(E727&gt;0,IF(I727="freshness_within_target","freshness",IF(I727="relationships_intact","relationships",IF(I727="reconciliation_residual_zero","residual",I727))),IF(H727="quality_gate","gate_infra",H727)))</f>
        <v/>
      </c>
    </row>
    <row r="728" customFormat="false" ht="15" hidden="false" customHeight="false" outlineLevel="0" collapsed="false">
      <c r="A728" s="4" t="s">
        <v>2981</v>
      </c>
      <c r="B728" s="10" t="n">
        <v>46274.21875</v>
      </c>
      <c r="C728" s="4" t="s">
        <v>1544</v>
      </c>
      <c r="D728" s="4" t="n">
        <v>895</v>
      </c>
      <c r="E728" s="4" t="n">
        <v>7</v>
      </c>
      <c r="F728" s="4" t="n">
        <v>6</v>
      </c>
      <c r="G728" s="4" t="n">
        <v>0</v>
      </c>
      <c r="J728" s="11" t="b">
        <f aca="false">TRUE()</f>
        <v>1</v>
      </c>
      <c r="K728" s="4" t="s">
        <v>2982</v>
      </c>
      <c r="L728" s="4" t="n">
        <v>4</v>
      </c>
      <c r="M728" s="4" t="n">
        <v>4</v>
      </c>
      <c r="N728" s="4" t="n">
        <v>4</v>
      </c>
      <c r="O728" s="4" t="n">
        <v>4</v>
      </c>
      <c r="P728" s="0" t="str">
        <f aca="false">IF(E728=0,"not_reached",IF(AND(F728&gt;0,G728=0),"allowed","blocked"))</f>
        <v>allowed</v>
      </c>
      <c r="Q728" s="0" t="str">
        <f aca="false">IF(C728="success","published",IF(E728&gt;0,"blocked_at_gate","failed_before_gate"))</f>
        <v>published</v>
      </c>
      <c r="R728" s="0" t="str">
        <f aca="false">IF(C728="success","",IF(E728&gt;0,IF(I728="freshness_within_target","freshness",IF(I728="relationships_intact","relationships",IF(I728="reconciliation_residual_zero","residual",I728))),IF(H728="quality_gate","gate_infra",H728)))</f>
        <v/>
      </c>
    </row>
    <row r="729" customFormat="false" ht="15" hidden="false" customHeight="false" outlineLevel="0" collapsed="false">
      <c r="A729" s="4" t="s">
        <v>2983</v>
      </c>
      <c r="B729" s="10" t="n">
        <v>46274.2604166667</v>
      </c>
      <c r="C729" s="4" t="s">
        <v>1544</v>
      </c>
      <c r="D729" s="4" t="n">
        <v>718</v>
      </c>
      <c r="E729" s="4" t="n">
        <v>7</v>
      </c>
      <c r="F729" s="4" t="n">
        <v>6</v>
      </c>
      <c r="G729" s="4" t="n">
        <v>0</v>
      </c>
      <c r="J729" s="11" t="b">
        <f aca="false">TRUE()</f>
        <v>1</v>
      </c>
      <c r="K729" s="4" t="s">
        <v>2984</v>
      </c>
      <c r="L729" s="4" t="n">
        <v>4</v>
      </c>
      <c r="M729" s="4" t="n">
        <v>4</v>
      </c>
      <c r="N729" s="4" t="n">
        <v>4</v>
      </c>
      <c r="O729" s="4" t="n">
        <v>4</v>
      </c>
      <c r="P729" s="0" t="str">
        <f aca="false">IF(E729=0,"not_reached",IF(AND(F729&gt;0,G729=0),"allowed","blocked"))</f>
        <v>allowed</v>
      </c>
      <c r="Q729" s="0" t="str">
        <f aca="false">IF(C729="success","published",IF(E729&gt;0,"blocked_at_gate","failed_before_gate"))</f>
        <v>published</v>
      </c>
      <c r="R729" s="0" t="str">
        <f aca="false">IF(C729="success","",IF(E729&gt;0,IF(I729="freshness_within_target","freshness",IF(I729="relationships_intact","relationships",IF(I729="reconciliation_residual_zero","residual",I729))),IF(H729="quality_gate","gate_infra",H729)))</f>
        <v/>
      </c>
    </row>
    <row r="730" customFormat="false" ht="15" hidden="false" customHeight="false" outlineLevel="0" collapsed="false">
      <c r="A730" s="4" t="s">
        <v>2985</v>
      </c>
      <c r="B730" s="10" t="n">
        <v>46274.3020833333</v>
      </c>
      <c r="C730" s="4" t="s">
        <v>1544</v>
      </c>
      <c r="D730" s="4" t="n">
        <v>870</v>
      </c>
      <c r="E730" s="4" t="n">
        <v>7</v>
      </c>
      <c r="F730" s="4" t="n">
        <v>6</v>
      </c>
      <c r="G730" s="4" t="n">
        <v>0</v>
      </c>
      <c r="J730" s="11" t="b">
        <f aca="false">TRUE()</f>
        <v>1</v>
      </c>
      <c r="K730" s="4" t="s">
        <v>2986</v>
      </c>
      <c r="L730" s="4" t="n">
        <v>4</v>
      </c>
      <c r="M730" s="4" t="n">
        <v>4</v>
      </c>
      <c r="N730" s="4" t="n">
        <v>4</v>
      </c>
      <c r="O730" s="4" t="n">
        <v>4</v>
      </c>
      <c r="P730" s="0" t="str">
        <f aca="false">IF(E730=0,"not_reached",IF(AND(F730&gt;0,G730=0),"allowed","blocked"))</f>
        <v>allowed</v>
      </c>
      <c r="Q730" s="0" t="str">
        <f aca="false">IF(C730="success","published",IF(E730&gt;0,"blocked_at_gate","failed_before_gate"))</f>
        <v>published</v>
      </c>
      <c r="R730" s="0" t="str">
        <f aca="false">IF(C730="success","",IF(E730&gt;0,IF(I730="freshness_within_target","freshness",IF(I730="relationships_intact","relationships",IF(I730="reconciliation_residual_zero","residual",I730))),IF(H730="quality_gate","gate_infra",H730)))</f>
        <v/>
      </c>
    </row>
    <row r="731" customFormat="false" ht="15" hidden="false" customHeight="false" outlineLevel="0" collapsed="false">
      <c r="A731" s="4" t="s">
        <v>2987</v>
      </c>
      <c r="B731" s="10" t="n">
        <v>46274.34375</v>
      </c>
      <c r="C731" s="4" t="s">
        <v>1544</v>
      </c>
      <c r="D731" s="4" t="n">
        <v>746</v>
      </c>
      <c r="E731" s="4" t="n">
        <v>7</v>
      </c>
      <c r="F731" s="4" t="n">
        <v>6</v>
      </c>
      <c r="G731" s="4" t="n">
        <v>0</v>
      </c>
      <c r="J731" s="11" t="b">
        <f aca="false">TRUE()</f>
        <v>1</v>
      </c>
      <c r="K731" s="4" t="s">
        <v>2988</v>
      </c>
      <c r="L731" s="4" t="n">
        <v>4</v>
      </c>
      <c r="M731" s="4" t="n">
        <v>4</v>
      </c>
      <c r="N731" s="4" t="n">
        <v>4</v>
      </c>
      <c r="O731" s="4" t="n">
        <v>4</v>
      </c>
      <c r="P731" s="0" t="str">
        <f aca="false">IF(E731=0,"not_reached",IF(AND(F731&gt;0,G731=0),"allowed","blocked"))</f>
        <v>allowed</v>
      </c>
      <c r="Q731" s="0" t="str">
        <f aca="false">IF(C731="success","published",IF(E731&gt;0,"blocked_at_gate","failed_before_gate"))</f>
        <v>published</v>
      </c>
      <c r="R731" s="0" t="str">
        <f aca="false">IF(C731="success","",IF(E731&gt;0,IF(I731="freshness_within_target","freshness",IF(I731="relationships_intact","relationships",IF(I731="reconciliation_residual_zero","residual",I731))),IF(H731="quality_gate","gate_infra",H731)))</f>
        <v/>
      </c>
    </row>
    <row r="732" customFormat="false" ht="15" hidden="false" customHeight="false" outlineLevel="0" collapsed="false">
      <c r="A732" s="4" t="s">
        <v>2989</v>
      </c>
      <c r="B732" s="10" t="n">
        <v>46274.3854166667</v>
      </c>
      <c r="C732" s="4" t="s">
        <v>1544</v>
      </c>
      <c r="D732" s="4" t="n">
        <v>673</v>
      </c>
      <c r="E732" s="4" t="n">
        <v>7</v>
      </c>
      <c r="F732" s="4" t="n">
        <v>6</v>
      </c>
      <c r="G732" s="4" t="n">
        <v>0</v>
      </c>
      <c r="J732" s="11" t="b">
        <f aca="false">TRUE()</f>
        <v>1</v>
      </c>
      <c r="K732" s="4" t="s">
        <v>2990</v>
      </c>
      <c r="L732" s="4" t="n">
        <v>4</v>
      </c>
      <c r="M732" s="4" t="n">
        <v>4</v>
      </c>
      <c r="N732" s="4" t="n">
        <v>4</v>
      </c>
      <c r="O732" s="4" t="n">
        <v>4</v>
      </c>
      <c r="P732" s="0" t="str">
        <f aca="false">IF(E732=0,"not_reached",IF(AND(F732&gt;0,G732=0),"allowed","blocked"))</f>
        <v>allowed</v>
      </c>
      <c r="Q732" s="0" t="str">
        <f aca="false">IF(C732="success","published",IF(E732&gt;0,"blocked_at_gate","failed_before_gate"))</f>
        <v>published</v>
      </c>
      <c r="R732" s="0" t="str">
        <f aca="false">IF(C732="success","",IF(E732&gt;0,IF(I732="freshness_within_target","freshness",IF(I732="relationships_intact","relationships",IF(I732="reconciliation_residual_zero","residual",I732))),IF(H732="quality_gate","gate_infra",H732)))</f>
        <v/>
      </c>
    </row>
    <row r="733" customFormat="false" ht="15" hidden="false" customHeight="false" outlineLevel="0" collapsed="false">
      <c r="A733" s="4" t="s">
        <v>2991</v>
      </c>
      <c r="B733" s="10" t="n">
        <v>46274.4270833333</v>
      </c>
      <c r="C733" s="4" t="s">
        <v>1544</v>
      </c>
      <c r="D733" s="4" t="n">
        <v>662</v>
      </c>
      <c r="E733" s="4" t="n">
        <v>7</v>
      </c>
      <c r="F733" s="4" t="n">
        <v>6</v>
      </c>
      <c r="G733" s="4" t="n">
        <v>0</v>
      </c>
      <c r="J733" s="11" t="b">
        <f aca="false">TRUE()</f>
        <v>1</v>
      </c>
      <c r="K733" s="4" t="s">
        <v>2992</v>
      </c>
      <c r="L733" s="4" t="n">
        <v>4</v>
      </c>
      <c r="M733" s="4" t="n">
        <v>4</v>
      </c>
      <c r="N733" s="4" t="n">
        <v>4</v>
      </c>
      <c r="O733" s="4" t="n">
        <v>4</v>
      </c>
      <c r="P733" s="0" t="str">
        <f aca="false">IF(E733=0,"not_reached",IF(AND(F733&gt;0,G733=0),"allowed","blocked"))</f>
        <v>allowed</v>
      </c>
      <c r="Q733" s="0" t="str">
        <f aca="false">IF(C733="success","published",IF(E733&gt;0,"blocked_at_gate","failed_before_gate"))</f>
        <v>published</v>
      </c>
      <c r="R733" s="0" t="str">
        <f aca="false">IF(C733="success","",IF(E733&gt;0,IF(I733="freshness_within_target","freshness",IF(I733="relationships_intact","relationships",IF(I733="reconciliation_residual_zero","residual",I733))),IF(H733="quality_gate","gate_infra",H733)))</f>
        <v/>
      </c>
    </row>
    <row r="734" customFormat="false" ht="15" hidden="false" customHeight="false" outlineLevel="0" collapsed="false">
      <c r="A734" s="4" t="s">
        <v>2993</v>
      </c>
      <c r="B734" s="10" t="n">
        <v>46274.46875</v>
      </c>
      <c r="C734" s="4" t="s">
        <v>1901</v>
      </c>
      <c r="D734" s="4" t="n">
        <v>551</v>
      </c>
      <c r="E734" s="4" t="n">
        <v>7</v>
      </c>
      <c r="F734" s="4" t="n">
        <v>6</v>
      </c>
      <c r="G734" s="4" t="n">
        <v>1</v>
      </c>
      <c r="H734" s="4" t="s">
        <v>1954</v>
      </c>
      <c r="I734" s="4" t="s">
        <v>2994</v>
      </c>
      <c r="J734" s="11" t="b">
        <f aca="false">FALSE()</f>
        <v>0</v>
      </c>
      <c r="L734" s="4" t="n">
        <v>3</v>
      </c>
      <c r="M734" s="4" t="n">
        <v>2</v>
      </c>
      <c r="N734" s="4" t="n">
        <v>3</v>
      </c>
      <c r="O734" s="4" t="n">
        <v>2</v>
      </c>
      <c r="P734" s="0" t="str">
        <f aca="false">IF(E734=0,"not_reached",IF(AND(F734&gt;0,G734=0),"allowed","blocked"))</f>
        <v>blocked</v>
      </c>
      <c r="Q734" s="0" t="str">
        <f aca="false">IF(C734="success","published",IF(E734&gt;0,"blocked_at_gate","failed_before_gate"))</f>
        <v>blocked_at_gate</v>
      </c>
      <c r="R734" s="0" t="str">
        <f aca="false">IF(C734="success","",IF(E734&gt;0,IF(I734="freshness_within_target","freshness",IF(I734="relationships_intact","relationships",IF(I734="reconciliation_residual_zero","residual",I734))),IF(H734="quality_gate","gate_infra",H734)))</f>
        <v>residual</v>
      </c>
    </row>
    <row r="735" customFormat="false" ht="15" hidden="false" customHeight="false" outlineLevel="0" collapsed="false">
      <c r="A735" s="4" t="s">
        <v>2995</v>
      </c>
      <c r="B735" s="10" t="n">
        <v>46274.5104166667</v>
      </c>
      <c r="C735" s="4" t="s">
        <v>1544</v>
      </c>
      <c r="D735" s="4" t="n">
        <v>737</v>
      </c>
      <c r="E735" s="4" t="n">
        <v>7</v>
      </c>
      <c r="F735" s="4" t="n">
        <v>6</v>
      </c>
      <c r="G735" s="4" t="n">
        <v>0</v>
      </c>
      <c r="J735" s="11" t="b">
        <f aca="false">TRUE()</f>
        <v>1</v>
      </c>
      <c r="K735" s="4" t="s">
        <v>2996</v>
      </c>
      <c r="L735" s="4" t="n">
        <v>4</v>
      </c>
      <c r="M735" s="4" t="n">
        <v>4</v>
      </c>
      <c r="N735" s="4" t="n">
        <v>4</v>
      </c>
      <c r="O735" s="4" t="n">
        <v>4</v>
      </c>
      <c r="P735" s="0" t="str">
        <f aca="false">IF(E735=0,"not_reached",IF(AND(F735&gt;0,G735=0),"allowed","blocked"))</f>
        <v>allowed</v>
      </c>
      <c r="Q735" s="0" t="str">
        <f aca="false">IF(C735="success","published",IF(E735&gt;0,"blocked_at_gate","failed_before_gate"))</f>
        <v>published</v>
      </c>
      <c r="R735" s="0" t="str">
        <f aca="false">IF(C735="success","",IF(E735&gt;0,IF(I735="freshness_within_target","freshness",IF(I735="relationships_intact","relationships",IF(I735="reconciliation_residual_zero","residual",I735))),IF(H735="quality_gate","gate_infra",H735)))</f>
        <v/>
      </c>
    </row>
    <row r="736" customFormat="false" ht="15" hidden="false" customHeight="false" outlineLevel="0" collapsed="false">
      <c r="A736" s="4" t="s">
        <v>2997</v>
      </c>
      <c r="B736" s="10" t="n">
        <v>46274.5520833333</v>
      </c>
      <c r="C736" s="4" t="s">
        <v>1544</v>
      </c>
      <c r="D736" s="4" t="n">
        <v>878</v>
      </c>
      <c r="E736" s="4" t="n">
        <v>7</v>
      </c>
      <c r="F736" s="4" t="n">
        <v>6</v>
      </c>
      <c r="G736" s="4" t="n">
        <v>0</v>
      </c>
      <c r="J736" s="11" t="b">
        <f aca="false">TRUE()</f>
        <v>1</v>
      </c>
      <c r="K736" s="4" t="s">
        <v>2998</v>
      </c>
      <c r="L736" s="4" t="n">
        <v>4</v>
      </c>
      <c r="M736" s="4" t="n">
        <v>4</v>
      </c>
      <c r="N736" s="4" t="n">
        <v>4</v>
      </c>
      <c r="O736" s="4" t="n">
        <v>4</v>
      </c>
      <c r="P736" s="0" t="str">
        <f aca="false">IF(E736=0,"not_reached",IF(AND(F736&gt;0,G736=0),"allowed","blocked"))</f>
        <v>allowed</v>
      </c>
      <c r="Q736" s="0" t="str">
        <f aca="false">IF(C736="success","published",IF(E736&gt;0,"blocked_at_gate","failed_before_gate"))</f>
        <v>published</v>
      </c>
      <c r="R736" s="0" t="str">
        <f aca="false">IF(C736="success","",IF(E736&gt;0,IF(I736="freshness_within_target","freshness",IF(I736="relationships_intact","relationships",IF(I736="reconciliation_residual_zero","residual",I736))),IF(H736="quality_gate","gate_infra",H736)))</f>
        <v/>
      </c>
    </row>
    <row r="737" customFormat="false" ht="15" hidden="false" customHeight="false" outlineLevel="0" collapsed="false">
      <c r="A737" s="4" t="s">
        <v>2999</v>
      </c>
      <c r="B737" s="10" t="n">
        <v>46274.59375</v>
      </c>
      <c r="C737" s="4" t="s">
        <v>1544</v>
      </c>
      <c r="D737" s="4" t="n">
        <v>937</v>
      </c>
      <c r="E737" s="4" t="n">
        <v>7</v>
      </c>
      <c r="F737" s="4" t="n">
        <v>6</v>
      </c>
      <c r="G737" s="4" t="n">
        <v>0</v>
      </c>
      <c r="J737" s="11" t="b">
        <f aca="false">TRUE()</f>
        <v>1</v>
      </c>
      <c r="K737" s="4" t="s">
        <v>3000</v>
      </c>
      <c r="L737" s="4" t="n">
        <v>4</v>
      </c>
      <c r="M737" s="4" t="n">
        <v>4</v>
      </c>
      <c r="N737" s="4" t="n">
        <v>4</v>
      </c>
      <c r="O737" s="4" t="n">
        <v>4</v>
      </c>
      <c r="P737" s="0" t="str">
        <f aca="false">IF(E737=0,"not_reached",IF(AND(F737&gt;0,G737=0),"allowed","blocked"))</f>
        <v>allowed</v>
      </c>
      <c r="Q737" s="0" t="str">
        <f aca="false">IF(C737="success","published",IF(E737&gt;0,"blocked_at_gate","failed_before_gate"))</f>
        <v>published</v>
      </c>
      <c r="R737" s="0" t="str">
        <f aca="false">IF(C737="success","",IF(E737&gt;0,IF(I737="freshness_within_target","freshness",IF(I737="relationships_intact","relationships",IF(I737="reconciliation_residual_zero","residual",I737))),IF(H737="quality_gate","gate_infra",H737)))</f>
        <v/>
      </c>
    </row>
    <row r="738" customFormat="false" ht="15" hidden="false" customHeight="false" outlineLevel="0" collapsed="false">
      <c r="A738" s="4" t="s">
        <v>3001</v>
      </c>
      <c r="B738" s="10" t="n">
        <v>46274.6354166667</v>
      </c>
      <c r="C738" s="4" t="s">
        <v>1544</v>
      </c>
      <c r="D738" s="4" t="n">
        <v>752</v>
      </c>
      <c r="E738" s="4" t="n">
        <v>7</v>
      </c>
      <c r="F738" s="4" t="n">
        <v>6</v>
      </c>
      <c r="G738" s="4" t="n">
        <v>0</v>
      </c>
      <c r="J738" s="11" t="b">
        <f aca="false">TRUE()</f>
        <v>1</v>
      </c>
      <c r="K738" s="4" t="s">
        <v>3002</v>
      </c>
      <c r="L738" s="4" t="n">
        <v>4</v>
      </c>
      <c r="M738" s="4" t="n">
        <v>4</v>
      </c>
      <c r="N738" s="4" t="n">
        <v>4</v>
      </c>
      <c r="O738" s="4" t="n">
        <v>4</v>
      </c>
      <c r="P738" s="0" t="str">
        <f aca="false">IF(E738=0,"not_reached",IF(AND(F738&gt;0,G738=0),"allowed","blocked"))</f>
        <v>allowed</v>
      </c>
      <c r="Q738" s="0" t="str">
        <f aca="false">IF(C738="success","published",IF(E738&gt;0,"blocked_at_gate","failed_before_gate"))</f>
        <v>published</v>
      </c>
      <c r="R738" s="0" t="str">
        <f aca="false">IF(C738="success","",IF(E738&gt;0,IF(I738="freshness_within_target","freshness",IF(I738="relationships_intact","relationships",IF(I738="reconciliation_residual_zero","residual",I738))),IF(H738="quality_gate","gate_infra",H738)))</f>
        <v/>
      </c>
    </row>
    <row r="739" customFormat="false" ht="15" hidden="false" customHeight="false" outlineLevel="0" collapsed="false">
      <c r="A739" s="4" t="s">
        <v>3003</v>
      </c>
      <c r="B739" s="10" t="n">
        <v>46274.6770833333</v>
      </c>
      <c r="C739" s="4" t="s">
        <v>1544</v>
      </c>
      <c r="D739" s="4" t="n">
        <v>836</v>
      </c>
      <c r="E739" s="4" t="n">
        <v>7</v>
      </c>
      <c r="F739" s="4" t="n">
        <v>6</v>
      </c>
      <c r="G739" s="4" t="n">
        <v>0</v>
      </c>
      <c r="J739" s="11" t="b">
        <f aca="false">TRUE()</f>
        <v>1</v>
      </c>
      <c r="K739" s="4" t="s">
        <v>3004</v>
      </c>
      <c r="L739" s="4" t="n">
        <v>4</v>
      </c>
      <c r="M739" s="4" t="n">
        <v>4</v>
      </c>
      <c r="N739" s="4" t="n">
        <v>4</v>
      </c>
      <c r="O739" s="4" t="n">
        <v>4</v>
      </c>
      <c r="P739" s="0" t="str">
        <f aca="false">IF(E739=0,"not_reached",IF(AND(F739&gt;0,G739=0),"allowed","blocked"))</f>
        <v>allowed</v>
      </c>
      <c r="Q739" s="0" t="str">
        <f aca="false">IF(C739="success","published",IF(E739&gt;0,"blocked_at_gate","failed_before_gate"))</f>
        <v>published</v>
      </c>
      <c r="R739" s="0" t="str">
        <f aca="false">IF(C739="success","",IF(E739&gt;0,IF(I739="freshness_within_target","freshness",IF(I739="relationships_intact","relationships",IF(I739="reconciliation_residual_zero","residual",I739))),IF(H739="quality_gate","gate_infra",H739)))</f>
        <v/>
      </c>
    </row>
    <row r="740" customFormat="false" ht="15" hidden="false" customHeight="false" outlineLevel="0" collapsed="false">
      <c r="A740" s="4" t="s">
        <v>3005</v>
      </c>
      <c r="B740" s="10" t="n">
        <v>46274.71875</v>
      </c>
      <c r="C740" s="4" t="s">
        <v>1544</v>
      </c>
      <c r="D740" s="4" t="n">
        <v>888</v>
      </c>
      <c r="E740" s="4" t="n">
        <v>7</v>
      </c>
      <c r="F740" s="4" t="n">
        <v>6</v>
      </c>
      <c r="G740" s="4" t="n">
        <v>0</v>
      </c>
      <c r="J740" s="11" t="b">
        <f aca="false">TRUE()</f>
        <v>1</v>
      </c>
      <c r="K740" s="4" t="s">
        <v>3006</v>
      </c>
      <c r="L740" s="4" t="n">
        <v>4</v>
      </c>
      <c r="M740" s="4" t="n">
        <v>4</v>
      </c>
      <c r="N740" s="4" t="n">
        <v>4</v>
      </c>
      <c r="O740" s="4" t="n">
        <v>4</v>
      </c>
      <c r="P740" s="0" t="str">
        <f aca="false">IF(E740=0,"not_reached",IF(AND(F740&gt;0,G740=0),"allowed","blocked"))</f>
        <v>allowed</v>
      </c>
      <c r="Q740" s="0" t="str">
        <f aca="false">IF(C740="success","published",IF(E740&gt;0,"blocked_at_gate","failed_before_gate"))</f>
        <v>published</v>
      </c>
      <c r="R740" s="0" t="str">
        <f aca="false">IF(C740="success","",IF(E740&gt;0,IF(I740="freshness_within_target","freshness",IF(I740="relationships_intact","relationships",IF(I740="reconciliation_residual_zero","residual",I740))),IF(H740="quality_gate","gate_infra",H740)))</f>
        <v/>
      </c>
    </row>
    <row r="741" customFormat="false" ht="15" hidden="false" customHeight="false" outlineLevel="0" collapsed="false">
      <c r="A741" s="4" t="s">
        <v>3007</v>
      </c>
      <c r="B741" s="10" t="n">
        <v>46274.7604166667</v>
      </c>
      <c r="C741" s="4" t="s">
        <v>1544</v>
      </c>
      <c r="D741" s="4" t="n">
        <v>738</v>
      </c>
      <c r="E741" s="4" t="n">
        <v>7</v>
      </c>
      <c r="F741" s="4" t="n">
        <v>6</v>
      </c>
      <c r="G741" s="4" t="n">
        <v>0</v>
      </c>
      <c r="J741" s="11" t="b">
        <f aca="false">TRUE()</f>
        <v>1</v>
      </c>
      <c r="K741" s="4" t="s">
        <v>3008</v>
      </c>
      <c r="L741" s="4" t="n">
        <v>4</v>
      </c>
      <c r="M741" s="4" t="n">
        <v>4</v>
      </c>
      <c r="N741" s="4" t="n">
        <v>4</v>
      </c>
      <c r="O741" s="4" t="n">
        <v>4</v>
      </c>
      <c r="P741" s="0" t="str">
        <f aca="false">IF(E741=0,"not_reached",IF(AND(F741&gt;0,G741=0),"allowed","blocked"))</f>
        <v>allowed</v>
      </c>
      <c r="Q741" s="0" t="str">
        <f aca="false">IF(C741="success","published",IF(E741&gt;0,"blocked_at_gate","failed_before_gate"))</f>
        <v>published</v>
      </c>
      <c r="R741" s="0" t="str">
        <f aca="false">IF(C741="success","",IF(E741&gt;0,IF(I741="freshness_within_target","freshness",IF(I741="relationships_intact","relationships",IF(I741="reconciliation_residual_zero","residual",I741))),IF(H741="quality_gate","gate_infra",H741)))</f>
        <v/>
      </c>
    </row>
    <row r="742" customFormat="false" ht="15" hidden="false" customHeight="false" outlineLevel="0" collapsed="false">
      <c r="A742" s="4" t="s">
        <v>3009</v>
      </c>
      <c r="B742" s="10" t="n">
        <v>46274.8020833333</v>
      </c>
      <c r="C742" s="4" t="s">
        <v>1544</v>
      </c>
      <c r="D742" s="4" t="n">
        <v>763</v>
      </c>
      <c r="E742" s="4" t="n">
        <v>7</v>
      </c>
      <c r="F742" s="4" t="n">
        <v>6</v>
      </c>
      <c r="G742" s="4" t="n">
        <v>0</v>
      </c>
      <c r="J742" s="11" t="b">
        <f aca="false">TRUE()</f>
        <v>1</v>
      </c>
      <c r="K742" s="4" t="s">
        <v>3010</v>
      </c>
      <c r="L742" s="4" t="n">
        <v>4</v>
      </c>
      <c r="M742" s="4" t="n">
        <v>4</v>
      </c>
      <c r="N742" s="4" t="n">
        <v>4</v>
      </c>
      <c r="O742" s="4" t="n">
        <v>4</v>
      </c>
      <c r="P742" s="0" t="str">
        <f aca="false">IF(E742=0,"not_reached",IF(AND(F742&gt;0,G742=0),"allowed","blocked"))</f>
        <v>allowed</v>
      </c>
      <c r="Q742" s="0" t="str">
        <f aca="false">IF(C742="success","published",IF(E742&gt;0,"blocked_at_gate","failed_before_gate"))</f>
        <v>published</v>
      </c>
      <c r="R742" s="0" t="str">
        <f aca="false">IF(C742="success","",IF(E742&gt;0,IF(I742="freshness_within_target","freshness",IF(I742="relationships_intact","relationships",IF(I742="reconciliation_residual_zero","residual",I742))),IF(H742="quality_gate","gate_infra",H742)))</f>
        <v/>
      </c>
    </row>
    <row r="743" customFormat="false" ht="15" hidden="false" customHeight="false" outlineLevel="0" collapsed="false">
      <c r="A743" s="4" t="s">
        <v>3011</v>
      </c>
      <c r="B743" s="10" t="n">
        <v>46274.84375</v>
      </c>
      <c r="C743" s="4" t="s">
        <v>1544</v>
      </c>
      <c r="D743" s="4" t="n">
        <v>938</v>
      </c>
      <c r="E743" s="4" t="n">
        <v>7</v>
      </c>
      <c r="F743" s="4" t="n">
        <v>6</v>
      </c>
      <c r="G743" s="4" t="n">
        <v>0</v>
      </c>
      <c r="J743" s="11" t="b">
        <f aca="false">TRUE()</f>
        <v>1</v>
      </c>
      <c r="K743" s="4" t="s">
        <v>3012</v>
      </c>
      <c r="L743" s="4" t="n">
        <v>4</v>
      </c>
      <c r="M743" s="4" t="n">
        <v>4</v>
      </c>
      <c r="N743" s="4" t="n">
        <v>4</v>
      </c>
      <c r="O743" s="4" t="n">
        <v>4</v>
      </c>
      <c r="P743" s="0" t="str">
        <f aca="false">IF(E743=0,"not_reached",IF(AND(F743&gt;0,G743=0),"allowed","blocked"))</f>
        <v>allowed</v>
      </c>
      <c r="Q743" s="0" t="str">
        <f aca="false">IF(C743="success","published",IF(E743&gt;0,"blocked_at_gate","failed_before_gate"))</f>
        <v>published</v>
      </c>
      <c r="R743" s="0" t="str">
        <f aca="false">IF(C743="success","",IF(E743&gt;0,IF(I743="freshness_within_target","freshness",IF(I743="relationships_intact","relationships",IF(I743="reconciliation_residual_zero","residual",I743))),IF(H743="quality_gate","gate_infra",H743)))</f>
        <v/>
      </c>
    </row>
    <row r="744" customFormat="false" ht="15" hidden="false" customHeight="false" outlineLevel="0" collapsed="false">
      <c r="A744" s="4" t="s">
        <v>3013</v>
      </c>
      <c r="B744" s="10" t="n">
        <v>46274.8854166667</v>
      </c>
      <c r="C744" s="4" t="s">
        <v>1544</v>
      </c>
      <c r="D744" s="4" t="n">
        <v>784</v>
      </c>
      <c r="E744" s="4" t="n">
        <v>7</v>
      </c>
      <c r="F744" s="4" t="n">
        <v>6</v>
      </c>
      <c r="G744" s="4" t="n">
        <v>0</v>
      </c>
      <c r="J744" s="11" t="b">
        <f aca="false">TRUE()</f>
        <v>1</v>
      </c>
      <c r="K744" s="4" t="s">
        <v>3014</v>
      </c>
      <c r="L744" s="4" t="n">
        <v>4</v>
      </c>
      <c r="M744" s="4" t="n">
        <v>4</v>
      </c>
      <c r="N744" s="4" t="n">
        <v>4</v>
      </c>
      <c r="O744" s="4" t="n">
        <v>4</v>
      </c>
      <c r="P744" s="0" t="str">
        <f aca="false">IF(E744=0,"not_reached",IF(AND(F744&gt;0,G744=0),"allowed","blocked"))</f>
        <v>allowed</v>
      </c>
      <c r="Q744" s="0" t="str">
        <f aca="false">IF(C744="success","published",IF(E744&gt;0,"blocked_at_gate","failed_before_gate"))</f>
        <v>published</v>
      </c>
      <c r="R744" s="0" t="str">
        <f aca="false">IF(C744="success","",IF(E744&gt;0,IF(I744="freshness_within_target","freshness",IF(I744="relationships_intact","relationships",IF(I744="reconciliation_residual_zero","residual",I744))),IF(H744="quality_gate","gate_infra",H744)))</f>
        <v/>
      </c>
    </row>
    <row r="745" customFormat="false" ht="15" hidden="false" customHeight="false" outlineLevel="0" collapsed="false">
      <c r="A745" s="4" t="s">
        <v>3015</v>
      </c>
      <c r="B745" s="10" t="n">
        <v>46274.9270833333</v>
      </c>
      <c r="C745" s="4" t="s">
        <v>1544</v>
      </c>
      <c r="D745" s="4" t="n">
        <v>717</v>
      </c>
      <c r="E745" s="4" t="n">
        <v>7</v>
      </c>
      <c r="F745" s="4" t="n">
        <v>6</v>
      </c>
      <c r="G745" s="4" t="n">
        <v>0</v>
      </c>
      <c r="J745" s="11" t="b">
        <f aca="false">TRUE()</f>
        <v>1</v>
      </c>
      <c r="K745" s="4" t="s">
        <v>3016</v>
      </c>
      <c r="L745" s="4" t="n">
        <v>4</v>
      </c>
      <c r="M745" s="4" t="n">
        <v>4</v>
      </c>
      <c r="N745" s="4" t="n">
        <v>4</v>
      </c>
      <c r="O745" s="4" t="n">
        <v>4</v>
      </c>
      <c r="P745" s="0" t="str">
        <f aca="false">IF(E745=0,"not_reached",IF(AND(F745&gt;0,G745=0),"allowed","blocked"))</f>
        <v>allowed</v>
      </c>
      <c r="Q745" s="0" t="str">
        <f aca="false">IF(C745="success","published",IF(E745&gt;0,"blocked_at_gate","failed_before_gate"))</f>
        <v>published</v>
      </c>
      <c r="R745" s="0" t="str">
        <f aca="false">IF(C745="success","",IF(E745&gt;0,IF(I745="freshness_within_target","freshness",IF(I745="relationships_intact","relationships",IF(I745="reconciliation_residual_zero","residual",I745))),IF(H745="quality_gate","gate_infra",H745)))</f>
        <v/>
      </c>
    </row>
    <row r="746" customFormat="false" ht="15" hidden="false" customHeight="false" outlineLevel="0" collapsed="false">
      <c r="A746" s="4" t="s">
        <v>3017</v>
      </c>
      <c r="B746" s="10" t="n">
        <v>46274.96875</v>
      </c>
      <c r="C746" s="4" t="s">
        <v>1544</v>
      </c>
      <c r="D746" s="4" t="n">
        <v>691</v>
      </c>
      <c r="E746" s="4" t="n">
        <v>7</v>
      </c>
      <c r="F746" s="4" t="n">
        <v>6</v>
      </c>
      <c r="G746" s="4" t="n">
        <v>0</v>
      </c>
      <c r="J746" s="11" t="b">
        <f aca="false">TRUE()</f>
        <v>1</v>
      </c>
      <c r="K746" s="4" t="s">
        <v>3018</v>
      </c>
      <c r="L746" s="4" t="n">
        <v>4</v>
      </c>
      <c r="M746" s="4" t="n">
        <v>4</v>
      </c>
      <c r="N746" s="4" t="n">
        <v>4</v>
      </c>
      <c r="O746" s="4" t="n">
        <v>4</v>
      </c>
      <c r="P746" s="0" t="str">
        <f aca="false">IF(E746=0,"not_reached",IF(AND(F746&gt;0,G746=0),"allowed","blocked"))</f>
        <v>allowed</v>
      </c>
      <c r="Q746" s="0" t="str">
        <f aca="false">IF(C746="success","published",IF(E746&gt;0,"blocked_at_gate","failed_before_gate"))</f>
        <v>published</v>
      </c>
      <c r="R746" s="0" t="str">
        <f aca="false">IF(C746="success","",IF(E746&gt;0,IF(I746="freshness_within_target","freshness",IF(I746="relationships_intact","relationships",IF(I746="reconciliation_residual_zero","residual",I746))),IF(H746="quality_gate","gate_infra",H746)))</f>
        <v/>
      </c>
    </row>
    <row r="747" customFormat="false" ht="15" hidden="false" customHeight="false" outlineLevel="0" collapsed="false">
      <c r="A747" s="4" t="s">
        <v>3019</v>
      </c>
      <c r="B747" s="10" t="n">
        <v>46275.0104166667</v>
      </c>
      <c r="C747" s="4" t="s">
        <v>1544</v>
      </c>
      <c r="D747" s="4" t="n">
        <v>770</v>
      </c>
      <c r="E747" s="4" t="n">
        <v>7</v>
      </c>
      <c r="F747" s="4" t="n">
        <v>6</v>
      </c>
      <c r="G747" s="4" t="n">
        <v>0</v>
      </c>
      <c r="J747" s="11" t="b">
        <f aca="false">TRUE()</f>
        <v>1</v>
      </c>
      <c r="K747" s="4" t="s">
        <v>3020</v>
      </c>
      <c r="L747" s="4" t="n">
        <v>4</v>
      </c>
      <c r="M747" s="4" t="n">
        <v>4</v>
      </c>
      <c r="N747" s="4" t="n">
        <v>4</v>
      </c>
      <c r="O747" s="4" t="n">
        <v>4</v>
      </c>
      <c r="P747" s="0" t="str">
        <f aca="false">IF(E747=0,"not_reached",IF(AND(F747&gt;0,G747=0),"allowed","blocked"))</f>
        <v>allowed</v>
      </c>
      <c r="Q747" s="0" t="str">
        <f aca="false">IF(C747="success","published",IF(E747&gt;0,"blocked_at_gate","failed_before_gate"))</f>
        <v>published</v>
      </c>
      <c r="R747" s="0" t="str">
        <f aca="false">IF(C747="success","",IF(E747&gt;0,IF(I747="freshness_within_target","freshness",IF(I747="relationships_intact","relationships",IF(I747="reconciliation_residual_zero","residual",I747))),IF(H747="quality_gate","gate_infra",H747)))</f>
        <v/>
      </c>
    </row>
    <row r="748" customFormat="false" ht="15" hidden="false" customHeight="false" outlineLevel="0" collapsed="false">
      <c r="A748" s="4" t="s">
        <v>3021</v>
      </c>
      <c r="B748" s="10" t="n">
        <v>46275.0520833333</v>
      </c>
      <c r="C748" s="4" t="s">
        <v>1544</v>
      </c>
      <c r="D748" s="4" t="n">
        <v>758</v>
      </c>
      <c r="E748" s="4" t="n">
        <v>7</v>
      </c>
      <c r="F748" s="4" t="n">
        <v>6</v>
      </c>
      <c r="G748" s="4" t="n">
        <v>0</v>
      </c>
      <c r="J748" s="11" t="b">
        <f aca="false">TRUE()</f>
        <v>1</v>
      </c>
      <c r="K748" s="4" t="s">
        <v>3022</v>
      </c>
      <c r="L748" s="4" t="n">
        <v>4</v>
      </c>
      <c r="M748" s="4" t="n">
        <v>4</v>
      </c>
      <c r="N748" s="4" t="n">
        <v>4</v>
      </c>
      <c r="O748" s="4" t="n">
        <v>4</v>
      </c>
      <c r="P748" s="0" t="str">
        <f aca="false">IF(E748=0,"not_reached",IF(AND(F748&gt;0,G748=0),"allowed","blocked"))</f>
        <v>allowed</v>
      </c>
      <c r="Q748" s="0" t="str">
        <f aca="false">IF(C748="success","published",IF(E748&gt;0,"blocked_at_gate","failed_before_gate"))</f>
        <v>published</v>
      </c>
      <c r="R748" s="0" t="str">
        <f aca="false">IF(C748="success","",IF(E748&gt;0,IF(I748="freshness_within_target","freshness",IF(I748="relationships_intact","relationships",IF(I748="reconciliation_residual_zero","residual",I748))),IF(H748="quality_gate","gate_infra",H748)))</f>
        <v/>
      </c>
    </row>
    <row r="749" customFormat="false" ht="15" hidden="false" customHeight="false" outlineLevel="0" collapsed="false">
      <c r="A749" s="4" t="s">
        <v>3023</v>
      </c>
      <c r="B749" s="10" t="n">
        <v>46275.09375</v>
      </c>
      <c r="C749" s="4" t="s">
        <v>1544</v>
      </c>
      <c r="D749" s="4" t="n">
        <v>712</v>
      </c>
      <c r="E749" s="4" t="n">
        <v>7</v>
      </c>
      <c r="F749" s="4" t="n">
        <v>6</v>
      </c>
      <c r="G749" s="4" t="n">
        <v>0</v>
      </c>
      <c r="J749" s="11" t="b">
        <f aca="false">TRUE()</f>
        <v>1</v>
      </c>
      <c r="K749" s="4" t="s">
        <v>3024</v>
      </c>
      <c r="L749" s="4" t="n">
        <v>4</v>
      </c>
      <c r="M749" s="4" t="n">
        <v>4</v>
      </c>
      <c r="N749" s="4" t="n">
        <v>4</v>
      </c>
      <c r="O749" s="4" t="n">
        <v>4</v>
      </c>
      <c r="P749" s="0" t="str">
        <f aca="false">IF(E749=0,"not_reached",IF(AND(F749&gt;0,G749=0),"allowed","blocked"))</f>
        <v>allowed</v>
      </c>
      <c r="Q749" s="0" t="str">
        <f aca="false">IF(C749="success","published",IF(E749&gt;0,"blocked_at_gate","failed_before_gate"))</f>
        <v>published</v>
      </c>
      <c r="R749" s="0" t="str">
        <f aca="false">IF(C749="success","",IF(E749&gt;0,IF(I749="freshness_within_target","freshness",IF(I749="relationships_intact","relationships",IF(I749="reconciliation_residual_zero","residual",I749))),IF(H749="quality_gate","gate_infra",H749)))</f>
        <v/>
      </c>
    </row>
    <row r="750" customFormat="false" ht="15" hidden="false" customHeight="false" outlineLevel="0" collapsed="false">
      <c r="A750" s="4" t="s">
        <v>3025</v>
      </c>
      <c r="B750" s="10" t="n">
        <v>46275.1354166667</v>
      </c>
      <c r="C750" s="4" t="s">
        <v>1544</v>
      </c>
      <c r="D750" s="4" t="n">
        <v>798</v>
      </c>
      <c r="E750" s="4" t="n">
        <v>7</v>
      </c>
      <c r="F750" s="4" t="n">
        <v>6</v>
      </c>
      <c r="G750" s="4" t="n">
        <v>0</v>
      </c>
      <c r="J750" s="11" t="b">
        <f aca="false">TRUE()</f>
        <v>1</v>
      </c>
      <c r="K750" s="4" t="s">
        <v>3026</v>
      </c>
      <c r="L750" s="4" t="n">
        <v>4</v>
      </c>
      <c r="M750" s="4" t="n">
        <v>4</v>
      </c>
      <c r="N750" s="4" t="n">
        <v>4</v>
      </c>
      <c r="O750" s="4" t="n">
        <v>4</v>
      </c>
      <c r="P750" s="0" t="str">
        <f aca="false">IF(E750=0,"not_reached",IF(AND(F750&gt;0,G750=0),"allowed","blocked"))</f>
        <v>allowed</v>
      </c>
      <c r="Q750" s="0" t="str">
        <f aca="false">IF(C750="success","published",IF(E750&gt;0,"blocked_at_gate","failed_before_gate"))</f>
        <v>published</v>
      </c>
      <c r="R750" s="0" t="str">
        <f aca="false">IF(C750="success","",IF(E750&gt;0,IF(I750="freshness_within_target","freshness",IF(I750="relationships_intact","relationships",IF(I750="reconciliation_residual_zero","residual",I750))),IF(H750="quality_gate","gate_infra",H750)))</f>
        <v/>
      </c>
    </row>
    <row r="751" customFormat="false" ht="15" hidden="false" customHeight="false" outlineLevel="0" collapsed="false">
      <c r="A751" s="4" t="s">
        <v>3027</v>
      </c>
      <c r="B751" s="10" t="n">
        <v>46275.1770833333</v>
      </c>
      <c r="C751" s="4" t="s">
        <v>1544</v>
      </c>
      <c r="D751" s="4" t="n">
        <v>788</v>
      </c>
      <c r="E751" s="4" t="n">
        <v>7</v>
      </c>
      <c r="F751" s="4" t="n">
        <v>6</v>
      </c>
      <c r="G751" s="4" t="n">
        <v>0</v>
      </c>
      <c r="J751" s="11" t="b">
        <f aca="false">TRUE()</f>
        <v>1</v>
      </c>
      <c r="K751" s="4" t="s">
        <v>3028</v>
      </c>
      <c r="L751" s="4" t="n">
        <v>4</v>
      </c>
      <c r="M751" s="4" t="n">
        <v>4</v>
      </c>
      <c r="N751" s="4" t="n">
        <v>4</v>
      </c>
      <c r="O751" s="4" t="n">
        <v>4</v>
      </c>
      <c r="P751" s="0" t="str">
        <f aca="false">IF(E751=0,"not_reached",IF(AND(F751&gt;0,G751=0),"allowed","blocked"))</f>
        <v>allowed</v>
      </c>
      <c r="Q751" s="0" t="str">
        <f aca="false">IF(C751="success","published",IF(E751&gt;0,"blocked_at_gate","failed_before_gate"))</f>
        <v>published</v>
      </c>
      <c r="R751" s="0" t="str">
        <f aca="false">IF(C751="success","",IF(E751&gt;0,IF(I751="freshness_within_target","freshness",IF(I751="relationships_intact","relationships",IF(I751="reconciliation_residual_zero","residual",I751))),IF(H751="quality_gate","gate_infra",H751)))</f>
        <v/>
      </c>
    </row>
    <row r="752" customFormat="false" ht="15" hidden="false" customHeight="false" outlineLevel="0" collapsed="false">
      <c r="A752" s="4" t="s">
        <v>3029</v>
      </c>
      <c r="B752" s="10" t="n">
        <v>46275.21875</v>
      </c>
      <c r="C752" s="4" t="s">
        <v>1544</v>
      </c>
      <c r="D752" s="4" t="n">
        <v>707</v>
      </c>
      <c r="E752" s="4" t="n">
        <v>7</v>
      </c>
      <c r="F752" s="4" t="n">
        <v>6</v>
      </c>
      <c r="G752" s="4" t="n">
        <v>0</v>
      </c>
      <c r="J752" s="11" t="b">
        <f aca="false">TRUE()</f>
        <v>1</v>
      </c>
      <c r="K752" s="4" t="s">
        <v>3030</v>
      </c>
      <c r="L752" s="4" t="n">
        <v>4</v>
      </c>
      <c r="M752" s="4" t="n">
        <v>4</v>
      </c>
      <c r="N752" s="4" t="n">
        <v>4</v>
      </c>
      <c r="O752" s="4" t="n">
        <v>4</v>
      </c>
      <c r="P752" s="0" t="str">
        <f aca="false">IF(E752=0,"not_reached",IF(AND(F752&gt;0,G752=0),"allowed","blocked"))</f>
        <v>allowed</v>
      </c>
      <c r="Q752" s="0" t="str">
        <f aca="false">IF(C752="success","published",IF(E752&gt;0,"blocked_at_gate","failed_before_gate"))</f>
        <v>published</v>
      </c>
      <c r="R752" s="0" t="str">
        <f aca="false">IF(C752="success","",IF(E752&gt;0,IF(I752="freshness_within_target","freshness",IF(I752="relationships_intact","relationships",IF(I752="reconciliation_residual_zero","residual",I752))),IF(H752="quality_gate","gate_infra",H752)))</f>
        <v/>
      </c>
    </row>
    <row r="753" customFormat="false" ht="15" hidden="false" customHeight="false" outlineLevel="0" collapsed="false">
      <c r="A753" s="4" t="s">
        <v>3031</v>
      </c>
      <c r="B753" s="10" t="n">
        <v>46275.2604166667</v>
      </c>
      <c r="C753" s="4" t="s">
        <v>1544</v>
      </c>
      <c r="D753" s="4" t="n">
        <v>732</v>
      </c>
      <c r="E753" s="4" t="n">
        <v>7</v>
      </c>
      <c r="F753" s="4" t="n">
        <v>6</v>
      </c>
      <c r="G753" s="4" t="n">
        <v>0</v>
      </c>
      <c r="J753" s="11" t="b">
        <f aca="false">TRUE()</f>
        <v>1</v>
      </c>
      <c r="K753" s="4" t="s">
        <v>3032</v>
      </c>
      <c r="L753" s="4" t="n">
        <v>4</v>
      </c>
      <c r="M753" s="4" t="n">
        <v>4</v>
      </c>
      <c r="N753" s="4" t="n">
        <v>4</v>
      </c>
      <c r="O753" s="4" t="n">
        <v>4</v>
      </c>
      <c r="P753" s="0" t="str">
        <f aca="false">IF(E753=0,"not_reached",IF(AND(F753&gt;0,G753=0),"allowed","blocked"))</f>
        <v>allowed</v>
      </c>
      <c r="Q753" s="0" t="str">
        <f aca="false">IF(C753="success","published",IF(E753&gt;0,"blocked_at_gate","failed_before_gate"))</f>
        <v>published</v>
      </c>
      <c r="R753" s="0" t="str">
        <f aca="false">IF(C753="success","",IF(E753&gt;0,IF(I753="freshness_within_target","freshness",IF(I753="relationships_intact","relationships",IF(I753="reconciliation_residual_zero","residual",I753))),IF(H753="quality_gate","gate_infra",H753)))</f>
        <v/>
      </c>
    </row>
    <row r="754" customFormat="false" ht="15" hidden="false" customHeight="false" outlineLevel="0" collapsed="false">
      <c r="A754" s="4" t="s">
        <v>3033</v>
      </c>
      <c r="B754" s="10" t="n">
        <v>46275.3020833333</v>
      </c>
      <c r="C754" s="4" t="s">
        <v>1544</v>
      </c>
      <c r="D754" s="4" t="n">
        <v>751</v>
      </c>
      <c r="E754" s="4" t="n">
        <v>7</v>
      </c>
      <c r="F754" s="4" t="n">
        <v>6</v>
      </c>
      <c r="G754" s="4" t="n">
        <v>0</v>
      </c>
      <c r="J754" s="11" t="b">
        <f aca="false">TRUE()</f>
        <v>1</v>
      </c>
      <c r="K754" s="4" t="s">
        <v>3034</v>
      </c>
      <c r="L754" s="4" t="n">
        <v>4</v>
      </c>
      <c r="M754" s="4" t="n">
        <v>4</v>
      </c>
      <c r="N754" s="4" t="n">
        <v>4</v>
      </c>
      <c r="O754" s="4" t="n">
        <v>4</v>
      </c>
      <c r="P754" s="0" t="str">
        <f aca="false">IF(E754=0,"not_reached",IF(AND(F754&gt;0,G754=0),"allowed","blocked"))</f>
        <v>allowed</v>
      </c>
      <c r="Q754" s="0" t="str">
        <f aca="false">IF(C754="success","published",IF(E754&gt;0,"blocked_at_gate","failed_before_gate"))</f>
        <v>published</v>
      </c>
      <c r="R754" s="0" t="str">
        <f aca="false">IF(C754="success","",IF(E754&gt;0,IF(I754="freshness_within_target","freshness",IF(I754="relationships_intact","relationships",IF(I754="reconciliation_residual_zero","residual",I754))),IF(H754="quality_gate","gate_infra",H754)))</f>
        <v/>
      </c>
    </row>
    <row r="755" customFormat="false" ht="15" hidden="false" customHeight="false" outlineLevel="0" collapsed="false">
      <c r="A755" s="4" t="s">
        <v>3035</v>
      </c>
      <c r="B755" s="10" t="n">
        <v>46275.34375</v>
      </c>
      <c r="C755" s="4" t="s">
        <v>1544</v>
      </c>
      <c r="D755" s="4" t="n">
        <v>689</v>
      </c>
      <c r="E755" s="4" t="n">
        <v>7</v>
      </c>
      <c r="F755" s="4" t="n">
        <v>6</v>
      </c>
      <c r="G755" s="4" t="n">
        <v>0</v>
      </c>
      <c r="J755" s="11" t="b">
        <f aca="false">TRUE()</f>
        <v>1</v>
      </c>
      <c r="K755" s="4" t="s">
        <v>3036</v>
      </c>
      <c r="L755" s="4" t="n">
        <v>4</v>
      </c>
      <c r="M755" s="4" t="n">
        <v>4</v>
      </c>
      <c r="N755" s="4" t="n">
        <v>4</v>
      </c>
      <c r="O755" s="4" t="n">
        <v>4</v>
      </c>
      <c r="P755" s="0" t="str">
        <f aca="false">IF(E755=0,"not_reached",IF(AND(F755&gt;0,G755=0),"allowed","blocked"))</f>
        <v>allowed</v>
      </c>
      <c r="Q755" s="0" t="str">
        <f aca="false">IF(C755="success","published",IF(E755&gt;0,"blocked_at_gate","failed_before_gate"))</f>
        <v>published</v>
      </c>
      <c r="R755" s="0" t="str">
        <f aca="false">IF(C755="success","",IF(E755&gt;0,IF(I755="freshness_within_target","freshness",IF(I755="relationships_intact","relationships",IF(I755="reconciliation_residual_zero","residual",I755))),IF(H755="quality_gate","gate_infra",H755)))</f>
        <v/>
      </c>
    </row>
    <row r="756" customFormat="false" ht="15" hidden="false" customHeight="false" outlineLevel="0" collapsed="false">
      <c r="A756" s="4" t="s">
        <v>3037</v>
      </c>
      <c r="B756" s="10" t="n">
        <v>46275.3854166667</v>
      </c>
      <c r="C756" s="4" t="s">
        <v>1544</v>
      </c>
      <c r="D756" s="4" t="n">
        <v>709</v>
      </c>
      <c r="E756" s="4" t="n">
        <v>7</v>
      </c>
      <c r="F756" s="4" t="n">
        <v>6</v>
      </c>
      <c r="G756" s="4" t="n">
        <v>0</v>
      </c>
      <c r="J756" s="11" t="b">
        <f aca="false">TRUE()</f>
        <v>1</v>
      </c>
      <c r="K756" s="4" t="s">
        <v>3038</v>
      </c>
      <c r="L756" s="4" t="n">
        <v>4</v>
      </c>
      <c r="M756" s="4" t="n">
        <v>4</v>
      </c>
      <c r="N756" s="4" t="n">
        <v>4</v>
      </c>
      <c r="O756" s="4" t="n">
        <v>4</v>
      </c>
      <c r="P756" s="0" t="str">
        <f aca="false">IF(E756=0,"not_reached",IF(AND(F756&gt;0,G756=0),"allowed","blocked"))</f>
        <v>allowed</v>
      </c>
      <c r="Q756" s="0" t="str">
        <f aca="false">IF(C756="success","published",IF(E756&gt;0,"blocked_at_gate","failed_before_gate"))</f>
        <v>published</v>
      </c>
      <c r="R756" s="0" t="str">
        <f aca="false">IF(C756="success","",IF(E756&gt;0,IF(I756="freshness_within_target","freshness",IF(I756="relationships_intact","relationships",IF(I756="reconciliation_residual_zero","residual",I756))),IF(H756="quality_gate","gate_infra",H756)))</f>
        <v/>
      </c>
    </row>
    <row r="757" customFormat="false" ht="15" hidden="false" customHeight="false" outlineLevel="0" collapsed="false">
      <c r="A757" s="4" t="s">
        <v>3039</v>
      </c>
      <c r="B757" s="10" t="n">
        <v>46275.4270833333</v>
      </c>
      <c r="C757" s="4" t="s">
        <v>1544</v>
      </c>
      <c r="D757" s="4" t="n">
        <v>826</v>
      </c>
      <c r="E757" s="4" t="n">
        <v>7</v>
      </c>
      <c r="F757" s="4" t="n">
        <v>6</v>
      </c>
      <c r="G757" s="4" t="n">
        <v>0</v>
      </c>
      <c r="J757" s="11" t="b">
        <f aca="false">TRUE()</f>
        <v>1</v>
      </c>
      <c r="K757" s="4" t="s">
        <v>3040</v>
      </c>
      <c r="L757" s="4" t="n">
        <v>4</v>
      </c>
      <c r="M757" s="4" t="n">
        <v>4</v>
      </c>
      <c r="N757" s="4" t="n">
        <v>4</v>
      </c>
      <c r="O757" s="4" t="n">
        <v>4</v>
      </c>
      <c r="P757" s="0" t="str">
        <f aca="false">IF(E757=0,"not_reached",IF(AND(F757&gt;0,G757=0),"allowed","blocked"))</f>
        <v>allowed</v>
      </c>
      <c r="Q757" s="0" t="str">
        <f aca="false">IF(C757="success","published",IF(E757&gt;0,"blocked_at_gate","failed_before_gate"))</f>
        <v>published</v>
      </c>
      <c r="R757" s="0" t="str">
        <f aca="false">IF(C757="success","",IF(E757&gt;0,IF(I757="freshness_within_target","freshness",IF(I757="relationships_intact","relationships",IF(I757="reconciliation_residual_zero","residual",I757))),IF(H757="quality_gate","gate_infra",H757)))</f>
        <v/>
      </c>
    </row>
    <row r="758" customFormat="false" ht="15" hidden="false" customHeight="false" outlineLevel="0" collapsed="false">
      <c r="A758" s="4" t="s">
        <v>3041</v>
      </c>
      <c r="B758" s="10" t="n">
        <v>46275.46875</v>
      </c>
      <c r="C758" s="4" t="s">
        <v>1544</v>
      </c>
      <c r="D758" s="4" t="n">
        <v>668</v>
      </c>
      <c r="E758" s="4" t="n">
        <v>7</v>
      </c>
      <c r="F758" s="4" t="n">
        <v>6</v>
      </c>
      <c r="G758" s="4" t="n">
        <v>0</v>
      </c>
      <c r="J758" s="11" t="b">
        <f aca="false">TRUE()</f>
        <v>1</v>
      </c>
      <c r="K758" s="4" t="s">
        <v>3042</v>
      </c>
      <c r="L758" s="4" t="n">
        <v>4</v>
      </c>
      <c r="M758" s="4" t="n">
        <v>4</v>
      </c>
      <c r="N758" s="4" t="n">
        <v>4</v>
      </c>
      <c r="O758" s="4" t="n">
        <v>4</v>
      </c>
      <c r="P758" s="0" t="str">
        <f aca="false">IF(E758=0,"not_reached",IF(AND(F758&gt;0,G758=0),"allowed","blocked"))</f>
        <v>allowed</v>
      </c>
      <c r="Q758" s="0" t="str">
        <f aca="false">IF(C758="success","published",IF(E758&gt;0,"blocked_at_gate","failed_before_gate"))</f>
        <v>published</v>
      </c>
      <c r="R758" s="0" t="str">
        <f aca="false">IF(C758="success","",IF(E758&gt;0,IF(I758="freshness_within_target","freshness",IF(I758="relationships_intact","relationships",IF(I758="reconciliation_residual_zero","residual",I758))),IF(H758="quality_gate","gate_infra",H758)))</f>
        <v/>
      </c>
    </row>
    <row r="759" customFormat="false" ht="15" hidden="false" customHeight="false" outlineLevel="0" collapsed="false">
      <c r="A759" s="4" t="s">
        <v>3043</v>
      </c>
      <c r="B759" s="10" t="n">
        <v>46275.5104166667</v>
      </c>
      <c r="C759" s="4" t="s">
        <v>1544</v>
      </c>
      <c r="D759" s="4" t="n">
        <v>740</v>
      </c>
      <c r="E759" s="4" t="n">
        <v>7</v>
      </c>
      <c r="F759" s="4" t="n">
        <v>6</v>
      </c>
      <c r="G759" s="4" t="n">
        <v>0</v>
      </c>
      <c r="J759" s="11" t="b">
        <f aca="false">TRUE()</f>
        <v>1</v>
      </c>
      <c r="K759" s="4" t="s">
        <v>3044</v>
      </c>
      <c r="L759" s="4" t="n">
        <v>4</v>
      </c>
      <c r="M759" s="4" t="n">
        <v>4</v>
      </c>
      <c r="N759" s="4" t="n">
        <v>4</v>
      </c>
      <c r="O759" s="4" t="n">
        <v>4</v>
      </c>
      <c r="P759" s="0" t="str">
        <f aca="false">IF(E759=0,"not_reached",IF(AND(F759&gt;0,G759=0),"allowed","blocked"))</f>
        <v>allowed</v>
      </c>
      <c r="Q759" s="0" t="str">
        <f aca="false">IF(C759="success","published",IF(E759&gt;0,"blocked_at_gate","failed_before_gate"))</f>
        <v>published</v>
      </c>
      <c r="R759" s="0" t="str">
        <f aca="false">IF(C759="success","",IF(E759&gt;0,IF(I759="freshness_within_target","freshness",IF(I759="relationships_intact","relationships",IF(I759="reconciliation_residual_zero","residual",I759))),IF(H759="quality_gate","gate_infra",H759)))</f>
        <v/>
      </c>
    </row>
    <row r="760" customFormat="false" ht="15" hidden="false" customHeight="false" outlineLevel="0" collapsed="false">
      <c r="A760" s="4" t="s">
        <v>3045</v>
      </c>
      <c r="B760" s="10" t="n">
        <v>46275.5520833333</v>
      </c>
      <c r="C760" s="4" t="s">
        <v>1544</v>
      </c>
      <c r="D760" s="4" t="n">
        <v>768</v>
      </c>
      <c r="E760" s="4" t="n">
        <v>7</v>
      </c>
      <c r="F760" s="4" t="n">
        <v>6</v>
      </c>
      <c r="G760" s="4" t="n">
        <v>0</v>
      </c>
      <c r="J760" s="11" t="b">
        <f aca="false">TRUE()</f>
        <v>1</v>
      </c>
      <c r="K760" s="4" t="s">
        <v>3046</v>
      </c>
      <c r="L760" s="4" t="n">
        <v>4</v>
      </c>
      <c r="M760" s="4" t="n">
        <v>4</v>
      </c>
      <c r="N760" s="4" t="n">
        <v>4</v>
      </c>
      <c r="O760" s="4" t="n">
        <v>4</v>
      </c>
      <c r="P760" s="0" t="str">
        <f aca="false">IF(E760=0,"not_reached",IF(AND(F760&gt;0,G760=0),"allowed","blocked"))</f>
        <v>allowed</v>
      </c>
      <c r="Q760" s="0" t="str">
        <f aca="false">IF(C760="success","published",IF(E760&gt;0,"blocked_at_gate","failed_before_gate"))</f>
        <v>published</v>
      </c>
      <c r="R760" s="0" t="str">
        <f aca="false">IF(C760="success","",IF(E760&gt;0,IF(I760="freshness_within_target","freshness",IF(I760="relationships_intact","relationships",IF(I760="reconciliation_residual_zero","residual",I760))),IF(H760="quality_gate","gate_infra",H760)))</f>
        <v/>
      </c>
    </row>
    <row r="761" customFormat="false" ht="15" hidden="false" customHeight="false" outlineLevel="0" collapsed="false">
      <c r="A761" s="4" t="s">
        <v>3047</v>
      </c>
      <c r="B761" s="10" t="n">
        <v>46275.59375</v>
      </c>
      <c r="C761" s="4" t="s">
        <v>1544</v>
      </c>
      <c r="D761" s="4" t="n">
        <v>857</v>
      </c>
      <c r="E761" s="4" t="n">
        <v>7</v>
      </c>
      <c r="F761" s="4" t="n">
        <v>6</v>
      </c>
      <c r="G761" s="4" t="n">
        <v>0</v>
      </c>
      <c r="J761" s="11" t="b">
        <f aca="false">TRUE()</f>
        <v>1</v>
      </c>
      <c r="K761" s="4" t="s">
        <v>3048</v>
      </c>
      <c r="L761" s="4" t="n">
        <v>4</v>
      </c>
      <c r="M761" s="4" t="n">
        <v>4</v>
      </c>
      <c r="N761" s="4" t="n">
        <v>4</v>
      </c>
      <c r="O761" s="4" t="n">
        <v>4</v>
      </c>
      <c r="P761" s="0" t="str">
        <f aca="false">IF(E761=0,"not_reached",IF(AND(F761&gt;0,G761=0),"allowed","blocked"))</f>
        <v>allowed</v>
      </c>
      <c r="Q761" s="0" t="str">
        <f aca="false">IF(C761="success","published",IF(E761&gt;0,"blocked_at_gate","failed_before_gate"))</f>
        <v>published</v>
      </c>
      <c r="R761" s="0" t="str">
        <f aca="false">IF(C761="success","",IF(E761&gt;0,IF(I761="freshness_within_target","freshness",IF(I761="relationships_intact","relationships",IF(I761="reconciliation_residual_zero","residual",I761))),IF(H761="quality_gate","gate_infra",H761)))</f>
        <v/>
      </c>
    </row>
    <row r="762" customFormat="false" ht="15" hidden="false" customHeight="false" outlineLevel="0" collapsed="false">
      <c r="A762" s="4" t="s">
        <v>3049</v>
      </c>
      <c r="B762" s="10" t="n">
        <v>46275.6354166667</v>
      </c>
      <c r="C762" s="4" t="s">
        <v>1544</v>
      </c>
      <c r="D762" s="4" t="n">
        <v>665</v>
      </c>
      <c r="E762" s="4" t="n">
        <v>7</v>
      </c>
      <c r="F762" s="4" t="n">
        <v>6</v>
      </c>
      <c r="G762" s="4" t="n">
        <v>0</v>
      </c>
      <c r="J762" s="11" t="b">
        <f aca="false">TRUE()</f>
        <v>1</v>
      </c>
      <c r="K762" s="4" t="s">
        <v>3050</v>
      </c>
      <c r="L762" s="4" t="n">
        <v>4</v>
      </c>
      <c r="M762" s="4" t="n">
        <v>4</v>
      </c>
      <c r="N762" s="4" t="n">
        <v>4</v>
      </c>
      <c r="O762" s="4" t="n">
        <v>4</v>
      </c>
      <c r="P762" s="0" t="str">
        <f aca="false">IF(E762=0,"not_reached",IF(AND(F762&gt;0,G762=0),"allowed","blocked"))</f>
        <v>allowed</v>
      </c>
      <c r="Q762" s="0" t="str">
        <f aca="false">IF(C762="success","published",IF(E762&gt;0,"blocked_at_gate","failed_before_gate"))</f>
        <v>published</v>
      </c>
      <c r="R762" s="0" t="str">
        <f aca="false">IF(C762="success","",IF(E762&gt;0,IF(I762="freshness_within_target","freshness",IF(I762="relationships_intact","relationships",IF(I762="reconciliation_residual_zero","residual",I762))),IF(H762="quality_gate","gate_infra",H762)))</f>
        <v/>
      </c>
    </row>
    <row r="763" customFormat="false" ht="15" hidden="false" customHeight="false" outlineLevel="0" collapsed="false">
      <c r="A763" s="4" t="s">
        <v>3051</v>
      </c>
      <c r="B763" s="10" t="n">
        <v>46275.6770833333</v>
      </c>
      <c r="C763" s="4" t="s">
        <v>1544</v>
      </c>
      <c r="D763" s="4" t="n">
        <v>736</v>
      </c>
      <c r="E763" s="4" t="n">
        <v>7</v>
      </c>
      <c r="F763" s="4" t="n">
        <v>6</v>
      </c>
      <c r="G763" s="4" t="n">
        <v>0</v>
      </c>
      <c r="J763" s="11" t="b">
        <f aca="false">TRUE()</f>
        <v>1</v>
      </c>
      <c r="K763" s="4" t="s">
        <v>3052</v>
      </c>
      <c r="L763" s="4" t="n">
        <v>4</v>
      </c>
      <c r="M763" s="4" t="n">
        <v>4</v>
      </c>
      <c r="N763" s="4" t="n">
        <v>4</v>
      </c>
      <c r="O763" s="4" t="n">
        <v>4</v>
      </c>
      <c r="P763" s="0" t="str">
        <f aca="false">IF(E763=0,"not_reached",IF(AND(F763&gt;0,G763=0),"allowed","blocked"))</f>
        <v>allowed</v>
      </c>
      <c r="Q763" s="0" t="str">
        <f aca="false">IF(C763="success","published",IF(E763&gt;0,"blocked_at_gate","failed_before_gate"))</f>
        <v>published</v>
      </c>
      <c r="R763" s="0" t="str">
        <f aca="false">IF(C763="success","",IF(E763&gt;0,IF(I763="freshness_within_target","freshness",IF(I763="relationships_intact","relationships",IF(I763="reconciliation_residual_zero","residual",I763))),IF(H763="quality_gate","gate_infra",H763)))</f>
        <v/>
      </c>
    </row>
    <row r="764" customFormat="false" ht="15" hidden="false" customHeight="false" outlineLevel="0" collapsed="false">
      <c r="A764" s="4" t="s">
        <v>3053</v>
      </c>
      <c r="B764" s="10" t="n">
        <v>46275.71875</v>
      </c>
      <c r="C764" s="4" t="s">
        <v>1544</v>
      </c>
      <c r="D764" s="4" t="n">
        <v>771</v>
      </c>
      <c r="E764" s="4" t="n">
        <v>7</v>
      </c>
      <c r="F764" s="4" t="n">
        <v>6</v>
      </c>
      <c r="G764" s="4" t="n">
        <v>0</v>
      </c>
      <c r="J764" s="11" t="b">
        <f aca="false">TRUE()</f>
        <v>1</v>
      </c>
      <c r="K764" s="4" t="s">
        <v>3054</v>
      </c>
      <c r="L764" s="4" t="n">
        <v>4</v>
      </c>
      <c r="M764" s="4" t="n">
        <v>4</v>
      </c>
      <c r="N764" s="4" t="n">
        <v>4</v>
      </c>
      <c r="O764" s="4" t="n">
        <v>4</v>
      </c>
      <c r="P764" s="0" t="str">
        <f aca="false">IF(E764=0,"not_reached",IF(AND(F764&gt;0,G764=0),"allowed","blocked"))</f>
        <v>allowed</v>
      </c>
      <c r="Q764" s="0" t="str">
        <f aca="false">IF(C764="success","published",IF(E764&gt;0,"blocked_at_gate","failed_before_gate"))</f>
        <v>published</v>
      </c>
      <c r="R764" s="0" t="str">
        <f aca="false">IF(C764="success","",IF(E764&gt;0,IF(I764="freshness_within_target","freshness",IF(I764="relationships_intact","relationships",IF(I764="reconciliation_residual_zero","residual",I764))),IF(H764="quality_gate","gate_infra",H764)))</f>
        <v/>
      </c>
    </row>
    <row r="765" customFormat="false" ht="15" hidden="false" customHeight="false" outlineLevel="0" collapsed="false">
      <c r="A765" s="4" t="s">
        <v>3055</v>
      </c>
      <c r="B765" s="10" t="n">
        <v>46275.7604166667</v>
      </c>
      <c r="C765" s="4" t="s">
        <v>1544</v>
      </c>
      <c r="D765" s="4" t="n">
        <v>723</v>
      </c>
      <c r="E765" s="4" t="n">
        <v>7</v>
      </c>
      <c r="F765" s="4" t="n">
        <v>6</v>
      </c>
      <c r="G765" s="4" t="n">
        <v>0</v>
      </c>
      <c r="J765" s="11" t="b">
        <f aca="false">TRUE()</f>
        <v>1</v>
      </c>
      <c r="K765" s="4" t="s">
        <v>3056</v>
      </c>
      <c r="L765" s="4" t="n">
        <v>4</v>
      </c>
      <c r="M765" s="4" t="n">
        <v>4</v>
      </c>
      <c r="N765" s="4" t="n">
        <v>4</v>
      </c>
      <c r="O765" s="4" t="n">
        <v>4</v>
      </c>
      <c r="P765" s="0" t="str">
        <f aca="false">IF(E765=0,"not_reached",IF(AND(F765&gt;0,G765=0),"allowed","blocked"))</f>
        <v>allowed</v>
      </c>
      <c r="Q765" s="0" t="str">
        <f aca="false">IF(C765="success","published",IF(E765&gt;0,"blocked_at_gate","failed_before_gate"))</f>
        <v>published</v>
      </c>
      <c r="R765" s="0" t="str">
        <f aca="false">IF(C765="success","",IF(E765&gt;0,IF(I765="freshness_within_target","freshness",IF(I765="relationships_intact","relationships",IF(I765="reconciliation_residual_zero","residual",I765))),IF(H765="quality_gate","gate_infra",H765)))</f>
        <v/>
      </c>
    </row>
    <row r="766" customFormat="false" ht="15" hidden="false" customHeight="false" outlineLevel="0" collapsed="false">
      <c r="A766" s="4" t="s">
        <v>3057</v>
      </c>
      <c r="B766" s="10" t="n">
        <v>46275.8020833333</v>
      </c>
      <c r="C766" s="4" t="s">
        <v>1544</v>
      </c>
      <c r="D766" s="4" t="n">
        <v>871</v>
      </c>
      <c r="E766" s="4" t="n">
        <v>7</v>
      </c>
      <c r="F766" s="4" t="n">
        <v>6</v>
      </c>
      <c r="G766" s="4" t="n">
        <v>0</v>
      </c>
      <c r="J766" s="11" t="b">
        <f aca="false">TRUE()</f>
        <v>1</v>
      </c>
      <c r="K766" s="4" t="s">
        <v>3058</v>
      </c>
      <c r="L766" s="4" t="n">
        <v>4</v>
      </c>
      <c r="M766" s="4" t="n">
        <v>4</v>
      </c>
      <c r="N766" s="4" t="n">
        <v>4</v>
      </c>
      <c r="O766" s="4" t="n">
        <v>4</v>
      </c>
      <c r="P766" s="0" t="str">
        <f aca="false">IF(E766=0,"not_reached",IF(AND(F766&gt;0,G766=0),"allowed","blocked"))</f>
        <v>allowed</v>
      </c>
      <c r="Q766" s="0" t="str">
        <f aca="false">IF(C766="success","published",IF(E766&gt;0,"blocked_at_gate","failed_before_gate"))</f>
        <v>published</v>
      </c>
      <c r="R766" s="0" t="str">
        <f aca="false">IF(C766="success","",IF(E766&gt;0,IF(I766="freshness_within_target","freshness",IF(I766="relationships_intact","relationships",IF(I766="reconciliation_residual_zero","residual",I766))),IF(H766="quality_gate","gate_infra",H766)))</f>
        <v/>
      </c>
    </row>
    <row r="767" customFormat="false" ht="15" hidden="false" customHeight="false" outlineLevel="0" collapsed="false">
      <c r="A767" s="4" t="s">
        <v>3059</v>
      </c>
      <c r="B767" s="10" t="n">
        <v>46275.84375</v>
      </c>
      <c r="C767" s="4" t="s">
        <v>1544</v>
      </c>
      <c r="D767" s="4" t="n">
        <v>797</v>
      </c>
      <c r="E767" s="4" t="n">
        <v>7</v>
      </c>
      <c r="F767" s="4" t="n">
        <v>6</v>
      </c>
      <c r="G767" s="4" t="n">
        <v>0</v>
      </c>
      <c r="J767" s="11" t="b">
        <f aca="false">TRUE()</f>
        <v>1</v>
      </c>
      <c r="K767" s="4" t="s">
        <v>3060</v>
      </c>
      <c r="L767" s="4" t="n">
        <v>4</v>
      </c>
      <c r="M767" s="4" t="n">
        <v>4</v>
      </c>
      <c r="N767" s="4" t="n">
        <v>4</v>
      </c>
      <c r="O767" s="4" t="n">
        <v>4</v>
      </c>
      <c r="P767" s="0" t="str">
        <f aca="false">IF(E767=0,"not_reached",IF(AND(F767&gt;0,G767=0),"allowed","blocked"))</f>
        <v>allowed</v>
      </c>
      <c r="Q767" s="0" t="str">
        <f aca="false">IF(C767="success","published",IF(E767&gt;0,"blocked_at_gate","failed_before_gate"))</f>
        <v>published</v>
      </c>
      <c r="R767" s="0" t="str">
        <f aca="false">IF(C767="success","",IF(E767&gt;0,IF(I767="freshness_within_target","freshness",IF(I767="relationships_intact","relationships",IF(I767="reconciliation_residual_zero","residual",I767))),IF(H767="quality_gate","gate_infra",H767)))</f>
        <v/>
      </c>
    </row>
    <row r="768" customFormat="false" ht="15" hidden="false" customHeight="false" outlineLevel="0" collapsed="false">
      <c r="A768" s="4" t="s">
        <v>3061</v>
      </c>
      <c r="B768" s="10" t="n">
        <v>46275.8854166667</v>
      </c>
      <c r="C768" s="4" t="s">
        <v>1544</v>
      </c>
      <c r="D768" s="4" t="n">
        <v>828</v>
      </c>
      <c r="E768" s="4" t="n">
        <v>7</v>
      </c>
      <c r="F768" s="4" t="n">
        <v>6</v>
      </c>
      <c r="G768" s="4" t="n">
        <v>0</v>
      </c>
      <c r="J768" s="11" t="b">
        <f aca="false">TRUE()</f>
        <v>1</v>
      </c>
      <c r="K768" s="4" t="s">
        <v>3062</v>
      </c>
      <c r="L768" s="4" t="n">
        <v>4</v>
      </c>
      <c r="M768" s="4" t="n">
        <v>4</v>
      </c>
      <c r="N768" s="4" t="n">
        <v>4</v>
      </c>
      <c r="O768" s="4" t="n">
        <v>4</v>
      </c>
      <c r="P768" s="0" t="str">
        <f aca="false">IF(E768=0,"not_reached",IF(AND(F768&gt;0,G768=0),"allowed","blocked"))</f>
        <v>allowed</v>
      </c>
      <c r="Q768" s="0" t="str">
        <f aca="false">IF(C768="success","published",IF(E768&gt;0,"blocked_at_gate","failed_before_gate"))</f>
        <v>published</v>
      </c>
      <c r="R768" s="0" t="str">
        <f aca="false">IF(C768="success","",IF(E768&gt;0,IF(I768="freshness_within_target","freshness",IF(I768="relationships_intact","relationships",IF(I768="reconciliation_residual_zero","residual",I768))),IF(H768="quality_gate","gate_infra",H768)))</f>
        <v/>
      </c>
    </row>
    <row r="769" customFormat="false" ht="15" hidden="false" customHeight="false" outlineLevel="0" collapsed="false">
      <c r="A769" s="4" t="s">
        <v>3063</v>
      </c>
      <c r="B769" s="10" t="n">
        <v>46275.9270833333</v>
      </c>
      <c r="C769" s="4" t="s">
        <v>1544</v>
      </c>
      <c r="D769" s="4" t="n">
        <v>926</v>
      </c>
      <c r="E769" s="4" t="n">
        <v>7</v>
      </c>
      <c r="F769" s="4" t="n">
        <v>6</v>
      </c>
      <c r="G769" s="4" t="n">
        <v>0</v>
      </c>
      <c r="J769" s="11" t="b">
        <f aca="false">TRUE()</f>
        <v>1</v>
      </c>
      <c r="K769" s="4" t="s">
        <v>3064</v>
      </c>
      <c r="L769" s="4" t="n">
        <v>4</v>
      </c>
      <c r="M769" s="4" t="n">
        <v>4</v>
      </c>
      <c r="N769" s="4" t="n">
        <v>4</v>
      </c>
      <c r="O769" s="4" t="n">
        <v>4</v>
      </c>
      <c r="P769" s="0" t="str">
        <f aca="false">IF(E769=0,"not_reached",IF(AND(F769&gt;0,G769=0),"allowed","blocked"))</f>
        <v>allowed</v>
      </c>
      <c r="Q769" s="0" t="str">
        <f aca="false">IF(C769="success","published",IF(E769&gt;0,"blocked_at_gate","failed_before_gate"))</f>
        <v>published</v>
      </c>
      <c r="R769" s="0" t="str">
        <f aca="false">IF(C769="success","",IF(E769&gt;0,IF(I769="freshness_within_target","freshness",IF(I769="relationships_intact","relationships",IF(I769="reconciliation_residual_zero","residual",I769))),IF(H769="quality_gate","gate_infra",H769)))</f>
        <v/>
      </c>
    </row>
    <row r="770" customFormat="false" ht="15" hidden="false" customHeight="false" outlineLevel="0" collapsed="false">
      <c r="A770" s="4" t="s">
        <v>3065</v>
      </c>
      <c r="B770" s="10" t="n">
        <v>46275.96875</v>
      </c>
      <c r="C770" s="4" t="s">
        <v>1544</v>
      </c>
      <c r="D770" s="4" t="n">
        <v>976</v>
      </c>
      <c r="E770" s="4" t="n">
        <v>7</v>
      </c>
      <c r="F770" s="4" t="n">
        <v>6</v>
      </c>
      <c r="G770" s="4" t="n">
        <v>0</v>
      </c>
      <c r="J770" s="11" t="b">
        <f aca="false">TRUE()</f>
        <v>1</v>
      </c>
      <c r="K770" s="4" t="s">
        <v>3066</v>
      </c>
      <c r="L770" s="4" t="n">
        <v>4</v>
      </c>
      <c r="M770" s="4" t="n">
        <v>4</v>
      </c>
      <c r="N770" s="4" t="n">
        <v>5</v>
      </c>
      <c r="O770" s="4" t="n">
        <v>4</v>
      </c>
      <c r="P770" s="0" t="str">
        <f aca="false">IF(E770=0,"not_reached",IF(AND(F770&gt;0,G770=0),"allowed","blocked"))</f>
        <v>allowed</v>
      </c>
      <c r="Q770" s="0" t="str">
        <f aca="false">IF(C770="success","published",IF(E770&gt;0,"blocked_at_gate","failed_before_gate"))</f>
        <v>published</v>
      </c>
      <c r="R770" s="0" t="str">
        <f aca="false">IF(C770="success","",IF(E770&gt;0,IF(I770="freshness_within_target","freshness",IF(I770="relationships_intact","relationships",IF(I770="reconciliation_residual_zero","residual",I770))),IF(H770="quality_gate","gate_infra",H770)))</f>
        <v/>
      </c>
    </row>
    <row r="771" customFormat="false" ht="15" hidden="false" customHeight="false" outlineLevel="0" collapsed="false">
      <c r="A771" s="4" t="s">
        <v>3067</v>
      </c>
      <c r="B771" s="10" t="n">
        <v>46276.0104166667</v>
      </c>
      <c r="C771" s="4" t="s">
        <v>1544</v>
      </c>
      <c r="D771" s="4" t="n">
        <v>1040</v>
      </c>
      <c r="E771" s="4" t="n">
        <v>7</v>
      </c>
      <c r="F771" s="4" t="n">
        <v>6</v>
      </c>
      <c r="G771" s="4" t="n">
        <v>0</v>
      </c>
      <c r="J771" s="11" t="b">
        <f aca="false">TRUE()</f>
        <v>1</v>
      </c>
      <c r="K771" s="4" t="s">
        <v>3068</v>
      </c>
      <c r="L771" s="4" t="n">
        <v>4</v>
      </c>
      <c r="M771" s="4" t="n">
        <v>4</v>
      </c>
      <c r="N771" s="4" t="n">
        <v>5</v>
      </c>
      <c r="O771" s="4" t="n">
        <v>4</v>
      </c>
      <c r="P771" s="0" t="str">
        <f aca="false">IF(E771=0,"not_reached",IF(AND(F771&gt;0,G771=0),"allowed","blocked"))</f>
        <v>allowed</v>
      </c>
      <c r="Q771" s="0" t="str">
        <f aca="false">IF(C771="success","published",IF(E771&gt;0,"blocked_at_gate","failed_before_gate"))</f>
        <v>published</v>
      </c>
      <c r="R771" s="0" t="str">
        <f aca="false">IF(C771="success","",IF(E771&gt;0,IF(I771="freshness_within_target","freshness",IF(I771="relationships_intact","relationships",IF(I771="reconciliation_residual_zero","residual",I771))),IF(H771="quality_gate","gate_infra",H771)))</f>
        <v/>
      </c>
    </row>
    <row r="772" customFormat="false" ht="15" hidden="false" customHeight="false" outlineLevel="0" collapsed="false">
      <c r="A772" s="4" t="s">
        <v>3069</v>
      </c>
      <c r="B772" s="10" t="n">
        <v>46276.0520833333</v>
      </c>
      <c r="C772" s="4" t="s">
        <v>1544</v>
      </c>
      <c r="D772" s="4" t="n">
        <v>673</v>
      </c>
      <c r="E772" s="4" t="n">
        <v>7</v>
      </c>
      <c r="F772" s="4" t="n">
        <v>6</v>
      </c>
      <c r="G772" s="4" t="n">
        <v>0</v>
      </c>
      <c r="J772" s="11" t="b">
        <f aca="false">TRUE()</f>
        <v>1</v>
      </c>
      <c r="K772" s="4" t="s">
        <v>3070</v>
      </c>
      <c r="L772" s="4" t="n">
        <v>4</v>
      </c>
      <c r="M772" s="4" t="n">
        <v>4</v>
      </c>
      <c r="N772" s="4" t="n">
        <v>4</v>
      </c>
      <c r="O772" s="4" t="n">
        <v>4</v>
      </c>
      <c r="P772" s="0" t="str">
        <f aca="false">IF(E772=0,"not_reached",IF(AND(F772&gt;0,G772=0),"allowed","blocked"))</f>
        <v>allowed</v>
      </c>
      <c r="Q772" s="0" t="str">
        <f aca="false">IF(C772="success","published",IF(E772&gt;0,"blocked_at_gate","failed_before_gate"))</f>
        <v>published</v>
      </c>
      <c r="R772" s="0" t="str">
        <f aca="false">IF(C772="success","",IF(E772&gt;0,IF(I772="freshness_within_target","freshness",IF(I772="relationships_intact","relationships",IF(I772="reconciliation_residual_zero","residual",I772))),IF(H772="quality_gate","gate_infra",H772)))</f>
        <v/>
      </c>
    </row>
    <row r="773" customFormat="false" ht="15" hidden="false" customHeight="false" outlineLevel="0" collapsed="false">
      <c r="A773" s="4" t="s">
        <v>3071</v>
      </c>
      <c r="B773" s="10" t="n">
        <v>46276.09375</v>
      </c>
      <c r="C773" s="4" t="s">
        <v>1544</v>
      </c>
      <c r="D773" s="4" t="n">
        <v>722</v>
      </c>
      <c r="E773" s="4" t="n">
        <v>7</v>
      </c>
      <c r="F773" s="4" t="n">
        <v>6</v>
      </c>
      <c r="G773" s="4" t="n">
        <v>0</v>
      </c>
      <c r="J773" s="11" t="b">
        <f aca="false">TRUE()</f>
        <v>1</v>
      </c>
      <c r="K773" s="4" t="s">
        <v>3072</v>
      </c>
      <c r="L773" s="4" t="n">
        <v>4</v>
      </c>
      <c r="M773" s="4" t="n">
        <v>4</v>
      </c>
      <c r="N773" s="4" t="n">
        <v>4</v>
      </c>
      <c r="O773" s="4" t="n">
        <v>4</v>
      </c>
      <c r="P773" s="0" t="str">
        <f aca="false">IF(E773=0,"not_reached",IF(AND(F773&gt;0,G773=0),"allowed","blocked"))</f>
        <v>allowed</v>
      </c>
      <c r="Q773" s="0" t="str">
        <f aca="false">IF(C773="success","published",IF(E773&gt;0,"blocked_at_gate","failed_before_gate"))</f>
        <v>published</v>
      </c>
      <c r="R773" s="0" t="str">
        <f aca="false">IF(C773="success","",IF(E773&gt;0,IF(I773="freshness_within_target","freshness",IF(I773="relationships_intact","relationships",IF(I773="reconciliation_residual_zero","residual",I773))),IF(H773="quality_gate","gate_infra",H773)))</f>
        <v/>
      </c>
    </row>
    <row r="774" customFormat="false" ht="15" hidden="false" customHeight="false" outlineLevel="0" collapsed="false">
      <c r="A774" s="4" t="s">
        <v>3073</v>
      </c>
      <c r="B774" s="10" t="n">
        <v>46276.1354166667</v>
      </c>
      <c r="C774" s="4" t="s">
        <v>1544</v>
      </c>
      <c r="D774" s="4" t="n">
        <v>688</v>
      </c>
      <c r="E774" s="4" t="n">
        <v>7</v>
      </c>
      <c r="F774" s="4" t="n">
        <v>6</v>
      </c>
      <c r="G774" s="4" t="n">
        <v>0</v>
      </c>
      <c r="J774" s="11" t="b">
        <f aca="false">TRUE()</f>
        <v>1</v>
      </c>
      <c r="K774" s="4" t="s">
        <v>3074</v>
      </c>
      <c r="L774" s="4" t="n">
        <v>4</v>
      </c>
      <c r="M774" s="4" t="n">
        <v>4</v>
      </c>
      <c r="N774" s="4" t="n">
        <v>4</v>
      </c>
      <c r="O774" s="4" t="n">
        <v>4</v>
      </c>
      <c r="P774" s="0" t="str">
        <f aca="false">IF(E774=0,"not_reached",IF(AND(F774&gt;0,G774=0),"allowed","blocked"))</f>
        <v>allowed</v>
      </c>
      <c r="Q774" s="0" t="str">
        <f aca="false">IF(C774="success","published",IF(E774&gt;0,"blocked_at_gate","failed_before_gate"))</f>
        <v>published</v>
      </c>
      <c r="R774" s="0" t="str">
        <f aca="false">IF(C774="success","",IF(E774&gt;0,IF(I774="freshness_within_target","freshness",IF(I774="relationships_intact","relationships",IF(I774="reconciliation_residual_zero","residual",I774))),IF(H774="quality_gate","gate_infra",H774)))</f>
        <v/>
      </c>
    </row>
    <row r="775" customFormat="false" ht="15" hidden="false" customHeight="false" outlineLevel="0" collapsed="false">
      <c r="A775" s="4" t="s">
        <v>3075</v>
      </c>
      <c r="B775" s="10" t="n">
        <v>46276.1770833333</v>
      </c>
      <c r="C775" s="4" t="s">
        <v>1544</v>
      </c>
      <c r="D775" s="4" t="n">
        <v>958</v>
      </c>
      <c r="E775" s="4" t="n">
        <v>7</v>
      </c>
      <c r="F775" s="4" t="n">
        <v>6</v>
      </c>
      <c r="G775" s="4" t="n">
        <v>0</v>
      </c>
      <c r="J775" s="11" t="b">
        <f aca="false">TRUE()</f>
        <v>1</v>
      </c>
      <c r="K775" s="4" t="s">
        <v>3076</v>
      </c>
      <c r="L775" s="4" t="n">
        <v>4</v>
      </c>
      <c r="M775" s="4" t="n">
        <v>4</v>
      </c>
      <c r="N775" s="4" t="n">
        <v>4</v>
      </c>
      <c r="O775" s="4" t="n">
        <v>4</v>
      </c>
      <c r="P775" s="0" t="str">
        <f aca="false">IF(E775=0,"not_reached",IF(AND(F775&gt;0,G775=0),"allowed","blocked"))</f>
        <v>allowed</v>
      </c>
      <c r="Q775" s="0" t="str">
        <f aca="false">IF(C775="success","published",IF(E775&gt;0,"blocked_at_gate","failed_before_gate"))</f>
        <v>published</v>
      </c>
      <c r="R775" s="0" t="str">
        <f aca="false">IF(C775="success","",IF(E775&gt;0,IF(I775="freshness_within_target","freshness",IF(I775="relationships_intact","relationships",IF(I775="reconciliation_residual_zero","residual",I775))),IF(H775="quality_gate","gate_infra",H775)))</f>
        <v/>
      </c>
    </row>
    <row r="776" customFormat="false" ht="15" hidden="false" customHeight="false" outlineLevel="0" collapsed="false">
      <c r="A776" s="4" t="s">
        <v>3077</v>
      </c>
      <c r="B776" s="10" t="n">
        <v>46276.21875</v>
      </c>
      <c r="C776" s="4" t="s">
        <v>1544</v>
      </c>
      <c r="D776" s="4" t="n">
        <v>793</v>
      </c>
      <c r="E776" s="4" t="n">
        <v>7</v>
      </c>
      <c r="F776" s="4" t="n">
        <v>6</v>
      </c>
      <c r="G776" s="4" t="n">
        <v>0</v>
      </c>
      <c r="J776" s="11" t="b">
        <f aca="false">TRUE()</f>
        <v>1</v>
      </c>
      <c r="K776" s="4" t="s">
        <v>3078</v>
      </c>
      <c r="L776" s="4" t="n">
        <v>4</v>
      </c>
      <c r="M776" s="4" t="n">
        <v>4</v>
      </c>
      <c r="N776" s="4" t="n">
        <v>4</v>
      </c>
      <c r="O776" s="4" t="n">
        <v>4</v>
      </c>
      <c r="P776" s="0" t="str">
        <f aca="false">IF(E776=0,"not_reached",IF(AND(F776&gt;0,G776=0),"allowed","blocked"))</f>
        <v>allowed</v>
      </c>
      <c r="Q776" s="0" t="str">
        <f aca="false">IF(C776="success","published",IF(E776&gt;0,"blocked_at_gate","failed_before_gate"))</f>
        <v>published</v>
      </c>
      <c r="R776" s="0" t="str">
        <f aca="false">IF(C776="success","",IF(E776&gt;0,IF(I776="freshness_within_target","freshness",IF(I776="relationships_intact","relationships",IF(I776="reconciliation_residual_zero","residual",I776))),IF(H776="quality_gate","gate_infra",H776)))</f>
        <v/>
      </c>
    </row>
    <row r="777" customFormat="false" ht="15" hidden="false" customHeight="false" outlineLevel="0" collapsed="false">
      <c r="A777" s="4" t="s">
        <v>3079</v>
      </c>
      <c r="B777" s="10" t="n">
        <v>46276.2604166667</v>
      </c>
      <c r="C777" s="4" t="s">
        <v>1544</v>
      </c>
      <c r="D777" s="4" t="n">
        <v>813</v>
      </c>
      <c r="E777" s="4" t="n">
        <v>7</v>
      </c>
      <c r="F777" s="4" t="n">
        <v>6</v>
      </c>
      <c r="G777" s="4" t="n">
        <v>0</v>
      </c>
      <c r="J777" s="11" t="b">
        <f aca="false">TRUE()</f>
        <v>1</v>
      </c>
      <c r="K777" s="4" t="s">
        <v>3080</v>
      </c>
      <c r="L777" s="4" t="n">
        <v>4</v>
      </c>
      <c r="M777" s="4" t="n">
        <v>4</v>
      </c>
      <c r="N777" s="4" t="n">
        <v>4</v>
      </c>
      <c r="O777" s="4" t="n">
        <v>4</v>
      </c>
      <c r="P777" s="0" t="str">
        <f aca="false">IF(E777=0,"not_reached",IF(AND(F777&gt;0,G777=0),"allowed","blocked"))</f>
        <v>allowed</v>
      </c>
      <c r="Q777" s="0" t="str">
        <f aca="false">IF(C777="success","published",IF(E777&gt;0,"blocked_at_gate","failed_before_gate"))</f>
        <v>published</v>
      </c>
      <c r="R777" s="0" t="str">
        <f aca="false">IF(C777="success","",IF(E777&gt;0,IF(I777="freshness_within_target","freshness",IF(I777="relationships_intact","relationships",IF(I777="reconciliation_residual_zero","residual",I777))),IF(H777="quality_gate","gate_infra",H777)))</f>
        <v/>
      </c>
    </row>
    <row r="778" customFormat="false" ht="15" hidden="false" customHeight="false" outlineLevel="0" collapsed="false">
      <c r="A778" s="4" t="s">
        <v>3081</v>
      </c>
      <c r="B778" s="10" t="n">
        <v>46276.3020833333</v>
      </c>
      <c r="C778" s="4" t="s">
        <v>1544</v>
      </c>
      <c r="D778" s="4" t="n">
        <v>885</v>
      </c>
      <c r="E778" s="4" t="n">
        <v>7</v>
      </c>
      <c r="F778" s="4" t="n">
        <v>6</v>
      </c>
      <c r="G778" s="4" t="n">
        <v>0</v>
      </c>
      <c r="J778" s="11" t="b">
        <f aca="false">TRUE()</f>
        <v>1</v>
      </c>
      <c r="K778" s="4" t="s">
        <v>3082</v>
      </c>
      <c r="L778" s="4" t="n">
        <v>4</v>
      </c>
      <c r="M778" s="4" t="n">
        <v>4</v>
      </c>
      <c r="N778" s="4" t="n">
        <v>4</v>
      </c>
      <c r="O778" s="4" t="n">
        <v>4</v>
      </c>
      <c r="P778" s="0" t="str">
        <f aca="false">IF(E778=0,"not_reached",IF(AND(F778&gt;0,G778=0),"allowed","blocked"))</f>
        <v>allowed</v>
      </c>
      <c r="Q778" s="0" t="str">
        <f aca="false">IF(C778="success","published",IF(E778&gt;0,"blocked_at_gate","failed_before_gate"))</f>
        <v>published</v>
      </c>
      <c r="R778" s="0" t="str">
        <f aca="false">IF(C778="success","",IF(E778&gt;0,IF(I778="freshness_within_target","freshness",IF(I778="relationships_intact","relationships",IF(I778="reconciliation_residual_zero","residual",I778))),IF(H778="quality_gate","gate_infra",H778)))</f>
        <v/>
      </c>
    </row>
    <row r="779" customFormat="false" ht="15" hidden="false" customHeight="false" outlineLevel="0" collapsed="false">
      <c r="A779" s="4" t="s">
        <v>3083</v>
      </c>
      <c r="B779" s="10" t="n">
        <v>46276.34375</v>
      </c>
      <c r="C779" s="4" t="s">
        <v>1544</v>
      </c>
      <c r="D779" s="4" t="n">
        <v>1097</v>
      </c>
      <c r="E779" s="4" t="n">
        <v>7</v>
      </c>
      <c r="F779" s="4" t="n">
        <v>6</v>
      </c>
      <c r="G779" s="4" t="n">
        <v>0</v>
      </c>
      <c r="J779" s="11" t="b">
        <f aca="false">TRUE()</f>
        <v>1</v>
      </c>
      <c r="K779" s="4" t="s">
        <v>3084</v>
      </c>
      <c r="L779" s="4" t="n">
        <v>4</v>
      </c>
      <c r="M779" s="4" t="n">
        <v>4</v>
      </c>
      <c r="N779" s="4" t="n">
        <v>5</v>
      </c>
      <c r="O779" s="4" t="n">
        <v>4</v>
      </c>
      <c r="P779" s="0" t="str">
        <f aca="false">IF(E779=0,"not_reached",IF(AND(F779&gt;0,G779=0),"allowed","blocked"))</f>
        <v>allowed</v>
      </c>
      <c r="Q779" s="0" t="str">
        <f aca="false">IF(C779="success","published",IF(E779&gt;0,"blocked_at_gate","failed_before_gate"))</f>
        <v>published</v>
      </c>
      <c r="R779" s="0" t="str">
        <f aca="false">IF(C779="success","",IF(E779&gt;0,IF(I779="freshness_within_target","freshness",IF(I779="relationships_intact","relationships",IF(I779="reconciliation_residual_zero","residual",I779))),IF(H779="quality_gate","gate_infra",H779)))</f>
        <v/>
      </c>
    </row>
    <row r="780" customFormat="false" ht="15" hidden="false" customHeight="false" outlineLevel="0" collapsed="false">
      <c r="A780" s="4" t="s">
        <v>3085</v>
      </c>
      <c r="B780" s="10" t="n">
        <v>46276.3854166667</v>
      </c>
      <c r="C780" s="4" t="s">
        <v>1544</v>
      </c>
      <c r="D780" s="4" t="n">
        <v>918</v>
      </c>
      <c r="E780" s="4" t="n">
        <v>7</v>
      </c>
      <c r="F780" s="4" t="n">
        <v>6</v>
      </c>
      <c r="G780" s="4" t="n">
        <v>0</v>
      </c>
      <c r="J780" s="11" t="b">
        <f aca="false">TRUE()</f>
        <v>1</v>
      </c>
      <c r="K780" s="4" t="s">
        <v>3086</v>
      </c>
      <c r="L780" s="4" t="n">
        <v>4</v>
      </c>
      <c r="M780" s="4" t="n">
        <v>4</v>
      </c>
      <c r="N780" s="4" t="n">
        <v>4</v>
      </c>
      <c r="O780" s="4" t="n">
        <v>4</v>
      </c>
      <c r="P780" s="0" t="str">
        <f aca="false">IF(E780=0,"not_reached",IF(AND(F780&gt;0,G780=0),"allowed","blocked"))</f>
        <v>allowed</v>
      </c>
      <c r="Q780" s="0" t="str">
        <f aca="false">IF(C780="success","published",IF(E780&gt;0,"blocked_at_gate","failed_before_gate"))</f>
        <v>published</v>
      </c>
      <c r="R780" s="0" t="str">
        <f aca="false">IF(C780="success","",IF(E780&gt;0,IF(I780="freshness_within_target","freshness",IF(I780="relationships_intact","relationships",IF(I780="reconciliation_residual_zero","residual",I780))),IF(H780="quality_gate","gate_infra",H780)))</f>
        <v/>
      </c>
    </row>
    <row r="781" customFormat="false" ht="15" hidden="false" customHeight="false" outlineLevel="0" collapsed="false">
      <c r="A781" s="4" t="s">
        <v>3087</v>
      </c>
      <c r="B781" s="10" t="n">
        <v>46276.4270833333</v>
      </c>
      <c r="C781" s="4" t="s">
        <v>1544</v>
      </c>
      <c r="D781" s="4" t="n">
        <v>723</v>
      </c>
      <c r="E781" s="4" t="n">
        <v>7</v>
      </c>
      <c r="F781" s="4" t="n">
        <v>6</v>
      </c>
      <c r="G781" s="4" t="n">
        <v>0</v>
      </c>
      <c r="J781" s="11" t="b">
        <f aca="false">TRUE()</f>
        <v>1</v>
      </c>
      <c r="K781" s="4" t="s">
        <v>3088</v>
      </c>
      <c r="L781" s="4" t="n">
        <v>4</v>
      </c>
      <c r="M781" s="4" t="n">
        <v>4</v>
      </c>
      <c r="N781" s="4" t="n">
        <v>4</v>
      </c>
      <c r="O781" s="4" t="n">
        <v>4</v>
      </c>
      <c r="P781" s="0" t="str">
        <f aca="false">IF(E781=0,"not_reached",IF(AND(F781&gt;0,G781=0),"allowed","blocked"))</f>
        <v>allowed</v>
      </c>
      <c r="Q781" s="0" t="str">
        <f aca="false">IF(C781="success","published",IF(E781&gt;0,"blocked_at_gate","failed_before_gate"))</f>
        <v>published</v>
      </c>
      <c r="R781" s="0" t="str">
        <f aca="false">IF(C781="success","",IF(E781&gt;0,IF(I781="freshness_within_target","freshness",IF(I781="relationships_intact","relationships",IF(I781="reconciliation_residual_zero","residual",I781))),IF(H781="quality_gate","gate_infra",H781)))</f>
        <v/>
      </c>
    </row>
    <row r="782" customFormat="false" ht="15" hidden="false" customHeight="false" outlineLevel="0" collapsed="false">
      <c r="A782" s="4" t="s">
        <v>3089</v>
      </c>
      <c r="B782" s="10" t="n">
        <v>46276.46875</v>
      </c>
      <c r="C782" s="4" t="s">
        <v>1544</v>
      </c>
      <c r="D782" s="4" t="n">
        <v>837</v>
      </c>
      <c r="E782" s="4" t="n">
        <v>7</v>
      </c>
      <c r="F782" s="4" t="n">
        <v>6</v>
      </c>
      <c r="G782" s="4" t="n">
        <v>0</v>
      </c>
      <c r="J782" s="11" t="b">
        <f aca="false">TRUE()</f>
        <v>1</v>
      </c>
      <c r="K782" s="4" t="s">
        <v>3090</v>
      </c>
      <c r="L782" s="4" t="n">
        <v>4</v>
      </c>
      <c r="M782" s="4" t="n">
        <v>4</v>
      </c>
      <c r="N782" s="4" t="n">
        <v>4</v>
      </c>
      <c r="O782" s="4" t="n">
        <v>4</v>
      </c>
      <c r="P782" s="0" t="str">
        <f aca="false">IF(E782=0,"not_reached",IF(AND(F782&gt;0,G782=0),"allowed","blocked"))</f>
        <v>allowed</v>
      </c>
      <c r="Q782" s="0" t="str">
        <f aca="false">IF(C782="success","published",IF(E782&gt;0,"blocked_at_gate","failed_before_gate"))</f>
        <v>published</v>
      </c>
      <c r="R782" s="0" t="str">
        <f aca="false">IF(C782="success","",IF(E782&gt;0,IF(I782="freshness_within_target","freshness",IF(I782="relationships_intact","relationships",IF(I782="reconciliation_residual_zero","residual",I782))),IF(H782="quality_gate","gate_infra",H782)))</f>
        <v/>
      </c>
    </row>
    <row r="783" customFormat="false" ht="15" hidden="false" customHeight="false" outlineLevel="0" collapsed="false">
      <c r="A783" s="4" t="s">
        <v>3091</v>
      </c>
      <c r="B783" s="10" t="n">
        <v>46276.5104166667</v>
      </c>
      <c r="C783" s="4" t="s">
        <v>1901</v>
      </c>
      <c r="D783" s="4" t="n">
        <v>532</v>
      </c>
      <c r="E783" s="4" t="n">
        <v>7</v>
      </c>
      <c r="F783" s="4" t="n">
        <v>6</v>
      </c>
      <c r="G783" s="4" t="n">
        <v>1</v>
      </c>
      <c r="H783" s="4" t="s">
        <v>1954</v>
      </c>
      <c r="I783" s="4" t="s">
        <v>3092</v>
      </c>
      <c r="J783" s="11" t="b">
        <f aca="false">FALSE()</f>
        <v>0</v>
      </c>
      <c r="L783" s="4" t="n">
        <v>3</v>
      </c>
      <c r="M783" s="4" t="n">
        <v>2</v>
      </c>
      <c r="N783" s="4" t="n">
        <v>3</v>
      </c>
      <c r="O783" s="4" t="n">
        <v>2</v>
      </c>
      <c r="P783" s="0" t="str">
        <f aca="false">IF(E783=0,"not_reached",IF(AND(F783&gt;0,G783=0),"allowed","blocked"))</f>
        <v>blocked</v>
      </c>
      <c r="Q783" s="0" t="str">
        <f aca="false">IF(C783="success","published",IF(E783&gt;0,"blocked_at_gate","failed_before_gate"))</f>
        <v>blocked_at_gate</v>
      </c>
      <c r="R783" s="0" t="str">
        <f aca="false">IF(C783="success","",IF(E783&gt;0,IF(I783="freshness_within_target","freshness",IF(I783="relationships_intact","relationships",IF(I783="reconciliation_residual_zero","residual",I783))),IF(H783="quality_gate","gate_infra",H783)))</f>
        <v>relationships</v>
      </c>
    </row>
    <row r="784" customFormat="false" ht="15" hidden="false" customHeight="false" outlineLevel="0" collapsed="false">
      <c r="A784" s="4" t="s">
        <v>3093</v>
      </c>
      <c r="B784" s="10" t="n">
        <v>46276.5520833333</v>
      </c>
      <c r="C784" s="4" t="s">
        <v>1544</v>
      </c>
      <c r="D784" s="4" t="n">
        <v>856</v>
      </c>
      <c r="E784" s="4" t="n">
        <v>7</v>
      </c>
      <c r="F784" s="4" t="n">
        <v>6</v>
      </c>
      <c r="G784" s="4" t="n">
        <v>0</v>
      </c>
      <c r="J784" s="11" t="b">
        <f aca="false">TRUE()</f>
        <v>1</v>
      </c>
      <c r="K784" s="4" t="s">
        <v>3094</v>
      </c>
      <c r="L784" s="4" t="n">
        <v>4</v>
      </c>
      <c r="M784" s="4" t="n">
        <v>4</v>
      </c>
      <c r="N784" s="4" t="n">
        <v>4</v>
      </c>
      <c r="O784" s="4" t="n">
        <v>4</v>
      </c>
      <c r="P784" s="0" t="str">
        <f aca="false">IF(E784=0,"not_reached",IF(AND(F784&gt;0,G784=0),"allowed","blocked"))</f>
        <v>allowed</v>
      </c>
      <c r="Q784" s="0" t="str">
        <f aca="false">IF(C784="success","published",IF(E784&gt;0,"blocked_at_gate","failed_before_gate"))</f>
        <v>published</v>
      </c>
      <c r="R784" s="0" t="str">
        <f aca="false">IF(C784="success","",IF(E784&gt;0,IF(I784="freshness_within_target","freshness",IF(I784="relationships_intact","relationships",IF(I784="reconciliation_residual_zero","residual",I784))),IF(H784="quality_gate","gate_infra",H784)))</f>
        <v/>
      </c>
    </row>
    <row r="785" customFormat="false" ht="15" hidden="false" customHeight="false" outlineLevel="0" collapsed="false">
      <c r="A785" s="4" t="s">
        <v>3095</v>
      </c>
      <c r="B785" s="10" t="n">
        <v>46276.59375</v>
      </c>
      <c r="C785" s="4" t="s">
        <v>1544</v>
      </c>
      <c r="D785" s="4" t="n">
        <v>836</v>
      </c>
      <c r="E785" s="4" t="n">
        <v>7</v>
      </c>
      <c r="F785" s="4" t="n">
        <v>6</v>
      </c>
      <c r="G785" s="4" t="n">
        <v>0</v>
      </c>
      <c r="J785" s="11" t="b">
        <f aca="false">TRUE()</f>
        <v>1</v>
      </c>
      <c r="K785" s="4" t="s">
        <v>3096</v>
      </c>
      <c r="L785" s="4" t="n">
        <v>4</v>
      </c>
      <c r="M785" s="4" t="n">
        <v>4</v>
      </c>
      <c r="N785" s="4" t="n">
        <v>4</v>
      </c>
      <c r="O785" s="4" t="n">
        <v>4</v>
      </c>
      <c r="P785" s="0" t="str">
        <f aca="false">IF(E785=0,"not_reached",IF(AND(F785&gt;0,G785=0),"allowed","blocked"))</f>
        <v>allowed</v>
      </c>
      <c r="Q785" s="0" t="str">
        <f aca="false">IF(C785="success","published",IF(E785&gt;0,"blocked_at_gate","failed_before_gate"))</f>
        <v>published</v>
      </c>
      <c r="R785" s="0" t="str">
        <f aca="false">IF(C785="success","",IF(E785&gt;0,IF(I785="freshness_within_target","freshness",IF(I785="relationships_intact","relationships",IF(I785="reconciliation_residual_zero","residual",I785))),IF(H785="quality_gate","gate_infra",H785)))</f>
        <v/>
      </c>
    </row>
    <row r="786" customFormat="false" ht="15" hidden="false" customHeight="false" outlineLevel="0" collapsed="false">
      <c r="A786" s="4" t="s">
        <v>3097</v>
      </c>
      <c r="B786" s="10" t="n">
        <v>46276.6354166667</v>
      </c>
      <c r="C786" s="4" t="s">
        <v>1544</v>
      </c>
      <c r="D786" s="4" t="n">
        <v>906</v>
      </c>
      <c r="E786" s="4" t="n">
        <v>7</v>
      </c>
      <c r="F786" s="4" t="n">
        <v>6</v>
      </c>
      <c r="G786" s="4" t="n">
        <v>0</v>
      </c>
      <c r="J786" s="11" t="b">
        <f aca="false">TRUE()</f>
        <v>1</v>
      </c>
      <c r="K786" s="4" t="s">
        <v>3098</v>
      </c>
      <c r="L786" s="4" t="n">
        <v>4</v>
      </c>
      <c r="M786" s="4" t="n">
        <v>4</v>
      </c>
      <c r="N786" s="4" t="n">
        <v>4</v>
      </c>
      <c r="O786" s="4" t="n">
        <v>4</v>
      </c>
      <c r="P786" s="0" t="str">
        <f aca="false">IF(E786=0,"not_reached",IF(AND(F786&gt;0,G786=0),"allowed","blocked"))</f>
        <v>allowed</v>
      </c>
      <c r="Q786" s="0" t="str">
        <f aca="false">IF(C786="success","published",IF(E786&gt;0,"blocked_at_gate","failed_before_gate"))</f>
        <v>published</v>
      </c>
      <c r="R786" s="0" t="str">
        <f aca="false">IF(C786="success","",IF(E786&gt;0,IF(I786="freshness_within_target","freshness",IF(I786="relationships_intact","relationships",IF(I786="reconciliation_residual_zero","residual",I786))),IF(H786="quality_gate","gate_infra",H786)))</f>
        <v/>
      </c>
    </row>
    <row r="787" customFormat="false" ht="15" hidden="false" customHeight="false" outlineLevel="0" collapsed="false">
      <c r="A787" s="4" t="s">
        <v>3099</v>
      </c>
      <c r="B787" s="10" t="n">
        <v>46276.6770833333</v>
      </c>
      <c r="C787" s="4" t="s">
        <v>1544</v>
      </c>
      <c r="D787" s="4" t="n">
        <v>859</v>
      </c>
      <c r="E787" s="4" t="n">
        <v>7</v>
      </c>
      <c r="F787" s="4" t="n">
        <v>6</v>
      </c>
      <c r="G787" s="4" t="n">
        <v>0</v>
      </c>
      <c r="J787" s="11" t="b">
        <f aca="false">TRUE()</f>
        <v>1</v>
      </c>
      <c r="K787" s="4" t="s">
        <v>3100</v>
      </c>
      <c r="L787" s="4" t="n">
        <v>4</v>
      </c>
      <c r="M787" s="4" t="n">
        <v>4</v>
      </c>
      <c r="N787" s="4" t="n">
        <v>4</v>
      </c>
      <c r="O787" s="4" t="n">
        <v>4</v>
      </c>
      <c r="P787" s="0" t="str">
        <f aca="false">IF(E787=0,"not_reached",IF(AND(F787&gt;0,G787=0),"allowed","blocked"))</f>
        <v>allowed</v>
      </c>
      <c r="Q787" s="0" t="str">
        <f aca="false">IF(C787="success","published",IF(E787&gt;0,"blocked_at_gate","failed_before_gate"))</f>
        <v>published</v>
      </c>
      <c r="R787" s="0" t="str">
        <f aca="false">IF(C787="success","",IF(E787&gt;0,IF(I787="freshness_within_target","freshness",IF(I787="relationships_intact","relationships",IF(I787="reconciliation_residual_zero","residual",I787))),IF(H787="quality_gate","gate_infra",H787)))</f>
        <v/>
      </c>
    </row>
    <row r="788" customFormat="false" ht="15" hidden="false" customHeight="false" outlineLevel="0" collapsed="false">
      <c r="A788" s="4" t="s">
        <v>3101</v>
      </c>
      <c r="B788" s="10" t="n">
        <v>46276.71875</v>
      </c>
      <c r="C788" s="4" t="s">
        <v>1544</v>
      </c>
      <c r="D788" s="4" t="n">
        <v>1260</v>
      </c>
      <c r="E788" s="4" t="n">
        <v>7</v>
      </c>
      <c r="F788" s="4" t="n">
        <v>6</v>
      </c>
      <c r="G788" s="4" t="n">
        <v>0</v>
      </c>
      <c r="J788" s="11" t="b">
        <f aca="false">TRUE()</f>
        <v>1</v>
      </c>
      <c r="K788" s="4" t="s">
        <v>3102</v>
      </c>
      <c r="L788" s="4" t="n">
        <v>4</v>
      </c>
      <c r="M788" s="4" t="n">
        <v>4</v>
      </c>
      <c r="N788" s="4" t="n">
        <v>5</v>
      </c>
      <c r="O788" s="4" t="n">
        <v>4</v>
      </c>
      <c r="P788" s="0" t="str">
        <f aca="false">IF(E788=0,"not_reached",IF(AND(F788&gt;0,G788=0),"allowed","blocked"))</f>
        <v>allowed</v>
      </c>
      <c r="Q788" s="0" t="str">
        <f aca="false">IF(C788="success","published",IF(E788&gt;0,"blocked_at_gate","failed_before_gate"))</f>
        <v>published</v>
      </c>
      <c r="R788" s="0" t="str">
        <f aca="false">IF(C788="success","",IF(E788&gt;0,IF(I788="freshness_within_target","freshness",IF(I788="relationships_intact","relationships",IF(I788="reconciliation_residual_zero","residual",I788))),IF(H788="quality_gate","gate_infra",H788)))</f>
        <v/>
      </c>
    </row>
    <row r="789" customFormat="false" ht="15" hidden="false" customHeight="false" outlineLevel="0" collapsed="false">
      <c r="A789" s="4" t="s">
        <v>3103</v>
      </c>
      <c r="B789" s="10" t="n">
        <v>46276.7604166667</v>
      </c>
      <c r="C789" s="4" t="s">
        <v>1544</v>
      </c>
      <c r="D789" s="4" t="n">
        <v>694</v>
      </c>
      <c r="E789" s="4" t="n">
        <v>7</v>
      </c>
      <c r="F789" s="4" t="n">
        <v>6</v>
      </c>
      <c r="G789" s="4" t="n">
        <v>0</v>
      </c>
      <c r="J789" s="11" t="b">
        <f aca="false">TRUE()</f>
        <v>1</v>
      </c>
      <c r="K789" s="4" t="s">
        <v>3104</v>
      </c>
      <c r="L789" s="4" t="n">
        <v>4</v>
      </c>
      <c r="M789" s="4" t="n">
        <v>4</v>
      </c>
      <c r="N789" s="4" t="n">
        <v>4</v>
      </c>
      <c r="O789" s="4" t="n">
        <v>4</v>
      </c>
      <c r="P789" s="0" t="str">
        <f aca="false">IF(E789=0,"not_reached",IF(AND(F789&gt;0,G789=0),"allowed","blocked"))</f>
        <v>allowed</v>
      </c>
      <c r="Q789" s="0" t="str">
        <f aca="false">IF(C789="success","published",IF(E789&gt;0,"blocked_at_gate","failed_before_gate"))</f>
        <v>published</v>
      </c>
      <c r="R789" s="0" t="str">
        <f aca="false">IF(C789="success","",IF(E789&gt;0,IF(I789="freshness_within_target","freshness",IF(I789="relationships_intact","relationships",IF(I789="reconciliation_residual_zero","residual",I789))),IF(H789="quality_gate","gate_infra",H789)))</f>
        <v/>
      </c>
    </row>
    <row r="790" customFormat="false" ht="15" hidden="false" customHeight="false" outlineLevel="0" collapsed="false">
      <c r="A790" s="4" t="s">
        <v>3105</v>
      </c>
      <c r="B790" s="10" t="n">
        <v>46276.8020833333</v>
      </c>
      <c r="C790" s="4" t="s">
        <v>1544</v>
      </c>
      <c r="D790" s="4" t="n">
        <v>772</v>
      </c>
      <c r="E790" s="4" t="n">
        <v>7</v>
      </c>
      <c r="F790" s="4" t="n">
        <v>6</v>
      </c>
      <c r="G790" s="4" t="n">
        <v>0</v>
      </c>
      <c r="J790" s="11" t="b">
        <f aca="false">TRUE()</f>
        <v>1</v>
      </c>
      <c r="K790" s="4" t="s">
        <v>3106</v>
      </c>
      <c r="L790" s="4" t="n">
        <v>4</v>
      </c>
      <c r="M790" s="4" t="n">
        <v>4</v>
      </c>
      <c r="N790" s="4" t="n">
        <v>4</v>
      </c>
      <c r="O790" s="4" t="n">
        <v>4</v>
      </c>
      <c r="P790" s="0" t="str">
        <f aca="false">IF(E790=0,"not_reached",IF(AND(F790&gt;0,G790=0),"allowed","blocked"))</f>
        <v>allowed</v>
      </c>
      <c r="Q790" s="0" t="str">
        <f aca="false">IF(C790="success","published",IF(E790&gt;0,"blocked_at_gate","failed_before_gate"))</f>
        <v>published</v>
      </c>
      <c r="R790" s="0" t="str">
        <f aca="false">IF(C790="success","",IF(E790&gt;0,IF(I790="freshness_within_target","freshness",IF(I790="relationships_intact","relationships",IF(I790="reconciliation_residual_zero","residual",I790))),IF(H790="quality_gate","gate_infra",H790)))</f>
        <v/>
      </c>
    </row>
    <row r="791" customFormat="false" ht="15" hidden="false" customHeight="false" outlineLevel="0" collapsed="false">
      <c r="A791" s="4" t="s">
        <v>3107</v>
      </c>
      <c r="B791" s="10" t="n">
        <v>46276.84375</v>
      </c>
      <c r="C791" s="4" t="s">
        <v>1544</v>
      </c>
      <c r="D791" s="4" t="n">
        <v>712</v>
      </c>
      <c r="E791" s="4" t="n">
        <v>7</v>
      </c>
      <c r="F791" s="4" t="n">
        <v>6</v>
      </c>
      <c r="G791" s="4" t="n">
        <v>0</v>
      </c>
      <c r="J791" s="11" t="b">
        <f aca="false">TRUE()</f>
        <v>1</v>
      </c>
      <c r="K791" s="4" t="s">
        <v>3108</v>
      </c>
      <c r="L791" s="4" t="n">
        <v>4</v>
      </c>
      <c r="M791" s="4" t="n">
        <v>4</v>
      </c>
      <c r="N791" s="4" t="n">
        <v>4</v>
      </c>
      <c r="O791" s="4" t="n">
        <v>4</v>
      </c>
      <c r="P791" s="0" t="str">
        <f aca="false">IF(E791=0,"not_reached",IF(AND(F791&gt;0,G791=0),"allowed","blocked"))</f>
        <v>allowed</v>
      </c>
      <c r="Q791" s="0" t="str">
        <f aca="false">IF(C791="success","published",IF(E791&gt;0,"blocked_at_gate","failed_before_gate"))</f>
        <v>published</v>
      </c>
      <c r="R791" s="0" t="str">
        <f aca="false">IF(C791="success","",IF(E791&gt;0,IF(I791="freshness_within_target","freshness",IF(I791="relationships_intact","relationships",IF(I791="reconciliation_residual_zero","residual",I791))),IF(H791="quality_gate","gate_infra",H791)))</f>
        <v/>
      </c>
    </row>
    <row r="792" customFormat="false" ht="15" hidden="false" customHeight="false" outlineLevel="0" collapsed="false">
      <c r="A792" s="4" t="s">
        <v>3109</v>
      </c>
      <c r="B792" s="10" t="n">
        <v>46276.8854166667</v>
      </c>
      <c r="C792" s="4" t="s">
        <v>1544</v>
      </c>
      <c r="D792" s="4" t="n">
        <v>1042</v>
      </c>
      <c r="E792" s="4" t="n">
        <v>7</v>
      </c>
      <c r="F792" s="4" t="n">
        <v>6</v>
      </c>
      <c r="G792" s="4" t="n">
        <v>0</v>
      </c>
      <c r="J792" s="11" t="b">
        <f aca="false">TRUE()</f>
        <v>1</v>
      </c>
      <c r="K792" s="4" t="s">
        <v>3110</v>
      </c>
      <c r="L792" s="4" t="n">
        <v>4</v>
      </c>
      <c r="M792" s="4" t="n">
        <v>4</v>
      </c>
      <c r="N792" s="4" t="n">
        <v>5</v>
      </c>
      <c r="O792" s="4" t="n">
        <v>4</v>
      </c>
      <c r="P792" s="0" t="str">
        <f aca="false">IF(E792=0,"not_reached",IF(AND(F792&gt;0,G792=0),"allowed","blocked"))</f>
        <v>allowed</v>
      </c>
      <c r="Q792" s="0" t="str">
        <f aca="false">IF(C792="success","published",IF(E792&gt;0,"blocked_at_gate","failed_before_gate"))</f>
        <v>published</v>
      </c>
      <c r="R792" s="0" t="str">
        <f aca="false">IF(C792="success","",IF(E792&gt;0,IF(I792="freshness_within_target","freshness",IF(I792="relationships_intact","relationships",IF(I792="reconciliation_residual_zero","residual",I792))),IF(H792="quality_gate","gate_infra",H792)))</f>
        <v/>
      </c>
    </row>
    <row r="793" customFormat="false" ht="15" hidden="false" customHeight="false" outlineLevel="0" collapsed="false">
      <c r="A793" s="4" t="s">
        <v>3111</v>
      </c>
      <c r="B793" s="10" t="n">
        <v>46276.9270833333</v>
      </c>
      <c r="C793" s="4" t="s">
        <v>1544</v>
      </c>
      <c r="D793" s="4" t="n">
        <v>878</v>
      </c>
      <c r="E793" s="4" t="n">
        <v>7</v>
      </c>
      <c r="F793" s="4" t="n">
        <v>6</v>
      </c>
      <c r="G793" s="4" t="n">
        <v>0</v>
      </c>
      <c r="J793" s="11" t="b">
        <f aca="false">TRUE()</f>
        <v>1</v>
      </c>
      <c r="K793" s="4" t="s">
        <v>3112</v>
      </c>
      <c r="L793" s="4" t="n">
        <v>4</v>
      </c>
      <c r="M793" s="4" t="n">
        <v>4</v>
      </c>
      <c r="N793" s="4" t="n">
        <v>4</v>
      </c>
      <c r="O793" s="4" t="n">
        <v>4</v>
      </c>
      <c r="P793" s="0" t="str">
        <f aca="false">IF(E793=0,"not_reached",IF(AND(F793&gt;0,G793=0),"allowed","blocked"))</f>
        <v>allowed</v>
      </c>
      <c r="Q793" s="0" t="str">
        <f aca="false">IF(C793="success","published",IF(E793&gt;0,"blocked_at_gate","failed_before_gate"))</f>
        <v>published</v>
      </c>
      <c r="R793" s="0" t="str">
        <f aca="false">IF(C793="success","",IF(E793&gt;0,IF(I793="freshness_within_target","freshness",IF(I793="relationships_intact","relationships",IF(I793="reconciliation_residual_zero","residual",I793))),IF(H793="quality_gate","gate_infra",H793)))</f>
        <v/>
      </c>
    </row>
    <row r="794" customFormat="false" ht="15" hidden="false" customHeight="false" outlineLevel="0" collapsed="false">
      <c r="A794" s="4" t="s">
        <v>3113</v>
      </c>
      <c r="B794" s="10" t="n">
        <v>46276.96875</v>
      </c>
      <c r="C794" s="4" t="s">
        <v>1544</v>
      </c>
      <c r="D794" s="4" t="n">
        <v>875</v>
      </c>
      <c r="E794" s="4" t="n">
        <v>7</v>
      </c>
      <c r="F794" s="4" t="n">
        <v>6</v>
      </c>
      <c r="G794" s="4" t="n">
        <v>0</v>
      </c>
      <c r="J794" s="11" t="b">
        <f aca="false">TRUE()</f>
        <v>1</v>
      </c>
      <c r="K794" s="4" t="s">
        <v>3114</v>
      </c>
      <c r="L794" s="4" t="n">
        <v>4</v>
      </c>
      <c r="M794" s="4" t="n">
        <v>4</v>
      </c>
      <c r="N794" s="4" t="n">
        <v>4</v>
      </c>
      <c r="O794" s="4" t="n">
        <v>4</v>
      </c>
      <c r="P794" s="0" t="str">
        <f aca="false">IF(E794=0,"not_reached",IF(AND(F794&gt;0,G794=0),"allowed","blocked"))</f>
        <v>allowed</v>
      </c>
      <c r="Q794" s="0" t="str">
        <f aca="false">IF(C794="success","published",IF(E794&gt;0,"blocked_at_gate","failed_before_gate"))</f>
        <v>published</v>
      </c>
      <c r="R794" s="0" t="str">
        <f aca="false">IF(C794="success","",IF(E794&gt;0,IF(I794="freshness_within_target","freshness",IF(I794="relationships_intact","relationships",IF(I794="reconciliation_residual_zero","residual",I794))),IF(H794="quality_gate","gate_infra",H794)))</f>
        <v/>
      </c>
    </row>
    <row r="795" customFormat="false" ht="15" hidden="false" customHeight="false" outlineLevel="0" collapsed="false">
      <c r="A795" s="4" t="s">
        <v>3115</v>
      </c>
      <c r="B795" s="10" t="n">
        <v>46277.0104166667</v>
      </c>
      <c r="C795" s="4" t="s">
        <v>1544</v>
      </c>
      <c r="D795" s="4" t="n">
        <v>837</v>
      </c>
      <c r="E795" s="4" t="n">
        <v>7</v>
      </c>
      <c r="F795" s="4" t="n">
        <v>6</v>
      </c>
      <c r="G795" s="4" t="n">
        <v>0</v>
      </c>
      <c r="J795" s="11" t="b">
        <f aca="false">TRUE()</f>
        <v>1</v>
      </c>
      <c r="K795" s="4" t="s">
        <v>3116</v>
      </c>
      <c r="L795" s="4" t="n">
        <v>4</v>
      </c>
      <c r="M795" s="4" t="n">
        <v>4</v>
      </c>
      <c r="N795" s="4" t="n">
        <v>4</v>
      </c>
      <c r="O795" s="4" t="n">
        <v>4</v>
      </c>
      <c r="P795" s="0" t="str">
        <f aca="false">IF(E795=0,"not_reached",IF(AND(F795&gt;0,G795=0),"allowed","blocked"))</f>
        <v>allowed</v>
      </c>
      <c r="Q795" s="0" t="str">
        <f aca="false">IF(C795="success","published",IF(E795&gt;0,"blocked_at_gate","failed_before_gate"))</f>
        <v>published</v>
      </c>
      <c r="R795" s="0" t="str">
        <f aca="false">IF(C795="success","",IF(E795&gt;0,IF(I795="freshness_within_target","freshness",IF(I795="relationships_intact","relationships",IF(I795="reconciliation_residual_zero","residual",I795))),IF(H795="quality_gate","gate_infra",H795)))</f>
        <v/>
      </c>
    </row>
    <row r="796" customFormat="false" ht="15" hidden="false" customHeight="false" outlineLevel="0" collapsed="false">
      <c r="A796" s="4" t="s">
        <v>3117</v>
      </c>
      <c r="B796" s="10" t="n">
        <v>46277.0520833333</v>
      </c>
      <c r="C796" s="4" t="s">
        <v>1544</v>
      </c>
      <c r="D796" s="4" t="n">
        <v>734</v>
      </c>
      <c r="E796" s="4" t="n">
        <v>7</v>
      </c>
      <c r="F796" s="4" t="n">
        <v>6</v>
      </c>
      <c r="G796" s="4" t="n">
        <v>0</v>
      </c>
      <c r="J796" s="11" t="b">
        <f aca="false">TRUE()</f>
        <v>1</v>
      </c>
      <c r="K796" s="4" t="s">
        <v>3118</v>
      </c>
      <c r="L796" s="4" t="n">
        <v>4</v>
      </c>
      <c r="M796" s="4" t="n">
        <v>4</v>
      </c>
      <c r="N796" s="4" t="n">
        <v>4</v>
      </c>
      <c r="O796" s="4" t="n">
        <v>4</v>
      </c>
      <c r="P796" s="0" t="str">
        <f aca="false">IF(E796=0,"not_reached",IF(AND(F796&gt;0,G796=0),"allowed","blocked"))</f>
        <v>allowed</v>
      </c>
      <c r="Q796" s="0" t="str">
        <f aca="false">IF(C796="success","published",IF(E796&gt;0,"blocked_at_gate","failed_before_gate"))</f>
        <v>published</v>
      </c>
      <c r="R796" s="0" t="str">
        <f aca="false">IF(C796="success","",IF(E796&gt;0,IF(I796="freshness_within_target","freshness",IF(I796="relationships_intact","relationships",IF(I796="reconciliation_residual_zero","residual",I796))),IF(H796="quality_gate","gate_infra",H796)))</f>
        <v/>
      </c>
    </row>
    <row r="797" customFormat="false" ht="15" hidden="false" customHeight="false" outlineLevel="0" collapsed="false">
      <c r="A797" s="4" t="s">
        <v>3119</v>
      </c>
      <c r="B797" s="10" t="n">
        <v>46277.09375</v>
      </c>
      <c r="C797" s="4" t="s">
        <v>1544</v>
      </c>
      <c r="D797" s="4" t="n">
        <v>836</v>
      </c>
      <c r="E797" s="4" t="n">
        <v>7</v>
      </c>
      <c r="F797" s="4" t="n">
        <v>6</v>
      </c>
      <c r="G797" s="4" t="n">
        <v>0</v>
      </c>
      <c r="J797" s="11" t="b">
        <f aca="false">TRUE()</f>
        <v>1</v>
      </c>
      <c r="K797" s="4" t="s">
        <v>3120</v>
      </c>
      <c r="L797" s="4" t="n">
        <v>4</v>
      </c>
      <c r="M797" s="4" t="n">
        <v>4</v>
      </c>
      <c r="N797" s="4" t="n">
        <v>4</v>
      </c>
      <c r="O797" s="4" t="n">
        <v>4</v>
      </c>
      <c r="P797" s="0" t="str">
        <f aca="false">IF(E797=0,"not_reached",IF(AND(F797&gt;0,G797=0),"allowed","blocked"))</f>
        <v>allowed</v>
      </c>
      <c r="Q797" s="0" t="str">
        <f aca="false">IF(C797="success","published",IF(E797&gt;0,"blocked_at_gate","failed_before_gate"))</f>
        <v>published</v>
      </c>
      <c r="R797" s="0" t="str">
        <f aca="false">IF(C797="success","",IF(E797&gt;0,IF(I797="freshness_within_target","freshness",IF(I797="relationships_intact","relationships",IF(I797="reconciliation_residual_zero","residual",I797))),IF(H797="quality_gate","gate_infra",H797)))</f>
        <v/>
      </c>
    </row>
    <row r="798" customFormat="false" ht="15" hidden="false" customHeight="false" outlineLevel="0" collapsed="false">
      <c r="A798" s="4" t="s">
        <v>3121</v>
      </c>
      <c r="B798" s="10" t="n">
        <v>46277.1354166667</v>
      </c>
      <c r="C798" s="4" t="s">
        <v>1544</v>
      </c>
      <c r="D798" s="4" t="n">
        <v>956</v>
      </c>
      <c r="E798" s="4" t="n">
        <v>7</v>
      </c>
      <c r="F798" s="4" t="n">
        <v>6</v>
      </c>
      <c r="G798" s="4" t="n">
        <v>0</v>
      </c>
      <c r="J798" s="11" t="b">
        <f aca="false">TRUE()</f>
        <v>1</v>
      </c>
      <c r="K798" s="4" t="s">
        <v>3122</v>
      </c>
      <c r="L798" s="4" t="n">
        <v>4</v>
      </c>
      <c r="M798" s="4" t="n">
        <v>4</v>
      </c>
      <c r="N798" s="4" t="n">
        <v>4</v>
      </c>
      <c r="O798" s="4" t="n">
        <v>4</v>
      </c>
      <c r="P798" s="0" t="str">
        <f aca="false">IF(E798=0,"not_reached",IF(AND(F798&gt;0,G798=0),"allowed","blocked"))</f>
        <v>allowed</v>
      </c>
      <c r="Q798" s="0" t="str">
        <f aca="false">IF(C798="success","published",IF(E798&gt;0,"blocked_at_gate","failed_before_gate"))</f>
        <v>published</v>
      </c>
      <c r="R798" s="0" t="str">
        <f aca="false">IF(C798="success","",IF(E798&gt;0,IF(I798="freshness_within_target","freshness",IF(I798="relationships_intact","relationships",IF(I798="reconciliation_residual_zero","residual",I798))),IF(H798="quality_gate","gate_infra",H798)))</f>
        <v/>
      </c>
    </row>
    <row r="799" customFormat="false" ht="15" hidden="false" customHeight="false" outlineLevel="0" collapsed="false">
      <c r="A799" s="4" t="s">
        <v>3123</v>
      </c>
      <c r="B799" s="10" t="n">
        <v>46277.1770833333</v>
      </c>
      <c r="C799" s="4" t="s">
        <v>1544</v>
      </c>
      <c r="D799" s="4" t="n">
        <v>898</v>
      </c>
      <c r="E799" s="4" t="n">
        <v>7</v>
      </c>
      <c r="F799" s="4" t="n">
        <v>6</v>
      </c>
      <c r="G799" s="4" t="n">
        <v>0</v>
      </c>
      <c r="J799" s="11" t="b">
        <f aca="false">TRUE()</f>
        <v>1</v>
      </c>
      <c r="K799" s="4" t="s">
        <v>3124</v>
      </c>
      <c r="L799" s="4" t="n">
        <v>4</v>
      </c>
      <c r="M799" s="4" t="n">
        <v>4</v>
      </c>
      <c r="N799" s="4" t="n">
        <v>4</v>
      </c>
      <c r="O799" s="4" t="n">
        <v>4</v>
      </c>
      <c r="P799" s="0" t="str">
        <f aca="false">IF(E799=0,"not_reached",IF(AND(F799&gt;0,G799=0),"allowed","blocked"))</f>
        <v>allowed</v>
      </c>
      <c r="Q799" s="0" t="str">
        <f aca="false">IF(C799="success","published",IF(E799&gt;0,"blocked_at_gate","failed_before_gate"))</f>
        <v>published</v>
      </c>
      <c r="R799" s="0" t="str">
        <f aca="false">IF(C799="success","",IF(E799&gt;0,IF(I799="freshness_within_target","freshness",IF(I799="relationships_intact","relationships",IF(I799="reconciliation_residual_zero","residual",I799))),IF(H799="quality_gate","gate_infra",H799)))</f>
        <v/>
      </c>
    </row>
    <row r="800" customFormat="false" ht="15" hidden="false" customHeight="false" outlineLevel="0" collapsed="false">
      <c r="A800" s="4" t="s">
        <v>3125</v>
      </c>
      <c r="B800" s="10" t="n">
        <v>46277.21875</v>
      </c>
      <c r="C800" s="4" t="s">
        <v>1544</v>
      </c>
      <c r="D800" s="4" t="n">
        <v>678</v>
      </c>
      <c r="E800" s="4" t="n">
        <v>7</v>
      </c>
      <c r="F800" s="4" t="n">
        <v>6</v>
      </c>
      <c r="G800" s="4" t="n">
        <v>0</v>
      </c>
      <c r="J800" s="11" t="b">
        <f aca="false">TRUE()</f>
        <v>1</v>
      </c>
      <c r="K800" s="4" t="s">
        <v>3126</v>
      </c>
      <c r="L800" s="4" t="n">
        <v>4</v>
      </c>
      <c r="M800" s="4" t="n">
        <v>4</v>
      </c>
      <c r="N800" s="4" t="n">
        <v>4</v>
      </c>
      <c r="O800" s="4" t="n">
        <v>4</v>
      </c>
      <c r="P800" s="0" t="str">
        <f aca="false">IF(E800=0,"not_reached",IF(AND(F800&gt;0,G800=0),"allowed","blocked"))</f>
        <v>allowed</v>
      </c>
      <c r="Q800" s="0" t="str">
        <f aca="false">IF(C800="success","published",IF(E800&gt;0,"blocked_at_gate","failed_before_gate"))</f>
        <v>published</v>
      </c>
      <c r="R800" s="0" t="str">
        <f aca="false">IF(C800="success","",IF(E800&gt;0,IF(I800="freshness_within_target","freshness",IF(I800="relationships_intact","relationships",IF(I800="reconciliation_residual_zero","residual",I800))),IF(H800="quality_gate","gate_infra",H800)))</f>
        <v/>
      </c>
    </row>
    <row r="801" customFormat="false" ht="15" hidden="false" customHeight="false" outlineLevel="0" collapsed="false">
      <c r="A801" s="4" t="s">
        <v>3127</v>
      </c>
      <c r="B801" s="10" t="n">
        <v>46277.2604166667</v>
      </c>
      <c r="C801" s="4" t="s">
        <v>1544</v>
      </c>
      <c r="D801" s="4" t="n">
        <v>942</v>
      </c>
      <c r="E801" s="4" t="n">
        <v>7</v>
      </c>
      <c r="F801" s="4" t="n">
        <v>6</v>
      </c>
      <c r="G801" s="4" t="n">
        <v>0</v>
      </c>
      <c r="J801" s="11" t="b">
        <f aca="false">TRUE()</f>
        <v>1</v>
      </c>
      <c r="K801" s="4" t="s">
        <v>3128</v>
      </c>
      <c r="L801" s="4" t="n">
        <v>4</v>
      </c>
      <c r="M801" s="4" t="n">
        <v>4</v>
      </c>
      <c r="N801" s="4" t="n">
        <v>4</v>
      </c>
      <c r="O801" s="4" t="n">
        <v>4</v>
      </c>
      <c r="P801" s="0" t="str">
        <f aca="false">IF(E801=0,"not_reached",IF(AND(F801&gt;0,G801=0),"allowed","blocked"))</f>
        <v>allowed</v>
      </c>
      <c r="Q801" s="0" t="str">
        <f aca="false">IF(C801="success","published",IF(E801&gt;0,"blocked_at_gate","failed_before_gate"))</f>
        <v>published</v>
      </c>
      <c r="R801" s="0" t="str">
        <f aca="false">IF(C801="success","",IF(E801&gt;0,IF(I801="freshness_within_target","freshness",IF(I801="relationships_intact","relationships",IF(I801="reconciliation_residual_zero","residual",I801))),IF(H801="quality_gate","gate_infra",H801)))</f>
        <v/>
      </c>
    </row>
    <row r="802" customFormat="false" ht="15" hidden="false" customHeight="false" outlineLevel="0" collapsed="false">
      <c r="A802" s="4" t="s">
        <v>3129</v>
      </c>
      <c r="B802" s="10" t="n">
        <v>46277.3020833333</v>
      </c>
      <c r="C802" s="4" t="s">
        <v>1544</v>
      </c>
      <c r="D802" s="4" t="n">
        <v>893</v>
      </c>
      <c r="E802" s="4" t="n">
        <v>7</v>
      </c>
      <c r="F802" s="4" t="n">
        <v>6</v>
      </c>
      <c r="G802" s="4" t="n">
        <v>0</v>
      </c>
      <c r="J802" s="11" t="b">
        <f aca="false">TRUE()</f>
        <v>1</v>
      </c>
      <c r="K802" s="4" t="s">
        <v>3130</v>
      </c>
      <c r="L802" s="4" t="n">
        <v>4</v>
      </c>
      <c r="M802" s="4" t="n">
        <v>4</v>
      </c>
      <c r="N802" s="4" t="n">
        <v>4</v>
      </c>
      <c r="O802" s="4" t="n">
        <v>4</v>
      </c>
      <c r="P802" s="0" t="str">
        <f aca="false">IF(E802=0,"not_reached",IF(AND(F802&gt;0,G802=0),"allowed","blocked"))</f>
        <v>allowed</v>
      </c>
      <c r="Q802" s="0" t="str">
        <f aca="false">IF(C802="success","published",IF(E802&gt;0,"blocked_at_gate","failed_before_gate"))</f>
        <v>published</v>
      </c>
      <c r="R802" s="0" t="str">
        <f aca="false">IF(C802="success","",IF(E802&gt;0,IF(I802="freshness_within_target","freshness",IF(I802="relationships_intact","relationships",IF(I802="reconciliation_residual_zero","residual",I802))),IF(H802="quality_gate","gate_infra",H802)))</f>
        <v/>
      </c>
    </row>
    <row r="803" customFormat="false" ht="15" hidden="false" customHeight="false" outlineLevel="0" collapsed="false">
      <c r="A803" s="4" t="s">
        <v>3131</v>
      </c>
      <c r="B803" s="10" t="n">
        <v>46277.34375</v>
      </c>
      <c r="C803" s="4" t="s">
        <v>1544</v>
      </c>
      <c r="D803" s="4" t="n">
        <v>1133</v>
      </c>
      <c r="E803" s="4" t="n">
        <v>7</v>
      </c>
      <c r="F803" s="4" t="n">
        <v>6</v>
      </c>
      <c r="G803" s="4" t="n">
        <v>0</v>
      </c>
      <c r="J803" s="11" t="b">
        <f aca="false">TRUE()</f>
        <v>1</v>
      </c>
      <c r="K803" s="4" t="s">
        <v>3132</v>
      </c>
      <c r="L803" s="4" t="n">
        <v>4</v>
      </c>
      <c r="M803" s="4" t="n">
        <v>4</v>
      </c>
      <c r="N803" s="4" t="n">
        <v>5</v>
      </c>
      <c r="O803" s="4" t="n">
        <v>4</v>
      </c>
      <c r="P803" s="0" t="str">
        <f aca="false">IF(E803=0,"not_reached",IF(AND(F803&gt;0,G803=0),"allowed","blocked"))</f>
        <v>allowed</v>
      </c>
      <c r="Q803" s="0" t="str">
        <f aca="false">IF(C803="success","published",IF(E803&gt;0,"blocked_at_gate","failed_before_gate"))</f>
        <v>published</v>
      </c>
      <c r="R803" s="0" t="str">
        <f aca="false">IF(C803="success","",IF(E803&gt;0,IF(I803="freshness_within_target","freshness",IF(I803="relationships_intact","relationships",IF(I803="reconciliation_residual_zero","residual",I803))),IF(H803="quality_gate","gate_infra",H803)))</f>
        <v/>
      </c>
    </row>
    <row r="804" customFormat="false" ht="15" hidden="false" customHeight="false" outlineLevel="0" collapsed="false">
      <c r="A804" s="4" t="s">
        <v>3133</v>
      </c>
      <c r="B804" s="10" t="n">
        <v>46277.3854166667</v>
      </c>
      <c r="C804" s="4" t="s">
        <v>1544</v>
      </c>
      <c r="D804" s="4" t="n">
        <v>798</v>
      </c>
      <c r="E804" s="4" t="n">
        <v>7</v>
      </c>
      <c r="F804" s="4" t="n">
        <v>6</v>
      </c>
      <c r="G804" s="4" t="n">
        <v>0</v>
      </c>
      <c r="J804" s="11" t="b">
        <f aca="false">TRUE()</f>
        <v>1</v>
      </c>
      <c r="K804" s="4" t="s">
        <v>3134</v>
      </c>
      <c r="L804" s="4" t="n">
        <v>4</v>
      </c>
      <c r="M804" s="4" t="n">
        <v>4</v>
      </c>
      <c r="N804" s="4" t="n">
        <v>4</v>
      </c>
      <c r="O804" s="4" t="n">
        <v>4</v>
      </c>
      <c r="P804" s="0" t="str">
        <f aca="false">IF(E804=0,"not_reached",IF(AND(F804&gt;0,G804=0),"allowed","blocked"))</f>
        <v>allowed</v>
      </c>
      <c r="Q804" s="0" t="str">
        <f aca="false">IF(C804="success","published",IF(E804&gt;0,"blocked_at_gate","failed_before_gate"))</f>
        <v>published</v>
      </c>
      <c r="R804" s="0" t="str">
        <f aca="false">IF(C804="success","",IF(E804&gt;0,IF(I804="freshness_within_target","freshness",IF(I804="relationships_intact","relationships",IF(I804="reconciliation_residual_zero","residual",I804))),IF(H804="quality_gate","gate_infra",H804)))</f>
        <v/>
      </c>
    </row>
    <row r="805" customFormat="false" ht="15" hidden="false" customHeight="false" outlineLevel="0" collapsed="false">
      <c r="A805" s="4" t="s">
        <v>3135</v>
      </c>
      <c r="B805" s="10" t="n">
        <v>46277.4270833333</v>
      </c>
      <c r="C805" s="4" t="s">
        <v>1544</v>
      </c>
      <c r="D805" s="4" t="n">
        <v>793</v>
      </c>
      <c r="E805" s="4" t="n">
        <v>7</v>
      </c>
      <c r="F805" s="4" t="n">
        <v>6</v>
      </c>
      <c r="G805" s="4" t="n">
        <v>0</v>
      </c>
      <c r="J805" s="11" t="b">
        <f aca="false">TRUE()</f>
        <v>1</v>
      </c>
      <c r="K805" s="4" t="s">
        <v>3136</v>
      </c>
      <c r="L805" s="4" t="n">
        <v>4</v>
      </c>
      <c r="M805" s="4" t="n">
        <v>4</v>
      </c>
      <c r="N805" s="4" t="n">
        <v>4</v>
      </c>
      <c r="O805" s="4" t="n">
        <v>4</v>
      </c>
      <c r="P805" s="0" t="str">
        <f aca="false">IF(E805=0,"not_reached",IF(AND(F805&gt;0,G805=0),"allowed","blocked"))</f>
        <v>allowed</v>
      </c>
      <c r="Q805" s="0" t="str">
        <f aca="false">IF(C805="success","published",IF(E805&gt;0,"blocked_at_gate","failed_before_gate"))</f>
        <v>published</v>
      </c>
      <c r="R805" s="0" t="str">
        <f aca="false">IF(C805="success","",IF(E805&gt;0,IF(I805="freshness_within_target","freshness",IF(I805="relationships_intact","relationships",IF(I805="reconciliation_residual_zero","residual",I805))),IF(H805="quality_gate","gate_infra",H805)))</f>
        <v/>
      </c>
    </row>
    <row r="806" customFormat="false" ht="15" hidden="false" customHeight="false" outlineLevel="0" collapsed="false">
      <c r="A806" s="4" t="s">
        <v>3137</v>
      </c>
      <c r="B806" s="10" t="n">
        <v>46277.46875</v>
      </c>
      <c r="C806" s="4" t="s">
        <v>1544</v>
      </c>
      <c r="D806" s="4" t="n">
        <v>795</v>
      </c>
      <c r="E806" s="4" t="n">
        <v>7</v>
      </c>
      <c r="F806" s="4" t="n">
        <v>6</v>
      </c>
      <c r="G806" s="4" t="n">
        <v>0</v>
      </c>
      <c r="J806" s="11" t="b">
        <f aca="false">TRUE()</f>
        <v>1</v>
      </c>
      <c r="K806" s="4" t="s">
        <v>3138</v>
      </c>
      <c r="L806" s="4" t="n">
        <v>4</v>
      </c>
      <c r="M806" s="4" t="n">
        <v>4</v>
      </c>
      <c r="N806" s="4" t="n">
        <v>4</v>
      </c>
      <c r="O806" s="4" t="n">
        <v>4</v>
      </c>
      <c r="P806" s="0" t="str">
        <f aca="false">IF(E806=0,"not_reached",IF(AND(F806&gt;0,G806=0),"allowed","blocked"))</f>
        <v>allowed</v>
      </c>
      <c r="Q806" s="0" t="str">
        <f aca="false">IF(C806="success","published",IF(E806&gt;0,"blocked_at_gate","failed_before_gate"))</f>
        <v>published</v>
      </c>
      <c r="R806" s="0" t="str">
        <f aca="false">IF(C806="success","",IF(E806&gt;0,IF(I806="freshness_within_target","freshness",IF(I806="relationships_intact","relationships",IF(I806="reconciliation_residual_zero","residual",I806))),IF(H806="quality_gate","gate_infra",H806)))</f>
        <v/>
      </c>
    </row>
    <row r="807" customFormat="false" ht="15" hidden="false" customHeight="false" outlineLevel="0" collapsed="false">
      <c r="A807" s="4" t="s">
        <v>3139</v>
      </c>
      <c r="B807" s="10" t="n">
        <v>46277.5104166667</v>
      </c>
      <c r="C807" s="4" t="s">
        <v>1544</v>
      </c>
      <c r="D807" s="4" t="n">
        <v>1030</v>
      </c>
      <c r="E807" s="4" t="n">
        <v>7</v>
      </c>
      <c r="F807" s="4" t="n">
        <v>6</v>
      </c>
      <c r="G807" s="4" t="n">
        <v>0</v>
      </c>
      <c r="J807" s="11" t="b">
        <f aca="false">TRUE()</f>
        <v>1</v>
      </c>
      <c r="K807" s="4" t="s">
        <v>3140</v>
      </c>
      <c r="L807" s="4" t="n">
        <v>4</v>
      </c>
      <c r="M807" s="4" t="n">
        <v>4</v>
      </c>
      <c r="N807" s="4" t="n">
        <v>5</v>
      </c>
      <c r="O807" s="4" t="n">
        <v>4</v>
      </c>
      <c r="P807" s="0" t="str">
        <f aca="false">IF(E807=0,"not_reached",IF(AND(F807&gt;0,G807=0),"allowed","blocked"))</f>
        <v>allowed</v>
      </c>
      <c r="Q807" s="0" t="str">
        <f aca="false">IF(C807="success","published",IF(E807&gt;0,"blocked_at_gate","failed_before_gate"))</f>
        <v>published</v>
      </c>
      <c r="R807" s="0" t="str">
        <f aca="false">IF(C807="success","",IF(E807&gt;0,IF(I807="freshness_within_target","freshness",IF(I807="relationships_intact","relationships",IF(I807="reconciliation_residual_zero","residual",I807))),IF(H807="quality_gate","gate_infra",H807)))</f>
        <v/>
      </c>
    </row>
    <row r="808" customFormat="false" ht="15" hidden="false" customHeight="false" outlineLevel="0" collapsed="false">
      <c r="A808" s="4" t="s">
        <v>3141</v>
      </c>
      <c r="B808" s="10" t="n">
        <v>46277.5520833333</v>
      </c>
      <c r="C808" s="4" t="s">
        <v>1544</v>
      </c>
      <c r="D808" s="4" t="n">
        <v>945</v>
      </c>
      <c r="E808" s="4" t="n">
        <v>7</v>
      </c>
      <c r="F808" s="4" t="n">
        <v>6</v>
      </c>
      <c r="G808" s="4" t="n">
        <v>0</v>
      </c>
      <c r="J808" s="11" t="b">
        <f aca="false">TRUE()</f>
        <v>1</v>
      </c>
      <c r="K808" s="4" t="s">
        <v>3142</v>
      </c>
      <c r="L808" s="4" t="n">
        <v>4</v>
      </c>
      <c r="M808" s="4" t="n">
        <v>4</v>
      </c>
      <c r="N808" s="4" t="n">
        <v>4</v>
      </c>
      <c r="O808" s="4" t="n">
        <v>4</v>
      </c>
      <c r="P808" s="0" t="str">
        <f aca="false">IF(E808=0,"not_reached",IF(AND(F808&gt;0,G808=0),"allowed","blocked"))</f>
        <v>allowed</v>
      </c>
      <c r="Q808" s="0" t="str">
        <f aca="false">IF(C808="success","published",IF(E808&gt;0,"blocked_at_gate","failed_before_gate"))</f>
        <v>published</v>
      </c>
      <c r="R808" s="0" t="str">
        <f aca="false">IF(C808="success","",IF(E808&gt;0,IF(I808="freshness_within_target","freshness",IF(I808="relationships_intact","relationships",IF(I808="reconciliation_residual_zero","residual",I808))),IF(H808="quality_gate","gate_infra",H808)))</f>
        <v/>
      </c>
    </row>
    <row r="809" customFormat="false" ht="15" hidden="false" customHeight="false" outlineLevel="0" collapsed="false">
      <c r="A809" s="4" t="s">
        <v>3143</v>
      </c>
      <c r="B809" s="10" t="n">
        <v>46277.59375</v>
      </c>
      <c r="C809" s="4" t="s">
        <v>1544</v>
      </c>
      <c r="D809" s="4" t="n">
        <v>873</v>
      </c>
      <c r="E809" s="4" t="n">
        <v>7</v>
      </c>
      <c r="F809" s="4" t="n">
        <v>6</v>
      </c>
      <c r="G809" s="4" t="n">
        <v>0</v>
      </c>
      <c r="J809" s="11" t="b">
        <f aca="false">TRUE()</f>
        <v>1</v>
      </c>
      <c r="K809" s="4" t="s">
        <v>3144</v>
      </c>
      <c r="L809" s="4" t="n">
        <v>4</v>
      </c>
      <c r="M809" s="4" t="n">
        <v>4</v>
      </c>
      <c r="N809" s="4" t="n">
        <v>4</v>
      </c>
      <c r="O809" s="4" t="n">
        <v>4</v>
      </c>
      <c r="P809" s="0" t="str">
        <f aca="false">IF(E809=0,"not_reached",IF(AND(F809&gt;0,G809=0),"allowed","blocked"))</f>
        <v>allowed</v>
      </c>
      <c r="Q809" s="0" t="str">
        <f aca="false">IF(C809="success","published",IF(E809&gt;0,"blocked_at_gate","failed_before_gate"))</f>
        <v>published</v>
      </c>
      <c r="R809" s="0" t="str">
        <f aca="false">IF(C809="success","",IF(E809&gt;0,IF(I809="freshness_within_target","freshness",IF(I809="relationships_intact","relationships",IF(I809="reconciliation_residual_zero","residual",I809))),IF(H809="quality_gate","gate_infra",H809)))</f>
        <v/>
      </c>
    </row>
    <row r="810" customFormat="false" ht="15" hidden="false" customHeight="false" outlineLevel="0" collapsed="false">
      <c r="A810" s="4" t="s">
        <v>3145</v>
      </c>
      <c r="B810" s="10" t="n">
        <v>46277.6354166667</v>
      </c>
      <c r="C810" s="4" t="s">
        <v>1544</v>
      </c>
      <c r="D810" s="4" t="n">
        <v>940</v>
      </c>
      <c r="E810" s="4" t="n">
        <v>7</v>
      </c>
      <c r="F810" s="4" t="n">
        <v>6</v>
      </c>
      <c r="G810" s="4" t="n">
        <v>0</v>
      </c>
      <c r="J810" s="11" t="b">
        <f aca="false">TRUE()</f>
        <v>1</v>
      </c>
      <c r="K810" s="4" t="s">
        <v>3146</v>
      </c>
      <c r="L810" s="4" t="n">
        <v>4</v>
      </c>
      <c r="M810" s="4" t="n">
        <v>4</v>
      </c>
      <c r="N810" s="4" t="n">
        <v>4</v>
      </c>
      <c r="O810" s="4" t="n">
        <v>4</v>
      </c>
      <c r="P810" s="0" t="str">
        <f aca="false">IF(E810=0,"not_reached",IF(AND(F810&gt;0,G810=0),"allowed","blocked"))</f>
        <v>allowed</v>
      </c>
      <c r="Q810" s="0" t="str">
        <f aca="false">IF(C810="success","published",IF(E810&gt;0,"blocked_at_gate","failed_before_gate"))</f>
        <v>published</v>
      </c>
      <c r="R810" s="0" t="str">
        <f aca="false">IF(C810="success","",IF(E810&gt;0,IF(I810="freshness_within_target","freshness",IF(I810="relationships_intact","relationships",IF(I810="reconciliation_residual_zero","residual",I810))),IF(H810="quality_gate","gate_infra",H810)))</f>
        <v/>
      </c>
    </row>
    <row r="811" customFormat="false" ht="15" hidden="false" customHeight="false" outlineLevel="0" collapsed="false">
      <c r="A811" s="4" t="s">
        <v>3147</v>
      </c>
      <c r="B811" s="10" t="n">
        <v>46277.6770833333</v>
      </c>
      <c r="C811" s="4" t="s">
        <v>1544</v>
      </c>
      <c r="D811" s="4" t="n">
        <v>845</v>
      </c>
      <c r="E811" s="4" t="n">
        <v>7</v>
      </c>
      <c r="F811" s="4" t="n">
        <v>6</v>
      </c>
      <c r="G811" s="4" t="n">
        <v>0</v>
      </c>
      <c r="J811" s="11" t="b">
        <f aca="false">TRUE()</f>
        <v>1</v>
      </c>
      <c r="K811" s="4" t="s">
        <v>3148</v>
      </c>
      <c r="L811" s="4" t="n">
        <v>4</v>
      </c>
      <c r="M811" s="4" t="n">
        <v>4</v>
      </c>
      <c r="N811" s="4" t="n">
        <v>4</v>
      </c>
      <c r="O811" s="4" t="n">
        <v>4</v>
      </c>
      <c r="P811" s="0" t="str">
        <f aca="false">IF(E811=0,"not_reached",IF(AND(F811&gt;0,G811=0),"allowed","blocked"))</f>
        <v>allowed</v>
      </c>
      <c r="Q811" s="0" t="str">
        <f aca="false">IF(C811="success","published",IF(E811&gt;0,"blocked_at_gate","failed_before_gate"))</f>
        <v>published</v>
      </c>
      <c r="R811" s="0" t="str">
        <f aca="false">IF(C811="success","",IF(E811&gt;0,IF(I811="freshness_within_target","freshness",IF(I811="relationships_intact","relationships",IF(I811="reconciliation_residual_zero","residual",I811))),IF(H811="quality_gate","gate_infra",H811)))</f>
        <v/>
      </c>
    </row>
    <row r="812" customFormat="false" ht="15" hidden="false" customHeight="false" outlineLevel="0" collapsed="false">
      <c r="A812" s="4" t="s">
        <v>3149</v>
      </c>
      <c r="B812" s="10" t="n">
        <v>46277.71875</v>
      </c>
      <c r="C812" s="4" t="s">
        <v>1544</v>
      </c>
      <c r="D812" s="4" t="n">
        <v>867</v>
      </c>
      <c r="E812" s="4" t="n">
        <v>7</v>
      </c>
      <c r="F812" s="4" t="n">
        <v>6</v>
      </c>
      <c r="G812" s="4" t="n">
        <v>0</v>
      </c>
      <c r="J812" s="11" t="b">
        <f aca="false">TRUE()</f>
        <v>1</v>
      </c>
      <c r="K812" s="4" t="s">
        <v>3150</v>
      </c>
      <c r="L812" s="4" t="n">
        <v>4</v>
      </c>
      <c r="M812" s="4" t="n">
        <v>4</v>
      </c>
      <c r="N812" s="4" t="n">
        <v>4</v>
      </c>
      <c r="O812" s="4" t="n">
        <v>4</v>
      </c>
      <c r="P812" s="0" t="str">
        <f aca="false">IF(E812=0,"not_reached",IF(AND(F812&gt;0,G812=0),"allowed","blocked"))</f>
        <v>allowed</v>
      </c>
      <c r="Q812" s="0" t="str">
        <f aca="false">IF(C812="success","published",IF(E812&gt;0,"blocked_at_gate","failed_before_gate"))</f>
        <v>published</v>
      </c>
      <c r="R812" s="0" t="str">
        <f aca="false">IF(C812="success","",IF(E812&gt;0,IF(I812="freshness_within_target","freshness",IF(I812="relationships_intact","relationships",IF(I812="reconciliation_residual_zero","residual",I812))),IF(H812="quality_gate","gate_infra",H812)))</f>
        <v/>
      </c>
    </row>
    <row r="813" customFormat="false" ht="15" hidden="false" customHeight="false" outlineLevel="0" collapsed="false">
      <c r="A813" s="4" t="s">
        <v>3151</v>
      </c>
      <c r="B813" s="10" t="n">
        <v>46277.7604166667</v>
      </c>
      <c r="C813" s="4" t="s">
        <v>1544</v>
      </c>
      <c r="D813" s="4" t="n">
        <v>807</v>
      </c>
      <c r="E813" s="4" t="n">
        <v>7</v>
      </c>
      <c r="F813" s="4" t="n">
        <v>6</v>
      </c>
      <c r="G813" s="4" t="n">
        <v>0</v>
      </c>
      <c r="J813" s="11" t="b">
        <f aca="false">TRUE()</f>
        <v>1</v>
      </c>
      <c r="K813" s="4" t="s">
        <v>3152</v>
      </c>
      <c r="L813" s="4" t="n">
        <v>4</v>
      </c>
      <c r="M813" s="4" t="n">
        <v>4</v>
      </c>
      <c r="N813" s="4" t="n">
        <v>4</v>
      </c>
      <c r="O813" s="4" t="n">
        <v>4</v>
      </c>
      <c r="P813" s="0" t="str">
        <f aca="false">IF(E813=0,"not_reached",IF(AND(F813&gt;0,G813=0),"allowed","blocked"))</f>
        <v>allowed</v>
      </c>
      <c r="Q813" s="0" t="str">
        <f aca="false">IF(C813="success","published",IF(E813&gt;0,"blocked_at_gate","failed_before_gate"))</f>
        <v>published</v>
      </c>
      <c r="R813" s="0" t="str">
        <f aca="false">IF(C813="success","",IF(E813&gt;0,IF(I813="freshness_within_target","freshness",IF(I813="relationships_intact","relationships",IF(I813="reconciliation_residual_zero","residual",I813))),IF(H813="quality_gate","gate_infra",H813)))</f>
        <v/>
      </c>
    </row>
    <row r="814" customFormat="false" ht="15" hidden="false" customHeight="false" outlineLevel="0" collapsed="false">
      <c r="A814" s="4" t="s">
        <v>3153</v>
      </c>
      <c r="B814" s="10" t="n">
        <v>46277.8020833333</v>
      </c>
      <c r="C814" s="4" t="s">
        <v>1544</v>
      </c>
      <c r="D814" s="4" t="n">
        <v>899</v>
      </c>
      <c r="E814" s="4" t="n">
        <v>7</v>
      </c>
      <c r="F814" s="4" t="n">
        <v>6</v>
      </c>
      <c r="G814" s="4" t="n">
        <v>0</v>
      </c>
      <c r="J814" s="11" t="b">
        <f aca="false">TRUE()</f>
        <v>1</v>
      </c>
      <c r="K814" s="4" t="s">
        <v>3154</v>
      </c>
      <c r="L814" s="4" t="n">
        <v>4</v>
      </c>
      <c r="M814" s="4" t="n">
        <v>4</v>
      </c>
      <c r="N814" s="4" t="n">
        <v>4</v>
      </c>
      <c r="O814" s="4" t="n">
        <v>4</v>
      </c>
      <c r="P814" s="0" t="str">
        <f aca="false">IF(E814=0,"not_reached",IF(AND(F814&gt;0,G814=0),"allowed","blocked"))</f>
        <v>allowed</v>
      </c>
      <c r="Q814" s="0" t="str">
        <f aca="false">IF(C814="success","published",IF(E814&gt;0,"blocked_at_gate","failed_before_gate"))</f>
        <v>published</v>
      </c>
      <c r="R814" s="0" t="str">
        <f aca="false">IF(C814="success","",IF(E814&gt;0,IF(I814="freshness_within_target","freshness",IF(I814="relationships_intact","relationships",IF(I814="reconciliation_residual_zero","residual",I814))),IF(H814="quality_gate","gate_infra",H814)))</f>
        <v/>
      </c>
    </row>
    <row r="815" customFormat="false" ht="15" hidden="false" customHeight="false" outlineLevel="0" collapsed="false">
      <c r="A815" s="4" t="s">
        <v>3155</v>
      </c>
      <c r="B815" s="10" t="n">
        <v>46277.84375</v>
      </c>
      <c r="C815" s="4" t="s">
        <v>1544</v>
      </c>
      <c r="D815" s="4" t="n">
        <v>791</v>
      </c>
      <c r="E815" s="4" t="n">
        <v>7</v>
      </c>
      <c r="F815" s="4" t="n">
        <v>6</v>
      </c>
      <c r="G815" s="4" t="n">
        <v>0</v>
      </c>
      <c r="J815" s="11" t="b">
        <f aca="false">TRUE()</f>
        <v>1</v>
      </c>
      <c r="K815" s="4" t="s">
        <v>3156</v>
      </c>
      <c r="L815" s="4" t="n">
        <v>4</v>
      </c>
      <c r="M815" s="4" t="n">
        <v>4</v>
      </c>
      <c r="N815" s="4" t="n">
        <v>4</v>
      </c>
      <c r="O815" s="4" t="n">
        <v>4</v>
      </c>
      <c r="P815" s="0" t="str">
        <f aca="false">IF(E815=0,"not_reached",IF(AND(F815&gt;0,G815=0),"allowed","blocked"))</f>
        <v>allowed</v>
      </c>
      <c r="Q815" s="0" t="str">
        <f aca="false">IF(C815="success","published",IF(E815&gt;0,"blocked_at_gate","failed_before_gate"))</f>
        <v>published</v>
      </c>
      <c r="R815" s="0" t="str">
        <f aca="false">IF(C815="success","",IF(E815&gt;0,IF(I815="freshness_within_target","freshness",IF(I815="relationships_intact","relationships",IF(I815="reconciliation_residual_zero","residual",I815))),IF(H815="quality_gate","gate_infra",H815)))</f>
        <v/>
      </c>
    </row>
    <row r="816" customFormat="false" ht="15" hidden="false" customHeight="false" outlineLevel="0" collapsed="false">
      <c r="A816" s="4" t="s">
        <v>3157</v>
      </c>
      <c r="B816" s="10" t="n">
        <v>46277.8854166667</v>
      </c>
      <c r="C816" s="4" t="s">
        <v>1544</v>
      </c>
      <c r="D816" s="4" t="n">
        <v>774</v>
      </c>
      <c r="E816" s="4" t="n">
        <v>7</v>
      </c>
      <c r="F816" s="4" t="n">
        <v>6</v>
      </c>
      <c r="G816" s="4" t="n">
        <v>0</v>
      </c>
      <c r="J816" s="11" t="b">
        <f aca="false">TRUE()</f>
        <v>1</v>
      </c>
      <c r="K816" s="4" t="s">
        <v>3158</v>
      </c>
      <c r="L816" s="4" t="n">
        <v>4</v>
      </c>
      <c r="M816" s="4" t="n">
        <v>4</v>
      </c>
      <c r="N816" s="4" t="n">
        <v>4</v>
      </c>
      <c r="O816" s="4" t="n">
        <v>4</v>
      </c>
      <c r="P816" s="0" t="str">
        <f aca="false">IF(E816=0,"not_reached",IF(AND(F816&gt;0,G816=0),"allowed","blocked"))</f>
        <v>allowed</v>
      </c>
      <c r="Q816" s="0" t="str">
        <f aca="false">IF(C816="success","published",IF(E816&gt;0,"blocked_at_gate","failed_before_gate"))</f>
        <v>published</v>
      </c>
      <c r="R816" s="0" t="str">
        <f aca="false">IF(C816="success","",IF(E816&gt;0,IF(I816="freshness_within_target","freshness",IF(I816="relationships_intact","relationships",IF(I816="reconciliation_residual_zero","residual",I816))),IF(H816="quality_gate","gate_infra",H816)))</f>
        <v/>
      </c>
    </row>
    <row r="817" customFormat="false" ht="15" hidden="false" customHeight="false" outlineLevel="0" collapsed="false">
      <c r="A817" s="4" t="s">
        <v>3159</v>
      </c>
      <c r="B817" s="10" t="n">
        <v>46277.9270833333</v>
      </c>
      <c r="C817" s="4" t="s">
        <v>1544</v>
      </c>
      <c r="D817" s="4" t="n">
        <v>930</v>
      </c>
      <c r="E817" s="4" t="n">
        <v>7</v>
      </c>
      <c r="F817" s="4" t="n">
        <v>6</v>
      </c>
      <c r="G817" s="4" t="n">
        <v>0</v>
      </c>
      <c r="J817" s="11" t="b">
        <f aca="false">TRUE()</f>
        <v>1</v>
      </c>
      <c r="K817" s="4" t="s">
        <v>3160</v>
      </c>
      <c r="L817" s="4" t="n">
        <v>4</v>
      </c>
      <c r="M817" s="4" t="n">
        <v>4</v>
      </c>
      <c r="N817" s="4" t="n">
        <v>5</v>
      </c>
      <c r="O817" s="4" t="n">
        <v>4</v>
      </c>
      <c r="P817" s="0" t="str">
        <f aca="false">IF(E817=0,"not_reached",IF(AND(F817&gt;0,G817=0),"allowed","blocked"))</f>
        <v>allowed</v>
      </c>
      <c r="Q817" s="0" t="str">
        <f aca="false">IF(C817="success","published",IF(E817&gt;0,"blocked_at_gate","failed_before_gate"))</f>
        <v>published</v>
      </c>
      <c r="R817" s="0" t="str">
        <f aca="false">IF(C817="success","",IF(E817&gt;0,IF(I817="freshness_within_target","freshness",IF(I817="relationships_intact","relationships",IF(I817="reconciliation_residual_zero","residual",I817))),IF(H817="quality_gate","gate_infra",H817)))</f>
        <v/>
      </c>
    </row>
    <row r="818" customFormat="false" ht="15" hidden="false" customHeight="false" outlineLevel="0" collapsed="false">
      <c r="A818" s="4" t="s">
        <v>3161</v>
      </c>
      <c r="B818" s="10" t="n">
        <v>46277.96875</v>
      </c>
      <c r="C818" s="4" t="s">
        <v>1544</v>
      </c>
      <c r="D818" s="4" t="n">
        <v>706</v>
      </c>
      <c r="E818" s="4" t="n">
        <v>7</v>
      </c>
      <c r="F818" s="4" t="n">
        <v>6</v>
      </c>
      <c r="G818" s="4" t="n">
        <v>0</v>
      </c>
      <c r="J818" s="11" t="b">
        <f aca="false">TRUE()</f>
        <v>1</v>
      </c>
      <c r="K818" s="4" t="s">
        <v>3162</v>
      </c>
      <c r="L818" s="4" t="n">
        <v>4</v>
      </c>
      <c r="M818" s="4" t="n">
        <v>4</v>
      </c>
      <c r="N818" s="4" t="n">
        <v>4</v>
      </c>
      <c r="O818" s="4" t="n">
        <v>4</v>
      </c>
      <c r="P818" s="0" t="str">
        <f aca="false">IF(E818=0,"not_reached",IF(AND(F818&gt;0,G818=0),"allowed","blocked"))</f>
        <v>allowed</v>
      </c>
      <c r="Q818" s="0" t="str">
        <f aca="false">IF(C818="success","published",IF(E818&gt;0,"blocked_at_gate","failed_before_gate"))</f>
        <v>published</v>
      </c>
      <c r="R818" s="0" t="str">
        <f aca="false">IF(C818="success","",IF(E818&gt;0,IF(I818="freshness_within_target","freshness",IF(I818="relationships_intact","relationships",IF(I818="reconciliation_residual_zero","residual",I818))),IF(H818="quality_gate","gate_infra",H818)))</f>
        <v/>
      </c>
    </row>
    <row r="819" customFormat="false" ht="15" hidden="false" customHeight="false" outlineLevel="0" collapsed="false">
      <c r="A819" s="4" t="s">
        <v>3163</v>
      </c>
      <c r="B819" s="10" t="n">
        <v>46278.0104166667</v>
      </c>
      <c r="C819" s="4" t="s">
        <v>1544</v>
      </c>
      <c r="D819" s="4" t="n">
        <v>685</v>
      </c>
      <c r="E819" s="4" t="n">
        <v>7</v>
      </c>
      <c r="F819" s="4" t="n">
        <v>6</v>
      </c>
      <c r="G819" s="4" t="n">
        <v>0</v>
      </c>
      <c r="J819" s="11" t="b">
        <f aca="false">TRUE()</f>
        <v>1</v>
      </c>
      <c r="K819" s="4" t="s">
        <v>3164</v>
      </c>
      <c r="L819" s="4" t="n">
        <v>4</v>
      </c>
      <c r="M819" s="4" t="n">
        <v>4</v>
      </c>
      <c r="N819" s="4" t="n">
        <v>4</v>
      </c>
      <c r="O819" s="4" t="n">
        <v>4</v>
      </c>
      <c r="P819" s="0" t="str">
        <f aca="false">IF(E819=0,"not_reached",IF(AND(F819&gt;0,G819=0),"allowed","blocked"))</f>
        <v>allowed</v>
      </c>
      <c r="Q819" s="0" t="str">
        <f aca="false">IF(C819="success","published",IF(E819&gt;0,"blocked_at_gate","failed_before_gate"))</f>
        <v>published</v>
      </c>
      <c r="R819" s="0" t="str">
        <f aca="false">IF(C819="success","",IF(E819&gt;0,IF(I819="freshness_within_target","freshness",IF(I819="relationships_intact","relationships",IF(I819="reconciliation_residual_zero","residual",I819))),IF(H819="quality_gate","gate_infra",H819)))</f>
        <v/>
      </c>
    </row>
    <row r="820" customFormat="false" ht="15" hidden="false" customHeight="false" outlineLevel="0" collapsed="false">
      <c r="A820" s="4" t="s">
        <v>3165</v>
      </c>
      <c r="B820" s="10" t="n">
        <v>46278.0520833333</v>
      </c>
      <c r="C820" s="4" t="s">
        <v>1544</v>
      </c>
      <c r="D820" s="4" t="n">
        <v>814</v>
      </c>
      <c r="E820" s="4" t="n">
        <v>7</v>
      </c>
      <c r="F820" s="4" t="n">
        <v>6</v>
      </c>
      <c r="G820" s="4" t="n">
        <v>0</v>
      </c>
      <c r="J820" s="11" t="b">
        <f aca="false">TRUE()</f>
        <v>1</v>
      </c>
      <c r="K820" s="4" t="s">
        <v>3166</v>
      </c>
      <c r="L820" s="4" t="n">
        <v>4</v>
      </c>
      <c r="M820" s="4" t="n">
        <v>4</v>
      </c>
      <c r="N820" s="4" t="n">
        <v>4</v>
      </c>
      <c r="O820" s="4" t="n">
        <v>4</v>
      </c>
      <c r="P820" s="0" t="str">
        <f aca="false">IF(E820=0,"not_reached",IF(AND(F820&gt;0,G820=0),"allowed","blocked"))</f>
        <v>allowed</v>
      </c>
      <c r="Q820" s="0" t="str">
        <f aca="false">IF(C820="success","published",IF(E820&gt;0,"blocked_at_gate","failed_before_gate"))</f>
        <v>published</v>
      </c>
      <c r="R820" s="0" t="str">
        <f aca="false">IF(C820="success","",IF(E820&gt;0,IF(I820="freshness_within_target","freshness",IF(I820="relationships_intact","relationships",IF(I820="reconciliation_residual_zero","residual",I820))),IF(H820="quality_gate","gate_infra",H820)))</f>
        <v/>
      </c>
    </row>
    <row r="821" customFormat="false" ht="15" hidden="false" customHeight="false" outlineLevel="0" collapsed="false">
      <c r="A821" s="4" t="s">
        <v>3167</v>
      </c>
      <c r="B821" s="10" t="n">
        <v>46278.09375</v>
      </c>
      <c r="C821" s="4" t="s">
        <v>1544</v>
      </c>
      <c r="D821" s="4" t="n">
        <v>928</v>
      </c>
      <c r="E821" s="4" t="n">
        <v>7</v>
      </c>
      <c r="F821" s="4" t="n">
        <v>6</v>
      </c>
      <c r="G821" s="4" t="n">
        <v>0</v>
      </c>
      <c r="J821" s="11" t="b">
        <f aca="false">TRUE()</f>
        <v>1</v>
      </c>
      <c r="K821" s="4" t="s">
        <v>3168</v>
      </c>
      <c r="L821" s="4" t="n">
        <v>4</v>
      </c>
      <c r="M821" s="4" t="n">
        <v>4</v>
      </c>
      <c r="N821" s="4" t="n">
        <v>4</v>
      </c>
      <c r="O821" s="4" t="n">
        <v>4</v>
      </c>
      <c r="P821" s="0" t="str">
        <f aca="false">IF(E821=0,"not_reached",IF(AND(F821&gt;0,G821=0),"allowed","blocked"))</f>
        <v>allowed</v>
      </c>
      <c r="Q821" s="0" t="str">
        <f aca="false">IF(C821="success","published",IF(E821&gt;0,"blocked_at_gate","failed_before_gate"))</f>
        <v>published</v>
      </c>
      <c r="R821" s="0" t="str">
        <f aca="false">IF(C821="success","",IF(E821&gt;0,IF(I821="freshness_within_target","freshness",IF(I821="relationships_intact","relationships",IF(I821="reconciliation_residual_zero","residual",I821))),IF(H821="quality_gate","gate_infra",H821)))</f>
        <v/>
      </c>
    </row>
    <row r="822" customFormat="false" ht="15" hidden="false" customHeight="false" outlineLevel="0" collapsed="false">
      <c r="A822" s="4" t="s">
        <v>3169</v>
      </c>
      <c r="B822" s="10" t="n">
        <v>46278.1354166667</v>
      </c>
      <c r="C822" s="4" t="s">
        <v>1544</v>
      </c>
      <c r="D822" s="4" t="n">
        <v>685</v>
      </c>
      <c r="E822" s="4" t="n">
        <v>7</v>
      </c>
      <c r="F822" s="4" t="n">
        <v>6</v>
      </c>
      <c r="G822" s="4" t="n">
        <v>0</v>
      </c>
      <c r="J822" s="11" t="b">
        <f aca="false">TRUE()</f>
        <v>1</v>
      </c>
      <c r="K822" s="4" t="s">
        <v>3170</v>
      </c>
      <c r="L822" s="4" t="n">
        <v>4</v>
      </c>
      <c r="M822" s="4" t="n">
        <v>4</v>
      </c>
      <c r="N822" s="4" t="n">
        <v>4</v>
      </c>
      <c r="O822" s="4" t="n">
        <v>4</v>
      </c>
      <c r="P822" s="0" t="str">
        <f aca="false">IF(E822=0,"not_reached",IF(AND(F822&gt;0,G822=0),"allowed","blocked"))</f>
        <v>allowed</v>
      </c>
      <c r="Q822" s="0" t="str">
        <f aca="false">IF(C822="success","published",IF(E822&gt;0,"blocked_at_gate","failed_before_gate"))</f>
        <v>published</v>
      </c>
      <c r="R822" s="0" t="str">
        <f aca="false">IF(C822="success","",IF(E822&gt;0,IF(I822="freshness_within_target","freshness",IF(I822="relationships_intact","relationships",IF(I822="reconciliation_residual_zero","residual",I822))),IF(H822="quality_gate","gate_infra",H822)))</f>
        <v/>
      </c>
    </row>
    <row r="823" customFormat="false" ht="15" hidden="false" customHeight="false" outlineLevel="0" collapsed="false">
      <c r="A823" s="4" t="s">
        <v>3171</v>
      </c>
      <c r="B823" s="10" t="n">
        <v>46278.1770833333</v>
      </c>
      <c r="C823" s="4" t="s">
        <v>1544</v>
      </c>
      <c r="D823" s="4" t="n">
        <v>799</v>
      </c>
      <c r="E823" s="4" t="n">
        <v>7</v>
      </c>
      <c r="F823" s="4" t="n">
        <v>6</v>
      </c>
      <c r="G823" s="4" t="n">
        <v>0</v>
      </c>
      <c r="J823" s="11" t="b">
        <f aca="false">TRUE()</f>
        <v>1</v>
      </c>
      <c r="K823" s="4" t="s">
        <v>3172</v>
      </c>
      <c r="L823" s="4" t="n">
        <v>4</v>
      </c>
      <c r="M823" s="4" t="n">
        <v>4</v>
      </c>
      <c r="N823" s="4" t="n">
        <v>4</v>
      </c>
      <c r="O823" s="4" t="n">
        <v>4</v>
      </c>
      <c r="P823" s="0" t="str">
        <f aca="false">IF(E823=0,"not_reached",IF(AND(F823&gt;0,G823=0),"allowed","blocked"))</f>
        <v>allowed</v>
      </c>
      <c r="Q823" s="0" t="str">
        <f aca="false">IF(C823="success","published",IF(E823&gt;0,"blocked_at_gate","failed_before_gate"))</f>
        <v>published</v>
      </c>
      <c r="R823" s="0" t="str">
        <f aca="false">IF(C823="success","",IF(E823&gt;0,IF(I823="freshness_within_target","freshness",IF(I823="relationships_intact","relationships",IF(I823="reconciliation_residual_zero","residual",I823))),IF(H823="quality_gate","gate_infra",H823)))</f>
        <v/>
      </c>
    </row>
    <row r="824" customFormat="false" ht="15" hidden="false" customHeight="false" outlineLevel="0" collapsed="false">
      <c r="A824" s="4" t="s">
        <v>3173</v>
      </c>
      <c r="B824" s="10" t="n">
        <v>46278.21875</v>
      </c>
      <c r="C824" s="4" t="s">
        <v>1544</v>
      </c>
      <c r="D824" s="4" t="n">
        <v>802</v>
      </c>
      <c r="E824" s="4" t="n">
        <v>7</v>
      </c>
      <c r="F824" s="4" t="n">
        <v>6</v>
      </c>
      <c r="G824" s="4" t="n">
        <v>0</v>
      </c>
      <c r="J824" s="11" t="b">
        <f aca="false">TRUE()</f>
        <v>1</v>
      </c>
      <c r="K824" s="4" t="s">
        <v>3174</v>
      </c>
      <c r="L824" s="4" t="n">
        <v>4</v>
      </c>
      <c r="M824" s="4" t="n">
        <v>4</v>
      </c>
      <c r="N824" s="4" t="n">
        <v>4</v>
      </c>
      <c r="O824" s="4" t="n">
        <v>4</v>
      </c>
      <c r="P824" s="0" t="str">
        <f aca="false">IF(E824=0,"not_reached",IF(AND(F824&gt;0,G824=0),"allowed","blocked"))</f>
        <v>allowed</v>
      </c>
      <c r="Q824" s="0" t="str">
        <f aca="false">IF(C824="success","published",IF(E824&gt;0,"blocked_at_gate","failed_before_gate"))</f>
        <v>published</v>
      </c>
      <c r="R824" s="0" t="str">
        <f aca="false">IF(C824="success","",IF(E824&gt;0,IF(I824="freshness_within_target","freshness",IF(I824="relationships_intact","relationships",IF(I824="reconciliation_residual_zero","residual",I824))),IF(H824="quality_gate","gate_infra",H824)))</f>
        <v/>
      </c>
    </row>
    <row r="825" customFormat="false" ht="15" hidden="false" customHeight="false" outlineLevel="0" collapsed="false">
      <c r="A825" s="4" t="s">
        <v>3175</v>
      </c>
      <c r="B825" s="10" t="n">
        <v>46278.2604166667</v>
      </c>
      <c r="C825" s="4" t="s">
        <v>1544</v>
      </c>
      <c r="D825" s="4" t="n">
        <v>860</v>
      </c>
      <c r="E825" s="4" t="n">
        <v>7</v>
      </c>
      <c r="F825" s="4" t="n">
        <v>6</v>
      </c>
      <c r="G825" s="4" t="n">
        <v>0</v>
      </c>
      <c r="J825" s="11" t="b">
        <f aca="false">TRUE()</f>
        <v>1</v>
      </c>
      <c r="K825" s="4" t="s">
        <v>3176</v>
      </c>
      <c r="L825" s="4" t="n">
        <v>4</v>
      </c>
      <c r="M825" s="4" t="n">
        <v>4</v>
      </c>
      <c r="N825" s="4" t="n">
        <v>4</v>
      </c>
      <c r="O825" s="4" t="n">
        <v>4</v>
      </c>
      <c r="P825" s="0" t="str">
        <f aca="false">IF(E825=0,"not_reached",IF(AND(F825&gt;0,G825=0),"allowed","blocked"))</f>
        <v>allowed</v>
      </c>
      <c r="Q825" s="0" t="str">
        <f aca="false">IF(C825="success","published",IF(E825&gt;0,"blocked_at_gate","failed_before_gate"))</f>
        <v>published</v>
      </c>
      <c r="R825" s="0" t="str">
        <f aca="false">IF(C825="success","",IF(E825&gt;0,IF(I825="freshness_within_target","freshness",IF(I825="relationships_intact","relationships",IF(I825="reconciliation_residual_zero","residual",I825))),IF(H825="quality_gate","gate_infra",H825)))</f>
        <v/>
      </c>
    </row>
    <row r="826" customFormat="false" ht="15" hidden="false" customHeight="false" outlineLevel="0" collapsed="false">
      <c r="A826" s="4" t="s">
        <v>3177</v>
      </c>
      <c r="B826" s="10" t="n">
        <v>46278.3020833333</v>
      </c>
      <c r="C826" s="4" t="s">
        <v>1544</v>
      </c>
      <c r="D826" s="4" t="n">
        <v>662</v>
      </c>
      <c r="E826" s="4" t="n">
        <v>7</v>
      </c>
      <c r="F826" s="4" t="n">
        <v>6</v>
      </c>
      <c r="G826" s="4" t="n">
        <v>0</v>
      </c>
      <c r="J826" s="11" t="b">
        <f aca="false">TRUE()</f>
        <v>1</v>
      </c>
      <c r="K826" s="4" t="s">
        <v>3178</v>
      </c>
      <c r="L826" s="4" t="n">
        <v>4</v>
      </c>
      <c r="M826" s="4" t="n">
        <v>4</v>
      </c>
      <c r="N826" s="4" t="n">
        <v>4</v>
      </c>
      <c r="O826" s="4" t="n">
        <v>4</v>
      </c>
      <c r="P826" s="0" t="str">
        <f aca="false">IF(E826=0,"not_reached",IF(AND(F826&gt;0,G826=0),"allowed","blocked"))</f>
        <v>allowed</v>
      </c>
      <c r="Q826" s="0" t="str">
        <f aca="false">IF(C826="success","published",IF(E826&gt;0,"blocked_at_gate","failed_before_gate"))</f>
        <v>published</v>
      </c>
      <c r="R826" s="0" t="str">
        <f aca="false">IF(C826="success","",IF(E826&gt;0,IF(I826="freshness_within_target","freshness",IF(I826="relationships_intact","relationships",IF(I826="reconciliation_residual_zero","residual",I826))),IF(H826="quality_gate","gate_infra",H826)))</f>
        <v/>
      </c>
    </row>
    <row r="827" customFormat="false" ht="15" hidden="false" customHeight="false" outlineLevel="0" collapsed="false">
      <c r="A827" s="4" t="s">
        <v>3179</v>
      </c>
      <c r="B827" s="10" t="n">
        <v>46278.34375</v>
      </c>
      <c r="C827" s="4" t="s">
        <v>1544</v>
      </c>
      <c r="D827" s="4" t="n">
        <v>727</v>
      </c>
      <c r="E827" s="4" t="n">
        <v>7</v>
      </c>
      <c r="F827" s="4" t="n">
        <v>6</v>
      </c>
      <c r="G827" s="4" t="n">
        <v>0</v>
      </c>
      <c r="J827" s="11" t="b">
        <f aca="false">TRUE()</f>
        <v>1</v>
      </c>
      <c r="K827" s="4" t="s">
        <v>3180</v>
      </c>
      <c r="L827" s="4" t="n">
        <v>4</v>
      </c>
      <c r="M827" s="4" t="n">
        <v>4</v>
      </c>
      <c r="N827" s="4" t="n">
        <v>4</v>
      </c>
      <c r="O827" s="4" t="n">
        <v>4</v>
      </c>
      <c r="P827" s="0" t="str">
        <f aca="false">IF(E827=0,"not_reached",IF(AND(F827&gt;0,G827=0),"allowed","blocked"))</f>
        <v>allowed</v>
      </c>
      <c r="Q827" s="0" t="str">
        <f aca="false">IF(C827="success","published",IF(E827&gt;0,"blocked_at_gate","failed_before_gate"))</f>
        <v>published</v>
      </c>
      <c r="R827" s="0" t="str">
        <f aca="false">IF(C827="success","",IF(E827&gt;0,IF(I827="freshness_within_target","freshness",IF(I827="relationships_intact","relationships",IF(I827="reconciliation_residual_zero","residual",I827))),IF(H827="quality_gate","gate_infra",H827)))</f>
        <v/>
      </c>
    </row>
    <row r="828" customFormat="false" ht="15" hidden="false" customHeight="false" outlineLevel="0" collapsed="false">
      <c r="A828" s="4" t="s">
        <v>3181</v>
      </c>
      <c r="B828" s="10" t="n">
        <v>46278.3854166667</v>
      </c>
      <c r="C828" s="4" t="s">
        <v>1544</v>
      </c>
      <c r="D828" s="4" t="n">
        <v>806</v>
      </c>
      <c r="E828" s="4" t="n">
        <v>7</v>
      </c>
      <c r="F828" s="4" t="n">
        <v>6</v>
      </c>
      <c r="G828" s="4" t="n">
        <v>0</v>
      </c>
      <c r="J828" s="11" t="b">
        <f aca="false">TRUE()</f>
        <v>1</v>
      </c>
      <c r="K828" s="4" t="s">
        <v>3182</v>
      </c>
      <c r="L828" s="4" t="n">
        <v>4</v>
      </c>
      <c r="M828" s="4" t="n">
        <v>4</v>
      </c>
      <c r="N828" s="4" t="n">
        <v>4</v>
      </c>
      <c r="O828" s="4" t="n">
        <v>4</v>
      </c>
      <c r="P828" s="0" t="str">
        <f aca="false">IF(E828=0,"not_reached",IF(AND(F828&gt;0,G828=0),"allowed","blocked"))</f>
        <v>allowed</v>
      </c>
      <c r="Q828" s="0" t="str">
        <f aca="false">IF(C828="success","published",IF(E828&gt;0,"blocked_at_gate","failed_before_gate"))</f>
        <v>published</v>
      </c>
      <c r="R828" s="0" t="str">
        <f aca="false">IF(C828="success","",IF(E828&gt;0,IF(I828="freshness_within_target","freshness",IF(I828="relationships_intact","relationships",IF(I828="reconciliation_residual_zero","residual",I828))),IF(H828="quality_gate","gate_infra",H828)))</f>
        <v/>
      </c>
    </row>
    <row r="829" customFormat="false" ht="15" hidden="false" customHeight="false" outlineLevel="0" collapsed="false">
      <c r="A829" s="4" t="s">
        <v>3183</v>
      </c>
      <c r="B829" s="10" t="n">
        <v>46278.4270833333</v>
      </c>
      <c r="C829" s="4" t="s">
        <v>1544</v>
      </c>
      <c r="D829" s="4" t="n">
        <v>751</v>
      </c>
      <c r="E829" s="4" t="n">
        <v>7</v>
      </c>
      <c r="F829" s="4" t="n">
        <v>6</v>
      </c>
      <c r="G829" s="4" t="n">
        <v>0</v>
      </c>
      <c r="J829" s="11" t="b">
        <f aca="false">TRUE()</f>
        <v>1</v>
      </c>
      <c r="K829" s="4" t="s">
        <v>3184</v>
      </c>
      <c r="L829" s="4" t="n">
        <v>4</v>
      </c>
      <c r="M829" s="4" t="n">
        <v>4</v>
      </c>
      <c r="N829" s="4" t="n">
        <v>4</v>
      </c>
      <c r="O829" s="4" t="n">
        <v>4</v>
      </c>
      <c r="P829" s="0" t="str">
        <f aca="false">IF(E829=0,"not_reached",IF(AND(F829&gt;0,G829=0),"allowed","blocked"))</f>
        <v>allowed</v>
      </c>
      <c r="Q829" s="0" t="str">
        <f aca="false">IF(C829="success","published",IF(E829&gt;0,"blocked_at_gate","failed_before_gate"))</f>
        <v>published</v>
      </c>
      <c r="R829" s="0" t="str">
        <f aca="false">IF(C829="success","",IF(E829&gt;0,IF(I829="freshness_within_target","freshness",IF(I829="relationships_intact","relationships",IF(I829="reconciliation_residual_zero","residual",I829))),IF(H829="quality_gate","gate_infra",H829)))</f>
        <v/>
      </c>
    </row>
    <row r="830" customFormat="false" ht="15" hidden="false" customHeight="false" outlineLevel="0" collapsed="false">
      <c r="A830" s="4" t="s">
        <v>3185</v>
      </c>
      <c r="B830" s="10" t="n">
        <v>46278.46875</v>
      </c>
      <c r="C830" s="4" t="s">
        <v>1544</v>
      </c>
      <c r="D830" s="4" t="n">
        <v>707</v>
      </c>
      <c r="E830" s="4" t="n">
        <v>7</v>
      </c>
      <c r="F830" s="4" t="n">
        <v>6</v>
      </c>
      <c r="G830" s="4" t="n">
        <v>0</v>
      </c>
      <c r="J830" s="11" t="b">
        <f aca="false">TRUE()</f>
        <v>1</v>
      </c>
      <c r="K830" s="4" t="s">
        <v>3186</v>
      </c>
      <c r="L830" s="4" t="n">
        <v>4</v>
      </c>
      <c r="M830" s="4" t="n">
        <v>4</v>
      </c>
      <c r="N830" s="4" t="n">
        <v>4</v>
      </c>
      <c r="O830" s="4" t="n">
        <v>4</v>
      </c>
      <c r="P830" s="0" t="str">
        <f aca="false">IF(E830=0,"not_reached",IF(AND(F830&gt;0,G830=0),"allowed","blocked"))</f>
        <v>allowed</v>
      </c>
      <c r="Q830" s="0" t="str">
        <f aca="false">IF(C830="success","published",IF(E830&gt;0,"blocked_at_gate","failed_before_gate"))</f>
        <v>published</v>
      </c>
      <c r="R830" s="0" t="str">
        <f aca="false">IF(C830="success","",IF(E830&gt;0,IF(I830="freshness_within_target","freshness",IF(I830="relationships_intact","relationships",IF(I830="reconciliation_residual_zero","residual",I830))),IF(H830="quality_gate","gate_infra",H830)))</f>
        <v/>
      </c>
    </row>
    <row r="831" customFormat="false" ht="15" hidden="false" customHeight="false" outlineLevel="0" collapsed="false">
      <c r="A831" s="4" t="s">
        <v>3187</v>
      </c>
      <c r="B831" s="10" t="n">
        <v>46278.5104166667</v>
      </c>
      <c r="C831" s="4" t="s">
        <v>1544</v>
      </c>
      <c r="D831" s="4" t="n">
        <v>718</v>
      </c>
      <c r="E831" s="4" t="n">
        <v>7</v>
      </c>
      <c r="F831" s="4" t="n">
        <v>6</v>
      </c>
      <c r="G831" s="4" t="n">
        <v>0</v>
      </c>
      <c r="J831" s="11" t="b">
        <f aca="false">TRUE()</f>
        <v>1</v>
      </c>
      <c r="K831" s="4" t="s">
        <v>3188</v>
      </c>
      <c r="L831" s="4" t="n">
        <v>4</v>
      </c>
      <c r="M831" s="4" t="n">
        <v>4</v>
      </c>
      <c r="N831" s="4" t="n">
        <v>4</v>
      </c>
      <c r="O831" s="4" t="n">
        <v>4</v>
      </c>
      <c r="P831" s="0" t="str">
        <f aca="false">IF(E831=0,"not_reached",IF(AND(F831&gt;0,G831=0),"allowed","blocked"))</f>
        <v>allowed</v>
      </c>
      <c r="Q831" s="0" t="str">
        <f aca="false">IF(C831="success","published",IF(E831&gt;0,"blocked_at_gate","failed_before_gate"))</f>
        <v>published</v>
      </c>
      <c r="R831" s="0" t="str">
        <f aca="false">IF(C831="success","",IF(E831&gt;0,IF(I831="freshness_within_target","freshness",IF(I831="relationships_intact","relationships",IF(I831="reconciliation_residual_zero","residual",I831))),IF(H831="quality_gate","gate_infra",H831)))</f>
        <v/>
      </c>
    </row>
    <row r="832" customFormat="false" ht="15" hidden="false" customHeight="false" outlineLevel="0" collapsed="false">
      <c r="A832" s="4" t="s">
        <v>3189</v>
      </c>
      <c r="B832" s="10" t="n">
        <v>46278.5520833333</v>
      </c>
      <c r="C832" s="4" t="s">
        <v>1544</v>
      </c>
      <c r="D832" s="4" t="n">
        <v>879</v>
      </c>
      <c r="E832" s="4" t="n">
        <v>7</v>
      </c>
      <c r="F832" s="4" t="n">
        <v>6</v>
      </c>
      <c r="G832" s="4" t="n">
        <v>0</v>
      </c>
      <c r="J832" s="11" t="b">
        <f aca="false">TRUE()</f>
        <v>1</v>
      </c>
      <c r="K832" s="4" t="s">
        <v>3190</v>
      </c>
      <c r="L832" s="4" t="n">
        <v>4</v>
      </c>
      <c r="M832" s="4" t="n">
        <v>4</v>
      </c>
      <c r="N832" s="4" t="n">
        <v>4</v>
      </c>
      <c r="O832" s="4" t="n">
        <v>4</v>
      </c>
      <c r="P832" s="0" t="str">
        <f aca="false">IF(E832=0,"not_reached",IF(AND(F832&gt;0,G832=0),"allowed","blocked"))</f>
        <v>allowed</v>
      </c>
      <c r="Q832" s="0" t="str">
        <f aca="false">IF(C832="success","published",IF(E832&gt;0,"blocked_at_gate","failed_before_gate"))</f>
        <v>published</v>
      </c>
      <c r="R832" s="0" t="str">
        <f aca="false">IF(C832="success","",IF(E832&gt;0,IF(I832="freshness_within_target","freshness",IF(I832="relationships_intact","relationships",IF(I832="reconciliation_residual_zero","residual",I832))),IF(H832="quality_gate","gate_infra",H832)))</f>
        <v/>
      </c>
    </row>
    <row r="833" customFormat="false" ht="15" hidden="false" customHeight="false" outlineLevel="0" collapsed="false">
      <c r="A833" s="4" t="s">
        <v>3191</v>
      </c>
      <c r="B833" s="10" t="n">
        <v>46278.59375</v>
      </c>
      <c r="C833" s="4" t="s">
        <v>1544</v>
      </c>
      <c r="D833" s="4" t="n">
        <v>779</v>
      </c>
      <c r="E833" s="4" t="n">
        <v>7</v>
      </c>
      <c r="F833" s="4" t="n">
        <v>6</v>
      </c>
      <c r="G833" s="4" t="n">
        <v>0</v>
      </c>
      <c r="J833" s="11" t="b">
        <f aca="false">TRUE()</f>
        <v>1</v>
      </c>
      <c r="K833" s="4" t="s">
        <v>3192</v>
      </c>
      <c r="L833" s="4" t="n">
        <v>4</v>
      </c>
      <c r="M833" s="4" t="n">
        <v>4</v>
      </c>
      <c r="N833" s="4" t="n">
        <v>4</v>
      </c>
      <c r="O833" s="4" t="n">
        <v>4</v>
      </c>
      <c r="P833" s="0" t="str">
        <f aca="false">IF(E833=0,"not_reached",IF(AND(F833&gt;0,G833=0),"allowed","blocked"))</f>
        <v>allowed</v>
      </c>
      <c r="Q833" s="0" t="str">
        <f aca="false">IF(C833="success","published",IF(E833&gt;0,"blocked_at_gate","failed_before_gate"))</f>
        <v>published</v>
      </c>
      <c r="R833" s="0" t="str">
        <f aca="false">IF(C833="success","",IF(E833&gt;0,IF(I833="freshness_within_target","freshness",IF(I833="relationships_intact","relationships",IF(I833="reconciliation_residual_zero","residual",I833))),IF(H833="quality_gate","gate_infra",H833)))</f>
        <v/>
      </c>
    </row>
    <row r="834" customFormat="false" ht="15" hidden="false" customHeight="false" outlineLevel="0" collapsed="false">
      <c r="A834" s="4" t="s">
        <v>3193</v>
      </c>
      <c r="B834" s="10" t="n">
        <v>46278.6354166667</v>
      </c>
      <c r="C834" s="4" t="s">
        <v>1544</v>
      </c>
      <c r="D834" s="4" t="n">
        <v>908</v>
      </c>
      <c r="E834" s="4" t="n">
        <v>7</v>
      </c>
      <c r="F834" s="4" t="n">
        <v>6</v>
      </c>
      <c r="G834" s="4" t="n">
        <v>0</v>
      </c>
      <c r="J834" s="11" t="b">
        <f aca="false">TRUE()</f>
        <v>1</v>
      </c>
      <c r="K834" s="4" t="s">
        <v>3194</v>
      </c>
      <c r="L834" s="4" t="n">
        <v>4</v>
      </c>
      <c r="M834" s="4" t="n">
        <v>4</v>
      </c>
      <c r="N834" s="4" t="n">
        <v>4</v>
      </c>
      <c r="O834" s="4" t="n">
        <v>4</v>
      </c>
      <c r="P834" s="0" t="str">
        <f aca="false">IF(E834=0,"not_reached",IF(AND(F834&gt;0,G834=0),"allowed","blocked"))</f>
        <v>allowed</v>
      </c>
      <c r="Q834" s="0" t="str">
        <f aca="false">IF(C834="success","published",IF(E834&gt;0,"blocked_at_gate","failed_before_gate"))</f>
        <v>published</v>
      </c>
      <c r="R834" s="0" t="str">
        <f aca="false">IF(C834="success","",IF(E834&gt;0,IF(I834="freshness_within_target","freshness",IF(I834="relationships_intact","relationships",IF(I834="reconciliation_residual_zero","residual",I834))),IF(H834="quality_gate","gate_infra",H834)))</f>
        <v/>
      </c>
    </row>
    <row r="835" customFormat="false" ht="15" hidden="false" customHeight="false" outlineLevel="0" collapsed="false">
      <c r="A835" s="4" t="s">
        <v>3195</v>
      </c>
      <c r="B835" s="10" t="n">
        <v>46278.6770833333</v>
      </c>
      <c r="C835" s="4" t="s">
        <v>1901</v>
      </c>
      <c r="D835" s="4" t="n">
        <v>566</v>
      </c>
      <c r="E835" s="4" t="n">
        <v>7</v>
      </c>
      <c r="F835" s="4" t="n">
        <v>6</v>
      </c>
      <c r="G835" s="4" t="n">
        <v>1</v>
      </c>
      <c r="H835" s="4" t="s">
        <v>1954</v>
      </c>
      <c r="I835" s="4" t="s">
        <v>1992</v>
      </c>
      <c r="J835" s="11" t="b">
        <f aca="false">FALSE()</f>
        <v>0</v>
      </c>
      <c r="L835" s="4" t="n">
        <v>3</v>
      </c>
      <c r="M835" s="4" t="n">
        <v>2</v>
      </c>
      <c r="N835" s="4" t="n">
        <v>3</v>
      </c>
      <c r="O835" s="4" t="n">
        <v>2</v>
      </c>
      <c r="P835" s="0" t="str">
        <f aca="false">IF(E835=0,"not_reached",IF(AND(F835&gt;0,G835=0),"allowed","blocked"))</f>
        <v>blocked</v>
      </c>
      <c r="Q835" s="0" t="str">
        <f aca="false">IF(C835="success","published",IF(E835&gt;0,"blocked_at_gate","failed_before_gate"))</f>
        <v>blocked_at_gate</v>
      </c>
      <c r="R835" s="0" t="str">
        <f aca="false">IF(C835="success","",IF(E835&gt;0,IF(I835="freshness_within_target","freshness",IF(I835="relationships_intact","relationships",IF(I835="reconciliation_residual_zero","residual",I835))),IF(H835="quality_gate","gate_infra",H835)))</f>
        <v>freshness</v>
      </c>
    </row>
    <row r="836" customFormat="false" ht="15" hidden="false" customHeight="false" outlineLevel="0" collapsed="false">
      <c r="A836" s="4" t="s">
        <v>3196</v>
      </c>
      <c r="B836" s="10" t="n">
        <v>46278.71875</v>
      </c>
      <c r="C836" s="4" t="s">
        <v>1544</v>
      </c>
      <c r="D836" s="4" t="n">
        <v>923</v>
      </c>
      <c r="E836" s="4" t="n">
        <v>7</v>
      </c>
      <c r="F836" s="4" t="n">
        <v>6</v>
      </c>
      <c r="G836" s="4" t="n">
        <v>0</v>
      </c>
      <c r="J836" s="11" t="b">
        <f aca="false">TRUE()</f>
        <v>1</v>
      </c>
      <c r="K836" s="4" t="s">
        <v>3197</v>
      </c>
      <c r="L836" s="4" t="n">
        <v>4</v>
      </c>
      <c r="M836" s="4" t="n">
        <v>4</v>
      </c>
      <c r="N836" s="4" t="n">
        <v>4</v>
      </c>
      <c r="O836" s="4" t="n">
        <v>4</v>
      </c>
      <c r="P836" s="0" t="str">
        <f aca="false">IF(E836=0,"not_reached",IF(AND(F836&gt;0,G836=0),"allowed","blocked"))</f>
        <v>allowed</v>
      </c>
      <c r="Q836" s="0" t="str">
        <f aca="false">IF(C836="success","published",IF(E836&gt;0,"blocked_at_gate","failed_before_gate"))</f>
        <v>published</v>
      </c>
      <c r="R836" s="0" t="str">
        <f aca="false">IF(C836="success","",IF(E836&gt;0,IF(I836="freshness_within_target","freshness",IF(I836="relationships_intact","relationships",IF(I836="reconciliation_residual_zero","residual",I836))),IF(H836="quality_gate","gate_infra",H836)))</f>
        <v/>
      </c>
    </row>
    <row r="837" customFormat="false" ht="15" hidden="false" customHeight="false" outlineLevel="0" collapsed="false">
      <c r="A837" s="4" t="s">
        <v>3198</v>
      </c>
      <c r="B837" s="10" t="n">
        <v>46278.7604166667</v>
      </c>
      <c r="C837" s="4" t="s">
        <v>1544</v>
      </c>
      <c r="D837" s="4" t="n">
        <v>741</v>
      </c>
      <c r="E837" s="4" t="n">
        <v>7</v>
      </c>
      <c r="F837" s="4" t="n">
        <v>6</v>
      </c>
      <c r="G837" s="4" t="n">
        <v>0</v>
      </c>
      <c r="J837" s="11" t="b">
        <f aca="false">TRUE()</f>
        <v>1</v>
      </c>
      <c r="K837" s="4" t="s">
        <v>3199</v>
      </c>
      <c r="L837" s="4" t="n">
        <v>4</v>
      </c>
      <c r="M837" s="4" t="n">
        <v>4</v>
      </c>
      <c r="N837" s="4" t="n">
        <v>4</v>
      </c>
      <c r="O837" s="4" t="n">
        <v>4</v>
      </c>
      <c r="P837" s="0" t="str">
        <f aca="false">IF(E837=0,"not_reached",IF(AND(F837&gt;0,G837=0),"allowed","blocked"))</f>
        <v>allowed</v>
      </c>
      <c r="Q837" s="0" t="str">
        <f aca="false">IF(C837="success","published",IF(E837&gt;0,"blocked_at_gate","failed_before_gate"))</f>
        <v>published</v>
      </c>
      <c r="R837" s="0" t="str">
        <f aca="false">IF(C837="success","",IF(E837&gt;0,IF(I837="freshness_within_target","freshness",IF(I837="relationships_intact","relationships",IF(I837="reconciliation_residual_zero","residual",I837))),IF(H837="quality_gate","gate_infra",H837)))</f>
        <v/>
      </c>
    </row>
    <row r="838" customFormat="false" ht="15" hidden="false" customHeight="false" outlineLevel="0" collapsed="false">
      <c r="A838" s="4" t="s">
        <v>3200</v>
      </c>
      <c r="B838" s="10" t="n">
        <v>46278.8020833333</v>
      </c>
      <c r="C838" s="4" t="s">
        <v>1544</v>
      </c>
      <c r="D838" s="4" t="n">
        <v>706</v>
      </c>
      <c r="E838" s="4" t="n">
        <v>7</v>
      </c>
      <c r="F838" s="4" t="n">
        <v>6</v>
      </c>
      <c r="G838" s="4" t="n">
        <v>0</v>
      </c>
      <c r="J838" s="11" t="b">
        <f aca="false">TRUE()</f>
        <v>1</v>
      </c>
      <c r="K838" s="4" t="s">
        <v>3201</v>
      </c>
      <c r="L838" s="4" t="n">
        <v>4</v>
      </c>
      <c r="M838" s="4" t="n">
        <v>4</v>
      </c>
      <c r="N838" s="4" t="n">
        <v>4</v>
      </c>
      <c r="O838" s="4" t="n">
        <v>4</v>
      </c>
      <c r="P838" s="0" t="str">
        <f aca="false">IF(E838=0,"not_reached",IF(AND(F838&gt;0,G838=0),"allowed","blocked"))</f>
        <v>allowed</v>
      </c>
      <c r="Q838" s="0" t="str">
        <f aca="false">IF(C838="success","published",IF(E838&gt;0,"blocked_at_gate","failed_before_gate"))</f>
        <v>published</v>
      </c>
      <c r="R838" s="0" t="str">
        <f aca="false">IF(C838="success","",IF(E838&gt;0,IF(I838="freshness_within_target","freshness",IF(I838="relationships_intact","relationships",IF(I838="reconciliation_residual_zero","residual",I838))),IF(H838="quality_gate","gate_infra",H838)))</f>
        <v/>
      </c>
    </row>
    <row r="839" customFormat="false" ht="15" hidden="false" customHeight="false" outlineLevel="0" collapsed="false">
      <c r="A839" s="4" t="s">
        <v>3202</v>
      </c>
      <c r="B839" s="10" t="n">
        <v>46278.84375</v>
      </c>
      <c r="C839" s="4" t="s">
        <v>1544</v>
      </c>
      <c r="D839" s="4" t="n">
        <v>957</v>
      </c>
      <c r="E839" s="4" t="n">
        <v>7</v>
      </c>
      <c r="F839" s="4" t="n">
        <v>6</v>
      </c>
      <c r="G839" s="4" t="n">
        <v>0</v>
      </c>
      <c r="J839" s="11" t="b">
        <f aca="false">TRUE()</f>
        <v>1</v>
      </c>
      <c r="K839" s="4" t="s">
        <v>3203</v>
      </c>
      <c r="L839" s="4" t="n">
        <v>4</v>
      </c>
      <c r="M839" s="4" t="n">
        <v>4</v>
      </c>
      <c r="N839" s="4" t="n">
        <v>4</v>
      </c>
      <c r="O839" s="4" t="n">
        <v>4</v>
      </c>
      <c r="P839" s="0" t="str">
        <f aca="false">IF(E839=0,"not_reached",IF(AND(F839&gt;0,G839=0),"allowed","blocked"))</f>
        <v>allowed</v>
      </c>
      <c r="Q839" s="0" t="str">
        <f aca="false">IF(C839="success","published",IF(E839&gt;0,"blocked_at_gate","failed_before_gate"))</f>
        <v>published</v>
      </c>
      <c r="R839" s="0" t="str">
        <f aca="false">IF(C839="success","",IF(E839&gt;0,IF(I839="freshness_within_target","freshness",IF(I839="relationships_intact","relationships",IF(I839="reconciliation_residual_zero","residual",I839))),IF(H839="quality_gate","gate_infra",H839)))</f>
        <v/>
      </c>
    </row>
    <row r="840" customFormat="false" ht="15" hidden="false" customHeight="false" outlineLevel="0" collapsed="false">
      <c r="A840" s="4" t="s">
        <v>3204</v>
      </c>
      <c r="B840" s="10" t="n">
        <v>46278.8854166667</v>
      </c>
      <c r="C840" s="4" t="s">
        <v>1544</v>
      </c>
      <c r="D840" s="4" t="n">
        <v>788</v>
      </c>
      <c r="E840" s="4" t="n">
        <v>7</v>
      </c>
      <c r="F840" s="4" t="n">
        <v>6</v>
      </c>
      <c r="G840" s="4" t="n">
        <v>0</v>
      </c>
      <c r="J840" s="11" t="b">
        <f aca="false">TRUE()</f>
        <v>1</v>
      </c>
      <c r="K840" s="4" t="s">
        <v>3205</v>
      </c>
      <c r="L840" s="4" t="n">
        <v>4</v>
      </c>
      <c r="M840" s="4" t="n">
        <v>4</v>
      </c>
      <c r="N840" s="4" t="n">
        <v>4</v>
      </c>
      <c r="O840" s="4" t="n">
        <v>4</v>
      </c>
      <c r="P840" s="0" t="str">
        <f aca="false">IF(E840=0,"not_reached",IF(AND(F840&gt;0,G840=0),"allowed","blocked"))</f>
        <v>allowed</v>
      </c>
      <c r="Q840" s="0" t="str">
        <f aca="false">IF(C840="success","published",IF(E840&gt;0,"blocked_at_gate","failed_before_gate"))</f>
        <v>published</v>
      </c>
      <c r="R840" s="0" t="str">
        <f aca="false">IF(C840="success","",IF(E840&gt;0,IF(I840="freshness_within_target","freshness",IF(I840="relationships_intact","relationships",IF(I840="reconciliation_residual_zero","residual",I840))),IF(H840="quality_gate","gate_infra",H840)))</f>
        <v/>
      </c>
    </row>
    <row r="841" customFormat="false" ht="15" hidden="false" customHeight="false" outlineLevel="0" collapsed="false">
      <c r="A841" s="4" t="s">
        <v>3206</v>
      </c>
      <c r="B841" s="10" t="n">
        <v>46278.9270833333</v>
      </c>
      <c r="C841" s="4" t="s">
        <v>1544</v>
      </c>
      <c r="D841" s="4" t="n">
        <v>816</v>
      </c>
      <c r="E841" s="4" t="n">
        <v>7</v>
      </c>
      <c r="F841" s="4" t="n">
        <v>6</v>
      </c>
      <c r="G841" s="4" t="n">
        <v>0</v>
      </c>
      <c r="J841" s="11" t="b">
        <f aca="false">TRUE()</f>
        <v>1</v>
      </c>
      <c r="K841" s="4" t="s">
        <v>3207</v>
      </c>
      <c r="L841" s="4" t="n">
        <v>4</v>
      </c>
      <c r="M841" s="4" t="n">
        <v>4</v>
      </c>
      <c r="N841" s="4" t="n">
        <v>4</v>
      </c>
      <c r="O841" s="4" t="n">
        <v>4</v>
      </c>
      <c r="P841" s="0" t="str">
        <f aca="false">IF(E841=0,"not_reached",IF(AND(F841&gt;0,G841=0),"allowed","blocked"))</f>
        <v>allowed</v>
      </c>
      <c r="Q841" s="0" t="str">
        <f aca="false">IF(C841="success","published",IF(E841&gt;0,"blocked_at_gate","failed_before_gate"))</f>
        <v>published</v>
      </c>
      <c r="R841" s="0" t="str">
        <f aca="false">IF(C841="success","",IF(E841&gt;0,IF(I841="freshness_within_target","freshness",IF(I841="relationships_intact","relationships",IF(I841="reconciliation_residual_zero","residual",I841))),IF(H841="quality_gate","gate_infra",H841)))</f>
        <v/>
      </c>
    </row>
    <row r="842" customFormat="false" ht="15" hidden="false" customHeight="false" outlineLevel="0" collapsed="false">
      <c r="A842" s="4" t="s">
        <v>3208</v>
      </c>
      <c r="B842" s="10" t="n">
        <v>46278.96875</v>
      </c>
      <c r="C842" s="4" t="s">
        <v>1544</v>
      </c>
      <c r="D842" s="4" t="n">
        <v>666</v>
      </c>
      <c r="E842" s="4" t="n">
        <v>7</v>
      </c>
      <c r="F842" s="4" t="n">
        <v>6</v>
      </c>
      <c r="G842" s="4" t="n">
        <v>0</v>
      </c>
      <c r="J842" s="11" t="b">
        <f aca="false">TRUE()</f>
        <v>1</v>
      </c>
      <c r="K842" s="4" t="s">
        <v>3209</v>
      </c>
      <c r="L842" s="4" t="n">
        <v>4</v>
      </c>
      <c r="M842" s="4" t="n">
        <v>4</v>
      </c>
      <c r="N842" s="4" t="n">
        <v>4</v>
      </c>
      <c r="O842" s="4" t="n">
        <v>4</v>
      </c>
      <c r="P842" s="0" t="str">
        <f aca="false">IF(E842=0,"not_reached",IF(AND(F842&gt;0,G842=0),"allowed","blocked"))</f>
        <v>allowed</v>
      </c>
      <c r="Q842" s="0" t="str">
        <f aca="false">IF(C842="success","published",IF(E842&gt;0,"blocked_at_gate","failed_before_gate"))</f>
        <v>published</v>
      </c>
      <c r="R842" s="0" t="str">
        <f aca="false">IF(C842="success","",IF(E842&gt;0,IF(I842="freshness_within_target","freshness",IF(I842="relationships_intact","relationships",IF(I842="reconciliation_residual_zero","residual",I842))),IF(H842="quality_gate","gate_infra",H842)))</f>
        <v/>
      </c>
    </row>
    <row r="843" customFormat="false" ht="15" hidden="false" customHeight="false" outlineLevel="0" collapsed="false">
      <c r="A843" s="4" t="s">
        <v>3210</v>
      </c>
      <c r="B843" s="10" t="n">
        <v>46279.0104166667</v>
      </c>
      <c r="C843" s="4" t="s">
        <v>1544</v>
      </c>
      <c r="D843" s="4" t="n">
        <v>766</v>
      </c>
      <c r="E843" s="4" t="n">
        <v>7</v>
      </c>
      <c r="F843" s="4" t="n">
        <v>6</v>
      </c>
      <c r="G843" s="4" t="n">
        <v>0</v>
      </c>
      <c r="J843" s="11" t="b">
        <f aca="false">TRUE()</f>
        <v>1</v>
      </c>
      <c r="K843" s="4" t="s">
        <v>3211</v>
      </c>
      <c r="L843" s="4" t="n">
        <v>4</v>
      </c>
      <c r="M843" s="4" t="n">
        <v>4</v>
      </c>
      <c r="N843" s="4" t="n">
        <v>4</v>
      </c>
      <c r="O843" s="4" t="n">
        <v>4</v>
      </c>
      <c r="P843" s="0" t="str">
        <f aca="false">IF(E843=0,"not_reached",IF(AND(F843&gt;0,G843=0),"allowed","blocked"))</f>
        <v>allowed</v>
      </c>
      <c r="Q843" s="0" t="str">
        <f aca="false">IF(C843="success","published",IF(E843&gt;0,"blocked_at_gate","failed_before_gate"))</f>
        <v>published</v>
      </c>
      <c r="R843" s="0" t="str">
        <f aca="false">IF(C843="success","",IF(E843&gt;0,IF(I843="freshness_within_target","freshness",IF(I843="relationships_intact","relationships",IF(I843="reconciliation_residual_zero","residual",I843))),IF(H843="quality_gate","gate_infra",H843)))</f>
        <v/>
      </c>
    </row>
    <row r="844" customFormat="false" ht="15" hidden="false" customHeight="false" outlineLevel="0" collapsed="false">
      <c r="A844" s="4" t="s">
        <v>3212</v>
      </c>
      <c r="B844" s="10" t="n">
        <v>46279.0520833333</v>
      </c>
      <c r="C844" s="4" t="s">
        <v>1544</v>
      </c>
      <c r="D844" s="4" t="n">
        <v>831</v>
      </c>
      <c r="E844" s="4" t="n">
        <v>7</v>
      </c>
      <c r="F844" s="4" t="n">
        <v>6</v>
      </c>
      <c r="G844" s="4" t="n">
        <v>0</v>
      </c>
      <c r="J844" s="11" t="b">
        <f aca="false">TRUE()</f>
        <v>1</v>
      </c>
      <c r="K844" s="4" t="s">
        <v>3213</v>
      </c>
      <c r="L844" s="4" t="n">
        <v>4</v>
      </c>
      <c r="M844" s="4" t="n">
        <v>4</v>
      </c>
      <c r="N844" s="4" t="n">
        <v>4</v>
      </c>
      <c r="O844" s="4" t="n">
        <v>4</v>
      </c>
      <c r="P844" s="0" t="str">
        <f aca="false">IF(E844=0,"not_reached",IF(AND(F844&gt;0,G844=0),"allowed","blocked"))</f>
        <v>allowed</v>
      </c>
      <c r="Q844" s="0" t="str">
        <f aca="false">IF(C844="success","published",IF(E844&gt;0,"blocked_at_gate","failed_before_gate"))</f>
        <v>published</v>
      </c>
      <c r="R844" s="0" t="str">
        <f aca="false">IF(C844="success","",IF(E844&gt;0,IF(I844="freshness_within_target","freshness",IF(I844="relationships_intact","relationships",IF(I844="reconciliation_residual_zero","residual",I844))),IF(H844="quality_gate","gate_infra",H844)))</f>
        <v/>
      </c>
    </row>
    <row r="845" customFormat="false" ht="15" hidden="false" customHeight="false" outlineLevel="0" collapsed="false">
      <c r="A845" s="4" t="s">
        <v>3214</v>
      </c>
      <c r="B845" s="10" t="n">
        <v>46279.09375</v>
      </c>
      <c r="C845" s="4" t="s">
        <v>1544</v>
      </c>
      <c r="D845" s="4" t="n">
        <v>717</v>
      </c>
      <c r="E845" s="4" t="n">
        <v>7</v>
      </c>
      <c r="F845" s="4" t="n">
        <v>6</v>
      </c>
      <c r="G845" s="4" t="n">
        <v>0</v>
      </c>
      <c r="J845" s="11" t="b">
        <f aca="false">TRUE()</f>
        <v>1</v>
      </c>
      <c r="K845" s="4" t="s">
        <v>3215</v>
      </c>
      <c r="L845" s="4" t="n">
        <v>4</v>
      </c>
      <c r="M845" s="4" t="n">
        <v>4</v>
      </c>
      <c r="N845" s="4" t="n">
        <v>4</v>
      </c>
      <c r="O845" s="4" t="n">
        <v>4</v>
      </c>
      <c r="P845" s="0" t="str">
        <f aca="false">IF(E845=0,"not_reached",IF(AND(F845&gt;0,G845=0),"allowed","blocked"))</f>
        <v>allowed</v>
      </c>
      <c r="Q845" s="0" t="str">
        <f aca="false">IF(C845="success","published",IF(E845&gt;0,"blocked_at_gate","failed_before_gate"))</f>
        <v>published</v>
      </c>
      <c r="R845" s="0" t="str">
        <f aca="false">IF(C845="success","",IF(E845&gt;0,IF(I845="freshness_within_target","freshness",IF(I845="relationships_intact","relationships",IF(I845="reconciliation_residual_zero","residual",I845))),IF(H845="quality_gate","gate_infra",H845)))</f>
        <v/>
      </c>
    </row>
    <row r="846" customFormat="false" ht="15" hidden="false" customHeight="false" outlineLevel="0" collapsed="false">
      <c r="A846" s="4" t="s">
        <v>3216</v>
      </c>
      <c r="B846" s="10" t="n">
        <v>46279.1354166667</v>
      </c>
      <c r="C846" s="4" t="s">
        <v>1544</v>
      </c>
      <c r="D846" s="4" t="n">
        <v>932</v>
      </c>
      <c r="E846" s="4" t="n">
        <v>7</v>
      </c>
      <c r="F846" s="4" t="n">
        <v>6</v>
      </c>
      <c r="G846" s="4" t="n">
        <v>0</v>
      </c>
      <c r="J846" s="11" t="b">
        <f aca="false">TRUE()</f>
        <v>1</v>
      </c>
      <c r="K846" s="4" t="s">
        <v>3217</v>
      </c>
      <c r="L846" s="4" t="n">
        <v>4</v>
      </c>
      <c r="M846" s="4" t="n">
        <v>4</v>
      </c>
      <c r="N846" s="4" t="n">
        <v>4</v>
      </c>
      <c r="O846" s="4" t="n">
        <v>4</v>
      </c>
      <c r="P846" s="0" t="str">
        <f aca="false">IF(E846=0,"not_reached",IF(AND(F846&gt;0,G846=0),"allowed","blocked"))</f>
        <v>allowed</v>
      </c>
      <c r="Q846" s="0" t="str">
        <f aca="false">IF(C846="success","published",IF(E846&gt;0,"blocked_at_gate","failed_before_gate"))</f>
        <v>published</v>
      </c>
      <c r="R846" s="0" t="str">
        <f aca="false">IF(C846="success","",IF(E846&gt;0,IF(I846="freshness_within_target","freshness",IF(I846="relationships_intact","relationships",IF(I846="reconciliation_residual_zero","residual",I846))),IF(H846="quality_gate","gate_infra",H846)))</f>
        <v/>
      </c>
    </row>
    <row r="847" customFormat="false" ht="15" hidden="false" customHeight="false" outlineLevel="0" collapsed="false">
      <c r="A847" s="4" t="s">
        <v>3218</v>
      </c>
      <c r="B847" s="10" t="n">
        <v>46279.1770833333</v>
      </c>
      <c r="C847" s="4" t="s">
        <v>1544</v>
      </c>
      <c r="D847" s="4" t="n">
        <v>803</v>
      </c>
      <c r="E847" s="4" t="n">
        <v>7</v>
      </c>
      <c r="F847" s="4" t="n">
        <v>6</v>
      </c>
      <c r="G847" s="4" t="n">
        <v>0</v>
      </c>
      <c r="J847" s="11" t="b">
        <f aca="false">TRUE()</f>
        <v>1</v>
      </c>
      <c r="K847" s="4" t="s">
        <v>3219</v>
      </c>
      <c r="L847" s="4" t="n">
        <v>4</v>
      </c>
      <c r="M847" s="4" t="n">
        <v>4</v>
      </c>
      <c r="N847" s="4" t="n">
        <v>4</v>
      </c>
      <c r="O847" s="4" t="n">
        <v>4</v>
      </c>
      <c r="P847" s="0" t="str">
        <f aca="false">IF(E847=0,"not_reached",IF(AND(F847&gt;0,G847=0),"allowed","blocked"))</f>
        <v>allowed</v>
      </c>
      <c r="Q847" s="0" t="str">
        <f aca="false">IF(C847="success","published",IF(E847&gt;0,"blocked_at_gate","failed_before_gate"))</f>
        <v>published</v>
      </c>
      <c r="R847" s="0" t="str">
        <f aca="false">IF(C847="success","",IF(E847&gt;0,IF(I847="freshness_within_target","freshness",IF(I847="relationships_intact","relationships",IF(I847="reconciliation_residual_zero","residual",I847))),IF(H847="quality_gate","gate_infra",H847)))</f>
        <v/>
      </c>
    </row>
    <row r="848" customFormat="false" ht="15" hidden="false" customHeight="false" outlineLevel="0" collapsed="false">
      <c r="A848" s="4" t="s">
        <v>3220</v>
      </c>
      <c r="B848" s="10" t="n">
        <v>46279.21875</v>
      </c>
      <c r="C848" s="4" t="s">
        <v>1544</v>
      </c>
      <c r="D848" s="4" t="n">
        <v>713</v>
      </c>
      <c r="E848" s="4" t="n">
        <v>7</v>
      </c>
      <c r="F848" s="4" t="n">
        <v>6</v>
      </c>
      <c r="G848" s="4" t="n">
        <v>0</v>
      </c>
      <c r="J848" s="11" t="b">
        <f aca="false">TRUE()</f>
        <v>1</v>
      </c>
      <c r="K848" s="4" t="s">
        <v>3221</v>
      </c>
      <c r="L848" s="4" t="n">
        <v>4</v>
      </c>
      <c r="M848" s="4" t="n">
        <v>4</v>
      </c>
      <c r="N848" s="4" t="n">
        <v>4</v>
      </c>
      <c r="O848" s="4" t="n">
        <v>4</v>
      </c>
      <c r="P848" s="0" t="str">
        <f aca="false">IF(E848=0,"not_reached",IF(AND(F848&gt;0,G848=0),"allowed","blocked"))</f>
        <v>allowed</v>
      </c>
      <c r="Q848" s="0" t="str">
        <f aca="false">IF(C848="success","published",IF(E848&gt;0,"blocked_at_gate","failed_before_gate"))</f>
        <v>published</v>
      </c>
      <c r="R848" s="0" t="str">
        <f aca="false">IF(C848="success","",IF(E848&gt;0,IF(I848="freshness_within_target","freshness",IF(I848="relationships_intact","relationships",IF(I848="reconciliation_residual_zero","residual",I848))),IF(H848="quality_gate","gate_infra",H848)))</f>
        <v/>
      </c>
    </row>
    <row r="849" customFormat="false" ht="15" hidden="false" customHeight="false" outlineLevel="0" collapsed="false">
      <c r="A849" s="4" t="s">
        <v>3222</v>
      </c>
      <c r="B849" s="10" t="n">
        <v>46279.2604166667</v>
      </c>
      <c r="C849" s="4" t="s">
        <v>1544</v>
      </c>
      <c r="D849" s="4" t="n">
        <v>771</v>
      </c>
      <c r="E849" s="4" t="n">
        <v>7</v>
      </c>
      <c r="F849" s="4" t="n">
        <v>6</v>
      </c>
      <c r="G849" s="4" t="n">
        <v>0</v>
      </c>
      <c r="J849" s="11" t="b">
        <f aca="false">TRUE()</f>
        <v>1</v>
      </c>
      <c r="K849" s="4" t="s">
        <v>3223</v>
      </c>
      <c r="L849" s="4" t="n">
        <v>4</v>
      </c>
      <c r="M849" s="4" t="n">
        <v>4</v>
      </c>
      <c r="N849" s="4" t="n">
        <v>4</v>
      </c>
      <c r="O849" s="4" t="n">
        <v>4</v>
      </c>
      <c r="P849" s="0" t="str">
        <f aca="false">IF(E849=0,"not_reached",IF(AND(F849&gt;0,G849=0),"allowed","blocked"))</f>
        <v>allowed</v>
      </c>
      <c r="Q849" s="0" t="str">
        <f aca="false">IF(C849="success","published",IF(E849&gt;0,"blocked_at_gate","failed_before_gate"))</f>
        <v>published</v>
      </c>
      <c r="R849" s="0" t="str">
        <f aca="false">IF(C849="success","",IF(E849&gt;0,IF(I849="freshness_within_target","freshness",IF(I849="relationships_intact","relationships",IF(I849="reconciliation_residual_zero","residual",I849))),IF(H849="quality_gate","gate_infra",H849)))</f>
        <v/>
      </c>
    </row>
    <row r="850" customFormat="false" ht="15" hidden="false" customHeight="false" outlineLevel="0" collapsed="false">
      <c r="A850" s="4" t="s">
        <v>3224</v>
      </c>
      <c r="B850" s="10" t="n">
        <v>46279.3020833333</v>
      </c>
      <c r="C850" s="4" t="s">
        <v>1544</v>
      </c>
      <c r="D850" s="4" t="n">
        <v>876</v>
      </c>
      <c r="E850" s="4" t="n">
        <v>7</v>
      </c>
      <c r="F850" s="4" t="n">
        <v>6</v>
      </c>
      <c r="G850" s="4" t="n">
        <v>0</v>
      </c>
      <c r="J850" s="11" t="b">
        <f aca="false">TRUE()</f>
        <v>1</v>
      </c>
      <c r="K850" s="4" t="s">
        <v>3225</v>
      </c>
      <c r="L850" s="4" t="n">
        <v>4</v>
      </c>
      <c r="M850" s="4" t="n">
        <v>4</v>
      </c>
      <c r="N850" s="4" t="n">
        <v>4</v>
      </c>
      <c r="O850" s="4" t="n">
        <v>4</v>
      </c>
      <c r="P850" s="0" t="str">
        <f aca="false">IF(E850=0,"not_reached",IF(AND(F850&gt;0,G850=0),"allowed","blocked"))</f>
        <v>allowed</v>
      </c>
      <c r="Q850" s="0" t="str">
        <f aca="false">IF(C850="success","published",IF(E850&gt;0,"blocked_at_gate","failed_before_gate"))</f>
        <v>published</v>
      </c>
      <c r="R850" s="0" t="str">
        <f aca="false">IF(C850="success","",IF(E850&gt;0,IF(I850="freshness_within_target","freshness",IF(I850="relationships_intact","relationships",IF(I850="reconciliation_residual_zero","residual",I850))),IF(H850="quality_gate","gate_infra",H850)))</f>
        <v/>
      </c>
    </row>
    <row r="851" customFormat="false" ht="15" hidden="false" customHeight="false" outlineLevel="0" collapsed="false">
      <c r="A851" s="4" t="s">
        <v>3226</v>
      </c>
      <c r="B851" s="10" t="n">
        <v>46279.34375</v>
      </c>
      <c r="C851" s="4" t="s">
        <v>1544</v>
      </c>
      <c r="D851" s="4" t="n">
        <v>957</v>
      </c>
      <c r="E851" s="4" t="n">
        <v>7</v>
      </c>
      <c r="F851" s="4" t="n">
        <v>6</v>
      </c>
      <c r="G851" s="4" t="n">
        <v>0</v>
      </c>
      <c r="J851" s="11" t="b">
        <f aca="false">TRUE()</f>
        <v>1</v>
      </c>
      <c r="K851" s="4" t="s">
        <v>3227</v>
      </c>
      <c r="L851" s="4" t="n">
        <v>4</v>
      </c>
      <c r="M851" s="4" t="n">
        <v>4</v>
      </c>
      <c r="N851" s="4" t="n">
        <v>5</v>
      </c>
      <c r="O851" s="4" t="n">
        <v>4</v>
      </c>
      <c r="P851" s="0" t="str">
        <f aca="false">IF(E851=0,"not_reached",IF(AND(F851&gt;0,G851=0),"allowed","blocked"))</f>
        <v>allowed</v>
      </c>
      <c r="Q851" s="0" t="str">
        <f aca="false">IF(C851="success","published",IF(E851&gt;0,"blocked_at_gate","failed_before_gate"))</f>
        <v>published</v>
      </c>
      <c r="R851" s="0" t="str">
        <f aca="false">IF(C851="success","",IF(E851&gt;0,IF(I851="freshness_within_target","freshness",IF(I851="relationships_intact","relationships",IF(I851="reconciliation_residual_zero","residual",I851))),IF(H851="quality_gate","gate_infra",H851)))</f>
        <v/>
      </c>
    </row>
    <row r="852" customFormat="false" ht="15" hidden="false" customHeight="false" outlineLevel="0" collapsed="false">
      <c r="A852" s="4" t="s">
        <v>3228</v>
      </c>
      <c r="B852" s="10" t="n">
        <v>46279.3854166667</v>
      </c>
      <c r="C852" s="4" t="s">
        <v>1544</v>
      </c>
      <c r="D852" s="4" t="n">
        <v>904</v>
      </c>
      <c r="E852" s="4" t="n">
        <v>7</v>
      </c>
      <c r="F852" s="4" t="n">
        <v>6</v>
      </c>
      <c r="G852" s="4" t="n">
        <v>0</v>
      </c>
      <c r="J852" s="11" t="b">
        <f aca="false">TRUE()</f>
        <v>1</v>
      </c>
      <c r="K852" s="4" t="s">
        <v>3229</v>
      </c>
      <c r="L852" s="4" t="n">
        <v>4</v>
      </c>
      <c r="M852" s="4" t="n">
        <v>4</v>
      </c>
      <c r="N852" s="4" t="n">
        <v>4</v>
      </c>
      <c r="O852" s="4" t="n">
        <v>4</v>
      </c>
      <c r="P852" s="0" t="str">
        <f aca="false">IF(E852=0,"not_reached",IF(AND(F852&gt;0,G852=0),"allowed","blocked"))</f>
        <v>allowed</v>
      </c>
      <c r="Q852" s="0" t="str">
        <f aca="false">IF(C852="success","published",IF(E852&gt;0,"blocked_at_gate","failed_before_gate"))</f>
        <v>published</v>
      </c>
      <c r="R852" s="0" t="str">
        <f aca="false">IF(C852="success","",IF(E852&gt;0,IF(I852="freshness_within_target","freshness",IF(I852="relationships_intact","relationships",IF(I852="reconciliation_residual_zero","residual",I852))),IF(H852="quality_gate","gate_infra",H852)))</f>
        <v/>
      </c>
    </row>
    <row r="853" customFormat="false" ht="15" hidden="false" customHeight="false" outlineLevel="0" collapsed="false">
      <c r="A853" s="4" t="s">
        <v>3230</v>
      </c>
      <c r="B853" s="10" t="n">
        <v>46279.4270833333</v>
      </c>
      <c r="C853" s="4" t="s">
        <v>1544</v>
      </c>
      <c r="D853" s="4" t="n">
        <v>715</v>
      </c>
      <c r="E853" s="4" t="n">
        <v>7</v>
      </c>
      <c r="F853" s="4" t="n">
        <v>6</v>
      </c>
      <c r="G853" s="4" t="n">
        <v>0</v>
      </c>
      <c r="J853" s="11" t="b">
        <f aca="false">TRUE()</f>
        <v>1</v>
      </c>
      <c r="K853" s="4" t="s">
        <v>3231</v>
      </c>
      <c r="L853" s="4" t="n">
        <v>4</v>
      </c>
      <c r="M853" s="4" t="n">
        <v>4</v>
      </c>
      <c r="N853" s="4" t="n">
        <v>4</v>
      </c>
      <c r="O853" s="4" t="n">
        <v>4</v>
      </c>
      <c r="P853" s="0" t="str">
        <f aca="false">IF(E853=0,"not_reached",IF(AND(F853&gt;0,G853=0),"allowed","blocked"))</f>
        <v>allowed</v>
      </c>
      <c r="Q853" s="0" t="str">
        <f aca="false">IF(C853="success","published",IF(E853&gt;0,"blocked_at_gate","failed_before_gate"))</f>
        <v>published</v>
      </c>
      <c r="R853" s="0" t="str">
        <f aca="false">IF(C853="success","",IF(E853&gt;0,IF(I853="freshness_within_target","freshness",IF(I853="relationships_intact","relationships",IF(I853="reconciliation_residual_zero","residual",I853))),IF(H853="quality_gate","gate_infra",H853)))</f>
        <v/>
      </c>
    </row>
    <row r="854" customFormat="false" ht="15" hidden="false" customHeight="false" outlineLevel="0" collapsed="false">
      <c r="A854" s="4" t="s">
        <v>3232</v>
      </c>
      <c r="B854" s="10" t="n">
        <v>46279.46875</v>
      </c>
      <c r="C854" s="4" t="s">
        <v>1544</v>
      </c>
      <c r="D854" s="4" t="n">
        <v>917</v>
      </c>
      <c r="E854" s="4" t="n">
        <v>7</v>
      </c>
      <c r="F854" s="4" t="n">
        <v>6</v>
      </c>
      <c r="G854" s="4" t="n">
        <v>0</v>
      </c>
      <c r="J854" s="11" t="b">
        <f aca="false">TRUE()</f>
        <v>1</v>
      </c>
      <c r="K854" s="4" t="s">
        <v>3233</v>
      </c>
      <c r="L854" s="4" t="n">
        <v>4</v>
      </c>
      <c r="M854" s="4" t="n">
        <v>4</v>
      </c>
      <c r="N854" s="4" t="n">
        <v>4</v>
      </c>
      <c r="O854" s="4" t="n">
        <v>4</v>
      </c>
      <c r="P854" s="0" t="str">
        <f aca="false">IF(E854=0,"not_reached",IF(AND(F854&gt;0,G854=0),"allowed","blocked"))</f>
        <v>allowed</v>
      </c>
      <c r="Q854" s="0" t="str">
        <f aca="false">IF(C854="success","published",IF(E854&gt;0,"blocked_at_gate","failed_before_gate"))</f>
        <v>published</v>
      </c>
      <c r="R854" s="0" t="str">
        <f aca="false">IF(C854="success","",IF(E854&gt;0,IF(I854="freshness_within_target","freshness",IF(I854="relationships_intact","relationships",IF(I854="reconciliation_residual_zero","residual",I854))),IF(H854="quality_gate","gate_infra",H854)))</f>
        <v/>
      </c>
    </row>
    <row r="855" customFormat="false" ht="15" hidden="false" customHeight="false" outlineLevel="0" collapsed="false">
      <c r="A855" s="4" t="s">
        <v>3234</v>
      </c>
      <c r="B855" s="10" t="n">
        <v>46279.5104166667</v>
      </c>
      <c r="C855" s="4" t="s">
        <v>1544</v>
      </c>
      <c r="D855" s="4" t="n">
        <v>698</v>
      </c>
      <c r="E855" s="4" t="n">
        <v>7</v>
      </c>
      <c r="F855" s="4" t="n">
        <v>6</v>
      </c>
      <c r="G855" s="4" t="n">
        <v>0</v>
      </c>
      <c r="J855" s="11" t="b">
        <f aca="false">TRUE()</f>
        <v>1</v>
      </c>
      <c r="K855" s="4" t="s">
        <v>3235</v>
      </c>
      <c r="L855" s="4" t="n">
        <v>4</v>
      </c>
      <c r="M855" s="4" t="n">
        <v>4</v>
      </c>
      <c r="N855" s="4" t="n">
        <v>4</v>
      </c>
      <c r="O855" s="4" t="n">
        <v>4</v>
      </c>
      <c r="P855" s="0" t="str">
        <f aca="false">IF(E855=0,"not_reached",IF(AND(F855&gt;0,G855=0),"allowed","blocked"))</f>
        <v>allowed</v>
      </c>
      <c r="Q855" s="0" t="str">
        <f aca="false">IF(C855="success","published",IF(E855&gt;0,"blocked_at_gate","failed_before_gate"))</f>
        <v>published</v>
      </c>
      <c r="R855" s="0" t="str">
        <f aca="false">IF(C855="success","",IF(E855&gt;0,IF(I855="freshness_within_target","freshness",IF(I855="relationships_intact","relationships",IF(I855="reconciliation_residual_zero","residual",I855))),IF(H855="quality_gate","gate_infra",H855)))</f>
        <v/>
      </c>
    </row>
    <row r="856" customFormat="false" ht="15" hidden="false" customHeight="false" outlineLevel="0" collapsed="false">
      <c r="A856" s="4" t="s">
        <v>3236</v>
      </c>
      <c r="B856" s="10" t="n">
        <v>46279.5520833333</v>
      </c>
      <c r="C856" s="4" t="s">
        <v>1544</v>
      </c>
      <c r="D856" s="4" t="n">
        <v>873</v>
      </c>
      <c r="E856" s="4" t="n">
        <v>7</v>
      </c>
      <c r="F856" s="4" t="n">
        <v>6</v>
      </c>
      <c r="G856" s="4" t="n">
        <v>0</v>
      </c>
      <c r="J856" s="11" t="b">
        <f aca="false">TRUE()</f>
        <v>1</v>
      </c>
      <c r="K856" s="4" t="s">
        <v>3237</v>
      </c>
      <c r="L856" s="4" t="n">
        <v>4</v>
      </c>
      <c r="M856" s="4" t="n">
        <v>4</v>
      </c>
      <c r="N856" s="4" t="n">
        <v>4</v>
      </c>
      <c r="O856" s="4" t="n">
        <v>4</v>
      </c>
      <c r="P856" s="0" t="str">
        <f aca="false">IF(E856=0,"not_reached",IF(AND(F856&gt;0,G856=0),"allowed","blocked"))</f>
        <v>allowed</v>
      </c>
      <c r="Q856" s="0" t="str">
        <f aca="false">IF(C856="success","published",IF(E856&gt;0,"blocked_at_gate","failed_before_gate"))</f>
        <v>published</v>
      </c>
      <c r="R856" s="0" t="str">
        <f aca="false">IF(C856="success","",IF(E856&gt;0,IF(I856="freshness_within_target","freshness",IF(I856="relationships_intact","relationships",IF(I856="reconciliation_residual_zero","residual",I856))),IF(H856="quality_gate","gate_infra",H856)))</f>
        <v/>
      </c>
    </row>
    <row r="857" customFormat="false" ht="15" hidden="false" customHeight="false" outlineLevel="0" collapsed="false">
      <c r="A857" s="4" t="s">
        <v>3238</v>
      </c>
      <c r="B857" s="10" t="n">
        <v>46279.59375</v>
      </c>
      <c r="C857" s="4" t="s">
        <v>1544</v>
      </c>
      <c r="D857" s="4" t="n">
        <v>823</v>
      </c>
      <c r="E857" s="4" t="n">
        <v>7</v>
      </c>
      <c r="F857" s="4" t="n">
        <v>6</v>
      </c>
      <c r="G857" s="4" t="n">
        <v>0</v>
      </c>
      <c r="J857" s="11" t="b">
        <f aca="false">TRUE()</f>
        <v>1</v>
      </c>
      <c r="K857" s="4" t="s">
        <v>3239</v>
      </c>
      <c r="L857" s="4" t="n">
        <v>4</v>
      </c>
      <c r="M857" s="4" t="n">
        <v>4</v>
      </c>
      <c r="N857" s="4" t="n">
        <v>4</v>
      </c>
      <c r="O857" s="4" t="n">
        <v>4</v>
      </c>
      <c r="P857" s="0" t="str">
        <f aca="false">IF(E857=0,"not_reached",IF(AND(F857&gt;0,G857=0),"allowed","blocked"))</f>
        <v>allowed</v>
      </c>
      <c r="Q857" s="0" t="str">
        <f aca="false">IF(C857="success","published",IF(E857&gt;0,"blocked_at_gate","failed_before_gate"))</f>
        <v>published</v>
      </c>
      <c r="R857" s="0" t="str">
        <f aca="false">IF(C857="success","",IF(E857&gt;0,IF(I857="freshness_within_target","freshness",IF(I857="relationships_intact","relationships",IF(I857="reconciliation_residual_zero","residual",I857))),IF(H857="quality_gate","gate_infra",H857)))</f>
        <v/>
      </c>
    </row>
    <row r="858" customFormat="false" ht="15" hidden="false" customHeight="false" outlineLevel="0" collapsed="false">
      <c r="A858" s="4" t="s">
        <v>3240</v>
      </c>
      <c r="B858" s="10" t="n">
        <v>46279.6354166667</v>
      </c>
      <c r="C858" s="4" t="s">
        <v>1544</v>
      </c>
      <c r="D858" s="4" t="n">
        <v>1255</v>
      </c>
      <c r="E858" s="4" t="n">
        <v>7</v>
      </c>
      <c r="F858" s="4" t="n">
        <v>6</v>
      </c>
      <c r="G858" s="4" t="n">
        <v>0</v>
      </c>
      <c r="J858" s="11" t="b">
        <f aca="false">TRUE()</f>
        <v>1</v>
      </c>
      <c r="K858" s="4" t="s">
        <v>3241</v>
      </c>
      <c r="L858" s="4" t="n">
        <v>4</v>
      </c>
      <c r="M858" s="4" t="n">
        <v>4</v>
      </c>
      <c r="N858" s="4" t="n">
        <v>5</v>
      </c>
      <c r="O858" s="4" t="n">
        <v>4</v>
      </c>
      <c r="P858" s="0" t="str">
        <f aca="false">IF(E858=0,"not_reached",IF(AND(F858&gt;0,G858=0),"allowed","blocked"))</f>
        <v>allowed</v>
      </c>
      <c r="Q858" s="0" t="str">
        <f aca="false">IF(C858="success","published",IF(E858&gt;0,"blocked_at_gate","failed_before_gate"))</f>
        <v>published</v>
      </c>
      <c r="R858" s="0" t="str">
        <f aca="false">IF(C858="success","",IF(E858&gt;0,IF(I858="freshness_within_target","freshness",IF(I858="relationships_intact","relationships",IF(I858="reconciliation_residual_zero","residual",I858))),IF(H858="quality_gate","gate_infra",H858)))</f>
        <v/>
      </c>
    </row>
    <row r="859" customFormat="false" ht="15" hidden="false" customHeight="false" outlineLevel="0" collapsed="false">
      <c r="A859" s="4" t="s">
        <v>3242</v>
      </c>
      <c r="B859" s="10" t="n">
        <v>46279.6770833333</v>
      </c>
      <c r="C859" s="4" t="s">
        <v>1544</v>
      </c>
      <c r="D859" s="4" t="n">
        <v>838</v>
      </c>
      <c r="E859" s="4" t="n">
        <v>7</v>
      </c>
      <c r="F859" s="4" t="n">
        <v>6</v>
      </c>
      <c r="G859" s="4" t="n">
        <v>0</v>
      </c>
      <c r="J859" s="11" t="b">
        <f aca="false">TRUE()</f>
        <v>1</v>
      </c>
      <c r="K859" s="4" t="s">
        <v>3243</v>
      </c>
      <c r="L859" s="4" t="n">
        <v>4</v>
      </c>
      <c r="M859" s="4" t="n">
        <v>4</v>
      </c>
      <c r="N859" s="4" t="n">
        <v>4</v>
      </c>
      <c r="O859" s="4" t="n">
        <v>4</v>
      </c>
      <c r="P859" s="0" t="str">
        <f aca="false">IF(E859=0,"not_reached",IF(AND(F859&gt;0,G859=0),"allowed","blocked"))</f>
        <v>allowed</v>
      </c>
      <c r="Q859" s="0" t="str">
        <f aca="false">IF(C859="success","published",IF(E859&gt;0,"blocked_at_gate","failed_before_gate"))</f>
        <v>published</v>
      </c>
      <c r="R859" s="0" t="str">
        <f aca="false">IF(C859="success","",IF(E859&gt;0,IF(I859="freshness_within_target","freshness",IF(I859="relationships_intact","relationships",IF(I859="reconciliation_residual_zero","residual",I859))),IF(H859="quality_gate","gate_infra",H859)))</f>
        <v/>
      </c>
    </row>
    <row r="860" customFormat="false" ht="15" hidden="false" customHeight="false" outlineLevel="0" collapsed="false">
      <c r="A860" s="4" t="s">
        <v>3244</v>
      </c>
      <c r="B860" s="10" t="n">
        <v>46279.71875</v>
      </c>
      <c r="C860" s="4" t="s">
        <v>1544</v>
      </c>
      <c r="D860" s="4" t="n">
        <v>679</v>
      </c>
      <c r="E860" s="4" t="n">
        <v>7</v>
      </c>
      <c r="F860" s="4" t="n">
        <v>6</v>
      </c>
      <c r="G860" s="4" t="n">
        <v>0</v>
      </c>
      <c r="J860" s="11" t="b">
        <f aca="false">TRUE()</f>
        <v>1</v>
      </c>
      <c r="K860" s="4" t="s">
        <v>3245</v>
      </c>
      <c r="L860" s="4" t="n">
        <v>4</v>
      </c>
      <c r="M860" s="4" t="n">
        <v>4</v>
      </c>
      <c r="N860" s="4" t="n">
        <v>4</v>
      </c>
      <c r="O860" s="4" t="n">
        <v>4</v>
      </c>
      <c r="P860" s="0" t="str">
        <f aca="false">IF(E860=0,"not_reached",IF(AND(F860&gt;0,G860=0),"allowed","blocked"))</f>
        <v>allowed</v>
      </c>
      <c r="Q860" s="0" t="str">
        <f aca="false">IF(C860="success","published",IF(E860&gt;0,"blocked_at_gate","failed_before_gate"))</f>
        <v>published</v>
      </c>
      <c r="R860" s="0" t="str">
        <f aca="false">IF(C860="success","",IF(E860&gt;0,IF(I860="freshness_within_target","freshness",IF(I860="relationships_intact","relationships",IF(I860="reconciliation_residual_zero","residual",I860))),IF(H860="quality_gate","gate_infra",H860)))</f>
        <v/>
      </c>
    </row>
    <row r="861" customFormat="false" ht="15" hidden="false" customHeight="false" outlineLevel="0" collapsed="false">
      <c r="A861" s="4" t="s">
        <v>3246</v>
      </c>
      <c r="B861" s="10" t="n">
        <v>46279.7604166667</v>
      </c>
      <c r="C861" s="4" t="s">
        <v>1544</v>
      </c>
      <c r="D861" s="4" t="n">
        <v>669</v>
      </c>
      <c r="E861" s="4" t="n">
        <v>7</v>
      </c>
      <c r="F861" s="4" t="n">
        <v>6</v>
      </c>
      <c r="G861" s="4" t="n">
        <v>0</v>
      </c>
      <c r="J861" s="11" t="b">
        <f aca="false">TRUE()</f>
        <v>1</v>
      </c>
      <c r="K861" s="4" t="s">
        <v>3247</v>
      </c>
      <c r="L861" s="4" t="n">
        <v>4</v>
      </c>
      <c r="M861" s="4" t="n">
        <v>4</v>
      </c>
      <c r="N861" s="4" t="n">
        <v>4</v>
      </c>
      <c r="O861" s="4" t="n">
        <v>4</v>
      </c>
      <c r="P861" s="0" t="str">
        <f aca="false">IF(E861=0,"not_reached",IF(AND(F861&gt;0,G861=0),"allowed","blocked"))</f>
        <v>allowed</v>
      </c>
      <c r="Q861" s="0" t="str">
        <f aca="false">IF(C861="success","published",IF(E861&gt;0,"blocked_at_gate","failed_before_gate"))</f>
        <v>published</v>
      </c>
      <c r="R861" s="0" t="str">
        <f aca="false">IF(C861="success","",IF(E861&gt;0,IF(I861="freshness_within_target","freshness",IF(I861="relationships_intact","relationships",IF(I861="reconciliation_residual_zero","residual",I861))),IF(H861="quality_gate","gate_infra",H861)))</f>
        <v/>
      </c>
    </row>
    <row r="862" customFormat="false" ht="15" hidden="false" customHeight="false" outlineLevel="0" collapsed="false">
      <c r="A862" s="4" t="s">
        <v>3248</v>
      </c>
      <c r="B862" s="10" t="n">
        <v>46279.8020833333</v>
      </c>
      <c r="C862" s="4" t="s">
        <v>1544</v>
      </c>
      <c r="D862" s="4" t="n">
        <v>882</v>
      </c>
      <c r="E862" s="4" t="n">
        <v>7</v>
      </c>
      <c r="F862" s="4" t="n">
        <v>6</v>
      </c>
      <c r="G862" s="4" t="n">
        <v>0</v>
      </c>
      <c r="J862" s="11" t="b">
        <f aca="false">TRUE()</f>
        <v>1</v>
      </c>
      <c r="K862" s="4" t="s">
        <v>3249</v>
      </c>
      <c r="L862" s="4" t="n">
        <v>4</v>
      </c>
      <c r="M862" s="4" t="n">
        <v>4</v>
      </c>
      <c r="N862" s="4" t="n">
        <v>4</v>
      </c>
      <c r="O862" s="4" t="n">
        <v>4</v>
      </c>
      <c r="P862" s="0" t="str">
        <f aca="false">IF(E862=0,"not_reached",IF(AND(F862&gt;0,G862=0),"allowed","blocked"))</f>
        <v>allowed</v>
      </c>
      <c r="Q862" s="0" t="str">
        <f aca="false">IF(C862="success","published",IF(E862&gt;0,"blocked_at_gate","failed_before_gate"))</f>
        <v>published</v>
      </c>
      <c r="R862" s="0" t="str">
        <f aca="false">IF(C862="success","",IF(E862&gt;0,IF(I862="freshness_within_target","freshness",IF(I862="relationships_intact","relationships",IF(I862="reconciliation_residual_zero","residual",I862))),IF(H862="quality_gate","gate_infra",H862)))</f>
        <v/>
      </c>
    </row>
    <row r="863" customFormat="false" ht="15" hidden="false" customHeight="false" outlineLevel="0" collapsed="false">
      <c r="A863" s="4" t="s">
        <v>3250</v>
      </c>
      <c r="B863" s="10" t="n">
        <v>46279.84375</v>
      </c>
      <c r="C863" s="4" t="s">
        <v>1544</v>
      </c>
      <c r="D863" s="4" t="n">
        <v>820</v>
      </c>
      <c r="E863" s="4" t="n">
        <v>7</v>
      </c>
      <c r="F863" s="4" t="n">
        <v>6</v>
      </c>
      <c r="G863" s="4" t="n">
        <v>0</v>
      </c>
      <c r="J863" s="11" t="b">
        <f aca="false">TRUE()</f>
        <v>1</v>
      </c>
      <c r="K863" s="4" t="s">
        <v>3251</v>
      </c>
      <c r="L863" s="4" t="n">
        <v>4</v>
      </c>
      <c r="M863" s="4" t="n">
        <v>4</v>
      </c>
      <c r="N863" s="4" t="n">
        <v>4</v>
      </c>
      <c r="O863" s="4" t="n">
        <v>4</v>
      </c>
      <c r="P863" s="0" t="str">
        <f aca="false">IF(E863=0,"not_reached",IF(AND(F863&gt;0,G863=0),"allowed","blocked"))</f>
        <v>allowed</v>
      </c>
      <c r="Q863" s="0" t="str">
        <f aca="false">IF(C863="success","published",IF(E863&gt;0,"blocked_at_gate","failed_before_gate"))</f>
        <v>published</v>
      </c>
      <c r="R863" s="0" t="str">
        <f aca="false">IF(C863="success","",IF(E863&gt;0,IF(I863="freshness_within_target","freshness",IF(I863="relationships_intact","relationships",IF(I863="reconciliation_residual_zero","residual",I863))),IF(H863="quality_gate","gate_infra",H863)))</f>
        <v/>
      </c>
    </row>
    <row r="864" customFormat="false" ht="15" hidden="false" customHeight="false" outlineLevel="0" collapsed="false">
      <c r="A864" s="4" t="s">
        <v>3252</v>
      </c>
      <c r="B864" s="10" t="n">
        <v>46279.8854166667</v>
      </c>
      <c r="C864" s="4" t="s">
        <v>1544</v>
      </c>
      <c r="D864" s="4" t="n">
        <v>1032</v>
      </c>
      <c r="E864" s="4" t="n">
        <v>7</v>
      </c>
      <c r="F864" s="4" t="n">
        <v>6</v>
      </c>
      <c r="G864" s="4" t="n">
        <v>0</v>
      </c>
      <c r="J864" s="11" t="b">
        <f aca="false">TRUE()</f>
        <v>1</v>
      </c>
      <c r="K864" s="4" t="s">
        <v>3253</v>
      </c>
      <c r="L864" s="4" t="n">
        <v>4</v>
      </c>
      <c r="M864" s="4" t="n">
        <v>4</v>
      </c>
      <c r="N864" s="4" t="n">
        <v>5</v>
      </c>
      <c r="O864" s="4" t="n">
        <v>4</v>
      </c>
      <c r="P864" s="0" t="str">
        <f aca="false">IF(E864=0,"not_reached",IF(AND(F864&gt;0,G864=0),"allowed","blocked"))</f>
        <v>allowed</v>
      </c>
      <c r="Q864" s="0" t="str">
        <f aca="false">IF(C864="success","published",IF(E864&gt;0,"blocked_at_gate","failed_before_gate"))</f>
        <v>published</v>
      </c>
      <c r="R864" s="0" t="str">
        <f aca="false">IF(C864="success","",IF(E864&gt;0,IF(I864="freshness_within_target","freshness",IF(I864="relationships_intact","relationships",IF(I864="reconciliation_residual_zero","residual",I864))),IF(H864="quality_gate","gate_infra",H864)))</f>
        <v/>
      </c>
    </row>
    <row r="865" customFormat="false" ht="15" hidden="false" customHeight="false" outlineLevel="0" collapsed="false">
      <c r="A865" s="4" t="s">
        <v>3254</v>
      </c>
      <c r="B865" s="10" t="n">
        <v>46279.9270833333</v>
      </c>
      <c r="C865" s="4" t="s">
        <v>1544</v>
      </c>
      <c r="D865" s="4" t="n">
        <v>731</v>
      </c>
      <c r="E865" s="4" t="n">
        <v>7</v>
      </c>
      <c r="F865" s="4" t="n">
        <v>6</v>
      </c>
      <c r="G865" s="4" t="n">
        <v>0</v>
      </c>
      <c r="J865" s="11" t="b">
        <f aca="false">TRUE()</f>
        <v>1</v>
      </c>
      <c r="K865" s="4" t="s">
        <v>3255</v>
      </c>
      <c r="L865" s="4" t="n">
        <v>4</v>
      </c>
      <c r="M865" s="4" t="n">
        <v>4</v>
      </c>
      <c r="N865" s="4" t="n">
        <v>4</v>
      </c>
      <c r="O865" s="4" t="n">
        <v>4</v>
      </c>
      <c r="P865" s="0" t="str">
        <f aca="false">IF(E865=0,"not_reached",IF(AND(F865&gt;0,G865=0),"allowed","blocked"))</f>
        <v>allowed</v>
      </c>
      <c r="Q865" s="0" t="str">
        <f aca="false">IF(C865="success","published",IF(E865&gt;0,"blocked_at_gate","failed_before_gate"))</f>
        <v>published</v>
      </c>
      <c r="R865" s="0" t="str">
        <f aca="false">IF(C865="success","",IF(E865&gt;0,IF(I865="freshness_within_target","freshness",IF(I865="relationships_intact","relationships",IF(I865="reconciliation_residual_zero","residual",I865))),IF(H865="quality_gate","gate_infra",H865)))</f>
        <v/>
      </c>
    </row>
    <row r="866" customFormat="false" ht="15" hidden="false" customHeight="false" outlineLevel="0" collapsed="false">
      <c r="A866" s="4" t="s">
        <v>3256</v>
      </c>
      <c r="B866" s="10" t="n">
        <v>46279.96875</v>
      </c>
      <c r="C866" s="4" t="s">
        <v>1544</v>
      </c>
      <c r="D866" s="4" t="n">
        <v>815</v>
      </c>
      <c r="E866" s="4" t="n">
        <v>7</v>
      </c>
      <c r="F866" s="4" t="n">
        <v>6</v>
      </c>
      <c r="G866" s="4" t="n">
        <v>0</v>
      </c>
      <c r="J866" s="11" t="b">
        <f aca="false">TRUE()</f>
        <v>1</v>
      </c>
      <c r="K866" s="4" t="s">
        <v>3257</v>
      </c>
      <c r="L866" s="4" t="n">
        <v>4</v>
      </c>
      <c r="M866" s="4" t="n">
        <v>4</v>
      </c>
      <c r="N866" s="4" t="n">
        <v>4</v>
      </c>
      <c r="O866" s="4" t="n">
        <v>4</v>
      </c>
      <c r="P866" s="0" t="str">
        <f aca="false">IF(E866=0,"not_reached",IF(AND(F866&gt;0,G866=0),"allowed","blocked"))</f>
        <v>allowed</v>
      </c>
      <c r="Q866" s="0" t="str">
        <f aca="false">IF(C866="success","published",IF(E866&gt;0,"blocked_at_gate","failed_before_gate"))</f>
        <v>published</v>
      </c>
      <c r="R866" s="0" t="str">
        <f aca="false">IF(C866="success","",IF(E866&gt;0,IF(I866="freshness_within_target","freshness",IF(I866="relationships_intact","relationships",IF(I866="reconciliation_residual_zero","residual",I866))),IF(H866="quality_gate","gate_infra",H866)))</f>
        <v/>
      </c>
    </row>
    <row r="867" customFormat="false" ht="15" hidden="false" customHeight="false" outlineLevel="0" collapsed="false">
      <c r="A867" s="4" t="s">
        <v>3258</v>
      </c>
      <c r="B867" s="10" t="n">
        <v>46280.0104166667</v>
      </c>
      <c r="C867" s="4" t="s">
        <v>1544</v>
      </c>
      <c r="D867" s="4" t="n">
        <v>909</v>
      </c>
      <c r="E867" s="4" t="n">
        <v>7</v>
      </c>
      <c r="F867" s="4" t="n">
        <v>6</v>
      </c>
      <c r="G867" s="4" t="n">
        <v>0</v>
      </c>
      <c r="J867" s="11" t="b">
        <f aca="false">TRUE()</f>
        <v>1</v>
      </c>
      <c r="K867" s="4" t="s">
        <v>3259</v>
      </c>
      <c r="L867" s="4" t="n">
        <v>4</v>
      </c>
      <c r="M867" s="4" t="n">
        <v>4</v>
      </c>
      <c r="N867" s="4" t="n">
        <v>4</v>
      </c>
      <c r="O867" s="4" t="n">
        <v>4</v>
      </c>
      <c r="P867" s="0" t="str">
        <f aca="false">IF(E867=0,"not_reached",IF(AND(F867&gt;0,G867=0),"allowed","blocked"))</f>
        <v>allowed</v>
      </c>
      <c r="Q867" s="0" t="str">
        <f aca="false">IF(C867="success","published",IF(E867&gt;0,"blocked_at_gate","failed_before_gate"))</f>
        <v>published</v>
      </c>
      <c r="R867" s="0" t="str">
        <f aca="false">IF(C867="success","",IF(E867&gt;0,IF(I867="freshness_within_target","freshness",IF(I867="relationships_intact","relationships",IF(I867="reconciliation_residual_zero","residual",I867))),IF(H867="quality_gate","gate_infra",H867)))</f>
        <v/>
      </c>
    </row>
    <row r="868" customFormat="false" ht="15" hidden="false" customHeight="false" outlineLevel="0" collapsed="false">
      <c r="A868" s="4" t="s">
        <v>3260</v>
      </c>
      <c r="B868" s="10" t="n">
        <v>46280.0520833333</v>
      </c>
      <c r="C868" s="4" t="s">
        <v>1544</v>
      </c>
      <c r="D868" s="4" t="n">
        <v>759</v>
      </c>
      <c r="E868" s="4" t="n">
        <v>7</v>
      </c>
      <c r="F868" s="4" t="n">
        <v>6</v>
      </c>
      <c r="G868" s="4" t="n">
        <v>0</v>
      </c>
      <c r="J868" s="11" t="b">
        <f aca="false">TRUE()</f>
        <v>1</v>
      </c>
      <c r="K868" s="4" t="s">
        <v>3261</v>
      </c>
      <c r="L868" s="4" t="n">
        <v>4</v>
      </c>
      <c r="M868" s="4" t="n">
        <v>4</v>
      </c>
      <c r="N868" s="4" t="n">
        <v>4</v>
      </c>
      <c r="O868" s="4" t="n">
        <v>4</v>
      </c>
      <c r="P868" s="0" t="str">
        <f aca="false">IF(E868=0,"not_reached",IF(AND(F868&gt;0,G868=0),"allowed","blocked"))</f>
        <v>allowed</v>
      </c>
      <c r="Q868" s="0" t="str">
        <f aca="false">IF(C868="success","published",IF(E868&gt;0,"blocked_at_gate","failed_before_gate"))</f>
        <v>published</v>
      </c>
      <c r="R868" s="0" t="str">
        <f aca="false">IF(C868="success","",IF(E868&gt;0,IF(I868="freshness_within_target","freshness",IF(I868="relationships_intact","relationships",IF(I868="reconciliation_residual_zero","residual",I868))),IF(H868="quality_gate","gate_infra",H868)))</f>
        <v/>
      </c>
    </row>
    <row r="869" customFormat="false" ht="15" hidden="false" customHeight="false" outlineLevel="0" collapsed="false">
      <c r="A869" s="4" t="s">
        <v>3262</v>
      </c>
      <c r="B869" s="10" t="n">
        <v>46280.09375</v>
      </c>
      <c r="C869" s="4" t="s">
        <v>1544</v>
      </c>
      <c r="D869" s="4" t="n">
        <v>883</v>
      </c>
      <c r="E869" s="4" t="n">
        <v>7</v>
      </c>
      <c r="F869" s="4" t="n">
        <v>6</v>
      </c>
      <c r="G869" s="4" t="n">
        <v>0</v>
      </c>
      <c r="J869" s="11" t="b">
        <f aca="false">TRUE()</f>
        <v>1</v>
      </c>
      <c r="K869" s="4" t="s">
        <v>3263</v>
      </c>
      <c r="L869" s="4" t="n">
        <v>4</v>
      </c>
      <c r="M869" s="4" t="n">
        <v>4</v>
      </c>
      <c r="N869" s="4" t="n">
        <v>4</v>
      </c>
      <c r="O869" s="4" t="n">
        <v>4</v>
      </c>
      <c r="P869" s="0" t="str">
        <f aca="false">IF(E869=0,"not_reached",IF(AND(F869&gt;0,G869=0),"allowed","blocked"))</f>
        <v>allowed</v>
      </c>
      <c r="Q869" s="0" t="str">
        <f aca="false">IF(C869="success","published",IF(E869&gt;0,"blocked_at_gate","failed_before_gate"))</f>
        <v>published</v>
      </c>
      <c r="R869" s="0" t="str">
        <f aca="false">IF(C869="success","",IF(E869&gt;0,IF(I869="freshness_within_target","freshness",IF(I869="relationships_intact","relationships",IF(I869="reconciliation_residual_zero","residual",I869))),IF(H869="quality_gate","gate_infra",H869)))</f>
        <v/>
      </c>
    </row>
    <row r="870" customFormat="false" ht="15" hidden="false" customHeight="false" outlineLevel="0" collapsed="false">
      <c r="A870" s="4" t="s">
        <v>3264</v>
      </c>
      <c r="B870" s="10" t="n">
        <v>46280.1354166667</v>
      </c>
      <c r="C870" s="4" t="s">
        <v>1544</v>
      </c>
      <c r="D870" s="4" t="n">
        <v>876</v>
      </c>
      <c r="E870" s="4" t="n">
        <v>7</v>
      </c>
      <c r="F870" s="4" t="n">
        <v>6</v>
      </c>
      <c r="G870" s="4" t="n">
        <v>0</v>
      </c>
      <c r="J870" s="11" t="b">
        <f aca="false">TRUE()</f>
        <v>1</v>
      </c>
      <c r="K870" s="4" t="s">
        <v>3265</v>
      </c>
      <c r="L870" s="4" t="n">
        <v>4</v>
      </c>
      <c r="M870" s="4" t="n">
        <v>4</v>
      </c>
      <c r="N870" s="4" t="n">
        <v>4</v>
      </c>
      <c r="O870" s="4" t="n">
        <v>4</v>
      </c>
      <c r="P870" s="0" t="str">
        <f aca="false">IF(E870=0,"not_reached",IF(AND(F870&gt;0,G870=0),"allowed","blocked"))</f>
        <v>allowed</v>
      </c>
      <c r="Q870" s="0" t="str">
        <f aca="false">IF(C870="success","published",IF(E870&gt;0,"blocked_at_gate","failed_before_gate"))</f>
        <v>published</v>
      </c>
      <c r="R870" s="0" t="str">
        <f aca="false">IF(C870="success","",IF(E870&gt;0,IF(I870="freshness_within_target","freshness",IF(I870="relationships_intact","relationships",IF(I870="reconciliation_residual_zero","residual",I870))),IF(H870="quality_gate","gate_infra",H870)))</f>
        <v/>
      </c>
    </row>
    <row r="871" customFormat="false" ht="15" hidden="false" customHeight="false" outlineLevel="0" collapsed="false">
      <c r="A871" s="4" t="s">
        <v>3266</v>
      </c>
      <c r="B871" s="10" t="n">
        <v>46280.1770833333</v>
      </c>
      <c r="C871" s="4" t="s">
        <v>1544</v>
      </c>
      <c r="D871" s="4" t="n">
        <v>775</v>
      </c>
      <c r="E871" s="4" t="n">
        <v>7</v>
      </c>
      <c r="F871" s="4" t="n">
        <v>6</v>
      </c>
      <c r="G871" s="4" t="n">
        <v>0</v>
      </c>
      <c r="J871" s="11" t="b">
        <f aca="false">TRUE()</f>
        <v>1</v>
      </c>
      <c r="K871" s="4" t="s">
        <v>3267</v>
      </c>
      <c r="L871" s="4" t="n">
        <v>4</v>
      </c>
      <c r="M871" s="4" t="n">
        <v>4</v>
      </c>
      <c r="N871" s="4" t="n">
        <v>4</v>
      </c>
      <c r="O871" s="4" t="n">
        <v>4</v>
      </c>
      <c r="P871" s="0" t="str">
        <f aca="false">IF(E871=0,"not_reached",IF(AND(F871&gt;0,G871=0),"allowed","blocked"))</f>
        <v>allowed</v>
      </c>
      <c r="Q871" s="0" t="str">
        <f aca="false">IF(C871="success","published",IF(E871&gt;0,"blocked_at_gate","failed_before_gate"))</f>
        <v>published</v>
      </c>
      <c r="R871" s="0" t="str">
        <f aca="false">IF(C871="success","",IF(E871&gt;0,IF(I871="freshness_within_target","freshness",IF(I871="relationships_intact","relationships",IF(I871="reconciliation_residual_zero","residual",I871))),IF(H871="quality_gate","gate_infra",H871)))</f>
        <v/>
      </c>
    </row>
    <row r="872" customFormat="false" ht="15" hidden="false" customHeight="false" outlineLevel="0" collapsed="false">
      <c r="A872" s="4" t="s">
        <v>3268</v>
      </c>
      <c r="B872" s="10" t="n">
        <v>46280.21875</v>
      </c>
      <c r="C872" s="4" t="s">
        <v>1544</v>
      </c>
      <c r="D872" s="4" t="n">
        <v>859</v>
      </c>
      <c r="E872" s="4" t="n">
        <v>7</v>
      </c>
      <c r="F872" s="4" t="n">
        <v>6</v>
      </c>
      <c r="G872" s="4" t="n">
        <v>0</v>
      </c>
      <c r="J872" s="11" t="b">
        <f aca="false">TRUE()</f>
        <v>1</v>
      </c>
      <c r="K872" s="4" t="s">
        <v>3269</v>
      </c>
      <c r="L872" s="4" t="n">
        <v>4</v>
      </c>
      <c r="M872" s="4" t="n">
        <v>4</v>
      </c>
      <c r="N872" s="4" t="n">
        <v>4</v>
      </c>
      <c r="O872" s="4" t="n">
        <v>4</v>
      </c>
      <c r="P872" s="0" t="str">
        <f aca="false">IF(E872=0,"not_reached",IF(AND(F872&gt;0,G872=0),"allowed","blocked"))</f>
        <v>allowed</v>
      </c>
      <c r="Q872" s="0" t="str">
        <f aca="false">IF(C872="success","published",IF(E872&gt;0,"blocked_at_gate","failed_before_gate"))</f>
        <v>published</v>
      </c>
      <c r="R872" s="0" t="str">
        <f aca="false">IF(C872="success","",IF(E872&gt;0,IF(I872="freshness_within_target","freshness",IF(I872="relationships_intact","relationships",IF(I872="reconciliation_residual_zero","residual",I872))),IF(H872="quality_gate","gate_infra",H872)))</f>
        <v/>
      </c>
    </row>
    <row r="873" customFormat="false" ht="15" hidden="false" customHeight="false" outlineLevel="0" collapsed="false">
      <c r="A873" s="4" t="s">
        <v>3270</v>
      </c>
      <c r="B873" s="10" t="n">
        <v>46280.2604166667</v>
      </c>
      <c r="C873" s="4" t="s">
        <v>1544</v>
      </c>
      <c r="D873" s="4" t="n">
        <v>784</v>
      </c>
      <c r="E873" s="4" t="n">
        <v>7</v>
      </c>
      <c r="F873" s="4" t="n">
        <v>6</v>
      </c>
      <c r="G873" s="4" t="n">
        <v>0</v>
      </c>
      <c r="J873" s="11" t="b">
        <f aca="false">TRUE()</f>
        <v>1</v>
      </c>
      <c r="K873" s="4" t="s">
        <v>3271</v>
      </c>
      <c r="L873" s="4" t="n">
        <v>4</v>
      </c>
      <c r="M873" s="4" t="n">
        <v>4</v>
      </c>
      <c r="N873" s="4" t="n">
        <v>4</v>
      </c>
      <c r="O873" s="4" t="n">
        <v>4</v>
      </c>
      <c r="P873" s="0" t="str">
        <f aca="false">IF(E873=0,"not_reached",IF(AND(F873&gt;0,G873=0),"allowed","blocked"))</f>
        <v>allowed</v>
      </c>
      <c r="Q873" s="0" t="str">
        <f aca="false">IF(C873="success","published",IF(E873&gt;0,"blocked_at_gate","failed_before_gate"))</f>
        <v>published</v>
      </c>
      <c r="R873" s="0" t="str">
        <f aca="false">IF(C873="success","",IF(E873&gt;0,IF(I873="freshness_within_target","freshness",IF(I873="relationships_intact","relationships",IF(I873="reconciliation_residual_zero","residual",I873))),IF(H873="quality_gate","gate_infra",H873)))</f>
        <v/>
      </c>
    </row>
    <row r="874" customFormat="false" ht="15" hidden="false" customHeight="false" outlineLevel="0" collapsed="false">
      <c r="A874" s="4" t="s">
        <v>3272</v>
      </c>
      <c r="B874" s="10" t="n">
        <v>46280.3020833333</v>
      </c>
      <c r="C874" s="4" t="s">
        <v>1544</v>
      </c>
      <c r="D874" s="4" t="n">
        <v>748</v>
      </c>
      <c r="E874" s="4" t="n">
        <v>7</v>
      </c>
      <c r="F874" s="4" t="n">
        <v>6</v>
      </c>
      <c r="G874" s="4" t="n">
        <v>0</v>
      </c>
      <c r="J874" s="11" t="b">
        <f aca="false">TRUE()</f>
        <v>1</v>
      </c>
      <c r="K874" s="4" t="s">
        <v>3273</v>
      </c>
      <c r="L874" s="4" t="n">
        <v>4</v>
      </c>
      <c r="M874" s="4" t="n">
        <v>4</v>
      </c>
      <c r="N874" s="4" t="n">
        <v>4</v>
      </c>
      <c r="O874" s="4" t="n">
        <v>4</v>
      </c>
      <c r="P874" s="0" t="str">
        <f aca="false">IF(E874=0,"not_reached",IF(AND(F874&gt;0,G874=0),"allowed","blocked"))</f>
        <v>allowed</v>
      </c>
      <c r="Q874" s="0" t="str">
        <f aca="false">IF(C874="success","published",IF(E874&gt;0,"blocked_at_gate","failed_before_gate"))</f>
        <v>published</v>
      </c>
      <c r="R874" s="0" t="str">
        <f aca="false">IF(C874="success","",IF(E874&gt;0,IF(I874="freshness_within_target","freshness",IF(I874="relationships_intact","relationships",IF(I874="reconciliation_residual_zero","residual",I874))),IF(H874="quality_gate","gate_infra",H874)))</f>
        <v/>
      </c>
    </row>
    <row r="875" customFormat="false" ht="15" hidden="false" customHeight="false" outlineLevel="0" collapsed="false">
      <c r="A875" s="4" t="s">
        <v>3274</v>
      </c>
      <c r="B875" s="10" t="n">
        <v>46280.34375</v>
      </c>
      <c r="C875" s="4" t="s">
        <v>1544</v>
      </c>
      <c r="D875" s="4" t="n">
        <v>732</v>
      </c>
      <c r="E875" s="4" t="n">
        <v>7</v>
      </c>
      <c r="F875" s="4" t="n">
        <v>6</v>
      </c>
      <c r="G875" s="4" t="n">
        <v>0</v>
      </c>
      <c r="J875" s="11" t="b">
        <f aca="false">TRUE()</f>
        <v>1</v>
      </c>
      <c r="K875" s="4" t="s">
        <v>3275</v>
      </c>
      <c r="L875" s="4" t="n">
        <v>4</v>
      </c>
      <c r="M875" s="4" t="n">
        <v>4</v>
      </c>
      <c r="N875" s="4" t="n">
        <v>4</v>
      </c>
      <c r="O875" s="4" t="n">
        <v>4</v>
      </c>
      <c r="P875" s="0" t="str">
        <f aca="false">IF(E875=0,"not_reached",IF(AND(F875&gt;0,G875=0),"allowed","blocked"))</f>
        <v>allowed</v>
      </c>
      <c r="Q875" s="0" t="str">
        <f aca="false">IF(C875="success","published",IF(E875&gt;0,"blocked_at_gate","failed_before_gate"))</f>
        <v>published</v>
      </c>
      <c r="R875" s="0" t="str">
        <f aca="false">IF(C875="success","",IF(E875&gt;0,IF(I875="freshness_within_target","freshness",IF(I875="relationships_intact","relationships",IF(I875="reconciliation_residual_zero","residual",I875))),IF(H875="quality_gate","gate_infra",H875)))</f>
        <v/>
      </c>
    </row>
    <row r="876" customFormat="false" ht="15" hidden="false" customHeight="false" outlineLevel="0" collapsed="false">
      <c r="A876" s="4" t="s">
        <v>3276</v>
      </c>
      <c r="B876" s="10" t="n">
        <v>46280.3854166667</v>
      </c>
      <c r="C876" s="4" t="s">
        <v>1544</v>
      </c>
      <c r="D876" s="4" t="n">
        <v>900</v>
      </c>
      <c r="E876" s="4" t="n">
        <v>7</v>
      </c>
      <c r="F876" s="4" t="n">
        <v>6</v>
      </c>
      <c r="G876" s="4" t="n">
        <v>0</v>
      </c>
      <c r="J876" s="11" t="b">
        <f aca="false">TRUE()</f>
        <v>1</v>
      </c>
      <c r="K876" s="4" t="s">
        <v>3277</v>
      </c>
      <c r="L876" s="4" t="n">
        <v>4</v>
      </c>
      <c r="M876" s="4" t="n">
        <v>4</v>
      </c>
      <c r="N876" s="4" t="n">
        <v>4</v>
      </c>
      <c r="O876" s="4" t="n">
        <v>4</v>
      </c>
      <c r="P876" s="0" t="str">
        <f aca="false">IF(E876=0,"not_reached",IF(AND(F876&gt;0,G876=0),"allowed","blocked"))</f>
        <v>allowed</v>
      </c>
      <c r="Q876" s="0" t="str">
        <f aca="false">IF(C876="success","published",IF(E876&gt;0,"blocked_at_gate","failed_before_gate"))</f>
        <v>published</v>
      </c>
      <c r="R876" s="0" t="str">
        <f aca="false">IF(C876="success","",IF(E876&gt;0,IF(I876="freshness_within_target","freshness",IF(I876="relationships_intact","relationships",IF(I876="reconciliation_residual_zero","residual",I876))),IF(H876="quality_gate","gate_infra",H876)))</f>
        <v/>
      </c>
    </row>
    <row r="877" customFormat="false" ht="15" hidden="false" customHeight="false" outlineLevel="0" collapsed="false">
      <c r="A877" s="4" t="s">
        <v>3278</v>
      </c>
      <c r="B877" s="10" t="n">
        <v>46280.4270833333</v>
      </c>
      <c r="C877" s="4" t="s">
        <v>1544</v>
      </c>
      <c r="D877" s="4" t="n">
        <v>843</v>
      </c>
      <c r="E877" s="4" t="n">
        <v>7</v>
      </c>
      <c r="F877" s="4" t="n">
        <v>6</v>
      </c>
      <c r="G877" s="4" t="n">
        <v>0</v>
      </c>
      <c r="J877" s="11" t="b">
        <f aca="false">TRUE()</f>
        <v>1</v>
      </c>
      <c r="K877" s="4" t="s">
        <v>3279</v>
      </c>
      <c r="L877" s="4" t="n">
        <v>4</v>
      </c>
      <c r="M877" s="4" t="n">
        <v>4</v>
      </c>
      <c r="N877" s="4" t="n">
        <v>4</v>
      </c>
      <c r="O877" s="4" t="n">
        <v>4</v>
      </c>
      <c r="P877" s="0" t="str">
        <f aca="false">IF(E877=0,"not_reached",IF(AND(F877&gt;0,G877=0),"allowed","blocked"))</f>
        <v>allowed</v>
      </c>
      <c r="Q877" s="0" t="str">
        <f aca="false">IF(C877="success","published",IF(E877&gt;0,"blocked_at_gate","failed_before_gate"))</f>
        <v>published</v>
      </c>
      <c r="R877" s="0" t="str">
        <f aca="false">IF(C877="success","",IF(E877&gt;0,IF(I877="freshness_within_target","freshness",IF(I877="relationships_intact","relationships",IF(I877="reconciliation_residual_zero","residual",I877))),IF(H877="quality_gate","gate_infra",H877)))</f>
        <v/>
      </c>
    </row>
    <row r="878" customFormat="false" ht="15" hidden="false" customHeight="false" outlineLevel="0" collapsed="false">
      <c r="A878" s="4" t="s">
        <v>3280</v>
      </c>
      <c r="B878" s="10" t="n">
        <v>46280.46875</v>
      </c>
      <c r="C878" s="4" t="s">
        <v>1544</v>
      </c>
      <c r="D878" s="4" t="n">
        <v>782</v>
      </c>
      <c r="E878" s="4" t="n">
        <v>7</v>
      </c>
      <c r="F878" s="4" t="n">
        <v>6</v>
      </c>
      <c r="G878" s="4" t="n">
        <v>0</v>
      </c>
      <c r="J878" s="11" t="b">
        <f aca="false">TRUE()</f>
        <v>1</v>
      </c>
      <c r="K878" s="4" t="s">
        <v>3281</v>
      </c>
      <c r="L878" s="4" t="n">
        <v>4</v>
      </c>
      <c r="M878" s="4" t="n">
        <v>4</v>
      </c>
      <c r="N878" s="4" t="n">
        <v>4</v>
      </c>
      <c r="O878" s="4" t="n">
        <v>4</v>
      </c>
      <c r="P878" s="0" t="str">
        <f aca="false">IF(E878=0,"not_reached",IF(AND(F878&gt;0,G878=0),"allowed","blocked"))</f>
        <v>allowed</v>
      </c>
      <c r="Q878" s="0" t="str">
        <f aca="false">IF(C878="success","published",IF(E878&gt;0,"blocked_at_gate","failed_before_gate"))</f>
        <v>published</v>
      </c>
      <c r="R878" s="0" t="str">
        <f aca="false">IF(C878="success","",IF(E878&gt;0,IF(I878="freshness_within_target","freshness",IF(I878="relationships_intact","relationships",IF(I878="reconciliation_residual_zero","residual",I878))),IF(H878="quality_gate","gate_infra",H878)))</f>
        <v/>
      </c>
    </row>
    <row r="879" customFormat="false" ht="15" hidden="false" customHeight="false" outlineLevel="0" collapsed="false">
      <c r="A879" s="4" t="s">
        <v>3282</v>
      </c>
      <c r="B879" s="10" t="n">
        <v>46280.5104166667</v>
      </c>
      <c r="C879" s="4" t="s">
        <v>1544</v>
      </c>
      <c r="D879" s="4" t="n">
        <v>764</v>
      </c>
      <c r="E879" s="4" t="n">
        <v>7</v>
      </c>
      <c r="F879" s="4" t="n">
        <v>6</v>
      </c>
      <c r="G879" s="4" t="n">
        <v>0</v>
      </c>
      <c r="J879" s="11" t="b">
        <f aca="false">TRUE()</f>
        <v>1</v>
      </c>
      <c r="K879" s="4" t="s">
        <v>3283</v>
      </c>
      <c r="L879" s="4" t="n">
        <v>4</v>
      </c>
      <c r="M879" s="4" t="n">
        <v>4</v>
      </c>
      <c r="N879" s="4" t="n">
        <v>4</v>
      </c>
      <c r="O879" s="4" t="n">
        <v>4</v>
      </c>
      <c r="P879" s="0" t="str">
        <f aca="false">IF(E879=0,"not_reached",IF(AND(F879&gt;0,G879=0),"allowed","blocked"))</f>
        <v>allowed</v>
      </c>
      <c r="Q879" s="0" t="str">
        <f aca="false">IF(C879="success","published",IF(E879&gt;0,"blocked_at_gate","failed_before_gate"))</f>
        <v>published</v>
      </c>
      <c r="R879" s="0" t="str">
        <f aca="false">IF(C879="success","",IF(E879&gt;0,IF(I879="freshness_within_target","freshness",IF(I879="relationships_intact","relationships",IF(I879="reconciliation_residual_zero","residual",I879))),IF(H879="quality_gate","gate_infra",H879)))</f>
        <v/>
      </c>
    </row>
    <row r="880" customFormat="false" ht="15" hidden="false" customHeight="false" outlineLevel="0" collapsed="false">
      <c r="A880" s="4" t="s">
        <v>3284</v>
      </c>
      <c r="B880" s="10" t="n">
        <v>46280.5520833333</v>
      </c>
      <c r="C880" s="4" t="s">
        <v>1544</v>
      </c>
      <c r="D880" s="4" t="n">
        <v>754</v>
      </c>
      <c r="E880" s="4" t="n">
        <v>7</v>
      </c>
      <c r="F880" s="4" t="n">
        <v>6</v>
      </c>
      <c r="G880" s="4" t="n">
        <v>0</v>
      </c>
      <c r="J880" s="11" t="b">
        <f aca="false">TRUE()</f>
        <v>1</v>
      </c>
      <c r="K880" s="4" t="s">
        <v>3285</v>
      </c>
      <c r="L880" s="4" t="n">
        <v>4</v>
      </c>
      <c r="M880" s="4" t="n">
        <v>4</v>
      </c>
      <c r="N880" s="4" t="n">
        <v>4</v>
      </c>
      <c r="O880" s="4" t="n">
        <v>4</v>
      </c>
      <c r="P880" s="0" t="str">
        <f aca="false">IF(E880=0,"not_reached",IF(AND(F880&gt;0,G880=0),"allowed","blocked"))</f>
        <v>allowed</v>
      </c>
      <c r="Q880" s="0" t="str">
        <f aca="false">IF(C880="success","published",IF(E880&gt;0,"blocked_at_gate","failed_before_gate"))</f>
        <v>published</v>
      </c>
      <c r="R880" s="0" t="str">
        <f aca="false">IF(C880="success","",IF(E880&gt;0,IF(I880="freshness_within_target","freshness",IF(I880="relationships_intact","relationships",IF(I880="reconciliation_residual_zero","residual",I880))),IF(H880="quality_gate","gate_infra",H880)))</f>
        <v/>
      </c>
    </row>
    <row r="881" customFormat="false" ht="15" hidden="false" customHeight="false" outlineLevel="0" collapsed="false">
      <c r="A881" s="4" t="s">
        <v>3286</v>
      </c>
      <c r="B881" s="10" t="n">
        <v>46280.59375</v>
      </c>
      <c r="C881" s="4" t="s">
        <v>1544</v>
      </c>
      <c r="D881" s="4" t="n">
        <v>1057</v>
      </c>
      <c r="E881" s="4" t="n">
        <v>7</v>
      </c>
      <c r="F881" s="4" t="n">
        <v>6</v>
      </c>
      <c r="G881" s="4" t="n">
        <v>0</v>
      </c>
      <c r="J881" s="11" t="b">
        <f aca="false">TRUE()</f>
        <v>1</v>
      </c>
      <c r="K881" s="4" t="s">
        <v>3287</v>
      </c>
      <c r="L881" s="4" t="n">
        <v>4</v>
      </c>
      <c r="M881" s="4" t="n">
        <v>4</v>
      </c>
      <c r="N881" s="4" t="n">
        <v>5</v>
      </c>
      <c r="O881" s="4" t="n">
        <v>4</v>
      </c>
      <c r="P881" s="0" t="str">
        <f aca="false">IF(E881=0,"not_reached",IF(AND(F881&gt;0,G881=0),"allowed","blocked"))</f>
        <v>allowed</v>
      </c>
      <c r="Q881" s="0" t="str">
        <f aca="false">IF(C881="success","published",IF(E881&gt;0,"blocked_at_gate","failed_before_gate"))</f>
        <v>published</v>
      </c>
      <c r="R881" s="0" t="str">
        <f aca="false">IF(C881="success","",IF(E881&gt;0,IF(I881="freshness_within_target","freshness",IF(I881="relationships_intact","relationships",IF(I881="reconciliation_residual_zero","residual",I881))),IF(H881="quality_gate","gate_infra",H881)))</f>
        <v/>
      </c>
    </row>
    <row r="882" customFormat="false" ht="15" hidden="false" customHeight="false" outlineLevel="0" collapsed="false">
      <c r="A882" s="4" t="s">
        <v>3288</v>
      </c>
      <c r="B882" s="10" t="n">
        <v>46280.6354166667</v>
      </c>
      <c r="C882" s="4" t="s">
        <v>1544</v>
      </c>
      <c r="D882" s="4" t="n">
        <v>744</v>
      </c>
      <c r="E882" s="4" t="n">
        <v>7</v>
      </c>
      <c r="F882" s="4" t="n">
        <v>6</v>
      </c>
      <c r="G882" s="4" t="n">
        <v>0</v>
      </c>
      <c r="J882" s="11" t="b">
        <f aca="false">TRUE()</f>
        <v>1</v>
      </c>
      <c r="K882" s="4" t="s">
        <v>3289</v>
      </c>
      <c r="L882" s="4" t="n">
        <v>4</v>
      </c>
      <c r="M882" s="4" t="n">
        <v>4</v>
      </c>
      <c r="N882" s="4" t="n">
        <v>4</v>
      </c>
      <c r="O882" s="4" t="n">
        <v>4</v>
      </c>
      <c r="P882" s="0" t="str">
        <f aca="false">IF(E882=0,"not_reached",IF(AND(F882&gt;0,G882=0),"allowed","blocked"))</f>
        <v>allowed</v>
      </c>
      <c r="Q882" s="0" t="str">
        <f aca="false">IF(C882="success","published",IF(E882&gt;0,"blocked_at_gate","failed_before_gate"))</f>
        <v>published</v>
      </c>
      <c r="R882" s="0" t="str">
        <f aca="false">IF(C882="success","",IF(E882&gt;0,IF(I882="freshness_within_target","freshness",IF(I882="relationships_intact","relationships",IF(I882="reconciliation_residual_zero","residual",I882))),IF(H882="quality_gate","gate_infra",H882)))</f>
        <v/>
      </c>
    </row>
    <row r="883" customFormat="false" ht="15" hidden="false" customHeight="false" outlineLevel="0" collapsed="false">
      <c r="A883" s="4" t="s">
        <v>3290</v>
      </c>
      <c r="B883" s="10" t="n">
        <v>46280.6770833333</v>
      </c>
      <c r="C883" s="4" t="s">
        <v>1544</v>
      </c>
      <c r="D883" s="4" t="n">
        <v>881</v>
      </c>
      <c r="E883" s="4" t="n">
        <v>7</v>
      </c>
      <c r="F883" s="4" t="n">
        <v>6</v>
      </c>
      <c r="G883" s="4" t="n">
        <v>0</v>
      </c>
      <c r="J883" s="11" t="b">
        <f aca="false">TRUE()</f>
        <v>1</v>
      </c>
      <c r="K883" s="4" t="s">
        <v>3291</v>
      </c>
      <c r="L883" s="4" t="n">
        <v>4</v>
      </c>
      <c r="M883" s="4" t="n">
        <v>4</v>
      </c>
      <c r="N883" s="4" t="n">
        <v>4</v>
      </c>
      <c r="O883" s="4" t="n">
        <v>4</v>
      </c>
      <c r="P883" s="0" t="str">
        <f aca="false">IF(E883=0,"not_reached",IF(AND(F883&gt;0,G883=0),"allowed","blocked"))</f>
        <v>allowed</v>
      </c>
      <c r="Q883" s="0" t="str">
        <f aca="false">IF(C883="success","published",IF(E883&gt;0,"blocked_at_gate","failed_before_gate"))</f>
        <v>published</v>
      </c>
      <c r="R883" s="0" t="str">
        <f aca="false">IF(C883="success","",IF(E883&gt;0,IF(I883="freshness_within_target","freshness",IF(I883="relationships_intact","relationships",IF(I883="reconciliation_residual_zero","residual",I883))),IF(H883="quality_gate","gate_infra",H883)))</f>
        <v/>
      </c>
    </row>
    <row r="884" customFormat="false" ht="15" hidden="false" customHeight="false" outlineLevel="0" collapsed="false">
      <c r="A884" s="4" t="s">
        <v>3292</v>
      </c>
      <c r="B884" s="10" t="n">
        <v>46280.71875</v>
      </c>
      <c r="C884" s="4" t="s">
        <v>1544</v>
      </c>
      <c r="D884" s="4" t="n">
        <v>930</v>
      </c>
      <c r="E884" s="4" t="n">
        <v>7</v>
      </c>
      <c r="F884" s="4" t="n">
        <v>6</v>
      </c>
      <c r="G884" s="4" t="n">
        <v>0</v>
      </c>
      <c r="J884" s="11" t="b">
        <f aca="false">TRUE()</f>
        <v>1</v>
      </c>
      <c r="K884" s="4" t="s">
        <v>3293</v>
      </c>
      <c r="L884" s="4" t="n">
        <v>4</v>
      </c>
      <c r="M884" s="4" t="n">
        <v>4</v>
      </c>
      <c r="N884" s="4" t="n">
        <v>4</v>
      </c>
      <c r="O884" s="4" t="n">
        <v>4</v>
      </c>
      <c r="P884" s="0" t="str">
        <f aca="false">IF(E884=0,"not_reached",IF(AND(F884&gt;0,G884=0),"allowed","blocked"))</f>
        <v>allowed</v>
      </c>
      <c r="Q884" s="0" t="str">
        <f aca="false">IF(C884="success","published",IF(E884&gt;0,"blocked_at_gate","failed_before_gate"))</f>
        <v>published</v>
      </c>
      <c r="R884" s="0" t="str">
        <f aca="false">IF(C884="success","",IF(E884&gt;0,IF(I884="freshness_within_target","freshness",IF(I884="relationships_intact","relationships",IF(I884="reconciliation_residual_zero","residual",I884))),IF(H884="quality_gate","gate_infra",H884)))</f>
        <v/>
      </c>
    </row>
    <row r="885" customFormat="false" ht="15" hidden="false" customHeight="false" outlineLevel="0" collapsed="false">
      <c r="A885" s="4" t="s">
        <v>3294</v>
      </c>
      <c r="B885" s="10" t="n">
        <v>46280.7604166667</v>
      </c>
      <c r="C885" s="4" t="s">
        <v>1544</v>
      </c>
      <c r="D885" s="4" t="n">
        <v>737</v>
      </c>
      <c r="E885" s="4" t="n">
        <v>7</v>
      </c>
      <c r="F885" s="4" t="n">
        <v>6</v>
      </c>
      <c r="G885" s="4" t="n">
        <v>0</v>
      </c>
      <c r="J885" s="11" t="b">
        <f aca="false">TRUE()</f>
        <v>1</v>
      </c>
      <c r="K885" s="4" t="s">
        <v>3295</v>
      </c>
      <c r="L885" s="4" t="n">
        <v>4</v>
      </c>
      <c r="M885" s="4" t="n">
        <v>4</v>
      </c>
      <c r="N885" s="4" t="n">
        <v>4</v>
      </c>
      <c r="O885" s="4" t="n">
        <v>4</v>
      </c>
      <c r="P885" s="0" t="str">
        <f aca="false">IF(E885=0,"not_reached",IF(AND(F885&gt;0,G885=0),"allowed","blocked"))</f>
        <v>allowed</v>
      </c>
      <c r="Q885" s="0" t="str">
        <f aca="false">IF(C885="success","published",IF(E885&gt;0,"blocked_at_gate","failed_before_gate"))</f>
        <v>published</v>
      </c>
      <c r="R885" s="0" t="str">
        <f aca="false">IF(C885="success","",IF(E885&gt;0,IF(I885="freshness_within_target","freshness",IF(I885="relationships_intact","relationships",IF(I885="reconciliation_residual_zero","residual",I885))),IF(H885="quality_gate","gate_infra",H885)))</f>
        <v/>
      </c>
    </row>
    <row r="886" customFormat="false" ht="15" hidden="false" customHeight="false" outlineLevel="0" collapsed="false">
      <c r="A886" s="4" t="s">
        <v>3296</v>
      </c>
      <c r="B886" s="10" t="n">
        <v>46280.8020833333</v>
      </c>
      <c r="C886" s="4" t="s">
        <v>1544</v>
      </c>
      <c r="D886" s="4" t="n">
        <v>867</v>
      </c>
      <c r="E886" s="4" t="n">
        <v>7</v>
      </c>
      <c r="F886" s="4" t="n">
        <v>6</v>
      </c>
      <c r="G886" s="4" t="n">
        <v>0</v>
      </c>
      <c r="J886" s="11" t="b">
        <f aca="false">TRUE()</f>
        <v>1</v>
      </c>
      <c r="K886" s="4" t="s">
        <v>3297</v>
      </c>
      <c r="L886" s="4" t="n">
        <v>4</v>
      </c>
      <c r="M886" s="4" t="n">
        <v>4</v>
      </c>
      <c r="N886" s="4" t="n">
        <v>4</v>
      </c>
      <c r="O886" s="4" t="n">
        <v>4</v>
      </c>
      <c r="P886" s="0" t="str">
        <f aca="false">IF(E886=0,"not_reached",IF(AND(F886&gt;0,G886=0),"allowed","blocked"))</f>
        <v>allowed</v>
      </c>
      <c r="Q886" s="0" t="str">
        <f aca="false">IF(C886="success","published",IF(E886&gt;0,"blocked_at_gate","failed_before_gate"))</f>
        <v>published</v>
      </c>
      <c r="R886" s="0" t="str">
        <f aca="false">IF(C886="success","",IF(E886&gt;0,IF(I886="freshness_within_target","freshness",IF(I886="relationships_intact","relationships",IF(I886="reconciliation_residual_zero","residual",I886))),IF(H886="quality_gate","gate_infra",H886)))</f>
        <v/>
      </c>
    </row>
    <row r="887" customFormat="false" ht="15" hidden="false" customHeight="false" outlineLevel="0" collapsed="false">
      <c r="A887" s="4" t="s">
        <v>3298</v>
      </c>
      <c r="B887" s="10" t="n">
        <v>46280.84375</v>
      </c>
      <c r="C887" s="4" t="s">
        <v>1544</v>
      </c>
      <c r="D887" s="4" t="n">
        <v>705</v>
      </c>
      <c r="E887" s="4" t="n">
        <v>7</v>
      </c>
      <c r="F887" s="4" t="n">
        <v>6</v>
      </c>
      <c r="G887" s="4" t="n">
        <v>0</v>
      </c>
      <c r="J887" s="11" t="b">
        <f aca="false">TRUE()</f>
        <v>1</v>
      </c>
      <c r="K887" s="4" t="s">
        <v>3299</v>
      </c>
      <c r="L887" s="4" t="n">
        <v>4</v>
      </c>
      <c r="M887" s="4" t="n">
        <v>4</v>
      </c>
      <c r="N887" s="4" t="n">
        <v>4</v>
      </c>
      <c r="O887" s="4" t="n">
        <v>4</v>
      </c>
      <c r="P887" s="0" t="str">
        <f aca="false">IF(E887=0,"not_reached",IF(AND(F887&gt;0,G887=0),"allowed","blocked"))</f>
        <v>allowed</v>
      </c>
      <c r="Q887" s="0" t="str">
        <f aca="false">IF(C887="success","published",IF(E887&gt;0,"blocked_at_gate","failed_before_gate"))</f>
        <v>published</v>
      </c>
      <c r="R887" s="0" t="str">
        <f aca="false">IF(C887="success","",IF(E887&gt;0,IF(I887="freshness_within_target","freshness",IF(I887="relationships_intact","relationships",IF(I887="reconciliation_residual_zero","residual",I887))),IF(H887="quality_gate","gate_infra",H887)))</f>
        <v/>
      </c>
    </row>
    <row r="888" customFormat="false" ht="15" hidden="false" customHeight="false" outlineLevel="0" collapsed="false">
      <c r="A888" s="4" t="s">
        <v>3300</v>
      </c>
      <c r="B888" s="10" t="n">
        <v>46280.8854166667</v>
      </c>
      <c r="C888" s="4" t="s">
        <v>1544</v>
      </c>
      <c r="D888" s="4" t="n">
        <v>712</v>
      </c>
      <c r="E888" s="4" t="n">
        <v>7</v>
      </c>
      <c r="F888" s="4" t="n">
        <v>6</v>
      </c>
      <c r="G888" s="4" t="n">
        <v>0</v>
      </c>
      <c r="J888" s="11" t="b">
        <f aca="false">TRUE()</f>
        <v>1</v>
      </c>
      <c r="K888" s="4" t="s">
        <v>3301</v>
      </c>
      <c r="L888" s="4" t="n">
        <v>4</v>
      </c>
      <c r="M888" s="4" t="n">
        <v>4</v>
      </c>
      <c r="N888" s="4" t="n">
        <v>4</v>
      </c>
      <c r="O888" s="4" t="n">
        <v>4</v>
      </c>
      <c r="P888" s="0" t="str">
        <f aca="false">IF(E888=0,"not_reached",IF(AND(F888&gt;0,G888=0),"allowed","blocked"))</f>
        <v>allowed</v>
      </c>
      <c r="Q888" s="0" t="str">
        <f aca="false">IF(C888="success","published",IF(E888&gt;0,"blocked_at_gate","failed_before_gate"))</f>
        <v>published</v>
      </c>
      <c r="R888" s="0" t="str">
        <f aca="false">IF(C888="success","",IF(E888&gt;0,IF(I888="freshness_within_target","freshness",IF(I888="relationships_intact","relationships",IF(I888="reconciliation_residual_zero","residual",I888))),IF(H888="quality_gate","gate_infra",H888)))</f>
        <v/>
      </c>
    </row>
    <row r="889" customFormat="false" ht="15" hidden="false" customHeight="false" outlineLevel="0" collapsed="false">
      <c r="A889" s="4" t="s">
        <v>3302</v>
      </c>
      <c r="B889" s="10" t="n">
        <v>46280.9270833333</v>
      </c>
      <c r="C889" s="4" t="s">
        <v>1544</v>
      </c>
      <c r="D889" s="4" t="n">
        <v>922</v>
      </c>
      <c r="E889" s="4" t="n">
        <v>7</v>
      </c>
      <c r="F889" s="4" t="n">
        <v>6</v>
      </c>
      <c r="G889" s="4" t="n">
        <v>0</v>
      </c>
      <c r="J889" s="11" t="b">
        <f aca="false">TRUE()</f>
        <v>1</v>
      </c>
      <c r="K889" s="4" t="s">
        <v>3303</v>
      </c>
      <c r="L889" s="4" t="n">
        <v>4</v>
      </c>
      <c r="M889" s="4" t="n">
        <v>4</v>
      </c>
      <c r="N889" s="4" t="n">
        <v>4</v>
      </c>
      <c r="O889" s="4" t="n">
        <v>4</v>
      </c>
      <c r="P889" s="0" t="str">
        <f aca="false">IF(E889=0,"not_reached",IF(AND(F889&gt;0,G889=0),"allowed","blocked"))</f>
        <v>allowed</v>
      </c>
      <c r="Q889" s="0" t="str">
        <f aca="false">IF(C889="success","published",IF(E889&gt;0,"blocked_at_gate","failed_before_gate"))</f>
        <v>published</v>
      </c>
      <c r="R889" s="0" t="str">
        <f aca="false">IF(C889="success","",IF(E889&gt;0,IF(I889="freshness_within_target","freshness",IF(I889="relationships_intact","relationships",IF(I889="reconciliation_residual_zero","residual",I889))),IF(H889="quality_gate","gate_infra",H889)))</f>
        <v/>
      </c>
    </row>
    <row r="890" customFormat="false" ht="15" hidden="false" customHeight="false" outlineLevel="0" collapsed="false">
      <c r="A890" s="4" t="s">
        <v>3304</v>
      </c>
      <c r="B890" s="10" t="n">
        <v>46280.96875</v>
      </c>
      <c r="C890" s="4" t="s">
        <v>1544</v>
      </c>
      <c r="D890" s="4" t="n">
        <v>766</v>
      </c>
      <c r="E890" s="4" t="n">
        <v>7</v>
      </c>
      <c r="F890" s="4" t="n">
        <v>6</v>
      </c>
      <c r="G890" s="4" t="n">
        <v>0</v>
      </c>
      <c r="J890" s="11" t="b">
        <f aca="false">TRUE()</f>
        <v>1</v>
      </c>
      <c r="K890" s="4" t="s">
        <v>3305</v>
      </c>
      <c r="L890" s="4" t="n">
        <v>4</v>
      </c>
      <c r="M890" s="4" t="n">
        <v>4</v>
      </c>
      <c r="N890" s="4" t="n">
        <v>4</v>
      </c>
      <c r="O890" s="4" t="n">
        <v>4</v>
      </c>
      <c r="P890" s="0" t="str">
        <f aca="false">IF(E890=0,"not_reached",IF(AND(F890&gt;0,G890=0),"allowed","blocked"))</f>
        <v>allowed</v>
      </c>
      <c r="Q890" s="0" t="str">
        <f aca="false">IF(C890="success","published",IF(E890&gt;0,"blocked_at_gate","failed_before_gate"))</f>
        <v>published</v>
      </c>
      <c r="R890" s="0" t="str">
        <f aca="false">IF(C890="success","",IF(E890&gt;0,IF(I890="freshness_within_target","freshness",IF(I890="relationships_intact","relationships",IF(I890="reconciliation_residual_zero","residual",I890))),IF(H890="quality_gate","gate_infra",H890)))</f>
        <v/>
      </c>
    </row>
    <row r="891" customFormat="false" ht="15" hidden="false" customHeight="false" outlineLevel="0" collapsed="false">
      <c r="A891" s="4" t="s">
        <v>3306</v>
      </c>
      <c r="B891" s="10" t="n">
        <v>46281.0104166667</v>
      </c>
      <c r="C891" s="4" t="s">
        <v>1544</v>
      </c>
      <c r="D891" s="4" t="n">
        <v>937</v>
      </c>
      <c r="E891" s="4" t="n">
        <v>7</v>
      </c>
      <c r="F891" s="4" t="n">
        <v>6</v>
      </c>
      <c r="G891" s="4" t="n">
        <v>0</v>
      </c>
      <c r="J891" s="11" t="b">
        <f aca="false">TRUE()</f>
        <v>1</v>
      </c>
      <c r="K891" s="4" t="s">
        <v>3307</v>
      </c>
      <c r="L891" s="4" t="n">
        <v>4</v>
      </c>
      <c r="M891" s="4" t="n">
        <v>4</v>
      </c>
      <c r="N891" s="4" t="n">
        <v>4</v>
      </c>
      <c r="O891" s="4" t="n">
        <v>4</v>
      </c>
      <c r="P891" s="0" t="str">
        <f aca="false">IF(E891=0,"not_reached",IF(AND(F891&gt;0,G891=0),"allowed","blocked"))</f>
        <v>allowed</v>
      </c>
      <c r="Q891" s="0" t="str">
        <f aca="false">IF(C891="success","published",IF(E891&gt;0,"blocked_at_gate","failed_before_gate"))</f>
        <v>published</v>
      </c>
      <c r="R891" s="0" t="str">
        <f aca="false">IF(C891="success","",IF(E891&gt;0,IF(I891="freshness_within_target","freshness",IF(I891="relationships_intact","relationships",IF(I891="reconciliation_residual_zero","residual",I891))),IF(H891="quality_gate","gate_infra",H891)))</f>
        <v/>
      </c>
    </row>
    <row r="892" customFormat="false" ht="15" hidden="false" customHeight="false" outlineLevel="0" collapsed="false">
      <c r="A892" s="4" t="s">
        <v>3308</v>
      </c>
      <c r="B892" s="10" t="n">
        <v>46281.0520833333</v>
      </c>
      <c r="C892" s="4" t="s">
        <v>1544</v>
      </c>
      <c r="D892" s="4" t="n">
        <v>661</v>
      </c>
      <c r="E892" s="4" t="n">
        <v>7</v>
      </c>
      <c r="F892" s="4" t="n">
        <v>6</v>
      </c>
      <c r="G892" s="4" t="n">
        <v>0</v>
      </c>
      <c r="J892" s="11" t="b">
        <f aca="false">TRUE()</f>
        <v>1</v>
      </c>
      <c r="K892" s="4" t="s">
        <v>3309</v>
      </c>
      <c r="L892" s="4" t="n">
        <v>4</v>
      </c>
      <c r="M892" s="4" t="n">
        <v>4</v>
      </c>
      <c r="N892" s="4" t="n">
        <v>4</v>
      </c>
      <c r="O892" s="4" t="n">
        <v>4</v>
      </c>
      <c r="P892" s="0" t="str">
        <f aca="false">IF(E892=0,"not_reached",IF(AND(F892&gt;0,G892=0),"allowed","blocked"))</f>
        <v>allowed</v>
      </c>
      <c r="Q892" s="0" t="str">
        <f aca="false">IF(C892="success","published",IF(E892&gt;0,"blocked_at_gate","failed_before_gate"))</f>
        <v>published</v>
      </c>
      <c r="R892" s="0" t="str">
        <f aca="false">IF(C892="success","",IF(E892&gt;0,IF(I892="freshness_within_target","freshness",IF(I892="relationships_intact","relationships",IF(I892="reconciliation_residual_zero","residual",I892))),IF(H892="quality_gate","gate_infra",H892)))</f>
        <v/>
      </c>
    </row>
    <row r="893" customFormat="false" ht="15" hidden="false" customHeight="false" outlineLevel="0" collapsed="false">
      <c r="A893" s="4" t="s">
        <v>3310</v>
      </c>
      <c r="B893" s="10" t="n">
        <v>46281.09375</v>
      </c>
      <c r="C893" s="4" t="s">
        <v>1544</v>
      </c>
      <c r="D893" s="4" t="n">
        <v>691</v>
      </c>
      <c r="E893" s="4" t="n">
        <v>7</v>
      </c>
      <c r="F893" s="4" t="n">
        <v>6</v>
      </c>
      <c r="G893" s="4" t="n">
        <v>0</v>
      </c>
      <c r="J893" s="11" t="b">
        <f aca="false">TRUE()</f>
        <v>1</v>
      </c>
      <c r="K893" s="4" t="s">
        <v>3311</v>
      </c>
      <c r="L893" s="4" t="n">
        <v>4</v>
      </c>
      <c r="M893" s="4" t="n">
        <v>4</v>
      </c>
      <c r="N893" s="4" t="n">
        <v>4</v>
      </c>
      <c r="O893" s="4" t="n">
        <v>4</v>
      </c>
      <c r="P893" s="0" t="str">
        <f aca="false">IF(E893=0,"not_reached",IF(AND(F893&gt;0,G893=0),"allowed","blocked"))</f>
        <v>allowed</v>
      </c>
      <c r="Q893" s="0" t="str">
        <f aca="false">IF(C893="success","published",IF(E893&gt;0,"blocked_at_gate","failed_before_gate"))</f>
        <v>published</v>
      </c>
      <c r="R893" s="0" t="str">
        <f aca="false">IF(C893="success","",IF(E893&gt;0,IF(I893="freshness_within_target","freshness",IF(I893="relationships_intact","relationships",IF(I893="reconciliation_residual_zero","residual",I893))),IF(H893="quality_gate","gate_infra",H893)))</f>
        <v/>
      </c>
    </row>
    <row r="894" customFormat="false" ht="15" hidden="false" customHeight="false" outlineLevel="0" collapsed="false">
      <c r="A894" s="4" t="s">
        <v>3312</v>
      </c>
      <c r="B894" s="10" t="n">
        <v>46281.1354166667</v>
      </c>
      <c r="C894" s="4" t="s">
        <v>1544</v>
      </c>
      <c r="D894" s="4" t="n">
        <v>1110</v>
      </c>
      <c r="E894" s="4" t="n">
        <v>7</v>
      </c>
      <c r="F894" s="4" t="n">
        <v>6</v>
      </c>
      <c r="G894" s="4" t="n">
        <v>0</v>
      </c>
      <c r="J894" s="11" t="b">
        <f aca="false">TRUE()</f>
        <v>1</v>
      </c>
      <c r="K894" s="4" t="s">
        <v>3313</v>
      </c>
      <c r="L894" s="4" t="n">
        <v>4</v>
      </c>
      <c r="M894" s="4" t="n">
        <v>4</v>
      </c>
      <c r="N894" s="4" t="n">
        <v>5</v>
      </c>
      <c r="O894" s="4" t="n">
        <v>4</v>
      </c>
      <c r="P894" s="0" t="str">
        <f aca="false">IF(E894=0,"not_reached",IF(AND(F894&gt;0,G894=0),"allowed","blocked"))</f>
        <v>allowed</v>
      </c>
      <c r="Q894" s="0" t="str">
        <f aca="false">IF(C894="success","published",IF(E894&gt;0,"blocked_at_gate","failed_before_gate"))</f>
        <v>published</v>
      </c>
      <c r="R894" s="0" t="str">
        <f aca="false">IF(C894="success","",IF(E894&gt;0,IF(I894="freshness_within_target","freshness",IF(I894="relationships_intact","relationships",IF(I894="reconciliation_residual_zero","residual",I894))),IF(H894="quality_gate","gate_infra",H894)))</f>
        <v/>
      </c>
    </row>
    <row r="895" customFormat="false" ht="15" hidden="false" customHeight="false" outlineLevel="0" collapsed="false">
      <c r="A895" s="4" t="s">
        <v>3314</v>
      </c>
      <c r="B895" s="10" t="n">
        <v>46281.1770833333</v>
      </c>
      <c r="C895" s="4" t="s">
        <v>1544</v>
      </c>
      <c r="D895" s="4" t="n">
        <v>704</v>
      </c>
      <c r="E895" s="4" t="n">
        <v>7</v>
      </c>
      <c r="F895" s="4" t="n">
        <v>6</v>
      </c>
      <c r="G895" s="4" t="n">
        <v>0</v>
      </c>
      <c r="J895" s="11" t="b">
        <f aca="false">TRUE()</f>
        <v>1</v>
      </c>
      <c r="K895" s="4" t="s">
        <v>3315</v>
      </c>
      <c r="L895" s="4" t="n">
        <v>4</v>
      </c>
      <c r="M895" s="4" t="n">
        <v>4</v>
      </c>
      <c r="N895" s="4" t="n">
        <v>4</v>
      </c>
      <c r="O895" s="4" t="n">
        <v>4</v>
      </c>
      <c r="P895" s="0" t="str">
        <f aca="false">IF(E895=0,"not_reached",IF(AND(F895&gt;0,G895=0),"allowed","blocked"))</f>
        <v>allowed</v>
      </c>
      <c r="Q895" s="0" t="str">
        <f aca="false">IF(C895="success","published",IF(E895&gt;0,"blocked_at_gate","failed_before_gate"))</f>
        <v>published</v>
      </c>
      <c r="R895" s="0" t="str">
        <f aca="false">IF(C895="success","",IF(E895&gt;0,IF(I895="freshness_within_target","freshness",IF(I895="relationships_intact","relationships",IF(I895="reconciliation_residual_zero","residual",I895))),IF(H895="quality_gate","gate_infra",H895)))</f>
        <v/>
      </c>
    </row>
    <row r="896" customFormat="false" ht="15" hidden="false" customHeight="false" outlineLevel="0" collapsed="false">
      <c r="A896" s="4" t="s">
        <v>3316</v>
      </c>
      <c r="B896" s="10" t="n">
        <v>46281.21875</v>
      </c>
      <c r="C896" s="4" t="s">
        <v>1544</v>
      </c>
      <c r="D896" s="4" t="n">
        <v>926</v>
      </c>
      <c r="E896" s="4" t="n">
        <v>7</v>
      </c>
      <c r="F896" s="4" t="n">
        <v>6</v>
      </c>
      <c r="G896" s="4" t="n">
        <v>0</v>
      </c>
      <c r="J896" s="11" t="b">
        <f aca="false">TRUE()</f>
        <v>1</v>
      </c>
      <c r="K896" s="4" t="s">
        <v>3317</v>
      </c>
      <c r="L896" s="4" t="n">
        <v>4</v>
      </c>
      <c r="M896" s="4" t="n">
        <v>4</v>
      </c>
      <c r="N896" s="4" t="n">
        <v>4</v>
      </c>
      <c r="O896" s="4" t="n">
        <v>4</v>
      </c>
      <c r="P896" s="0" t="str">
        <f aca="false">IF(E896=0,"not_reached",IF(AND(F896&gt;0,G896=0),"allowed","blocked"))</f>
        <v>allowed</v>
      </c>
      <c r="Q896" s="0" t="str">
        <f aca="false">IF(C896="success","published",IF(E896&gt;0,"blocked_at_gate","failed_before_gate"))</f>
        <v>published</v>
      </c>
      <c r="R896" s="0" t="str">
        <f aca="false">IF(C896="success","",IF(E896&gt;0,IF(I896="freshness_within_target","freshness",IF(I896="relationships_intact","relationships",IF(I896="reconciliation_residual_zero","residual",I896))),IF(H896="quality_gate","gate_infra",H896)))</f>
        <v/>
      </c>
    </row>
    <row r="897" customFormat="false" ht="15" hidden="false" customHeight="false" outlineLevel="0" collapsed="false">
      <c r="A897" s="4" t="s">
        <v>3318</v>
      </c>
      <c r="B897" s="10" t="n">
        <v>46281.2604166667</v>
      </c>
      <c r="C897" s="4" t="s">
        <v>1544</v>
      </c>
      <c r="D897" s="4" t="n">
        <v>852</v>
      </c>
      <c r="E897" s="4" t="n">
        <v>7</v>
      </c>
      <c r="F897" s="4" t="n">
        <v>6</v>
      </c>
      <c r="G897" s="4" t="n">
        <v>0</v>
      </c>
      <c r="J897" s="11" t="b">
        <f aca="false">TRUE()</f>
        <v>1</v>
      </c>
      <c r="K897" s="4" t="s">
        <v>3319</v>
      </c>
      <c r="L897" s="4" t="n">
        <v>4</v>
      </c>
      <c r="M897" s="4" t="n">
        <v>4</v>
      </c>
      <c r="N897" s="4" t="n">
        <v>4</v>
      </c>
      <c r="O897" s="4" t="n">
        <v>4</v>
      </c>
      <c r="P897" s="0" t="str">
        <f aca="false">IF(E897=0,"not_reached",IF(AND(F897&gt;0,G897=0),"allowed","blocked"))</f>
        <v>allowed</v>
      </c>
      <c r="Q897" s="0" t="str">
        <f aca="false">IF(C897="success","published",IF(E897&gt;0,"blocked_at_gate","failed_before_gate"))</f>
        <v>published</v>
      </c>
      <c r="R897" s="0" t="str">
        <f aca="false">IF(C897="success","",IF(E897&gt;0,IF(I897="freshness_within_target","freshness",IF(I897="relationships_intact","relationships",IF(I897="reconciliation_residual_zero","residual",I897))),IF(H897="quality_gate","gate_infra",H897)))</f>
        <v/>
      </c>
    </row>
    <row r="898" customFormat="false" ht="15" hidden="false" customHeight="false" outlineLevel="0" collapsed="false">
      <c r="A898" s="4" t="s">
        <v>3320</v>
      </c>
      <c r="B898" s="10" t="n">
        <v>46281.3020833333</v>
      </c>
      <c r="C898" s="4" t="s">
        <v>1544</v>
      </c>
      <c r="D898" s="4" t="n">
        <v>931</v>
      </c>
      <c r="E898" s="4" t="n">
        <v>7</v>
      </c>
      <c r="F898" s="4" t="n">
        <v>6</v>
      </c>
      <c r="G898" s="4" t="n">
        <v>0</v>
      </c>
      <c r="J898" s="11" t="b">
        <f aca="false">TRUE()</f>
        <v>1</v>
      </c>
      <c r="K898" s="4" t="s">
        <v>3321</v>
      </c>
      <c r="L898" s="4" t="n">
        <v>4</v>
      </c>
      <c r="M898" s="4" t="n">
        <v>4</v>
      </c>
      <c r="N898" s="4" t="n">
        <v>4</v>
      </c>
      <c r="O898" s="4" t="n">
        <v>4</v>
      </c>
      <c r="P898" s="0" t="str">
        <f aca="false">IF(E898=0,"not_reached",IF(AND(F898&gt;0,G898=0),"allowed","blocked"))</f>
        <v>allowed</v>
      </c>
      <c r="Q898" s="0" t="str">
        <f aca="false">IF(C898="success","published",IF(E898&gt;0,"blocked_at_gate","failed_before_gate"))</f>
        <v>published</v>
      </c>
      <c r="R898" s="0" t="str">
        <f aca="false">IF(C898="success","",IF(E898&gt;0,IF(I898="freshness_within_target","freshness",IF(I898="relationships_intact","relationships",IF(I898="reconciliation_residual_zero","residual",I898))),IF(H898="quality_gate","gate_infra",H898)))</f>
        <v/>
      </c>
    </row>
    <row r="899" customFormat="false" ht="15" hidden="false" customHeight="false" outlineLevel="0" collapsed="false">
      <c r="A899" s="4" t="s">
        <v>3322</v>
      </c>
      <c r="B899" s="10" t="n">
        <v>46281.34375</v>
      </c>
      <c r="C899" s="4" t="s">
        <v>1544</v>
      </c>
      <c r="D899" s="4" t="n">
        <v>717</v>
      </c>
      <c r="E899" s="4" t="n">
        <v>7</v>
      </c>
      <c r="F899" s="4" t="n">
        <v>6</v>
      </c>
      <c r="G899" s="4" t="n">
        <v>0</v>
      </c>
      <c r="J899" s="11" t="b">
        <f aca="false">TRUE()</f>
        <v>1</v>
      </c>
      <c r="K899" s="4" t="s">
        <v>3323</v>
      </c>
      <c r="L899" s="4" t="n">
        <v>4</v>
      </c>
      <c r="M899" s="4" t="n">
        <v>4</v>
      </c>
      <c r="N899" s="4" t="n">
        <v>4</v>
      </c>
      <c r="O899" s="4" t="n">
        <v>4</v>
      </c>
      <c r="P899" s="0" t="str">
        <f aca="false">IF(E899=0,"not_reached",IF(AND(F899&gt;0,G899=0),"allowed","blocked"))</f>
        <v>allowed</v>
      </c>
      <c r="Q899" s="0" t="str">
        <f aca="false">IF(C899="success","published",IF(E899&gt;0,"blocked_at_gate","failed_before_gate"))</f>
        <v>published</v>
      </c>
      <c r="R899" s="0" t="str">
        <f aca="false">IF(C899="success","",IF(E899&gt;0,IF(I899="freshness_within_target","freshness",IF(I899="relationships_intact","relationships",IF(I899="reconciliation_residual_zero","residual",I899))),IF(H899="quality_gate","gate_infra",H899)))</f>
        <v/>
      </c>
    </row>
    <row r="900" customFormat="false" ht="15" hidden="false" customHeight="false" outlineLevel="0" collapsed="false">
      <c r="A900" s="4" t="s">
        <v>3324</v>
      </c>
      <c r="B900" s="10" t="n">
        <v>46281.3854166667</v>
      </c>
      <c r="C900" s="4" t="s">
        <v>1544</v>
      </c>
      <c r="D900" s="4" t="n">
        <v>721</v>
      </c>
      <c r="E900" s="4" t="n">
        <v>7</v>
      </c>
      <c r="F900" s="4" t="n">
        <v>6</v>
      </c>
      <c r="G900" s="4" t="n">
        <v>0</v>
      </c>
      <c r="J900" s="11" t="b">
        <f aca="false">TRUE()</f>
        <v>1</v>
      </c>
      <c r="K900" s="4" t="s">
        <v>3325</v>
      </c>
      <c r="L900" s="4" t="n">
        <v>4</v>
      </c>
      <c r="M900" s="4" t="n">
        <v>4</v>
      </c>
      <c r="N900" s="4" t="n">
        <v>4</v>
      </c>
      <c r="O900" s="4" t="n">
        <v>4</v>
      </c>
      <c r="P900" s="0" t="str">
        <f aca="false">IF(E900=0,"not_reached",IF(AND(F900&gt;0,G900=0),"allowed","blocked"))</f>
        <v>allowed</v>
      </c>
      <c r="Q900" s="0" t="str">
        <f aca="false">IF(C900="success","published",IF(E900&gt;0,"blocked_at_gate","failed_before_gate"))</f>
        <v>published</v>
      </c>
      <c r="R900" s="0" t="str">
        <f aca="false">IF(C900="success","",IF(E900&gt;0,IF(I900="freshness_within_target","freshness",IF(I900="relationships_intact","relationships",IF(I900="reconciliation_residual_zero","residual",I900))),IF(H900="quality_gate","gate_infra",H900)))</f>
        <v/>
      </c>
    </row>
    <row r="901" customFormat="false" ht="15" hidden="false" customHeight="false" outlineLevel="0" collapsed="false">
      <c r="A901" s="4" t="s">
        <v>3326</v>
      </c>
      <c r="B901" s="10" t="n">
        <v>46281.4270833333</v>
      </c>
      <c r="C901" s="4" t="s">
        <v>1544</v>
      </c>
      <c r="D901" s="4" t="n">
        <v>925</v>
      </c>
      <c r="E901" s="4" t="n">
        <v>7</v>
      </c>
      <c r="F901" s="4" t="n">
        <v>6</v>
      </c>
      <c r="G901" s="4" t="n">
        <v>0</v>
      </c>
      <c r="J901" s="11" t="b">
        <f aca="false">TRUE()</f>
        <v>1</v>
      </c>
      <c r="K901" s="4" t="s">
        <v>3327</v>
      </c>
      <c r="L901" s="4" t="n">
        <v>4</v>
      </c>
      <c r="M901" s="4" t="n">
        <v>4</v>
      </c>
      <c r="N901" s="4" t="n">
        <v>4</v>
      </c>
      <c r="O901" s="4" t="n">
        <v>4</v>
      </c>
      <c r="P901" s="0" t="str">
        <f aca="false">IF(E901=0,"not_reached",IF(AND(F901&gt;0,G901=0),"allowed","blocked"))</f>
        <v>allowed</v>
      </c>
      <c r="Q901" s="0" t="str">
        <f aca="false">IF(C901="success","published",IF(E901&gt;0,"blocked_at_gate","failed_before_gate"))</f>
        <v>published</v>
      </c>
      <c r="R901" s="0" t="str">
        <f aca="false">IF(C901="success","",IF(E901&gt;0,IF(I901="freshness_within_target","freshness",IF(I901="relationships_intact","relationships",IF(I901="reconciliation_residual_zero","residual",I901))),IF(H901="quality_gate","gate_infra",H901)))</f>
        <v/>
      </c>
    </row>
    <row r="902" customFormat="false" ht="15" hidden="false" customHeight="false" outlineLevel="0" collapsed="false">
      <c r="A902" s="4" t="s">
        <v>3328</v>
      </c>
      <c r="B902" s="10" t="n">
        <v>46281.46875</v>
      </c>
      <c r="C902" s="4" t="s">
        <v>1544</v>
      </c>
      <c r="D902" s="4" t="n">
        <v>823</v>
      </c>
      <c r="E902" s="4" t="n">
        <v>7</v>
      </c>
      <c r="F902" s="4" t="n">
        <v>6</v>
      </c>
      <c r="G902" s="4" t="n">
        <v>0</v>
      </c>
      <c r="J902" s="11" t="b">
        <f aca="false">TRUE()</f>
        <v>1</v>
      </c>
      <c r="K902" s="4" t="s">
        <v>3329</v>
      </c>
      <c r="L902" s="4" t="n">
        <v>4</v>
      </c>
      <c r="M902" s="4" t="n">
        <v>4</v>
      </c>
      <c r="N902" s="4" t="n">
        <v>4</v>
      </c>
      <c r="O902" s="4" t="n">
        <v>4</v>
      </c>
      <c r="P902" s="0" t="str">
        <f aca="false">IF(E902=0,"not_reached",IF(AND(F902&gt;0,G902=0),"allowed","blocked"))</f>
        <v>allowed</v>
      </c>
      <c r="Q902" s="0" t="str">
        <f aca="false">IF(C902="success","published",IF(E902&gt;0,"blocked_at_gate","failed_before_gate"))</f>
        <v>published</v>
      </c>
      <c r="R902" s="0" t="str">
        <f aca="false">IF(C902="success","",IF(E902&gt;0,IF(I902="freshness_within_target","freshness",IF(I902="relationships_intact","relationships",IF(I902="reconciliation_residual_zero","residual",I902))),IF(H902="quality_gate","gate_infra",H902)))</f>
        <v/>
      </c>
    </row>
    <row r="903" customFormat="false" ht="15" hidden="false" customHeight="false" outlineLevel="0" collapsed="false">
      <c r="A903" s="4" t="s">
        <v>3330</v>
      </c>
      <c r="B903" s="10" t="n">
        <v>46281.5104166667</v>
      </c>
      <c r="C903" s="4" t="s">
        <v>1544</v>
      </c>
      <c r="D903" s="4" t="n">
        <v>819</v>
      </c>
      <c r="E903" s="4" t="n">
        <v>7</v>
      </c>
      <c r="F903" s="4" t="n">
        <v>6</v>
      </c>
      <c r="G903" s="4" t="n">
        <v>0</v>
      </c>
      <c r="J903" s="11" t="b">
        <f aca="false">TRUE()</f>
        <v>1</v>
      </c>
      <c r="K903" s="4" t="s">
        <v>3331</v>
      </c>
      <c r="L903" s="4" t="n">
        <v>4</v>
      </c>
      <c r="M903" s="4" t="n">
        <v>4</v>
      </c>
      <c r="N903" s="4" t="n">
        <v>4</v>
      </c>
      <c r="O903" s="4" t="n">
        <v>4</v>
      </c>
      <c r="P903" s="0" t="str">
        <f aca="false">IF(E903=0,"not_reached",IF(AND(F903&gt;0,G903=0),"allowed","blocked"))</f>
        <v>allowed</v>
      </c>
      <c r="Q903" s="0" t="str">
        <f aca="false">IF(C903="success","published",IF(E903&gt;0,"blocked_at_gate","failed_before_gate"))</f>
        <v>published</v>
      </c>
      <c r="R903" s="0" t="str">
        <f aca="false">IF(C903="success","",IF(E903&gt;0,IF(I903="freshness_within_target","freshness",IF(I903="relationships_intact","relationships",IF(I903="reconciliation_residual_zero","residual",I903))),IF(H903="quality_gate","gate_infra",H903)))</f>
        <v/>
      </c>
    </row>
    <row r="904" customFormat="false" ht="15" hidden="false" customHeight="false" outlineLevel="0" collapsed="false">
      <c r="A904" s="4" t="s">
        <v>3332</v>
      </c>
      <c r="B904" s="10" t="n">
        <v>46281.5520833333</v>
      </c>
      <c r="C904" s="4" t="s">
        <v>1544</v>
      </c>
      <c r="D904" s="4" t="n">
        <v>894</v>
      </c>
      <c r="E904" s="4" t="n">
        <v>7</v>
      </c>
      <c r="F904" s="4" t="n">
        <v>6</v>
      </c>
      <c r="G904" s="4" t="n">
        <v>0</v>
      </c>
      <c r="J904" s="11" t="b">
        <f aca="false">TRUE()</f>
        <v>1</v>
      </c>
      <c r="K904" s="4" t="s">
        <v>3333</v>
      </c>
      <c r="L904" s="4" t="n">
        <v>4</v>
      </c>
      <c r="M904" s="4" t="n">
        <v>4</v>
      </c>
      <c r="N904" s="4" t="n">
        <v>4</v>
      </c>
      <c r="O904" s="4" t="n">
        <v>4</v>
      </c>
      <c r="P904" s="0" t="str">
        <f aca="false">IF(E904=0,"not_reached",IF(AND(F904&gt;0,G904=0),"allowed","blocked"))</f>
        <v>allowed</v>
      </c>
      <c r="Q904" s="0" t="str">
        <f aca="false">IF(C904="success","published",IF(E904&gt;0,"blocked_at_gate","failed_before_gate"))</f>
        <v>published</v>
      </c>
      <c r="R904" s="0" t="str">
        <f aca="false">IF(C904="success","",IF(E904&gt;0,IF(I904="freshness_within_target","freshness",IF(I904="relationships_intact","relationships",IF(I904="reconciliation_residual_zero","residual",I904))),IF(H904="quality_gate","gate_infra",H904)))</f>
        <v/>
      </c>
    </row>
    <row r="905" customFormat="false" ht="15" hidden="false" customHeight="false" outlineLevel="0" collapsed="false">
      <c r="A905" s="4" t="s">
        <v>3334</v>
      </c>
      <c r="B905" s="10" t="n">
        <v>46281.59375</v>
      </c>
      <c r="C905" s="4" t="s">
        <v>1544</v>
      </c>
      <c r="D905" s="4" t="n">
        <v>932</v>
      </c>
      <c r="E905" s="4" t="n">
        <v>7</v>
      </c>
      <c r="F905" s="4" t="n">
        <v>6</v>
      </c>
      <c r="G905" s="4" t="n">
        <v>0</v>
      </c>
      <c r="J905" s="11" t="b">
        <f aca="false">TRUE()</f>
        <v>1</v>
      </c>
      <c r="K905" s="4" t="s">
        <v>3335</v>
      </c>
      <c r="L905" s="4" t="n">
        <v>4</v>
      </c>
      <c r="M905" s="4" t="n">
        <v>4</v>
      </c>
      <c r="N905" s="4" t="n">
        <v>4</v>
      </c>
      <c r="O905" s="4" t="n">
        <v>4</v>
      </c>
      <c r="P905" s="0" t="str">
        <f aca="false">IF(E905=0,"not_reached",IF(AND(F905&gt;0,G905=0),"allowed","blocked"))</f>
        <v>allowed</v>
      </c>
      <c r="Q905" s="0" t="str">
        <f aca="false">IF(C905="success","published",IF(E905&gt;0,"blocked_at_gate","failed_before_gate"))</f>
        <v>published</v>
      </c>
      <c r="R905" s="0" t="str">
        <f aca="false">IF(C905="success","",IF(E905&gt;0,IF(I905="freshness_within_target","freshness",IF(I905="relationships_intact","relationships",IF(I905="reconciliation_residual_zero","residual",I905))),IF(H905="quality_gate","gate_infra",H905)))</f>
        <v/>
      </c>
    </row>
    <row r="906" customFormat="false" ht="15" hidden="false" customHeight="false" outlineLevel="0" collapsed="false">
      <c r="A906" s="4" t="s">
        <v>3336</v>
      </c>
      <c r="B906" s="10" t="n">
        <v>46281.6354166667</v>
      </c>
      <c r="C906" s="4" t="s">
        <v>1544</v>
      </c>
      <c r="D906" s="4" t="n">
        <v>960</v>
      </c>
      <c r="E906" s="4" t="n">
        <v>7</v>
      </c>
      <c r="F906" s="4" t="n">
        <v>6</v>
      </c>
      <c r="G906" s="4" t="n">
        <v>0</v>
      </c>
      <c r="J906" s="11" t="b">
        <f aca="false">TRUE()</f>
        <v>1</v>
      </c>
      <c r="K906" s="4" t="s">
        <v>3337</v>
      </c>
      <c r="L906" s="4" t="n">
        <v>4</v>
      </c>
      <c r="M906" s="4" t="n">
        <v>4</v>
      </c>
      <c r="N906" s="4" t="n">
        <v>4</v>
      </c>
      <c r="O906" s="4" t="n">
        <v>4</v>
      </c>
      <c r="P906" s="0" t="str">
        <f aca="false">IF(E906=0,"not_reached",IF(AND(F906&gt;0,G906=0),"allowed","blocked"))</f>
        <v>allowed</v>
      </c>
      <c r="Q906" s="0" t="str">
        <f aca="false">IF(C906="success","published",IF(E906&gt;0,"blocked_at_gate","failed_before_gate"))</f>
        <v>published</v>
      </c>
      <c r="R906" s="0" t="str">
        <f aca="false">IF(C906="success","",IF(E906&gt;0,IF(I906="freshness_within_target","freshness",IF(I906="relationships_intact","relationships",IF(I906="reconciliation_residual_zero","residual",I906))),IF(H906="quality_gate","gate_infra",H906)))</f>
        <v/>
      </c>
    </row>
    <row r="907" customFormat="false" ht="15" hidden="false" customHeight="false" outlineLevel="0" collapsed="false">
      <c r="A907" s="4" t="s">
        <v>3338</v>
      </c>
      <c r="B907" s="10" t="n">
        <v>46281.6770833333</v>
      </c>
      <c r="C907" s="4" t="s">
        <v>1544</v>
      </c>
      <c r="D907" s="4" t="n">
        <v>802</v>
      </c>
      <c r="E907" s="4" t="n">
        <v>7</v>
      </c>
      <c r="F907" s="4" t="n">
        <v>6</v>
      </c>
      <c r="G907" s="4" t="n">
        <v>0</v>
      </c>
      <c r="J907" s="11" t="b">
        <f aca="false">TRUE()</f>
        <v>1</v>
      </c>
      <c r="K907" s="4" t="s">
        <v>3339</v>
      </c>
      <c r="L907" s="4" t="n">
        <v>4</v>
      </c>
      <c r="M907" s="4" t="n">
        <v>4</v>
      </c>
      <c r="N907" s="4" t="n">
        <v>4</v>
      </c>
      <c r="O907" s="4" t="n">
        <v>4</v>
      </c>
      <c r="P907" s="0" t="str">
        <f aca="false">IF(E907=0,"not_reached",IF(AND(F907&gt;0,G907=0),"allowed","blocked"))</f>
        <v>allowed</v>
      </c>
      <c r="Q907" s="0" t="str">
        <f aca="false">IF(C907="success","published",IF(E907&gt;0,"blocked_at_gate","failed_before_gate"))</f>
        <v>published</v>
      </c>
      <c r="R907" s="0" t="str">
        <f aca="false">IF(C907="success","",IF(E907&gt;0,IF(I907="freshness_within_target","freshness",IF(I907="relationships_intact","relationships",IF(I907="reconciliation_residual_zero","residual",I907))),IF(H907="quality_gate","gate_infra",H907)))</f>
        <v/>
      </c>
    </row>
    <row r="908" customFormat="false" ht="15" hidden="false" customHeight="false" outlineLevel="0" collapsed="false">
      <c r="A908" s="4" t="s">
        <v>3340</v>
      </c>
      <c r="B908" s="10" t="n">
        <v>46281.71875</v>
      </c>
      <c r="C908" s="4" t="s">
        <v>1544</v>
      </c>
      <c r="D908" s="4" t="n">
        <v>737</v>
      </c>
      <c r="E908" s="4" t="n">
        <v>7</v>
      </c>
      <c r="F908" s="4" t="n">
        <v>6</v>
      </c>
      <c r="G908" s="4" t="n">
        <v>0</v>
      </c>
      <c r="J908" s="11" t="b">
        <f aca="false">TRUE()</f>
        <v>1</v>
      </c>
      <c r="K908" s="4" t="s">
        <v>3341</v>
      </c>
      <c r="L908" s="4" t="n">
        <v>4</v>
      </c>
      <c r="M908" s="4" t="n">
        <v>4</v>
      </c>
      <c r="N908" s="4" t="n">
        <v>4</v>
      </c>
      <c r="O908" s="4" t="n">
        <v>4</v>
      </c>
      <c r="P908" s="0" t="str">
        <f aca="false">IF(E908=0,"not_reached",IF(AND(F908&gt;0,G908=0),"allowed","blocked"))</f>
        <v>allowed</v>
      </c>
      <c r="Q908" s="0" t="str">
        <f aca="false">IF(C908="success","published",IF(E908&gt;0,"blocked_at_gate","failed_before_gate"))</f>
        <v>published</v>
      </c>
      <c r="R908" s="0" t="str">
        <f aca="false">IF(C908="success","",IF(E908&gt;0,IF(I908="freshness_within_target","freshness",IF(I908="relationships_intact","relationships",IF(I908="reconciliation_residual_zero","residual",I908))),IF(H908="quality_gate","gate_infra",H908)))</f>
        <v/>
      </c>
    </row>
    <row r="909" customFormat="false" ht="15" hidden="false" customHeight="false" outlineLevel="0" collapsed="false">
      <c r="A909" s="4" t="s">
        <v>3342</v>
      </c>
      <c r="B909" s="10" t="n">
        <v>46281.7604166667</v>
      </c>
      <c r="C909" s="4" t="s">
        <v>1544</v>
      </c>
      <c r="D909" s="4" t="n">
        <v>869</v>
      </c>
      <c r="E909" s="4" t="n">
        <v>7</v>
      </c>
      <c r="F909" s="4" t="n">
        <v>6</v>
      </c>
      <c r="G909" s="4" t="n">
        <v>0</v>
      </c>
      <c r="J909" s="11" t="b">
        <f aca="false">TRUE()</f>
        <v>1</v>
      </c>
      <c r="K909" s="4" t="s">
        <v>3343</v>
      </c>
      <c r="L909" s="4" t="n">
        <v>4</v>
      </c>
      <c r="M909" s="4" t="n">
        <v>4</v>
      </c>
      <c r="N909" s="4" t="n">
        <v>4</v>
      </c>
      <c r="O909" s="4" t="n">
        <v>4</v>
      </c>
      <c r="P909" s="0" t="str">
        <f aca="false">IF(E909=0,"not_reached",IF(AND(F909&gt;0,G909=0),"allowed","blocked"))</f>
        <v>allowed</v>
      </c>
      <c r="Q909" s="0" t="str">
        <f aca="false">IF(C909="success","published",IF(E909&gt;0,"blocked_at_gate","failed_before_gate"))</f>
        <v>published</v>
      </c>
      <c r="R909" s="0" t="str">
        <f aca="false">IF(C909="success","",IF(E909&gt;0,IF(I909="freshness_within_target","freshness",IF(I909="relationships_intact","relationships",IF(I909="reconciliation_residual_zero","residual",I909))),IF(H909="quality_gate","gate_infra",H909)))</f>
        <v/>
      </c>
    </row>
    <row r="910" customFormat="false" ht="15" hidden="false" customHeight="false" outlineLevel="0" collapsed="false">
      <c r="A910" s="4" t="s">
        <v>3344</v>
      </c>
      <c r="B910" s="10" t="n">
        <v>46281.8020833333</v>
      </c>
      <c r="C910" s="4" t="s">
        <v>1544</v>
      </c>
      <c r="D910" s="4" t="n">
        <v>668</v>
      </c>
      <c r="E910" s="4" t="n">
        <v>7</v>
      </c>
      <c r="F910" s="4" t="n">
        <v>6</v>
      </c>
      <c r="G910" s="4" t="n">
        <v>0</v>
      </c>
      <c r="J910" s="11" t="b">
        <f aca="false">TRUE()</f>
        <v>1</v>
      </c>
      <c r="K910" s="4" t="s">
        <v>3345</v>
      </c>
      <c r="L910" s="4" t="n">
        <v>4</v>
      </c>
      <c r="M910" s="4" t="n">
        <v>4</v>
      </c>
      <c r="N910" s="4" t="n">
        <v>4</v>
      </c>
      <c r="O910" s="4" t="n">
        <v>4</v>
      </c>
      <c r="P910" s="0" t="str">
        <f aca="false">IF(E910=0,"not_reached",IF(AND(F910&gt;0,G910=0),"allowed","blocked"))</f>
        <v>allowed</v>
      </c>
      <c r="Q910" s="0" t="str">
        <f aca="false">IF(C910="success","published",IF(E910&gt;0,"blocked_at_gate","failed_before_gate"))</f>
        <v>published</v>
      </c>
      <c r="R910" s="0" t="str">
        <f aca="false">IF(C910="success","",IF(E910&gt;0,IF(I910="freshness_within_target","freshness",IF(I910="relationships_intact","relationships",IF(I910="reconciliation_residual_zero","residual",I910))),IF(H910="quality_gate","gate_infra",H910)))</f>
        <v/>
      </c>
    </row>
    <row r="911" customFormat="false" ht="15" hidden="false" customHeight="false" outlineLevel="0" collapsed="false">
      <c r="A911" s="4" t="s">
        <v>3346</v>
      </c>
      <c r="B911" s="10" t="n">
        <v>46281.84375</v>
      </c>
      <c r="C911" s="4" t="s">
        <v>1544</v>
      </c>
      <c r="D911" s="4" t="n">
        <v>678</v>
      </c>
      <c r="E911" s="4" t="n">
        <v>7</v>
      </c>
      <c r="F911" s="4" t="n">
        <v>6</v>
      </c>
      <c r="G911" s="4" t="n">
        <v>0</v>
      </c>
      <c r="J911" s="11" t="b">
        <f aca="false">TRUE()</f>
        <v>1</v>
      </c>
      <c r="K911" s="4" t="s">
        <v>3347</v>
      </c>
      <c r="L911" s="4" t="n">
        <v>4</v>
      </c>
      <c r="M911" s="4" t="n">
        <v>4</v>
      </c>
      <c r="N911" s="4" t="n">
        <v>4</v>
      </c>
      <c r="O911" s="4" t="n">
        <v>4</v>
      </c>
      <c r="P911" s="0" t="str">
        <f aca="false">IF(E911=0,"not_reached",IF(AND(F911&gt;0,G911=0),"allowed","blocked"))</f>
        <v>allowed</v>
      </c>
      <c r="Q911" s="0" t="str">
        <f aca="false">IF(C911="success","published",IF(E911&gt;0,"blocked_at_gate","failed_before_gate"))</f>
        <v>published</v>
      </c>
      <c r="R911" s="0" t="str">
        <f aca="false">IF(C911="success","",IF(E911&gt;0,IF(I911="freshness_within_target","freshness",IF(I911="relationships_intact","relationships",IF(I911="reconciliation_residual_zero","residual",I911))),IF(H911="quality_gate","gate_infra",H911)))</f>
        <v/>
      </c>
    </row>
    <row r="912" customFormat="false" ht="15" hidden="false" customHeight="false" outlineLevel="0" collapsed="false">
      <c r="A912" s="4" t="s">
        <v>3348</v>
      </c>
      <c r="B912" s="10" t="n">
        <v>46281.8854166667</v>
      </c>
      <c r="C912" s="4" t="s">
        <v>1544</v>
      </c>
      <c r="D912" s="4" t="n">
        <v>952</v>
      </c>
      <c r="E912" s="4" t="n">
        <v>7</v>
      </c>
      <c r="F912" s="4" t="n">
        <v>6</v>
      </c>
      <c r="G912" s="4" t="n">
        <v>0</v>
      </c>
      <c r="J912" s="11" t="b">
        <f aca="false">TRUE()</f>
        <v>1</v>
      </c>
      <c r="K912" s="4" t="s">
        <v>3349</v>
      </c>
      <c r="L912" s="4" t="n">
        <v>4</v>
      </c>
      <c r="M912" s="4" t="n">
        <v>4</v>
      </c>
      <c r="N912" s="4" t="n">
        <v>4</v>
      </c>
      <c r="O912" s="4" t="n">
        <v>4</v>
      </c>
      <c r="P912" s="0" t="str">
        <f aca="false">IF(E912=0,"not_reached",IF(AND(F912&gt;0,G912=0),"allowed","blocked"))</f>
        <v>allowed</v>
      </c>
      <c r="Q912" s="0" t="str">
        <f aca="false">IF(C912="success","published",IF(E912&gt;0,"blocked_at_gate","failed_before_gate"))</f>
        <v>published</v>
      </c>
      <c r="R912" s="0" t="str">
        <f aca="false">IF(C912="success","",IF(E912&gt;0,IF(I912="freshness_within_target","freshness",IF(I912="relationships_intact","relationships",IF(I912="reconciliation_residual_zero","residual",I912))),IF(H912="quality_gate","gate_infra",H912)))</f>
        <v/>
      </c>
    </row>
    <row r="913" customFormat="false" ht="15" hidden="false" customHeight="false" outlineLevel="0" collapsed="false">
      <c r="A913" s="4" t="s">
        <v>3350</v>
      </c>
      <c r="B913" s="10" t="n">
        <v>46281.9270833333</v>
      </c>
      <c r="C913" s="4" t="s">
        <v>1544</v>
      </c>
      <c r="D913" s="4" t="n">
        <v>685</v>
      </c>
      <c r="E913" s="4" t="n">
        <v>7</v>
      </c>
      <c r="F913" s="4" t="n">
        <v>6</v>
      </c>
      <c r="G913" s="4" t="n">
        <v>0</v>
      </c>
      <c r="J913" s="11" t="b">
        <f aca="false">TRUE()</f>
        <v>1</v>
      </c>
      <c r="K913" s="4" t="s">
        <v>3351</v>
      </c>
      <c r="L913" s="4" t="n">
        <v>4</v>
      </c>
      <c r="M913" s="4" t="n">
        <v>4</v>
      </c>
      <c r="N913" s="4" t="n">
        <v>4</v>
      </c>
      <c r="O913" s="4" t="n">
        <v>4</v>
      </c>
      <c r="P913" s="0" t="str">
        <f aca="false">IF(E913=0,"not_reached",IF(AND(F913&gt;0,G913=0),"allowed","blocked"))</f>
        <v>allowed</v>
      </c>
      <c r="Q913" s="0" t="str">
        <f aca="false">IF(C913="success","published",IF(E913&gt;0,"blocked_at_gate","failed_before_gate"))</f>
        <v>published</v>
      </c>
      <c r="R913" s="0" t="str">
        <f aca="false">IF(C913="success","",IF(E913&gt;0,IF(I913="freshness_within_target","freshness",IF(I913="relationships_intact","relationships",IF(I913="reconciliation_residual_zero","residual",I913))),IF(H913="quality_gate","gate_infra",H913)))</f>
        <v/>
      </c>
    </row>
    <row r="914" customFormat="false" ht="15" hidden="false" customHeight="false" outlineLevel="0" collapsed="false">
      <c r="A914" s="4" t="s">
        <v>3352</v>
      </c>
      <c r="B914" s="10" t="n">
        <v>46281.96875</v>
      </c>
      <c r="C914" s="4" t="s">
        <v>1544</v>
      </c>
      <c r="D914" s="4" t="n">
        <v>900</v>
      </c>
      <c r="E914" s="4" t="n">
        <v>7</v>
      </c>
      <c r="F914" s="4" t="n">
        <v>6</v>
      </c>
      <c r="G914" s="4" t="n">
        <v>0</v>
      </c>
      <c r="J914" s="11" t="b">
        <f aca="false">TRUE()</f>
        <v>1</v>
      </c>
      <c r="K914" s="4" t="s">
        <v>3353</v>
      </c>
      <c r="L914" s="4" t="n">
        <v>4</v>
      </c>
      <c r="M914" s="4" t="n">
        <v>4</v>
      </c>
      <c r="N914" s="4" t="n">
        <v>4</v>
      </c>
      <c r="O914" s="4" t="n">
        <v>4</v>
      </c>
      <c r="P914" s="0" t="str">
        <f aca="false">IF(E914=0,"not_reached",IF(AND(F914&gt;0,G914=0),"allowed","blocked"))</f>
        <v>allowed</v>
      </c>
      <c r="Q914" s="0" t="str">
        <f aca="false">IF(C914="success","published",IF(E914&gt;0,"blocked_at_gate","failed_before_gate"))</f>
        <v>published</v>
      </c>
      <c r="R914" s="0" t="str">
        <f aca="false">IF(C914="success","",IF(E914&gt;0,IF(I914="freshness_within_target","freshness",IF(I914="relationships_intact","relationships",IF(I914="reconciliation_residual_zero","residual",I914))),IF(H914="quality_gate","gate_infra",H914)))</f>
        <v/>
      </c>
    </row>
    <row r="915" customFormat="false" ht="15" hidden="false" customHeight="false" outlineLevel="0" collapsed="false">
      <c r="A915" s="4" t="s">
        <v>3354</v>
      </c>
      <c r="B915" s="10" t="n">
        <v>46282.0104166667</v>
      </c>
      <c r="C915" s="4" t="s">
        <v>1544</v>
      </c>
      <c r="D915" s="4" t="n">
        <v>1275</v>
      </c>
      <c r="E915" s="4" t="n">
        <v>7</v>
      </c>
      <c r="F915" s="4" t="n">
        <v>6</v>
      </c>
      <c r="G915" s="4" t="n">
        <v>0</v>
      </c>
      <c r="J915" s="11" t="b">
        <f aca="false">TRUE()</f>
        <v>1</v>
      </c>
      <c r="K915" s="4" t="s">
        <v>3355</v>
      </c>
      <c r="L915" s="4" t="n">
        <v>4</v>
      </c>
      <c r="M915" s="4" t="n">
        <v>4</v>
      </c>
      <c r="N915" s="4" t="n">
        <v>5</v>
      </c>
      <c r="O915" s="4" t="n">
        <v>4</v>
      </c>
      <c r="P915" s="0" t="str">
        <f aca="false">IF(E915=0,"not_reached",IF(AND(F915&gt;0,G915=0),"allowed","blocked"))</f>
        <v>allowed</v>
      </c>
      <c r="Q915" s="0" t="str">
        <f aca="false">IF(C915="success","published",IF(E915&gt;0,"blocked_at_gate","failed_before_gate"))</f>
        <v>published</v>
      </c>
      <c r="R915" s="0" t="str">
        <f aca="false">IF(C915="success","",IF(E915&gt;0,IF(I915="freshness_within_target","freshness",IF(I915="relationships_intact","relationships",IF(I915="reconciliation_residual_zero","residual",I915))),IF(H915="quality_gate","gate_infra",H915)))</f>
        <v/>
      </c>
    </row>
    <row r="916" customFormat="false" ht="15" hidden="false" customHeight="false" outlineLevel="0" collapsed="false">
      <c r="A916" s="4" t="s">
        <v>3356</v>
      </c>
      <c r="B916" s="10" t="n">
        <v>46282.0520833333</v>
      </c>
      <c r="C916" s="4" t="s">
        <v>1544</v>
      </c>
      <c r="D916" s="4" t="n">
        <v>946</v>
      </c>
      <c r="E916" s="4" t="n">
        <v>7</v>
      </c>
      <c r="F916" s="4" t="n">
        <v>6</v>
      </c>
      <c r="G916" s="4" t="n">
        <v>0</v>
      </c>
      <c r="J916" s="11" t="b">
        <f aca="false">TRUE()</f>
        <v>1</v>
      </c>
      <c r="K916" s="4" t="s">
        <v>3357</v>
      </c>
      <c r="L916" s="4" t="n">
        <v>4</v>
      </c>
      <c r="M916" s="4" t="n">
        <v>4</v>
      </c>
      <c r="N916" s="4" t="n">
        <v>4</v>
      </c>
      <c r="O916" s="4" t="n">
        <v>4</v>
      </c>
      <c r="P916" s="0" t="str">
        <f aca="false">IF(E916=0,"not_reached",IF(AND(F916&gt;0,G916=0),"allowed","blocked"))</f>
        <v>allowed</v>
      </c>
      <c r="Q916" s="0" t="str">
        <f aca="false">IF(C916="success","published",IF(E916&gt;0,"blocked_at_gate","failed_before_gate"))</f>
        <v>published</v>
      </c>
      <c r="R916" s="0" t="str">
        <f aca="false">IF(C916="success","",IF(E916&gt;0,IF(I916="freshness_within_target","freshness",IF(I916="relationships_intact","relationships",IF(I916="reconciliation_residual_zero","residual",I916))),IF(H916="quality_gate","gate_infra",H916)))</f>
        <v/>
      </c>
    </row>
    <row r="917" customFormat="false" ht="15" hidden="false" customHeight="false" outlineLevel="0" collapsed="false">
      <c r="A917" s="4" t="s">
        <v>3358</v>
      </c>
      <c r="B917" s="10" t="n">
        <v>46282.09375</v>
      </c>
      <c r="C917" s="4" t="s">
        <v>1544</v>
      </c>
      <c r="D917" s="4" t="n">
        <v>852</v>
      </c>
      <c r="E917" s="4" t="n">
        <v>7</v>
      </c>
      <c r="F917" s="4" t="n">
        <v>6</v>
      </c>
      <c r="G917" s="4" t="n">
        <v>0</v>
      </c>
      <c r="J917" s="11" t="b">
        <f aca="false">TRUE()</f>
        <v>1</v>
      </c>
      <c r="K917" s="4" t="s">
        <v>3359</v>
      </c>
      <c r="L917" s="4" t="n">
        <v>4</v>
      </c>
      <c r="M917" s="4" t="n">
        <v>4</v>
      </c>
      <c r="N917" s="4" t="n">
        <v>4</v>
      </c>
      <c r="O917" s="4" t="n">
        <v>4</v>
      </c>
      <c r="P917" s="0" t="str">
        <f aca="false">IF(E917=0,"not_reached",IF(AND(F917&gt;0,G917=0),"allowed","blocked"))</f>
        <v>allowed</v>
      </c>
      <c r="Q917" s="0" t="str">
        <f aca="false">IF(C917="success","published",IF(E917&gt;0,"blocked_at_gate","failed_before_gate"))</f>
        <v>published</v>
      </c>
      <c r="R917" s="0" t="str">
        <f aca="false">IF(C917="success","",IF(E917&gt;0,IF(I917="freshness_within_target","freshness",IF(I917="relationships_intact","relationships",IF(I917="reconciliation_residual_zero","residual",I917))),IF(H917="quality_gate","gate_infra",H917)))</f>
        <v/>
      </c>
    </row>
    <row r="918" customFormat="false" ht="15" hidden="false" customHeight="false" outlineLevel="0" collapsed="false">
      <c r="A918" s="4" t="s">
        <v>3360</v>
      </c>
      <c r="B918" s="10" t="n">
        <v>46282.1354166667</v>
      </c>
      <c r="C918" s="4" t="s">
        <v>1544</v>
      </c>
      <c r="D918" s="4" t="n">
        <v>820</v>
      </c>
      <c r="E918" s="4" t="n">
        <v>7</v>
      </c>
      <c r="F918" s="4" t="n">
        <v>6</v>
      </c>
      <c r="G918" s="4" t="n">
        <v>0</v>
      </c>
      <c r="J918" s="11" t="b">
        <f aca="false">TRUE()</f>
        <v>1</v>
      </c>
      <c r="K918" s="4" t="s">
        <v>3361</v>
      </c>
      <c r="L918" s="4" t="n">
        <v>4</v>
      </c>
      <c r="M918" s="4" t="n">
        <v>4</v>
      </c>
      <c r="N918" s="4" t="n">
        <v>4</v>
      </c>
      <c r="O918" s="4" t="n">
        <v>4</v>
      </c>
      <c r="P918" s="0" t="str">
        <f aca="false">IF(E918=0,"not_reached",IF(AND(F918&gt;0,G918=0),"allowed","blocked"))</f>
        <v>allowed</v>
      </c>
      <c r="Q918" s="0" t="str">
        <f aca="false">IF(C918="success","published",IF(E918&gt;0,"blocked_at_gate","failed_before_gate"))</f>
        <v>published</v>
      </c>
      <c r="R918" s="0" t="str">
        <f aca="false">IF(C918="success","",IF(E918&gt;0,IF(I918="freshness_within_target","freshness",IF(I918="relationships_intact","relationships",IF(I918="reconciliation_residual_zero","residual",I918))),IF(H918="quality_gate","gate_infra",H918)))</f>
        <v/>
      </c>
    </row>
    <row r="919" customFormat="false" ht="15" hidden="false" customHeight="false" outlineLevel="0" collapsed="false">
      <c r="A919" s="4" t="s">
        <v>3362</v>
      </c>
      <c r="B919" s="10" t="n">
        <v>46282.1770833333</v>
      </c>
      <c r="C919" s="4" t="s">
        <v>1544</v>
      </c>
      <c r="D919" s="4" t="n">
        <v>677</v>
      </c>
      <c r="E919" s="4" t="n">
        <v>7</v>
      </c>
      <c r="F919" s="4" t="n">
        <v>6</v>
      </c>
      <c r="G919" s="4" t="n">
        <v>0</v>
      </c>
      <c r="J919" s="11" t="b">
        <f aca="false">TRUE()</f>
        <v>1</v>
      </c>
      <c r="K919" s="4" t="s">
        <v>3363</v>
      </c>
      <c r="L919" s="4" t="n">
        <v>4</v>
      </c>
      <c r="M919" s="4" t="n">
        <v>4</v>
      </c>
      <c r="N919" s="4" t="n">
        <v>4</v>
      </c>
      <c r="O919" s="4" t="n">
        <v>4</v>
      </c>
      <c r="P919" s="0" t="str">
        <f aca="false">IF(E919=0,"not_reached",IF(AND(F919&gt;0,G919=0),"allowed","blocked"))</f>
        <v>allowed</v>
      </c>
      <c r="Q919" s="0" t="str">
        <f aca="false">IF(C919="success","published",IF(E919&gt;0,"blocked_at_gate","failed_before_gate"))</f>
        <v>published</v>
      </c>
      <c r="R919" s="0" t="str">
        <f aca="false">IF(C919="success","",IF(E919&gt;0,IF(I919="freshness_within_target","freshness",IF(I919="relationships_intact","relationships",IF(I919="reconciliation_residual_zero","residual",I919))),IF(H919="quality_gate","gate_infra",H919)))</f>
        <v/>
      </c>
    </row>
    <row r="920" customFormat="false" ht="15" hidden="false" customHeight="false" outlineLevel="0" collapsed="false">
      <c r="A920" s="4" t="s">
        <v>3364</v>
      </c>
      <c r="B920" s="10" t="n">
        <v>46282.21875</v>
      </c>
      <c r="C920" s="4" t="s">
        <v>1544</v>
      </c>
      <c r="D920" s="4" t="n">
        <v>943</v>
      </c>
      <c r="E920" s="4" t="n">
        <v>7</v>
      </c>
      <c r="F920" s="4" t="n">
        <v>6</v>
      </c>
      <c r="G920" s="4" t="n">
        <v>0</v>
      </c>
      <c r="J920" s="11" t="b">
        <f aca="false">TRUE()</f>
        <v>1</v>
      </c>
      <c r="K920" s="4" t="s">
        <v>3365</v>
      </c>
      <c r="L920" s="4" t="n">
        <v>4</v>
      </c>
      <c r="M920" s="4" t="n">
        <v>4</v>
      </c>
      <c r="N920" s="4" t="n">
        <v>4</v>
      </c>
      <c r="O920" s="4" t="n">
        <v>4</v>
      </c>
      <c r="P920" s="0" t="str">
        <f aca="false">IF(E920=0,"not_reached",IF(AND(F920&gt;0,G920=0),"allowed","blocked"))</f>
        <v>allowed</v>
      </c>
      <c r="Q920" s="0" t="str">
        <f aca="false">IF(C920="success","published",IF(E920&gt;0,"blocked_at_gate","failed_before_gate"))</f>
        <v>published</v>
      </c>
      <c r="R920" s="0" t="str">
        <f aca="false">IF(C920="success","",IF(E920&gt;0,IF(I920="freshness_within_target","freshness",IF(I920="relationships_intact","relationships",IF(I920="reconciliation_residual_zero","residual",I920))),IF(H920="quality_gate","gate_infra",H920)))</f>
        <v/>
      </c>
    </row>
    <row r="921" customFormat="false" ht="15" hidden="false" customHeight="false" outlineLevel="0" collapsed="false">
      <c r="A921" s="4" t="s">
        <v>3366</v>
      </c>
      <c r="B921" s="10" t="n">
        <v>46282.2604166667</v>
      </c>
      <c r="C921" s="4" t="s">
        <v>1544</v>
      </c>
      <c r="D921" s="4" t="n">
        <v>874</v>
      </c>
      <c r="E921" s="4" t="n">
        <v>7</v>
      </c>
      <c r="F921" s="4" t="n">
        <v>6</v>
      </c>
      <c r="G921" s="4" t="n">
        <v>0</v>
      </c>
      <c r="J921" s="11" t="b">
        <f aca="false">TRUE()</f>
        <v>1</v>
      </c>
      <c r="K921" s="4" t="s">
        <v>3367</v>
      </c>
      <c r="L921" s="4" t="n">
        <v>4</v>
      </c>
      <c r="M921" s="4" t="n">
        <v>4</v>
      </c>
      <c r="N921" s="4" t="n">
        <v>4</v>
      </c>
      <c r="O921" s="4" t="n">
        <v>4</v>
      </c>
      <c r="P921" s="0" t="str">
        <f aca="false">IF(E921=0,"not_reached",IF(AND(F921&gt;0,G921=0),"allowed","blocked"))</f>
        <v>allowed</v>
      </c>
      <c r="Q921" s="0" t="str">
        <f aca="false">IF(C921="success","published",IF(E921&gt;0,"blocked_at_gate","failed_before_gate"))</f>
        <v>published</v>
      </c>
      <c r="R921" s="0" t="str">
        <f aca="false">IF(C921="success","",IF(E921&gt;0,IF(I921="freshness_within_target","freshness",IF(I921="relationships_intact","relationships",IF(I921="reconciliation_residual_zero","residual",I921))),IF(H921="quality_gate","gate_infra",H921)))</f>
        <v/>
      </c>
    </row>
    <row r="922" customFormat="false" ht="15" hidden="false" customHeight="false" outlineLevel="0" collapsed="false">
      <c r="A922" s="4" t="s">
        <v>3368</v>
      </c>
      <c r="B922" s="10" t="n">
        <v>46282.3020833333</v>
      </c>
      <c r="C922" s="4" t="s">
        <v>1544</v>
      </c>
      <c r="D922" s="4" t="n">
        <v>816</v>
      </c>
      <c r="E922" s="4" t="n">
        <v>7</v>
      </c>
      <c r="F922" s="4" t="n">
        <v>6</v>
      </c>
      <c r="G922" s="4" t="n">
        <v>0</v>
      </c>
      <c r="J922" s="11" t="b">
        <f aca="false">TRUE()</f>
        <v>1</v>
      </c>
      <c r="K922" s="4" t="s">
        <v>3369</v>
      </c>
      <c r="L922" s="4" t="n">
        <v>4</v>
      </c>
      <c r="M922" s="4" t="n">
        <v>4</v>
      </c>
      <c r="N922" s="4" t="n">
        <v>4</v>
      </c>
      <c r="O922" s="4" t="n">
        <v>4</v>
      </c>
      <c r="P922" s="0" t="str">
        <f aca="false">IF(E922=0,"not_reached",IF(AND(F922&gt;0,G922=0),"allowed","blocked"))</f>
        <v>allowed</v>
      </c>
      <c r="Q922" s="0" t="str">
        <f aca="false">IF(C922="success","published",IF(E922&gt;0,"blocked_at_gate","failed_before_gate"))</f>
        <v>published</v>
      </c>
      <c r="R922" s="0" t="str">
        <f aca="false">IF(C922="success","",IF(E922&gt;0,IF(I922="freshness_within_target","freshness",IF(I922="relationships_intact","relationships",IF(I922="reconciliation_residual_zero","residual",I922))),IF(H922="quality_gate","gate_infra",H922)))</f>
        <v/>
      </c>
    </row>
    <row r="923" customFormat="false" ht="15" hidden="false" customHeight="false" outlineLevel="0" collapsed="false">
      <c r="A923" s="4" t="s">
        <v>3370</v>
      </c>
      <c r="B923" s="10" t="n">
        <v>46282.34375</v>
      </c>
      <c r="C923" s="4" t="s">
        <v>1544</v>
      </c>
      <c r="D923" s="4" t="n">
        <v>1206</v>
      </c>
      <c r="E923" s="4" t="n">
        <v>7</v>
      </c>
      <c r="F923" s="4" t="n">
        <v>6</v>
      </c>
      <c r="G923" s="4" t="n">
        <v>0</v>
      </c>
      <c r="J923" s="11" t="b">
        <f aca="false">TRUE()</f>
        <v>1</v>
      </c>
      <c r="K923" s="4" t="s">
        <v>3371</v>
      </c>
      <c r="L923" s="4" t="n">
        <v>4</v>
      </c>
      <c r="M923" s="4" t="n">
        <v>4</v>
      </c>
      <c r="N923" s="4" t="n">
        <v>5</v>
      </c>
      <c r="O923" s="4" t="n">
        <v>4</v>
      </c>
      <c r="P923" s="0" t="str">
        <f aca="false">IF(E923=0,"not_reached",IF(AND(F923&gt;0,G923=0),"allowed","blocked"))</f>
        <v>allowed</v>
      </c>
      <c r="Q923" s="0" t="str">
        <f aca="false">IF(C923="success","published",IF(E923&gt;0,"blocked_at_gate","failed_before_gate"))</f>
        <v>published</v>
      </c>
      <c r="R923" s="0" t="str">
        <f aca="false">IF(C923="success","",IF(E923&gt;0,IF(I923="freshness_within_target","freshness",IF(I923="relationships_intact","relationships",IF(I923="reconciliation_residual_zero","residual",I923))),IF(H923="quality_gate","gate_infra",H923)))</f>
        <v/>
      </c>
    </row>
    <row r="924" customFormat="false" ht="15" hidden="false" customHeight="false" outlineLevel="0" collapsed="false">
      <c r="A924" s="4" t="s">
        <v>3372</v>
      </c>
      <c r="B924" s="10" t="n">
        <v>46282.3854166667</v>
      </c>
      <c r="C924" s="4" t="s">
        <v>1544</v>
      </c>
      <c r="D924" s="4" t="n">
        <v>798</v>
      </c>
      <c r="E924" s="4" t="n">
        <v>7</v>
      </c>
      <c r="F924" s="4" t="n">
        <v>6</v>
      </c>
      <c r="G924" s="4" t="n">
        <v>0</v>
      </c>
      <c r="J924" s="11" t="b">
        <f aca="false">TRUE()</f>
        <v>1</v>
      </c>
      <c r="K924" s="4" t="s">
        <v>3373</v>
      </c>
      <c r="L924" s="4" t="n">
        <v>4</v>
      </c>
      <c r="M924" s="4" t="n">
        <v>4</v>
      </c>
      <c r="N924" s="4" t="n">
        <v>4</v>
      </c>
      <c r="O924" s="4" t="n">
        <v>4</v>
      </c>
      <c r="P924" s="0" t="str">
        <f aca="false">IF(E924=0,"not_reached",IF(AND(F924&gt;0,G924=0),"allowed","blocked"))</f>
        <v>allowed</v>
      </c>
      <c r="Q924" s="0" t="str">
        <f aca="false">IF(C924="success","published",IF(E924&gt;0,"blocked_at_gate","failed_before_gate"))</f>
        <v>published</v>
      </c>
      <c r="R924" s="0" t="str">
        <f aca="false">IF(C924="success","",IF(E924&gt;0,IF(I924="freshness_within_target","freshness",IF(I924="relationships_intact","relationships",IF(I924="reconciliation_residual_zero","residual",I924))),IF(H924="quality_gate","gate_infra",H924)))</f>
        <v/>
      </c>
    </row>
    <row r="925" customFormat="false" ht="15" hidden="false" customHeight="false" outlineLevel="0" collapsed="false">
      <c r="A925" s="4" t="s">
        <v>3374</v>
      </c>
      <c r="B925" s="10" t="n">
        <v>46282.4270833333</v>
      </c>
      <c r="C925" s="4" t="s">
        <v>1544</v>
      </c>
      <c r="D925" s="4" t="n">
        <v>689</v>
      </c>
      <c r="E925" s="4" t="n">
        <v>7</v>
      </c>
      <c r="F925" s="4" t="n">
        <v>6</v>
      </c>
      <c r="G925" s="4" t="n">
        <v>0</v>
      </c>
      <c r="J925" s="11" t="b">
        <f aca="false">TRUE()</f>
        <v>1</v>
      </c>
      <c r="K925" s="4" t="s">
        <v>3375</v>
      </c>
      <c r="L925" s="4" t="n">
        <v>4</v>
      </c>
      <c r="M925" s="4" t="n">
        <v>4</v>
      </c>
      <c r="N925" s="4" t="n">
        <v>4</v>
      </c>
      <c r="O925" s="4" t="n">
        <v>4</v>
      </c>
      <c r="P925" s="0" t="str">
        <f aca="false">IF(E925=0,"not_reached",IF(AND(F925&gt;0,G925=0),"allowed","blocked"))</f>
        <v>allowed</v>
      </c>
      <c r="Q925" s="0" t="str">
        <f aca="false">IF(C925="success","published",IF(E925&gt;0,"blocked_at_gate","failed_before_gate"))</f>
        <v>published</v>
      </c>
      <c r="R925" s="0" t="str">
        <f aca="false">IF(C925="success","",IF(E925&gt;0,IF(I925="freshness_within_target","freshness",IF(I925="relationships_intact","relationships",IF(I925="reconciliation_residual_zero","residual",I925))),IF(H925="quality_gate","gate_infra",H925)))</f>
        <v/>
      </c>
    </row>
    <row r="926" customFormat="false" ht="15" hidden="false" customHeight="false" outlineLevel="0" collapsed="false">
      <c r="A926" s="4" t="s">
        <v>3376</v>
      </c>
      <c r="B926" s="10" t="n">
        <v>46282.46875</v>
      </c>
      <c r="C926" s="4" t="s">
        <v>1544</v>
      </c>
      <c r="D926" s="4" t="n">
        <v>886</v>
      </c>
      <c r="E926" s="4" t="n">
        <v>7</v>
      </c>
      <c r="F926" s="4" t="n">
        <v>6</v>
      </c>
      <c r="G926" s="4" t="n">
        <v>0</v>
      </c>
      <c r="J926" s="11" t="b">
        <f aca="false">TRUE()</f>
        <v>1</v>
      </c>
      <c r="K926" s="4" t="s">
        <v>3377</v>
      </c>
      <c r="L926" s="4" t="n">
        <v>4</v>
      </c>
      <c r="M926" s="4" t="n">
        <v>4</v>
      </c>
      <c r="N926" s="4" t="n">
        <v>4</v>
      </c>
      <c r="O926" s="4" t="n">
        <v>4</v>
      </c>
      <c r="P926" s="0" t="str">
        <f aca="false">IF(E926=0,"not_reached",IF(AND(F926&gt;0,G926=0),"allowed","blocked"))</f>
        <v>allowed</v>
      </c>
      <c r="Q926" s="0" t="str">
        <f aca="false">IF(C926="success","published",IF(E926&gt;0,"blocked_at_gate","failed_before_gate"))</f>
        <v>published</v>
      </c>
      <c r="R926" s="0" t="str">
        <f aca="false">IF(C926="success","",IF(E926&gt;0,IF(I926="freshness_within_target","freshness",IF(I926="relationships_intact","relationships",IF(I926="reconciliation_residual_zero","residual",I926))),IF(H926="quality_gate","gate_infra",H926)))</f>
        <v/>
      </c>
    </row>
    <row r="927" customFormat="false" ht="15" hidden="false" customHeight="false" outlineLevel="0" collapsed="false">
      <c r="A927" s="4" t="s">
        <v>3378</v>
      </c>
      <c r="B927" s="10" t="n">
        <v>46282.5104166667</v>
      </c>
      <c r="C927" s="4" t="s">
        <v>1544</v>
      </c>
      <c r="D927" s="4" t="n">
        <v>960</v>
      </c>
      <c r="E927" s="4" t="n">
        <v>7</v>
      </c>
      <c r="F927" s="4" t="n">
        <v>6</v>
      </c>
      <c r="G927" s="4" t="n">
        <v>0</v>
      </c>
      <c r="J927" s="11" t="b">
        <f aca="false">TRUE()</f>
        <v>1</v>
      </c>
      <c r="K927" s="4" t="s">
        <v>3379</v>
      </c>
      <c r="L927" s="4" t="n">
        <v>4</v>
      </c>
      <c r="M927" s="4" t="n">
        <v>4</v>
      </c>
      <c r="N927" s="4" t="n">
        <v>5</v>
      </c>
      <c r="O927" s="4" t="n">
        <v>4</v>
      </c>
      <c r="P927" s="0" t="str">
        <f aca="false">IF(E927=0,"not_reached",IF(AND(F927&gt;0,G927=0),"allowed","blocked"))</f>
        <v>allowed</v>
      </c>
      <c r="Q927" s="0" t="str">
        <f aca="false">IF(C927="success","published",IF(E927&gt;0,"blocked_at_gate","failed_before_gate"))</f>
        <v>published</v>
      </c>
      <c r="R927" s="0" t="str">
        <f aca="false">IF(C927="success","",IF(E927&gt;0,IF(I927="freshness_within_target","freshness",IF(I927="relationships_intact","relationships",IF(I927="reconciliation_residual_zero","residual",I927))),IF(H927="quality_gate","gate_infra",H927)))</f>
        <v/>
      </c>
    </row>
    <row r="928" customFormat="false" ht="15" hidden="false" customHeight="false" outlineLevel="0" collapsed="false">
      <c r="A928" s="4" t="s">
        <v>3380</v>
      </c>
      <c r="B928" s="10" t="n">
        <v>46282.5520833333</v>
      </c>
      <c r="C928" s="4" t="s">
        <v>1544</v>
      </c>
      <c r="D928" s="4" t="n">
        <v>892</v>
      </c>
      <c r="E928" s="4" t="n">
        <v>7</v>
      </c>
      <c r="F928" s="4" t="n">
        <v>6</v>
      </c>
      <c r="G928" s="4" t="n">
        <v>0</v>
      </c>
      <c r="J928" s="11" t="b">
        <f aca="false">TRUE()</f>
        <v>1</v>
      </c>
      <c r="K928" s="4" t="s">
        <v>3381</v>
      </c>
      <c r="L928" s="4" t="n">
        <v>4</v>
      </c>
      <c r="M928" s="4" t="n">
        <v>4</v>
      </c>
      <c r="N928" s="4" t="n">
        <v>4</v>
      </c>
      <c r="O928" s="4" t="n">
        <v>4</v>
      </c>
      <c r="P928" s="0" t="str">
        <f aca="false">IF(E928=0,"not_reached",IF(AND(F928&gt;0,G928=0),"allowed","blocked"))</f>
        <v>allowed</v>
      </c>
      <c r="Q928" s="0" t="str">
        <f aca="false">IF(C928="success","published",IF(E928&gt;0,"blocked_at_gate","failed_before_gate"))</f>
        <v>published</v>
      </c>
      <c r="R928" s="0" t="str">
        <f aca="false">IF(C928="success","",IF(E928&gt;0,IF(I928="freshness_within_target","freshness",IF(I928="relationships_intact","relationships",IF(I928="reconciliation_residual_zero","residual",I928))),IF(H928="quality_gate","gate_infra",H928)))</f>
        <v/>
      </c>
    </row>
    <row r="929" customFormat="false" ht="15" hidden="false" customHeight="false" outlineLevel="0" collapsed="false">
      <c r="A929" s="4" t="s">
        <v>3382</v>
      </c>
      <c r="B929" s="10" t="n">
        <v>46282.59375</v>
      </c>
      <c r="C929" s="4" t="s">
        <v>1544</v>
      </c>
      <c r="D929" s="4" t="n">
        <v>863</v>
      </c>
      <c r="E929" s="4" t="n">
        <v>7</v>
      </c>
      <c r="F929" s="4" t="n">
        <v>6</v>
      </c>
      <c r="G929" s="4" t="n">
        <v>0</v>
      </c>
      <c r="J929" s="11" t="b">
        <f aca="false">TRUE()</f>
        <v>1</v>
      </c>
      <c r="K929" s="4" t="s">
        <v>3383</v>
      </c>
      <c r="L929" s="4" t="n">
        <v>4</v>
      </c>
      <c r="M929" s="4" t="n">
        <v>4</v>
      </c>
      <c r="N929" s="4" t="n">
        <v>4</v>
      </c>
      <c r="O929" s="4" t="n">
        <v>4</v>
      </c>
      <c r="P929" s="0" t="str">
        <f aca="false">IF(E929=0,"not_reached",IF(AND(F929&gt;0,G929=0),"allowed","blocked"))</f>
        <v>allowed</v>
      </c>
      <c r="Q929" s="0" t="str">
        <f aca="false">IF(C929="success","published",IF(E929&gt;0,"blocked_at_gate","failed_before_gate"))</f>
        <v>published</v>
      </c>
      <c r="R929" s="0" t="str">
        <f aca="false">IF(C929="success","",IF(E929&gt;0,IF(I929="freshness_within_target","freshness",IF(I929="relationships_intact","relationships",IF(I929="reconciliation_residual_zero","residual",I929))),IF(H929="quality_gate","gate_infra",H929)))</f>
        <v/>
      </c>
    </row>
    <row r="930" customFormat="false" ht="15" hidden="false" customHeight="false" outlineLevel="0" collapsed="false">
      <c r="A930" s="4" t="s">
        <v>3384</v>
      </c>
      <c r="B930" s="10" t="n">
        <v>46282.6354166667</v>
      </c>
      <c r="C930" s="4" t="s">
        <v>1544</v>
      </c>
      <c r="D930" s="4" t="n">
        <v>908</v>
      </c>
      <c r="E930" s="4" t="n">
        <v>7</v>
      </c>
      <c r="F930" s="4" t="n">
        <v>6</v>
      </c>
      <c r="G930" s="4" t="n">
        <v>0</v>
      </c>
      <c r="J930" s="11" t="b">
        <f aca="false">TRUE()</f>
        <v>1</v>
      </c>
      <c r="K930" s="4" t="s">
        <v>3385</v>
      </c>
      <c r="L930" s="4" t="n">
        <v>4</v>
      </c>
      <c r="M930" s="4" t="n">
        <v>4</v>
      </c>
      <c r="N930" s="4" t="n">
        <v>4</v>
      </c>
      <c r="O930" s="4" t="n">
        <v>4</v>
      </c>
      <c r="P930" s="0" t="str">
        <f aca="false">IF(E930=0,"not_reached",IF(AND(F930&gt;0,G930=0),"allowed","blocked"))</f>
        <v>allowed</v>
      </c>
      <c r="Q930" s="0" t="str">
        <f aca="false">IF(C930="success","published",IF(E930&gt;0,"blocked_at_gate","failed_before_gate"))</f>
        <v>published</v>
      </c>
      <c r="R930" s="0" t="str">
        <f aca="false">IF(C930="success","",IF(E930&gt;0,IF(I930="freshness_within_target","freshness",IF(I930="relationships_intact","relationships",IF(I930="reconciliation_residual_zero","residual",I930))),IF(H930="quality_gate","gate_infra",H930)))</f>
        <v/>
      </c>
    </row>
    <row r="931" customFormat="false" ht="15" hidden="false" customHeight="false" outlineLevel="0" collapsed="false">
      <c r="A931" s="4" t="s">
        <v>3386</v>
      </c>
      <c r="B931" s="10" t="n">
        <v>46282.6770833333</v>
      </c>
      <c r="C931" s="4" t="s">
        <v>1544</v>
      </c>
      <c r="D931" s="4" t="n">
        <v>758</v>
      </c>
      <c r="E931" s="4" t="n">
        <v>7</v>
      </c>
      <c r="F931" s="4" t="n">
        <v>6</v>
      </c>
      <c r="G931" s="4" t="n">
        <v>0</v>
      </c>
      <c r="J931" s="11" t="b">
        <f aca="false">TRUE()</f>
        <v>1</v>
      </c>
      <c r="K931" s="4" t="s">
        <v>3387</v>
      </c>
      <c r="L931" s="4" t="n">
        <v>4</v>
      </c>
      <c r="M931" s="4" t="n">
        <v>4</v>
      </c>
      <c r="N931" s="4" t="n">
        <v>4</v>
      </c>
      <c r="O931" s="4" t="n">
        <v>4</v>
      </c>
      <c r="P931" s="0" t="str">
        <f aca="false">IF(E931=0,"not_reached",IF(AND(F931&gt;0,G931=0),"allowed","blocked"))</f>
        <v>allowed</v>
      </c>
      <c r="Q931" s="0" t="str">
        <f aca="false">IF(C931="success","published",IF(E931&gt;0,"blocked_at_gate","failed_before_gate"))</f>
        <v>published</v>
      </c>
      <c r="R931" s="0" t="str">
        <f aca="false">IF(C931="success","",IF(E931&gt;0,IF(I931="freshness_within_target","freshness",IF(I931="relationships_intact","relationships",IF(I931="reconciliation_residual_zero","residual",I931))),IF(H931="quality_gate","gate_infra",H931)))</f>
        <v/>
      </c>
    </row>
    <row r="932" customFormat="false" ht="15" hidden="false" customHeight="false" outlineLevel="0" collapsed="false">
      <c r="A932" s="4" t="s">
        <v>3388</v>
      </c>
      <c r="B932" s="10" t="n">
        <v>46282.71875</v>
      </c>
      <c r="C932" s="4" t="s">
        <v>1544</v>
      </c>
      <c r="D932" s="4" t="n">
        <v>956</v>
      </c>
      <c r="E932" s="4" t="n">
        <v>7</v>
      </c>
      <c r="F932" s="4" t="n">
        <v>6</v>
      </c>
      <c r="G932" s="4" t="n">
        <v>0</v>
      </c>
      <c r="J932" s="11" t="b">
        <f aca="false">TRUE()</f>
        <v>1</v>
      </c>
      <c r="K932" s="4" t="s">
        <v>3389</v>
      </c>
      <c r="L932" s="4" t="n">
        <v>4</v>
      </c>
      <c r="M932" s="4" t="n">
        <v>4</v>
      </c>
      <c r="N932" s="4" t="n">
        <v>4</v>
      </c>
      <c r="O932" s="4" t="n">
        <v>4</v>
      </c>
      <c r="P932" s="0" t="str">
        <f aca="false">IF(E932=0,"not_reached",IF(AND(F932&gt;0,G932=0),"allowed","blocked"))</f>
        <v>allowed</v>
      </c>
      <c r="Q932" s="0" t="str">
        <f aca="false">IF(C932="success","published",IF(E932&gt;0,"blocked_at_gate","failed_before_gate"))</f>
        <v>published</v>
      </c>
      <c r="R932" s="0" t="str">
        <f aca="false">IF(C932="success","",IF(E932&gt;0,IF(I932="freshness_within_target","freshness",IF(I932="relationships_intact","relationships",IF(I932="reconciliation_residual_zero","residual",I932))),IF(H932="quality_gate","gate_infra",H932)))</f>
        <v/>
      </c>
    </row>
    <row r="933" customFormat="false" ht="15" hidden="false" customHeight="false" outlineLevel="0" collapsed="false">
      <c r="A933" s="4" t="s">
        <v>3390</v>
      </c>
      <c r="B933" s="10" t="n">
        <v>46282.7604166667</v>
      </c>
      <c r="C933" s="4" t="s">
        <v>1544</v>
      </c>
      <c r="D933" s="4" t="n">
        <v>830</v>
      </c>
      <c r="E933" s="4" t="n">
        <v>7</v>
      </c>
      <c r="F933" s="4" t="n">
        <v>6</v>
      </c>
      <c r="G933" s="4" t="n">
        <v>0</v>
      </c>
      <c r="J933" s="11" t="b">
        <f aca="false">TRUE()</f>
        <v>1</v>
      </c>
      <c r="K933" s="4" t="s">
        <v>3391</v>
      </c>
      <c r="L933" s="4" t="n">
        <v>4</v>
      </c>
      <c r="M933" s="4" t="n">
        <v>4</v>
      </c>
      <c r="N933" s="4" t="n">
        <v>4</v>
      </c>
      <c r="O933" s="4" t="n">
        <v>4</v>
      </c>
      <c r="P933" s="0" t="str">
        <f aca="false">IF(E933=0,"not_reached",IF(AND(F933&gt;0,G933=0),"allowed","blocked"))</f>
        <v>allowed</v>
      </c>
      <c r="Q933" s="0" t="str">
        <f aca="false">IF(C933="success","published",IF(E933&gt;0,"blocked_at_gate","failed_before_gate"))</f>
        <v>published</v>
      </c>
      <c r="R933" s="0" t="str">
        <f aca="false">IF(C933="success","",IF(E933&gt;0,IF(I933="freshness_within_target","freshness",IF(I933="relationships_intact","relationships",IF(I933="reconciliation_residual_zero","residual",I933))),IF(H933="quality_gate","gate_infra",H933)))</f>
        <v/>
      </c>
    </row>
    <row r="934" customFormat="false" ht="15" hidden="false" customHeight="false" outlineLevel="0" collapsed="false">
      <c r="A934" s="4" t="s">
        <v>3392</v>
      </c>
      <c r="B934" s="10" t="n">
        <v>46282.8020833333</v>
      </c>
      <c r="C934" s="4" t="s">
        <v>1544</v>
      </c>
      <c r="D934" s="4" t="n">
        <v>841</v>
      </c>
      <c r="E934" s="4" t="n">
        <v>7</v>
      </c>
      <c r="F934" s="4" t="n">
        <v>6</v>
      </c>
      <c r="G934" s="4" t="n">
        <v>0</v>
      </c>
      <c r="J934" s="11" t="b">
        <f aca="false">TRUE()</f>
        <v>1</v>
      </c>
      <c r="K934" s="4" t="s">
        <v>3393</v>
      </c>
      <c r="L934" s="4" t="n">
        <v>4</v>
      </c>
      <c r="M934" s="4" t="n">
        <v>4</v>
      </c>
      <c r="N934" s="4" t="n">
        <v>4</v>
      </c>
      <c r="O934" s="4" t="n">
        <v>4</v>
      </c>
      <c r="P934" s="0" t="str">
        <f aca="false">IF(E934=0,"not_reached",IF(AND(F934&gt;0,G934=0),"allowed","blocked"))</f>
        <v>allowed</v>
      </c>
      <c r="Q934" s="0" t="str">
        <f aca="false">IF(C934="success","published",IF(E934&gt;0,"blocked_at_gate","failed_before_gate"))</f>
        <v>published</v>
      </c>
      <c r="R934" s="0" t="str">
        <f aca="false">IF(C934="success","",IF(E934&gt;0,IF(I934="freshness_within_target","freshness",IF(I934="relationships_intact","relationships",IF(I934="reconciliation_residual_zero","residual",I934))),IF(H934="quality_gate","gate_infra",H934)))</f>
        <v/>
      </c>
    </row>
    <row r="935" customFormat="false" ht="15" hidden="false" customHeight="false" outlineLevel="0" collapsed="false">
      <c r="A935" s="4" t="s">
        <v>3394</v>
      </c>
      <c r="B935" s="10" t="n">
        <v>46282.84375</v>
      </c>
      <c r="C935" s="4" t="s">
        <v>1544</v>
      </c>
      <c r="D935" s="4" t="n">
        <v>891</v>
      </c>
      <c r="E935" s="4" t="n">
        <v>7</v>
      </c>
      <c r="F935" s="4" t="n">
        <v>6</v>
      </c>
      <c r="G935" s="4" t="n">
        <v>0</v>
      </c>
      <c r="J935" s="11" t="b">
        <f aca="false">TRUE()</f>
        <v>1</v>
      </c>
      <c r="K935" s="4" t="s">
        <v>3395</v>
      </c>
      <c r="L935" s="4" t="n">
        <v>4</v>
      </c>
      <c r="M935" s="4" t="n">
        <v>4</v>
      </c>
      <c r="N935" s="4" t="n">
        <v>4</v>
      </c>
      <c r="O935" s="4" t="n">
        <v>4</v>
      </c>
      <c r="P935" s="0" t="str">
        <f aca="false">IF(E935=0,"not_reached",IF(AND(F935&gt;0,G935=0),"allowed","blocked"))</f>
        <v>allowed</v>
      </c>
      <c r="Q935" s="0" t="str">
        <f aca="false">IF(C935="success","published",IF(E935&gt;0,"blocked_at_gate","failed_before_gate"))</f>
        <v>published</v>
      </c>
      <c r="R935" s="0" t="str">
        <f aca="false">IF(C935="success","",IF(E935&gt;0,IF(I935="freshness_within_target","freshness",IF(I935="relationships_intact","relationships",IF(I935="reconciliation_residual_zero","residual",I935))),IF(H935="quality_gate","gate_infra",H935)))</f>
        <v/>
      </c>
    </row>
    <row r="936" customFormat="false" ht="15" hidden="false" customHeight="false" outlineLevel="0" collapsed="false">
      <c r="A936" s="4" t="s">
        <v>3396</v>
      </c>
      <c r="B936" s="10" t="n">
        <v>46282.8854166667</v>
      </c>
      <c r="C936" s="4" t="s">
        <v>1544</v>
      </c>
      <c r="D936" s="4" t="n">
        <v>828</v>
      </c>
      <c r="E936" s="4" t="n">
        <v>7</v>
      </c>
      <c r="F936" s="4" t="n">
        <v>6</v>
      </c>
      <c r="G936" s="4" t="n">
        <v>0</v>
      </c>
      <c r="J936" s="11" t="b">
        <f aca="false">TRUE()</f>
        <v>1</v>
      </c>
      <c r="K936" s="4" t="s">
        <v>3397</v>
      </c>
      <c r="L936" s="4" t="n">
        <v>4</v>
      </c>
      <c r="M936" s="4" t="n">
        <v>4</v>
      </c>
      <c r="N936" s="4" t="n">
        <v>4</v>
      </c>
      <c r="O936" s="4" t="n">
        <v>4</v>
      </c>
      <c r="P936" s="0" t="str">
        <f aca="false">IF(E936=0,"not_reached",IF(AND(F936&gt;0,G936=0),"allowed","blocked"))</f>
        <v>allowed</v>
      </c>
      <c r="Q936" s="0" t="str">
        <f aca="false">IF(C936="success","published",IF(E936&gt;0,"blocked_at_gate","failed_before_gate"))</f>
        <v>published</v>
      </c>
      <c r="R936" s="0" t="str">
        <f aca="false">IF(C936="success","",IF(E936&gt;0,IF(I936="freshness_within_target","freshness",IF(I936="relationships_intact","relationships",IF(I936="reconciliation_residual_zero","residual",I936))),IF(H936="quality_gate","gate_infra",H936)))</f>
        <v/>
      </c>
    </row>
    <row r="937" customFormat="false" ht="15" hidden="false" customHeight="false" outlineLevel="0" collapsed="false">
      <c r="A937" s="4" t="s">
        <v>3398</v>
      </c>
      <c r="B937" s="10" t="n">
        <v>46282.9270833333</v>
      </c>
      <c r="C937" s="4" t="s">
        <v>1544</v>
      </c>
      <c r="D937" s="4" t="n">
        <v>754</v>
      </c>
      <c r="E937" s="4" t="n">
        <v>7</v>
      </c>
      <c r="F937" s="4" t="n">
        <v>6</v>
      </c>
      <c r="G937" s="4" t="n">
        <v>0</v>
      </c>
      <c r="J937" s="11" t="b">
        <f aca="false">TRUE()</f>
        <v>1</v>
      </c>
      <c r="K937" s="4" t="s">
        <v>3399</v>
      </c>
      <c r="L937" s="4" t="n">
        <v>4</v>
      </c>
      <c r="M937" s="4" t="n">
        <v>4</v>
      </c>
      <c r="N937" s="4" t="n">
        <v>4</v>
      </c>
      <c r="O937" s="4" t="n">
        <v>4</v>
      </c>
      <c r="P937" s="0" t="str">
        <f aca="false">IF(E937=0,"not_reached",IF(AND(F937&gt;0,G937=0),"allowed","blocked"))</f>
        <v>allowed</v>
      </c>
      <c r="Q937" s="0" t="str">
        <f aca="false">IF(C937="success","published",IF(E937&gt;0,"blocked_at_gate","failed_before_gate"))</f>
        <v>published</v>
      </c>
      <c r="R937" s="0" t="str">
        <f aca="false">IF(C937="success","",IF(E937&gt;0,IF(I937="freshness_within_target","freshness",IF(I937="relationships_intact","relationships",IF(I937="reconciliation_residual_zero","residual",I937))),IF(H937="quality_gate","gate_infra",H937)))</f>
        <v/>
      </c>
    </row>
    <row r="938" customFormat="false" ht="15" hidden="false" customHeight="false" outlineLevel="0" collapsed="false">
      <c r="A938" s="4" t="s">
        <v>3400</v>
      </c>
      <c r="B938" s="10" t="n">
        <v>46282.96875</v>
      </c>
      <c r="C938" s="4" t="s">
        <v>1544</v>
      </c>
      <c r="D938" s="4" t="n">
        <v>824</v>
      </c>
      <c r="E938" s="4" t="n">
        <v>7</v>
      </c>
      <c r="F938" s="4" t="n">
        <v>6</v>
      </c>
      <c r="G938" s="4" t="n">
        <v>0</v>
      </c>
      <c r="J938" s="11" t="b">
        <f aca="false">TRUE()</f>
        <v>1</v>
      </c>
      <c r="K938" s="4" t="s">
        <v>3401</v>
      </c>
      <c r="L938" s="4" t="n">
        <v>4</v>
      </c>
      <c r="M938" s="4" t="n">
        <v>4</v>
      </c>
      <c r="N938" s="4" t="n">
        <v>4</v>
      </c>
      <c r="O938" s="4" t="n">
        <v>4</v>
      </c>
      <c r="P938" s="0" t="str">
        <f aca="false">IF(E938=0,"not_reached",IF(AND(F938&gt;0,G938=0),"allowed","blocked"))</f>
        <v>allowed</v>
      </c>
      <c r="Q938" s="0" t="str">
        <f aca="false">IF(C938="success","published",IF(E938&gt;0,"blocked_at_gate","failed_before_gate"))</f>
        <v>published</v>
      </c>
      <c r="R938" s="0" t="str">
        <f aca="false">IF(C938="success","",IF(E938&gt;0,IF(I938="freshness_within_target","freshness",IF(I938="relationships_intact","relationships",IF(I938="reconciliation_residual_zero","residual",I938))),IF(H938="quality_gate","gate_infra",H938)))</f>
        <v/>
      </c>
    </row>
    <row r="939" customFormat="false" ht="15" hidden="false" customHeight="false" outlineLevel="0" collapsed="false">
      <c r="A939" s="4" t="s">
        <v>3402</v>
      </c>
      <c r="B939" s="10" t="n">
        <v>46283.0104166667</v>
      </c>
      <c r="C939" s="4" t="s">
        <v>1544</v>
      </c>
      <c r="D939" s="4" t="n">
        <v>949</v>
      </c>
      <c r="E939" s="4" t="n">
        <v>7</v>
      </c>
      <c r="F939" s="4" t="n">
        <v>6</v>
      </c>
      <c r="G939" s="4" t="n">
        <v>0</v>
      </c>
      <c r="J939" s="11" t="b">
        <f aca="false">TRUE()</f>
        <v>1</v>
      </c>
      <c r="K939" s="4" t="s">
        <v>3403</v>
      </c>
      <c r="L939" s="4" t="n">
        <v>4</v>
      </c>
      <c r="M939" s="4" t="n">
        <v>4</v>
      </c>
      <c r="N939" s="4" t="n">
        <v>5</v>
      </c>
      <c r="O939" s="4" t="n">
        <v>4</v>
      </c>
      <c r="P939" s="0" t="str">
        <f aca="false">IF(E939=0,"not_reached",IF(AND(F939&gt;0,G939=0),"allowed","blocked"))</f>
        <v>allowed</v>
      </c>
      <c r="Q939" s="0" t="str">
        <f aca="false">IF(C939="success","published",IF(E939&gt;0,"blocked_at_gate","failed_before_gate"))</f>
        <v>published</v>
      </c>
      <c r="R939" s="0" t="str">
        <f aca="false">IF(C939="success","",IF(E939&gt;0,IF(I939="freshness_within_target","freshness",IF(I939="relationships_intact","relationships",IF(I939="reconciliation_residual_zero","residual",I939))),IF(H939="quality_gate","gate_infra",H939)))</f>
        <v/>
      </c>
    </row>
    <row r="940" customFormat="false" ht="15" hidden="false" customHeight="false" outlineLevel="0" collapsed="false">
      <c r="A940" s="4" t="s">
        <v>3404</v>
      </c>
      <c r="B940" s="10" t="n">
        <v>46283.0520833333</v>
      </c>
      <c r="C940" s="4" t="s">
        <v>1544</v>
      </c>
      <c r="D940" s="4" t="n">
        <v>874</v>
      </c>
      <c r="E940" s="4" t="n">
        <v>7</v>
      </c>
      <c r="F940" s="4" t="n">
        <v>6</v>
      </c>
      <c r="G940" s="4" t="n">
        <v>0</v>
      </c>
      <c r="J940" s="11" t="b">
        <f aca="false">TRUE()</f>
        <v>1</v>
      </c>
      <c r="K940" s="4" t="s">
        <v>3405</v>
      </c>
      <c r="L940" s="4" t="n">
        <v>4</v>
      </c>
      <c r="M940" s="4" t="n">
        <v>4</v>
      </c>
      <c r="N940" s="4" t="n">
        <v>4</v>
      </c>
      <c r="O940" s="4" t="n">
        <v>4</v>
      </c>
      <c r="P940" s="0" t="str">
        <f aca="false">IF(E940=0,"not_reached",IF(AND(F940&gt;0,G940=0),"allowed","blocked"))</f>
        <v>allowed</v>
      </c>
      <c r="Q940" s="0" t="str">
        <f aca="false">IF(C940="success","published",IF(E940&gt;0,"blocked_at_gate","failed_before_gate"))</f>
        <v>published</v>
      </c>
      <c r="R940" s="0" t="str">
        <f aca="false">IF(C940="success","",IF(E940&gt;0,IF(I940="freshness_within_target","freshness",IF(I940="relationships_intact","relationships",IF(I940="reconciliation_residual_zero","residual",I940))),IF(H940="quality_gate","gate_infra",H940)))</f>
        <v/>
      </c>
    </row>
    <row r="941" customFormat="false" ht="15" hidden="false" customHeight="false" outlineLevel="0" collapsed="false">
      <c r="A941" s="4" t="s">
        <v>3406</v>
      </c>
      <c r="B941" s="10" t="n">
        <v>46283.09375</v>
      </c>
      <c r="C941" s="4" t="s">
        <v>1544</v>
      </c>
      <c r="D941" s="4" t="n">
        <v>805</v>
      </c>
      <c r="E941" s="4" t="n">
        <v>7</v>
      </c>
      <c r="F941" s="4" t="n">
        <v>6</v>
      </c>
      <c r="G941" s="4" t="n">
        <v>0</v>
      </c>
      <c r="J941" s="11" t="b">
        <f aca="false">TRUE()</f>
        <v>1</v>
      </c>
      <c r="K941" s="4" t="s">
        <v>3407</v>
      </c>
      <c r="L941" s="4" t="n">
        <v>4</v>
      </c>
      <c r="M941" s="4" t="n">
        <v>4</v>
      </c>
      <c r="N941" s="4" t="n">
        <v>4</v>
      </c>
      <c r="O941" s="4" t="n">
        <v>4</v>
      </c>
      <c r="P941" s="0" t="str">
        <f aca="false">IF(E941=0,"not_reached",IF(AND(F941&gt;0,G941=0),"allowed","blocked"))</f>
        <v>allowed</v>
      </c>
      <c r="Q941" s="0" t="str">
        <f aca="false">IF(C941="success","published",IF(E941&gt;0,"blocked_at_gate","failed_before_gate"))</f>
        <v>published</v>
      </c>
      <c r="R941" s="0" t="str">
        <f aca="false">IF(C941="success","",IF(E941&gt;0,IF(I941="freshness_within_target","freshness",IF(I941="relationships_intact","relationships",IF(I941="reconciliation_residual_zero","residual",I941))),IF(H941="quality_gate","gate_infra",H941)))</f>
        <v/>
      </c>
    </row>
    <row r="942" customFormat="false" ht="15" hidden="false" customHeight="false" outlineLevel="0" collapsed="false">
      <c r="A942" s="4" t="s">
        <v>3408</v>
      </c>
      <c r="B942" s="10" t="n">
        <v>46283.1354166667</v>
      </c>
      <c r="C942" s="4" t="s">
        <v>1544</v>
      </c>
      <c r="D942" s="4" t="n">
        <v>879</v>
      </c>
      <c r="E942" s="4" t="n">
        <v>7</v>
      </c>
      <c r="F942" s="4" t="n">
        <v>6</v>
      </c>
      <c r="G942" s="4" t="n">
        <v>0</v>
      </c>
      <c r="J942" s="11" t="b">
        <f aca="false">TRUE()</f>
        <v>1</v>
      </c>
      <c r="K942" s="4" t="s">
        <v>3409</v>
      </c>
      <c r="L942" s="4" t="n">
        <v>4</v>
      </c>
      <c r="M942" s="4" t="n">
        <v>4</v>
      </c>
      <c r="N942" s="4" t="n">
        <v>4</v>
      </c>
      <c r="O942" s="4" t="n">
        <v>4</v>
      </c>
      <c r="P942" s="0" t="str">
        <f aca="false">IF(E942=0,"not_reached",IF(AND(F942&gt;0,G942=0),"allowed","blocked"))</f>
        <v>allowed</v>
      </c>
      <c r="Q942" s="0" t="str">
        <f aca="false">IF(C942="success","published",IF(E942&gt;0,"blocked_at_gate","failed_before_gate"))</f>
        <v>published</v>
      </c>
      <c r="R942" s="0" t="str">
        <f aca="false">IF(C942="success","",IF(E942&gt;0,IF(I942="freshness_within_target","freshness",IF(I942="relationships_intact","relationships",IF(I942="reconciliation_residual_zero","residual",I942))),IF(H942="quality_gate","gate_infra",H942)))</f>
        <v/>
      </c>
    </row>
    <row r="943" customFormat="false" ht="15" hidden="false" customHeight="false" outlineLevel="0" collapsed="false">
      <c r="A943" s="4" t="s">
        <v>3410</v>
      </c>
      <c r="B943" s="10" t="n">
        <v>46283.1770833333</v>
      </c>
      <c r="C943" s="4" t="s">
        <v>1544</v>
      </c>
      <c r="D943" s="4" t="n">
        <v>943</v>
      </c>
      <c r="E943" s="4" t="n">
        <v>7</v>
      </c>
      <c r="F943" s="4" t="n">
        <v>6</v>
      </c>
      <c r="G943" s="4" t="n">
        <v>0</v>
      </c>
      <c r="J943" s="11" t="b">
        <f aca="false">TRUE()</f>
        <v>1</v>
      </c>
      <c r="K943" s="4" t="s">
        <v>3411</v>
      </c>
      <c r="L943" s="4" t="n">
        <v>4</v>
      </c>
      <c r="M943" s="4" t="n">
        <v>4</v>
      </c>
      <c r="N943" s="4" t="n">
        <v>4</v>
      </c>
      <c r="O943" s="4" t="n">
        <v>4</v>
      </c>
      <c r="P943" s="0" t="str">
        <f aca="false">IF(E943=0,"not_reached",IF(AND(F943&gt;0,G943=0),"allowed","blocked"))</f>
        <v>allowed</v>
      </c>
      <c r="Q943" s="0" t="str">
        <f aca="false">IF(C943="success","published",IF(E943&gt;0,"blocked_at_gate","failed_before_gate"))</f>
        <v>published</v>
      </c>
      <c r="R943" s="0" t="str">
        <f aca="false">IF(C943="success","",IF(E943&gt;0,IF(I943="freshness_within_target","freshness",IF(I943="relationships_intact","relationships",IF(I943="reconciliation_residual_zero","residual",I943))),IF(H943="quality_gate","gate_infra",H943)))</f>
        <v/>
      </c>
    </row>
    <row r="944" customFormat="false" ht="15" hidden="false" customHeight="false" outlineLevel="0" collapsed="false">
      <c r="A944" s="4" t="s">
        <v>3412</v>
      </c>
      <c r="B944" s="10" t="n">
        <v>46283.21875</v>
      </c>
      <c r="C944" s="4" t="s">
        <v>1544</v>
      </c>
      <c r="D944" s="4" t="n">
        <v>1034</v>
      </c>
      <c r="E944" s="4" t="n">
        <v>7</v>
      </c>
      <c r="F944" s="4" t="n">
        <v>6</v>
      </c>
      <c r="G944" s="4" t="n">
        <v>0</v>
      </c>
      <c r="J944" s="11" t="b">
        <f aca="false">TRUE()</f>
        <v>1</v>
      </c>
      <c r="K944" s="4" t="s">
        <v>3413</v>
      </c>
      <c r="L944" s="4" t="n">
        <v>4</v>
      </c>
      <c r="M944" s="4" t="n">
        <v>4</v>
      </c>
      <c r="N944" s="4" t="n">
        <v>5</v>
      </c>
      <c r="O944" s="4" t="n">
        <v>4</v>
      </c>
      <c r="P944" s="0" t="str">
        <f aca="false">IF(E944=0,"not_reached",IF(AND(F944&gt;0,G944=0),"allowed","blocked"))</f>
        <v>allowed</v>
      </c>
      <c r="Q944" s="0" t="str">
        <f aca="false">IF(C944="success","published",IF(E944&gt;0,"blocked_at_gate","failed_before_gate"))</f>
        <v>published</v>
      </c>
      <c r="R944" s="0" t="str">
        <f aca="false">IF(C944="success","",IF(E944&gt;0,IF(I944="freshness_within_target","freshness",IF(I944="relationships_intact","relationships",IF(I944="reconciliation_residual_zero","residual",I944))),IF(H944="quality_gate","gate_infra",H944)))</f>
        <v/>
      </c>
    </row>
    <row r="945" customFormat="false" ht="15" hidden="false" customHeight="false" outlineLevel="0" collapsed="false">
      <c r="A945" s="4" t="s">
        <v>3414</v>
      </c>
      <c r="B945" s="10" t="n">
        <v>46283.2604166667</v>
      </c>
      <c r="C945" s="4" t="s">
        <v>1544</v>
      </c>
      <c r="D945" s="4" t="n">
        <v>688</v>
      </c>
      <c r="E945" s="4" t="n">
        <v>7</v>
      </c>
      <c r="F945" s="4" t="n">
        <v>6</v>
      </c>
      <c r="G945" s="4" t="n">
        <v>0</v>
      </c>
      <c r="J945" s="11" t="b">
        <f aca="false">TRUE()</f>
        <v>1</v>
      </c>
      <c r="K945" s="4" t="s">
        <v>3415</v>
      </c>
      <c r="L945" s="4" t="n">
        <v>4</v>
      </c>
      <c r="M945" s="4" t="n">
        <v>4</v>
      </c>
      <c r="N945" s="4" t="n">
        <v>4</v>
      </c>
      <c r="O945" s="4" t="n">
        <v>4</v>
      </c>
      <c r="P945" s="0" t="str">
        <f aca="false">IF(E945=0,"not_reached",IF(AND(F945&gt;0,G945=0),"allowed","blocked"))</f>
        <v>allowed</v>
      </c>
      <c r="Q945" s="0" t="str">
        <f aca="false">IF(C945="success","published",IF(E945&gt;0,"blocked_at_gate","failed_before_gate"))</f>
        <v>published</v>
      </c>
      <c r="R945" s="0" t="str">
        <f aca="false">IF(C945="success","",IF(E945&gt;0,IF(I945="freshness_within_target","freshness",IF(I945="relationships_intact","relationships",IF(I945="reconciliation_residual_zero","residual",I945))),IF(H945="quality_gate","gate_infra",H945)))</f>
        <v/>
      </c>
    </row>
    <row r="946" customFormat="false" ht="15" hidden="false" customHeight="false" outlineLevel="0" collapsed="false">
      <c r="A946" s="4" t="s">
        <v>3416</v>
      </c>
      <c r="B946" s="10" t="n">
        <v>46283.3020833333</v>
      </c>
      <c r="C946" s="4" t="s">
        <v>1544</v>
      </c>
      <c r="D946" s="4" t="n">
        <v>735</v>
      </c>
      <c r="E946" s="4" t="n">
        <v>7</v>
      </c>
      <c r="F946" s="4" t="n">
        <v>6</v>
      </c>
      <c r="G946" s="4" t="n">
        <v>0</v>
      </c>
      <c r="J946" s="11" t="b">
        <f aca="false">TRUE()</f>
        <v>1</v>
      </c>
      <c r="K946" s="4" t="s">
        <v>3417</v>
      </c>
      <c r="L946" s="4" t="n">
        <v>4</v>
      </c>
      <c r="M946" s="4" t="n">
        <v>4</v>
      </c>
      <c r="N946" s="4" t="n">
        <v>4</v>
      </c>
      <c r="O946" s="4" t="n">
        <v>4</v>
      </c>
      <c r="P946" s="0" t="str">
        <f aca="false">IF(E946=0,"not_reached",IF(AND(F946&gt;0,G946=0),"allowed","blocked"))</f>
        <v>allowed</v>
      </c>
      <c r="Q946" s="0" t="str">
        <f aca="false">IF(C946="success","published",IF(E946&gt;0,"blocked_at_gate","failed_before_gate"))</f>
        <v>published</v>
      </c>
      <c r="R946" s="0" t="str">
        <f aca="false">IF(C946="success","",IF(E946&gt;0,IF(I946="freshness_within_target","freshness",IF(I946="relationships_intact","relationships",IF(I946="reconciliation_residual_zero","residual",I946))),IF(H946="quality_gate","gate_infra",H946)))</f>
        <v/>
      </c>
    </row>
    <row r="947" customFormat="false" ht="15" hidden="false" customHeight="false" outlineLevel="0" collapsed="false">
      <c r="A947" s="4" t="s">
        <v>3418</v>
      </c>
      <c r="B947" s="10" t="n">
        <v>46283.34375</v>
      </c>
      <c r="C947" s="4" t="s">
        <v>1544</v>
      </c>
      <c r="D947" s="4" t="n">
        <v>862</v>
      </c>
      <c r="E947" s="4" t="n">
        <v>7</v>
      </c>
      <c r="F947" s="4" t="n">
        <v>6</v>
      </c>
      <c r="G947" s="4" t="n">
        <v>0</v>
      </c>
      <c r="J947" s="11" t="b">
        <f aca="false">TRUE()</f>
        <v>1</v>
      </c>
      <c r="K947" s="4" t="s">
        <v>3419</v>
      </c>
      <c r="L947" s="4" t="n">
        <v>4</v>
      </c>
      <c r="M947" s="4" t="n">
        <v>4</v>
      </c>
      <c r="N947" s="4" t="n">
        <v>4</v>
      </c>
      <c r="O947" s="4" t="n">
        <v>4</v>
      </c>
      <c r="P947" s="0" t="str">
        <f aca="false">IF(E947=0,"not_reached",IF(AND(F947&gt;0,G947=0),"allowed","blocked"))</f>
        <v>allowed</v>
      </c>
      <c r="Q947" s="0" t="str">
        <f aca="false">IF(C947="success","published",IF(E947&gt;0,"blocked_at_gate","failed_before_gate"))</f>
        <v>published</v>
      </c>
      <c r="R947" s="0" t="str">
        <f aca="false">IF(C947="success","",IF(E947&gt;0,IF(I947="freshness_within_target","freshness",IF(I947="relationships_intact","relationships",IF(I947="reconciliation_residual_zero","residual",I947))),IF(H947="quality_gate","gate_infra",H947)))</f>
        <v/>
      </c>
    </row>
    <row r="948" customFormat="false" ht="15" hidden="false" customHeight="false" outlineLevel="0" collapsed="false">
      <c r="A948" s="4" t="s">
        <v>3420</v>
      </c>
      <c r="B948" s="10" t="n">
        <v>46283.3854166667</v>
      </c>
      <c r="C948" s="4" t="s">
        <v>1544</v>
      </c>
      <c r="D948" s="4" t="n">
        <v>809</v>
      </c>
      <c r="E948" s="4" t="n">
        <v>7</v>
      </c>
      <c r="F948" s="4" t="n">
        <v>6</v>
      </c>
      <c r="G948" s="4" t="n">
        <v>0</v>
      </c>
      <c r="J948" s="11" t="b">
        <f aca="false">TRUE()</f>
        <v>1</v>
      </c>
      <c r="K948" s="4" t="s">
        <v>3421</v>
      </c>
      <c r="L948" s="4" t="n">
        <v>4</v>
      </c>
      <c r="M948" s="4" t="n">
        <v>4</v>
      </c>
      <c r="N948" s="4" t="n">
        <v>4</v>
      </c>
      <c r="O948" s="4" t="n">
        <v>4</v>
      </c>
      <c r="P948" s="0" t="str">
        <f aca="false">IF(E948=0,"not_reached",IF(AND(F948&gt;0,G948=0),"allowed","blocked"))</f>
        <v>allowed</v>
      </c>
      <c r="Q948" s="0" t="str">
        <f aca="false">IF(C948="success","published",IF(E948&gt;0,"blocked_at_gate","failed_before_gate"))</f>
        <v>published</v>
      </c>
      <c r="R948" s="0" t="str">
        <f aca="false">IF(C948="success","",IF(E948&gt;0,IF(I948="freshness_within_target","freshness",IF(I948="relationships_intact","relationships",IF(I948="reconciliation_residual_zero","residual",I948))),IF(H948="quality_gate","gate_infra",H948)))</f>
        <v/>
      </c>
    </row>
    <row r="949" customFormat="false" ht="15" hidden="false" customHeight="false" outlineLevel="0" collapsed="false">
      <c r="A949" s="4" t="s">
        <v>3422</v>
      </c>
      <c r="B949" s="10" t="n">
        <v>46283.4270833333</v>
      </c>
      <c r="C949" s="4" t="s">
        <v>1544</v>
      </c>
      <c r="D949" s="4" t="n">
        <v>812</v>
      </c>
      <c r="E949" s="4" t="n">
        <v>7</v>
      </c>
      <c r="F949" s="4" t="n">
        <v>6</v>
      </c>
      <c r="G949" s="4" t="n">
        <v>0</v>
      </c>
      <c r="J949" s="11" t="b">
        <f aca="false">TRUE()</f>
        <v>1</v>
      </c>
      <c r="K949" s="4" t="s">
        <v>3423</v>
      </c>
      <c r="L949" s="4" t="n">
        <v>4</v>
      </c>
      <c r="M949" s="4" t="n">
        <v>4</v>
      </c>
      <c r="N949" s="4" t="n">
        <v>4</v>
      </c>
      <c r="O949" s="4" t="n">
        <v>4</v>
      </c>
      <c r="P949" s="0" t="str">
        <f aca="false">IF(E949=0,"not_reached",IF(AND(F949&gt;0,G949=0),"allowed","blocked"))</f>
        <v>allowed</v>
      </c>
      <c r="Q949" s="0" t="str">
        <f aca="false">IF(C949="success","published",IF(E949&gt;0,"blocked_at_gate","failed_before_gate"))</f>
        <v>published</v>
      </c>
      <c r="R949" s="0" t="str">
        <f aca="false">IF(C949="success","",IF(E949&gt;0,IF(I949="freshness_within_target","freshness",IF(I949="relationships_intact","relationships",IF(I949="reconciliation_residual_zero","residual",I949))),IF(H949="quality_gate","gate_infra",H949)))</f>
        <v/>
      </c>
    </row>
    <row r="950" customFormat="false" ht="15" hidden="false" customHeight="false" outlineLevel="0" collapsed="false">
      <c r="A950" s="4" t="s">
        <v>3424</v>
      </c>
      <c r="B950" s="10" t="n">
        <v>46283.46875</v>
      </c>
      <c r="C950" s="4" t="s">
        <v>1544</v>
      </c>
      <c r="D950" s="4" t="n">
        <v>929</v>
      </c>
      <c r="E950" s="4" t="n">
        <v>7</v>
      </c>
      <c r="F950" s="4" t="n">
        <v>6</v>
      </c>
      <c r="G950" s="4" t="n">
        <v>0</v>
      </c>
      <c r="J950" s="11" t="b">
        <f aca="false">TRUE()</f>
        <v>1</v>
      </c>
      <c r="K950" s="4" t="s">
        <v>3425</v>
      </c>
      <c r="L950" s="4" t="n">
        <v>4</v>
      </c>
      <c r="M950" s="4" t="n">
        <v>4</v>
      </c>
      <c r="N950" s="4" t="n">
        <v>4</v>
      </c>
      <c r="O950" s="4" t="n">
        <v>4</v>
      </c>
      <c r="P950" s="0" t="str">
        <f aca="false">IF(E950=0,"not_reached",IF(AND(F950&gt;0,G950=0),"allowed","blocked"))</f>
        <v>allowed</v>
      </c>
      <c r="Q950" s="0" t="str">
        <f aca="false">IF(C950="success","published",IF(E950&gt;0,"blocked_at_gate","failed_before_gate"))</f>
        <v>published</v>
      </c>
      <c r="R950" s="0" t="str">
        <f aca="false">IF(C950="success","",IF(E950&gt;0,IF(I950="freshness_within_target","freshness",IF(I950="relationships_intact","relationships",IF(I950="reconciliation_residual_zero","residual",I950))),IF(H950="quality_gate","gate_infra",H950)))</f>
        <v/>
      </c>
    </row>
    <row r="951" customFormat="false" ht="15" hidden="false" customHeight="false" outlineLevel="0" collapsed="false">
      <c r="A951" s="4" t="s">
        <v>3426</v>
      </c>
      <c r="B951" s="10" t="n">
        <v>46283.5104166667</v>
      </c>
      <c r="C951" s="4" t="s">
        <v>1544</v>
      </c>
      <c r="D951" s="4" t="n">
        <v>701</v>
      </c>
      <c r="E951" s="4" t="n">
        <v>7</v>
      </c>
      <c r="F951" s="4" t="n">
        <v>6</v>
      </c>
      <c r="G951" s="4" t="n">
        <v>0</v>
      </c>
      <c r="J951" s="11" t="b">
        <f aca="false">TRUE()</f>
        <v>1</v>
      </c>
      <c r="K951" s="4" t="s">
        <v>3427</v>
      </c>
      <c r="L951" s="4" t="n">
        <v>4</v>
      </c>
      <c r="M951" s="4" t="n">
        <v>4</v>
      </c>
      <c r="N951" s="4" t="n">
        <v>4</v>
      </c>
      <c r="O951" s="4" t="n">
        <v>4</v>
      </c>
      <c r="P951" s="0" t="str">
        <f aca="false">IF(E951=0,"not_reached",IF(AND(F951&gt;0,G951=0),"allowed","blocked"))</f>
        <v>allowed</v>
      </c>
      <c r="Q951" s="0" t="str">
        <f aca="false">IF(C951="success","published",IF(E951&gt;0,"blocked_at_gate","failed_before_gate"))</f>
        <v>published</v>
      </c>
      <c r="R951" s="0" t="str">
        <f aca="false">IF(C951="success","",IF(E951&gt;0,IF(I951="freshness_within_target","freshness",IF(I951="relationships_intact","relationships",IF(I951="reconciliation_residual_zero","residual",I951))),IF(H951="quality_gate","gate_infra",H951)))</f>
        <v/>
      </c>
    </row>
    <row r="952" customFormat="false" ht="15" hidden="false" customHeight="false" outlineLevel="0" collapsed="false">
      <c r="A952" s="4" t="s">
        <v>3428</v>
      </c>
      <c r="B952" s="10" t="n">
        <v>46283.5520833333</v>
      </c>
      <c r="C952" s="4" t="s">
        <v>1544</v>
      </c>
      <c r="D952" s="4" t="n">
        <v>922</v>
      </c>
      <c r="E952" s="4" t="n">
        <v>7</v>
      </c>
      <c r="F952" s="4" t="n">
        <v>6</v>
      </c>
      <c r="G952" s="4" t="n">
        <v>0</v>
      </c>
      <c r="J952" s="11" t="b">
        <f aca="false">TRUE()</f>
        <v>1</v>
      </c>
      <c r="K952" s="4" t="s">
        <v>3429</v>
      </c>
      <c r="L952" s="4" t="n">
        <v>4</v>
      </c>
      <c r="M952" s="4" t="n">
        <v>4</v>
      </c>
      <c r="N952" s="4" t="n">
        <v>4</v>
      </c>
      <c r="O952" s="4" t="n">
        <v>4</v>
      </c>
      <c r="P952" s="0" t="str">
        <f aca="false">IF(E952=0,"not_reached",IF(AND(F952&gt;0,G952=0),"allowed","blocked"))</f>
        <v>allowed</v>
      </c>
      <c r="Q952" s="0" t="str">
        <f aca="false">IF(C952="success","published",IF(E952&gt;0,"blocked_at_gate","failed_before_gate"))</f>
        <v>published</v>
      </c>
      <c r="R952" s="0" t="str">
        <f aca="false">IF(C952="success","",IF(E952&gt;0,IF(I952="freshness_within_target","freshness",IF(I952="relationships_intact","relationships",IF(I952="reconciliation_residual_zero","residual",I952))),IF(H952="quality_gate","gate_infra",H952)))</f>
        <v/>
      </c>
    </row>
    <row r="953" customFormat="false" ht="15" hidden="false" customHeight="false" outlineLevel="0" collapsed="false">
      <c r="A953" s="4" t="s">
        <v>3430</v>
      </c>
      <c r="B953" s="10" t="n">
        <v>46283.59375</v>
      </c>
      <c r="C953" s="4" t="s">
        <v>1544</v>
      </c>
      <c r="D953" s="4" t="n">
        <v>954</v>
      </c>
      <c r="E953" s="4" t="n">
        <v>7</v>
      </c>
      <c r="F953" s="4" t="n">
        <v>6</v>
      </c>
      <c r="G953" s="4" t="n">
        <v>0</v>
      </c>
      <c r="J953" s="11" t="b">
        <f aca="false">TRUE()</f>
        <v>1</v>
      </c>
      <c r="K953" s="4" t="s">
        <v>3431</v>
      </c>
      <c r="L953" s="4" t="n">
        <v>4</v>
      </c>
      <c r="M953" s="4" t="n">
        <v>4</v>
      </c>
      <c r="N953" s="4" t="n">
        <v>4</v>
      </c>
      <c r="O953" s="4" t="n">
        <v>4</v>
      </c>
      <c r="P953" s="0" t="str">
        <f aca="false">IF(E953=0,"not_reached",IF(AND(F953&gt;0,G953=0),"allowed","blocked"))</f>
        <v>allowed</v>
      </c>
      <c r="Q953" s="0" t="str">
        <f aca="false">IF(C953="success","published",IF(E953&gt;0,"blocked_at_gate","failed_before_gate"))</f>
        <v>published</v>
      </c>
      <c r="R953" s="0" t="str">
        <f aca="false">IF(C953="success","",IF(E953&gt;0,IF(I953="freshness_within_target","freshness",IF(I953="relationships_intact","relationships",IF(I953="reconciliation_residual_zero","residual",I953))),IF(H953="quality_gate","gate_infra",H953)))</f>
        <v/>
      </c>
    </row>
    <row r="954" customFormat="false" ht="15" hidden="false" customHeight="false" outlineLevel="0" collapsed="false">
      <c r="A954" s="4" t="s">
        <v>3432</v>
      </c>
      <c r="B954" s="10" t="n">
        <v>46283.6354166667</v>
      </c>
      <c r="C954" s="4" t="s">
        <v>1544</v>
      </c>
      <c r="D954" s="4" t="n">
        <v>867</v>
      </c>
      <c r="E954" s="4" t="n">
        <v>7</v>
      </c>
      <c r="F954" s="4" t="n">
        <v>6</v>
      </c>
      <c r="G954" s="4" t="n">
        <v>0</v>
      </c>
      <c r="J954" s="11" t="b">
        <f aca="false">TRUE()</f>
        <v>1</v>
      </c>
      <c r="K954" s="4" t="s">
        <v>3433</v>
      </c>
      <c r="L954" s="4" t="n">
        <v>4</v>
      </c>
      <c r="M954" s="4" t="n">
        <v>4</v>
      </c>
      <c r="N954" s="4" t="n">
        <v>4</v>
      </c>
      <c r="O954" s="4" t="n">
        <v>4</v>
      </c>
      <c r="P954" s="0" t="str">
        <f aca="false">IF(E954=0,"not_reached",IF(AND(F954&gt;0,G954=0),"allowed","blocked"))</f>
        <v>allowed</v>
      </c>
      <c r="Q954" s="0" t="str">
        <f aca="false">IF(C954="success","published",IF(E954&gt;0,"blocked_at_gate","failed_before_gate"))</f>
        <v>published</v>
      </c>
      <c r="R954" s="0" t="str">
        <f aca="false">IF(C954="success","",IF(E954&gt;0,IF(I954="freshness_within_target","freshness",IF(I954="relationships_intact","relationships",IF(I954="reconciliation_residual_zero","residual",I954))),IF(H954="quality_gate","gate_infra",H954)))</f>
        <v/>
      </c>
    </row>
    <row r="955" customFormat="false" ht="15" hidden="false" customHeight="false" outlineLevel="0" collapsed="false">
      <c r="A955" s="4" t="s">
        <v>3434</v>
      </c>
      <c r="B955" s="10" t="n">
        <v>46283.6770833333</v>
      </c>
      <c r="C955" s="4" t="s">
        <v>1544</v>
      </c>
      <c r="D955" s="4" t="n">
        <v>836</v>
      </c>
      <c r="E955" s="4" t="n">
        <v>7</v>
      </c>
      <c r="F955" s="4" t="n">
        <v>6</v>
      </c>
      <c r="G955" s="4" t="n">
        <v>0</v>
      </c>
      <c r="J955" s="11" t="b">
        <f aca="false">TRUE()</f>
        <v>1</v>
      </c>
      <c r="K955" s="4" t="s">
        <v>3435</v>
      </c>
      <c r="L955" s="4" t="n">
        <v>4</v>
      </c>
      <c r="M955" s="4" t="n">
        <v>4</v>
      </c>
      <c r="N955" s="4" t="n">
        <v>4</v>
      </c>
      <c r="O955" s="4" t="n">
        <v>4</v>
      </c>
      <c r="P955" s="0" t="str">
        <f aca="false">IF(E955=0,"not_reached",IF(AND(F955&gt;0,G955=0),"allowed","blocked"))</f>
        <v>allowed</v>
      </c>
      <c r="Q955" s="0" t="str">
        <f aca="false">IF(C955="success","published",IF(E955&gt;0,"blocked_at_gate","failed_before_gate"))</f>
        <v>published</v>
      </c>
      <c r="R955" s="0" t="str">
        <f aca="false">IF(C955="success","",IF(E955&gt;0,IF(I955="freshness_within_target","freshness",IF(I955="relationships_intact","relationships",IF(I955="reconciliation_residual_zero","residual",I955))),IF(H955="quality_gate","gate_infra",H955)))</f>
        <v/>
      </c>
    </row>
    <row r="956" customFormat="false" ht="15" hidden="false" customHeight="false" outlineLevel="0" collapsed="false">
      <c r="A956" s="4" t="s">
        <v>3436</v>
      </c>
      <c r="B956" s="10" t="n">
        <v>46283.71875</v>
      </c>
      <c r="C956" s="4" t="s">
        <v>1544</v>
      </c>
      <c r="D956" s="4" t="n">
        <v>824</v>
      </c>
      <c r="E956" s="4" t="n">
        <v>7</v>
      </c>
      <c r="F956" s="4" t="n">
        <v>6</v>
      </c>
      <c r="G956" s="4" t="n">
        <v>0</v>
      </c>
      <c r="J956" s="11" t="b">
        <f aca="false">TRUE()</f>
        <v>1</v>
      </c>
      <c r="K956" s="4" t="s">
        <v>3437</v>
      </c>
      <c r="L956" s="4" t="n">
        <v>4</v>
      </c>
      <c r="M956" s="4" t="n">
        <v>4</v>
      </c>
      <c r="N956" s="4" t="n">
        <v>4</v>
      </c>
      <c r="O956" s="4" t="n">
        <v>4</v>
      </c>
      <c r="P956" s="0" t="str">
        <f aca="false">IF(E956=0,"not_reached",IF(AND(F956&gt;0,G956=0),"allowed","blocked"))</f>
        <v>allowed</v>
      </c>
      <c r="Q956" s="0" t="str">
        <f aca="false">IF(C956="success","published",IF(E956&gt;0,"blocked_at_gate","failed_before_gate"))</f>
        <v>published</v>
      </c>
      <c r="R956" s="0" t="str">
        <f aca="false">IF(C956="success","",IF(E956&gt;0,IF(I956="freshness_within_target","freshness",IF(I956="relationships_intact","relationships",IF(I956="reconciliation_residual_zero","residual",I956))),IF(H956="quality_gate","gate_infra",H956)))</f>
        <v/>
      </c>
    </row>
    <row r="957" customFormat="false" ht="15" hidden="false" customHeight="false" outlineLevel="0" collapsed="false">
      <c r="A957" s="4" t="s">
        <v>3438</v>
      </c>
      <c r="B957" s="10" t="n">
        <v>46283.7604166667</v>
      </c>
      <c r="C957" s="4" t="s">
        <v>1544</v>
      </c>
      <c r="D957" s="4" t="n">
        <v>776</v>
      </c>
      <c r="E957" s="4" t="n">
        <v>7</v>
      </c>
      <c r="F957" s="4" t="n">
        <v>6</v>
      </c>
      <c r="G957" s="4" t="n">
        <v>0</v>
      </c>
      <c r="J957" s="11" t="b">
        <f aca="false">TRUE()</f>
        <v>1</v>
      </c>
      <c r="K957" s="4" t="s">
        <v>3439</v>
      </c>
      <c r="L957" s="4" t="n">
        <v>4</v>
      </c>
      <c r="M957" s="4" t="n">
        <v>4</v>
      </c>
      <c r="N957" s="4" t="n">
        <v>4</v>
      </c>
      <c r="O957" s="4" t="n">
        <v>4</v>
      </c>
      <c r="P957" s="0" t="str">
        <f aca="false">IF(E957=0,"not_reached",IF(AND(F957&gt;0,G957=0),"allowed","blocked"))</f>
        <v>allowed</v>
      </c>
      <c r="Q957" s="0" t="str">
        <f aca="false">IF(C957="success","published",IF(E957&gt;0,"blocked_at_gate","failed_before_gate"))</f>
        <v>published</v>
      </c>
      <c r="R957" s="0" t="str">
        <f aca="false">IF(C957="success","",IF(E957&gt;0,IF(I957="freshness_within_target","freshness",IF(I957="relationships_intact","relationships",IF(I957="reconciliation_residual_zero","residual",I957))),IF(H957="quality_gate","gate_infra",H957)))</f>
        <v/>
      </c>
    </row>
    <row r="958" customFormat="false" ht="15" hidden="false" customHeight="false" outlineLevel="0" collapsed="false">
      <c r="A958" s="4" t="s">
        <v>3440</v>
      </c>
      <c r="B958" s="10" t="n">
        <v>46283.8020833333</v>
      </c>
      <c r="C958" s="4" t="s">
        <v>1544</v>
      </c>
      <c r="D958" s="4" t="n">
        <v>914</v>
      </c>
      <c r="E958" s="4" t="n">
        <v>7</v>
      </c>
      <c r="F958" s="4" t="n">
        <v>6</v>
      </c>
      <c r="G958" s="4" t="n">
        <v>0</v>
      </c>
      <c r="J958" s="11" t="b">
        <f aca="false">TRUE()</f>
        <v>1</v>
      </c>
      <c r="K958" s="4" t="s">
        <v>3441</v>
      </c>
      <c r="L958" s="4" t="n">
        <v>4</v>
      </c>
      <c r="M958" s="4" t="n">
        <v>4</v>
      </c>
      <c r="N958" s="4" t="n">
        <v>4</v>
      </c>
      <c r="O958" s="4" t="n">
        <v>4</v>
      </c>
      <c r="P958" s="0" t="str">
        <f aca="false">IF(E958=0,"not_reached",IF(AND(F958&gt;0,G958=0),"allowed","blocked"))</f>
        <v>allowed</v>
      </c>
      <c r="Q958" s="0" t="str">
        <f aca="false">IF(C958="success","published",IF(E958&gt;0,"blocked_at_gate","failed_before_gate"))</f>
        <v>published</v>
      </c>
      <c r="R958" s="0" t="str">
        <f aca="false">IF(C958="success","",IF(E958&gt;0,IF(I958="freshness_within_target","freshness",IF(I958="relationships_intact","relationships",IF(I958="reconciliation_residual_zero","residual",I958))),IF(H958="quality_gate","gate_infra",H958)))</f>
        <v/>
      </c>
    </row>
    <row r="959" customFormat="false" ht="15" hidden="false" customHeight="false" outlineLevel="0" collapsed="false">
      <c r="A959" s="4" t="s">
        <v>3442</v>
      </c>
      <c r="B959" s="10" t="n">
        <v>46283.84375</v>
      </c>
      <c r="C959" s="4" t="s">
        <v>1544</v>
      </c>
      <c r="D959" s="4" t="n">
        <v>906</v>
      </c>
      <c r="E959" s="4" t="n">
        <v>7</v>
      </c>
      <c r="F959" s="4" t="n">
        <v>6</v>
      </c>
      <c r="G959" s="4" t="n">
        <v>0</v>
      </c>
      <c r="J959" s="11" t="b">
        <f aca="false">TRUE()</f>
        <v>1</v>
      </c>
      <c r="K959" s="4" t="s">
        <v>3443</v>
      </c>
      <c r="L959" s="4" t="n">
        <v>4</v>
      </c>
      <c r="M959" s="4" t="n">
        <v>4</v>
      </c>
      <c r="N959" s="4" t="n">
        <v>4</v>
      </c>
      <c r="O959" s="4" t="n">
        <v>4</v>
      </c>
      <c r="P959" s="0" t="str">
        <f aca="false">IF(E959=0,"not_reached",IF(AND(F959&gt;0,G959=0),"allowed","blocked"))</f>
        <v>allowed</v>
      </c>
      <c r="Q959" s="0" t="str">
        <f aca="false">IF(C959="success","published",IF(E959&gt;0,"blocked_at_gate","failed_before_gate"))</f>
        <v>published</v>
      </c>
      <c r="R959" s="0" t="str">
        <f aca="false">IF(C959="success","",IF(E959&gt;0,IF(I959="freshness_within_target","freshness",IF(I959="relationships_intact","relationships",IF(I959="reconciliation_residual_zero","residual",I959))),IF(H959="quality_gate","gate_infra",H959)))</f>
        <v/>
      </c>
    </row>
    <row r="960" customFormat="false" ht="15" hidden="false" customHeight="false" outlineLevel="0" collapsed="false">
      <c r="A960" s="4" t="s">
        <v>3444</v>
      </c>
      <c r="B960" s="10" t="n">
        <v>46283.8854166667</v>
      </c>
      <c r="C960" s="4" t="s">
        <v>1544</v>
      </c>
      <c r="D960" s="4" t="n">
        <v>703</v>
      </c>
      <c r="E960" s="4" t="n">
        <v>7</v>
      </c>
      <c r="F960" s="4" t="n">
        <v>6</v>
      </c>
      <c r="G960" s="4" t="n">
        <v>0</v>
      </c>
      <c r="J960" s="11" t="b">
        <f aca="false">TRUE()</f>
        <v>1</v>
      </c>
      <c r="K960" s="4" t="s">
        <v>3445</v>
      </c>
      <c r="L960" s="4" t="n">
        <v>4</v>
      </c>
      <c r="M960" s="4" t="n">
        <v>4</v>
      </c>
      <c r="N960" s="4" t="n">
        <v>4</v>
      </c>
      <c r="O960" s="4" t="n">
        <v>4</v>
      </c>
      <c r="P960" s="0" t="str">
        <f aca="false">IF(E960=0,"not_reached",IF(AND(F960&gt;0,G960=0),"allowed","blocked"))</f>
        <v>allowed</v>
      </c>
      <c r="Q960" s="0" t="str">
        <f aca="false">IF(C960="success","published",IF(E960&gt;0,"blocked_at_gate","failed_before_gate"))</f>
        <v>published</v>
      </c>
      <c r="R960" s="0" t="str">
        <f aca="false">IF(C960="success","",IF(E960&gt;0,IF(I960="freshness_within_target","freshness",IF(I960="relationships_intact","relationships",IF(I960="reconciliation_residual_zero","residual",I960))),IF(H960="quality_gate","gate_infra",H960)))</f>
        <v/>
      </c>
    </row>
    <row r="961" customFormat="false" ht="15" hidden="false" customHeight="false" outlineLevel="0" collapsed="false">
      <c r="A961" s="4" t="s">
        <v>3446</v>
      </c>
      <c r="B961" s="10" t="n">
        <v>46283.9270833333</v>
      </c>
      <c r="C961" s="4" t="s">
        <v>1544</v>
      </c>
      <c r="D961" s="4" t="n">
        <v>683</v>
      </c>
      <c r="E961" s="4" t="n">
        <v>7</v>
      </c>
      <c r="F961" s="4" t="n">
        <v>6</v>
      </c>
      <c r="G961" s="4" t="n">
        <v>0</v>
      </c>
      <c r="J961" s="11" t="b">
        <f aca="false">TRUE()</f>
        <v>1</v>
      </c>
      <c r="K961" s="4" t="s">
        <v>3447</v>
      </c>
      <c r="L961" s="4" t="n">
        <v>4</v>
      </c>
      <c r="M961" s="4" t="n">
        <v>4</v>
      </c>
      <c r="N961" s="4" t="n">
        <v>4</v>
      </c>
      <c r="O961" s="4" t="n">
        <v>4</v>
      </c>
      <c r="P961" s="0" t="str">
        <f aca="false">IF(E961=0,"not_reached",IF(AND(F961&gt;0,G961=0),"allowed","blocked"))</f>
        <v>allowed</v>
      </c>
      <c r="Q961" s="0" t="str">
        <f aca="false">IF(C961="success","published",IF(E961&gt;0,"blocked_at_gate","failed_before_gate"))</f>
        <v>published</v>
      </c>
      <c r="R961" s="0" t="str">
        <f aca="false">IF(C961="success","",IF(E961&gt;0,IF(I961="freshness_within_target","freshness",IF(I961="relationships_intact","relationships",IF(I961="reconciliation_residual_zero","residual",I961))),IF(H961="quality_gate","gate_infra",H961)))</f>
        <v/>
      </c>
    </row>
    <row r="962" customFormat="false" ht="15" hidden="false" customHeight="false" outlineLevel="0" collapsed="false">
      <c r="A962" s="4" t="s">
        <v>3448</v>
      </c>
      <c r="B962" s="10" t="n">
        <v>46283.96875</v>
      </c>
      <c r="C962" s="4" t="s">
        <v>1544</v>
      </c>
      <c r="D962" s="4" t="n">
        <v>858</v>
      </c>
      <c r="E962" s="4" t="n">
        <v>7</v>
      </c>
      <c r="F962" s="4" t="n">
        <v>6</v>
      </c>
      <c r="G962" s="4" t="n">
        <v>0</v>
      </c>
      <c r="J962" s="11" t="b">
        <f aca="false">TRUE()</f>
        <v>1</v>
      </c>
      <c r="K962" s="4" t="s">
        <v>3449</v>
      </c>
      <c r="L962" s="4" t="n">
        <v>4</v>
      </c>
      <c r="M962" s="4" t="n">
        <v>4</v>
      </c>
      <c r="N962" s="4" t="n">
        <v>4</v>
      </c>
      <c r="O962" s="4" t="n">
        <v>4</v>
      </c>
      <c r="P962" s="0" t="str">
        <f aca="false">IF(E962=0,"not_reached",IF(AND(F962&gt;0,G962=0),"allowed","blocked"))</f>
        <v>allowed</v>
      </c>
      <c r="Q962" s="0" t="str">
        <f aca="false">IF(C962="success","published",IF(E962&gt;0,"blocked_at_gate","failed_before_gate"))</f>
        <v>published</v>
      </c>
      <c r="R962" s="0" t="str">
        <f aca="false">IF(C962="success","",IF(E962&gt;0,IF(I962="freshness_within_target","freshness",IF(I962="relationships_intact","relationships",IF(I962="reconciliation_residual_zero","residual",I962))),IF(H962="quality_gate","gate_infra",H962)))</f>
        <v/>
      </c>
    </row>
    <row r="963" customFormat="false" ht="15" hidden="false" customHeight="false" outlineLevel="0" collapsed="false">
      <c r="A963" s="4" t="s">
        <v>3450</v>
      </c>
      <c r="B963" s="10" t="n">
        <v>46284.0104166667</v>
      </c>
      <c r="C963" s="4" t="s">
        <v>1544</v>
      </c>
      <c r="D963" s="4" t="n">
        <v>750</v>
      </c>
      <c r="E963" s="4" t="n">
        <v>7</v>
      </c>
      <c r="F963" s="4" t="n">
        <v>6</v>
      </c>
      <c r="G963" s="4" t="n">
        <v>0</v>
      </c>
      <c r="J963" s="11" t="b">
        <f aca="false">TRUE()</f>
        <v>1</v>
      </c>
      <c r="K963" s="4" t="s">
        <v>3451</v>
      </c>
      <c r="L963" s="4" t="n">
        <v>4</v>
      </c>
      <c r="M963" s="4" t="n">
        <v>4</v>
      </c>
      <c r="N963" s="4" t="n">
        <v>4</v>
      </c>
      <c r="O963" s="4" t="n">
        <v>4</v>
      </c>
      <c r="P963" s="0" t="str">
        <f aca="false">IF(E963=0,"not_reached",IF(AND(F963&gt;0,G963=0),"allowed","blocked"))</f>
        <v>allowed</v>
      </c>
      <c r="Q963" s="0" t="str">
        <f aca="false">IF(C963="success","published",IF(E963&gt;0,"blocked_at_gate","failed_before_gate"))</f>
        <v>published</v>
      </c>
      <c r="R963" s="0" t="str">
        <f aca="false">IF(C963="success","",IF(E963&gt;0,IF(I963="freshness_within_target","freshness",IF(I963="relationships_intact","relationships",IF(I963="reconciliation_residual_zero","residual",I963))),IF(H963="quality_gate","gate_infra",H963)))</f>
        <v/>
      </c>
    </row>
    <row r="964" customFormat="false" ht="15" hidden="false" customHeight="false" outlineLevel="0" collapsed="false">
      <c r="A964" s="4" t="s">
        <v>3452</v>
      </c>
      <c r="B964" s="10" t="n">
        <v>46284.0520833333</v>
      </c>
      <c r="C964" s="4" t="s">
        <v>1544</v>
      </c>
      <c r="D964" s="4" t="n">
        <v>954</v>
      </c>
      <c r="E964" s="4" t="n">
        <v>7</v>
      </c>
      <c r="F964" s="4" t="n">
        <v>6</v>
      </c>
      <c r="G964" s="4" t="n">
        <v>0</v>
      </c>
      <c r="J964" s="11" t="b">
        <f aca="false">TRUE()</f>
        <v>1</v>
      </c>
      <c r="K964" s="4" t="s">
        <v>3453</v>
      </c>
      <c r="L964" s="4" t="n">
        <v>4</v>
      </c>
      <c r="M964" s="4" t="n">
        <v>4</v>
      </c>
      <c r="N964" s="4" t="n">
        <v>4</v>
      </c>
      <c r="O964" s="4" t="n">
        <v>4</v>
      </c>
      <c r="P964" s="0" t="str">
        <f aca="false">IF(E964=0,"not_reached",IF(AND(F964&gt;0,G964=0),"allowed","blocked"))</f>
        <v>allowed</v>
      </c>
      <c r="Q964" s="0" t="str">
        <f aca="false">IF(C964="success","published",IF(E964&gt;0,"blocked_at_gate","failed_before_gate"))</f>
        <v>published</v>
      </c>
      <c r="R964" s="0" t="str">
        <f aca="false">IF(C964="success","",IF(E964&gt;0,IF(I964="freshness_within_target","freshness",IF(I964="relationships_intact","relationships",IF(I964="reconciliation_residual_zero","residual",I964))),IF(H964="quality_gate","gate_infra",H964)))</f>
        <v/>
      </c>
    </row>
    <row r="965" customFormat="false" ht="15" hidden="false" customHeight="false" outlineLevel="0" collapsed="false">
      <c r="A965" s="4" t="s">
        <v>3454</v>
      </c>
      <c r="B965" s="10" t="n">
        <v>46284.09375</v>
      </c>
      <c r="C965" s="4" t="s">
        <v>1544</v>
      </c>
      <c r="D965" s="4" t="n">
        <v>706</v>
      </c>
      <c r="E965" s="4" t="n">
        <v>7</v>
      </c>
      <c r="F965" s="4" t="n">
        <v>6</v>
      </c>
      <c r="G965" s="4" t="n">
        <v>0</v>
      </c>
      <c r="J965" s="11" t="b">
        <f aca="false">TRUE()</f>
        <v>1</v>
      </c>
      <c r="K965" s="4" t="s">
        <v>3455</v>
      </c>
      <c r="L965" s="4" t="n">
        <v>4</v>
      </c>
      <c r="M965" s="4" t="n">
        <v>4</v>
      </c>
      <c r="N965" s="4" t="n">
        <v>4</v>
      </c>
      <c r="O965" s="4" t="n">
        <v>4</v>
      </c>
      <c r="P965" s="0" t="str">
        <f aca="false">IF(E965=0,"not_reached",IF(AND(F965&gt;0,G965=0),"allowed","blocked"))</f>
        <v>allowed</v>
      </c>
      <c r="Q965" s="0" t="str">
        <f aca="false">IF(C965="success","published",IF(E965&gt;0,"blocked_at_gate","failed_before_gate"))</f>
        <v>published</v>
      </c>
      <c r="R965" s="0" t="str">
        <f aca="false">IF(C965="success","",IF(E965&gt;0,IF(I965="freshness_within_target","freshness",IF(I965="relationships_intact","relationships",IF(I965="reconciliation_residual_zero","residual",I965))),IF(H965="quality_gate","gate_infra",H965)))</f>
        <v/>
      </c>
    </row>
    <row r="966" customFormat="false" ht="15" hidden="false" customHeight="false" outlineLevel="0" collapsed="false">
      <c r="A966" s="4" t="s">
        <v>3456</v>
      </c>
      <c r="B966" s="10" t="n">
        <v>46284.1354166667</v>
      </c>
      <c r="C966" s="4" t="s">
        <v>1544</v>
      </c>
      <c r="D966" s="4" t="n">
        <v>763</v>
      </c>
      <c r="E966" s="4" t="n">
        <v>7</v>
      </c>
      <c r="F966" s="4" t="n">
        <v>6</v>
      </c>
      <c r="G966" s="4" t="n">
        <v>0</v>
      </c>
      <c r="J966" s="11" t="b">
        <f aca="false">TRUE()</f>
        <v>1</v>
      </c>
      <c r="K966" s="4" t="s">
        <v>3457</v>
      </c>
      <c r="L966" s="4" t="n">
        <v>4</v>
      </c>
      <c r="M966" s="4" t="n">
        <v>4</v>
      </c>
      <c r="N966" s="4" t="n">
        <v>4</v>
      </c>
      <c r="O966" s="4" t="n">
        <v>4</v>
      </c>
      <c r="P966" s="0" t="str">
        <f aca="false">IF(E966=0,"not_reached",IF(AND(F966&gt;0,G966=0),"allowed","blocked"))</f>
        <v>allowed</v>
      </c>
      <c r="Q966" s="0" t="str">
        <f aca="false">IF(C966="success","published",IF(E966&gt;0,"blocked_at_gate","failed_before_gate"))</f>
        <v>published</v>
      </c>
      <c r="R966" s="0" t="str">
        <f aca="false">IF(C966="success","",IF(E966&gt;0,IF(I966="freshness_within_target","freshness",IF(I966="relationships_intact","relationships",IF(I966="reconciliation_residual_zero","residual",I966))),IF(H966="quality_gate","gate_infra",H966)))</f>
        <v/>
      </c>
    </row>
    <row r="967" customFormat="false" ht="15" hidden="false" customHeight="false" outlineLevel="0" collapsed="false">
      <c r="A967" s="4" t="s">
        <v>3458</v>
      </c>
      <c r="B967" s="10" t="n">
        <v>46284.1770833333</v>
      </c>
      <c r="C967" s="4" t="s">
        <v>1544</v>
      </c>
      <c r="D967" s="4" t="n">
        <v>891</v>
      </c>
      <c r="E967" s="4" t="n">
        <v>7</v>
      </c>
      <c r="F967" s="4" t="n">
        <v>6</v>
      </c>
      <c r="G967" s="4" t="n">
        <v>0</v>
      </c>
      <c r="J967" s="11" t="b">
        <f aca="false">TRUE()</f>
        <v>1</v>
      </c>
      <c r="K967" s="4" t="s">
        <v>3459</v>
      </c>
      <c r="L967" s="4" t="n">
        <v>4</v>
      </c>
      <c r="M967" s="4" t="n">
        <v>4</v>
      </c>
      <c r="N967" s="4" t="n">
        <v>4</v>
      </c>
      <c r="O967" s="4" t="n">
        <v>4</v>
      </c>
      <c r="P967" s="0" t="str">
        <f aca="false">IF(E967=0,"not_reached",IF(AND(F967&gt;0,G967=0),"allowed","blocked"))</f>
        <v>allowed</v>
      </c>
      <c r="Q967" s="0" t="str">
        <f aca="false">IF(C967="success","published",IF(E967&gt;0,"blocked_at_gate","failed_before_gate"))</f>
        <v>published</v>
      </c>
      <c r="R967" s="0" t="str">
        <f aca="false">IF(C967="success","",IF(E967&gt;0,IF(I967="freshness_within_target","freshness",IF(I967="relationships_intact","relationships",IF(I967="reconciliation_residual_zero","residual",I967))),IF(H967="quality_gate","gate_infra",H967)))</f>
        <v/>
      </c>
    </row>
    <row r="968" customFormat="false" ht="15" hidden="false" customHeight="false" outlineLevel="0" collapsed="false">
      <c r="A968" s="4" t="s">
        <v>3460</v>
      </c>
      <c r="B968" s="10" t="n">
        <v>46284.21875</v>
      </c>
      <c r="C968" s="4" t="s">
        <v>1544</v>
      </c>
      <c r="D968" s="4" t="n">
        <v>1165</v>
      </c>
      <c r="E968" s="4" t="n">
        <v>7</v>
      </c>
      <c r="F968" s="4" t="n">
        <v>6</v>
      </c>
      <c r="G968" s="4" t="n">
        <v>0</v>
      </c>
      <c r="J968" s="11" t="b">
        <f aca="false">TRUE()</f>
        <v>1</v>
      </c>
      <c r="K968" s="4" t="s">
        <v>3461</v>
      </c>
      <c r="L968" s="4" t="n">
        <v>4</v>
      </c>
      <c r="M968" s="4" t="n">
        <v>4</v>
      </c>
      <c r="N968" s="4" t="n">
        <v>5</v>
      </c>
      <c r="O968" s="4" t="n">
        <v>4</v>
      </c>
      <c r="P968" s="0" t="str">
        <f aca="false">IF(E968=0,"not_reached",IF(AND(F968&gt;0,G968=0),"allowed","blocked"))</f>
        <v>allowed</v>
      </c>
      <c r="Q968" s="0" t="str">
        <f aca="false">IF(C968="success","published",IF(E968&gt;0,"blocked_at_gate","failed_before_gate"))</f>
        <v>published</v>
      </c>
      <c r="R968" s="0" t="str">
        <f aca="false">IF(C968="success","",IF(E968&gt;0,IF(I968="freshness_within_target","freshness",IF(I968="relationships_intact","relationships",IF(I968="reconciliation_residual_zero","residual",I968))),IF(H968="quality_gate","gate_infra",H968)))</f>
        <v/>
      </c>
    </row>
    <row r="969" customFormat="false" ht="15" hidden="false" customHeight="false" outlineLevel="0" collapsed="false">
      <c r="A969" s="4" t="s">
        <v>3462</v>
      </c>
      <c r="B969" s="10" t="n">
        <v>46284.2604166667</v>
      </c>
      <c r="C969" s="4" t="s">
        <v>1544</v>
      </c>
      <c r="D969" s="4" t="n">
        <v>949</v>
      </c>
      <c r="E969" s="4" t="n">
        <v>7</v>
      </c>
      <c r="F969" s="4" t="n">
        <v>6</v>
      </c>
      <c r="G969" s="4" t="n">
        <v>0</v>
      </c>
      <c r="J969" s="11" t="b">
        <f aca="false">TRUE()</f>
        <v>1</v>
      </c>
      <c r="K969" s="4" t="s">
        <v>3463</v>
      </c>
      <c r="L969" s="4" t="n">
        <v>4</v>
      </c>
      <c r="M969" s="4" t="n">
        <v>4</v>
      </c>
      <c r="N969" s="4" t="n">
        <v>4</v>
      </c>
      <c r="O969" s="4" t="n">
        <v>4</v>
      </c>
      <c r="P969" s="0" t="str">
        <f aca="false">IF(E969=0,"not_reached",IF(AND(F969&gt;0,G969=0),"allowed","blocked"))</f>
        <v>allowed</v>
      </c>
      <c r="Q969" s="0" t="str">
        <f aca="false">IF(C969="success","published",IF(E969&gt;0,"blocked_at_gate","failed_before_gate"))</f>
        <v>published</v>
      </c>
      <c r="R969" s="0" t="str">
        <f aca="false">IF(C969="success","",IF(E969&gt;0,IF(I969="freshness_within_target","freshness",IF(I969="relationships_intact","relationships",IF(I969="reconciliation_residual_zero","residual",I969))),IF(H969="quality_gate","gate_infra",H969)))</f>
        <v/>
      </c>
    </row>
    <row r="970" customFormat="false" ht="15" hidden="false" customHeight="false" outlineLevel="0" collapsed="false">
      <c r="A970" s="4" t="s">
        <v>3464</v>
      </c>
      <c r="B970" s="10" t="n">
        <v>46284.3020833333</v>
      </c>
      <c r="C970" s="4" t="s">
        <v>1544</v>
      </c>
      <c r="D970" s="4" t="n">
        <v>744</v>
      </c>
      <c r="E970" s="4" t="n">
        <v>7</v>
      </c>
      <c r="F970" s="4" t="n">
        <v>6</v>
      </c>
      <c r="G970" s="4" t="n">
        <v>0</v>
      </c>
      <c r="J970" s="11" t="b">
        <f aca="false">TRUE()</f>
        <v>1</v>
      </c>
      <c r="K970" s="4" t="s">
        <v>3465</v>
      </c>
      <c r="L970" s="4" t="n">
        <v>4</v>
      </c>
      <c r="M970" s="4" t="n">
        <v>4</v>
      </c>
      <c r="N970" s="4" t="n">
        <v>4</v>
      </c>
      <c r="O970" s="4" t="n">
        <v>4</v>
      </c>
      <c r="P970" s="0" t="str">
        <f aca="false">IF(E970=0,"not_reached",IF(AND(F970&gt;0,G970=0),"allowed","blocked"))</f>
        <v>allowed</v>
      </c>
      <c r="Q970" s="0" t="str">
        <f aca="false">IF(C970="success","published",IF(E970&gt;0,"blocked_at_gate","failed_before_gate"))</f>
        <v>published</v>
      </c>
      <c r="R970" s="0" t="str">
        <f aca="false">IF(C970="success","",IF(E970&gt;0,IF(I970="freshness_within_target","freshness",IF(I970="relationships_intact","relationships",IF(I970="reconciliation_residual_zero","residual",I970))),IF(H970="quality_gate","gate_infra",H970)))</f>
        <v/>
      </c>
    </row>
    <row r="971" customFormat="false" ht="15" hidden="false" customHeight="false" outlineLevel="0" collapsed="false">
      <c r="A971" s="4" t="s">
        <v>3466</v>
      </c>
      <c r="B971" s="10" t="n">
        <v>46284.34375</v>
      </c>
      <c r="C971" s="4" t="s">
        <v>1544</v>
      </c>
      <c r="D971" s="4" t="n">
        <v>876</v>
      </c>
      <c r="E971" s="4" t="n">
        <v>7</v>
      </c>
      <c r="F971" s="4" t="n">
        <v>6</v>
      </c>
      <c r="G971" s="4" t="n">
        <v>0</v>
      </c>
      <c r="J971" s="11" t="b">
        <f aca="false">TRUE()</f>
        <v>1</v>
      </c>
      <c r="K971" s="4" t="s">
        <v>3467</v>
      </c>
      <c r="L971" s="4" t="n">
        <v>4</v>
      </c>
      <c r="M971" s="4" t="n">
        <v>4</v>
      </c>
      <c r="N971" s="4" t="n">
        <v>4</v>
      </c>
      <c r="O971" s="4" t="n">
        <v>4</v>
      </c>
      <c r="P971" s="0" t="str">
        <f aca="false">IF(E971=0,"not_reached",IF(AND(F971&gt;0,G971=0),"allowed","blocked"))</f>
        <v>allowed</v>
      </c>
      <c r="Q971" s="0" t="str">
        <f aca="false">IF(C971="success","published",IF(E971&gt;0,"blocked_at_gate","failed_before_gate"))</f>
        <v>published</v>
      </c>
      <c r="R971" s="0" t="str">
        <f aca="false">IF(C971="success","",IF(E971&gt;0,IF(I971="freshness_within_target","freshness",IF(I971="relationships_intact","relationships",IF(I971="reconciliation_residual_zero","residual",I971))),IF(H971="quality_gate","gate_infra",H971)))</f>
        <v/>
      </c>
    </row>
    <row r="972" customFormat="false" ht="15" hidden="false" customHeight="false" outlineLevel="0" collapsed="false">
      <c r="A972" s="4" t="s">
        <v>3468</v>
      </c>
      <c r="B972" s="10" t="n">
        <v>46284.3854166667</v>
      </c>
      <c r="C972" s="4" t="s">
        <v>1544</v>
      </c>
      <c r="D972" s="4" t="n">
        <v>894</v>
      </c>
      <c r="E972" s="4" t="n">
        <v>7</v>
      </c>
      <c r="F972" s="4" t="n">
        <v>6</v>
      </c>
      <c r="G972" s="4" t="n">
        <v>0</v>
      </c>
      <c r="J972" s="11" t="b">
        <f aca="false">TRUE()</f>
        <v>1</v>
      </c>
      <c r="K972" s="4" t="s">
        <v>3469</v>
      </c>
      <c r="L972" s="4" t="n">
        <v>4</v>
      </c>
      <c r="M972" s="4" t="n">
        <v>4</v>
      </c>
      <c r="N972" s="4" t="n">
        <v>4</v>
      </c>
      <c r="O972" s="4" t="n">
        <v>4</v>
      </c>
      <c r="P972" s="0" t="str">
        <f aca="false">IF(E972=0,"not_reached",IF(AND(F972&gt;0,G972=0),"allowed","blocked"))</f>
        <v>allowed</v>
      </c>
      <c r="Q972" s="0" t="str">
        <f aca="false">IF(C972="success","published",IF(E972&gt;0,"blocked_at_gate","failed_before_gate"))</f>
        <v>published</v>
      </c>
      <c r="R972" s="0" t="str">
        <f aca="false">IF(C972="success","",IF(E972&gt;0,IF(I972="freshness_within_target","freshness",IF(I972="relationships_intact","relationships",IF(I972="reconciliation_residual_zero","residual",I972))),IF(H972="quality_gate","gate_infra",H972)))</f>
        <v/>
      </c>
    </row>
    <row r="973" customFormat="false" ht="15" hidden="false" customHeight="false" outlineLevel="0" collapsed="false">
      <c r="A973" s="4" t="s">
        <v>3470</v>
      </c>
      <c r="B973" s="10" t="n">
        <v>46284.4270833333</v>
      </c>
      <c r="C973" s="4" t="s">
        <v>1544</v>
      </c>
      <c r="D973" s="4" t="n">
        <v>1013</v>
      </c>
      <c r="E973" s="4" t="n">
        <v>7</v>
      </c>
      <c r="F973" s="4" t="n">
        <v>6</v>
      </c>
      <c r="G973" s="4" t="n">
        <v>0</v>
      </c>
      <c r="J973" s="11" t="b">
        <f aca="false">TRUE()</f>
        <v>1</v>
      </c>
      <c r="K973" s="4" t="s">
        <v>3471</v>
      </c>
      <c r="L973" s="4" t="n">
        <v>4</v>
      </c>
      <c r="M973" s="4" t="n">
        <v>4</v>
      </c>
      <c r="N973" s="4" t="n">
        <v>5</v>
      </c>
      <c r="O973" s="4" t="n">
        <v>4</v>
      </c>
      <c r="P973" s="0" t="str">
        <f aca="false">IF(E973=0,"not_reached",IF(AND(F973&gt;0,G973=0),"allowed","blocked"))</f>
        <v>allowed</v>
      </c>
      <c r="Q973" s="0" t="str">
        <f aca="false">IF(C973="success","published",IF(E973&gt;0,"blocked_at_gate","failed_before_gate"))</f>
        <v>published</v>
      </c>
      <c r="R973" s="0" t="str">
        <f aca="false">IF(C973="success","",IF(E973&gt;0,IF(I973="freshness_within_target","freshness",IF(I973="relationships_intact","relationships",IF(I973="reconciliation_residual_zero","residual",I973))),IF(H973="quality_gate","gate_infra",H973)))</f>
        <v/>
      </c>
    </row>
    <row r="974" customFormat="false" ht="15" hidden="false" customHeight="false" outlineLevel="0" collapsed="false">
      <c r="A974" s="4" t="s">
        <v>3472</v>
      </c>
      <c r="B974" s="10" t="n">
        <v>46284.46875</v>
      </c>
      <c r="C974" s="4" t="s">
        <v>1544</v>
      </c>
      <c r="D974" s="4" t="n">
        <v>797</v>
      </c>
      <c r="E974" s="4" t="n">
        <v>7</v>
      </c>
      <c r="F974" s="4" t="n">
        <v>6</v>
      </c>
      <c r="G974" s="4" t="n">
        <v>0</v>
      </c>
      <c r="J974" s="11" t="b">
        <f aca="false">TRUE()</f>
        <v>1</v>
      </c>
      <c r="K974" s="4" t="s">
        <v>3473</v>
      </c>
      <c r="L974" s="4" t="n">
        <v>4</v>
      </c>
      <c r="M974" s="4" t="n">
        <v>4</v>
      </c>
      <c r="N974" s="4" t="n">
        <v>4</v>
      </c>
      <c r="O974" s="4" t="n">
        <v>4</v>
      </c>
      <c r="P974" s="0" t="str">
        <f aca="false">IF(E974=0,"not_reached",IF(AND(F974&gt;0,G974=0),"allowed","blocked"))</f>
        <v>allowed</v>
      </c>
      <c r="Q974" s="0" t="str">
        <f aca="false">IF(C974="success","published",IF(E974&gt;0,"blocked_at_gate","failed_before_gate"))</f>
        <v>published</v>
      </c>
      <c r="R974" s="0" t="str">
        <f aca="false">IF(C974="success","",IF(E974&gt;0,IF(I974="freshness_within_target","freshness",IF(I974="relationships_intact","relationships",IF(I974="reconciliation_residual_zero","residual",I974))),IF(H974="quality_gate","gate_infra",H974)))</f>
        <v/>
      </c>
    </row>
    <row r="975" customFormat="false" ht="15" hidden="false" customHeight="false" outlineLevel="0" collapsed="false">
      <c r="A975" s="4" t="s">
        <v>3474</v>
      </c>
      <c r="B975" s="10" t="n">
        <v>46284.5104166667</v>
      </c>
      <c r="C975" s="4" t="s">
        <v>1544</v>
      </c>
      <c r="D975" s="4" t="n">
        <v>833</v>
      </c>
      <c r="E975" s="4" t="n">
        <v>7</v>
      </c>
      <c r="F975" s="4" t="n">
        <v>6</v>
      </c>
      <c r="G975" s="4" t="n">
        <v>0</v>
      </c>
      <c r="J975" s="11" t="b">
        <f aca="false">TRUE()</f>
        <v>1</v>
      </c>
      <c r="K975" s="4" t="s">
        <v>3475</v>
      </c>
      <c r="L975" s="4" t="n">
        <v>4</v>
      </c>
      <c r="M975" s="4" t="n">
        <v>4</v>
      </c>
      <c r="N975" s="4" t="n">
        <v>4</v>
      </c>
      <c r="O975" s="4" t="n">
        <v>4</v>
      </c>
      <c r="P975" s="0" t="str">
        <f aca="false">IF(E975=0,"not_reached",IF(AND(F975&gt;0,G975=0),"allowed","blocked"))</f>
        <v>allowed</v>
      </c>
      <c r="Q975" s="0" t="str">
        <f aca="false">IF(C975="success","published",IF(E975&gt;0,"blocked_at_gate","failed_before_gate"))</f>
        <v>published</v>
      </c>
      <c r="R975" s="0" t="str">
        <f aca="false">IF(C975="success","",IF(E975&gt;0,IF(I975="freshness_within_target","freshness",IF(I975="relationships_intact","relationships",IF(I975="reconciliation_residual_zero","residual",I975))),IF(H975="quality_gate","gate_infra",H975)))</f>
        <v/>
      </c>
    </row>
    <row r="976" customFormat="false" ht="15" hidden="false" customHeight="false" outlineLevel="0" collapsed="false">
      <c r="A976" s="4" t="s">
        <v>3476</v>
      </c>
      <c r="B976" s="10" t="n">
        <v>46284.5520833333</v>
      </c>
      <c r="C976" s="4" t="s">
        <v>1544</v>
      </c>
      <c r="D976" s="4" t="n">
        <v>922</v>
      </c>
      <c r="E976" s="4" t="n">
        <v>7</v>
      </c>
      <c r="F976" s="4" t="n">
        <v>6</v>
      </c>
      <c r="G976" s="4" t="n">
        <v>0</v>
      </c>
      <c r="J976" s="11" t="b">
        <f aca="false">TRUE()</f>
        <v>1</v>
      </c>
      <c r="K976" s="4" t="s">
        <v>3477</v>
      </c>
      <c r="L976" s="4" t="n">
        <v>4</v>
      </c>
      <c r="M976" s="4" t="n">
        <v>4</v>
      </c>
      <c r="N976" s="4" t="n">
        <v>4</v>
      </c>
      <c r="O976" s="4" t="n">
        <v>4</v>
      </c>
      <c r="P976" s="0" t="str">
        <f aca="false">IF(E976=0,"not_reached",IF(AND(F976&gt;0,G976=0),"allowed","blocked"))</f>
        <v>allowed</v>
      </c>
      <c r="Q976" s="0" t="str">
        <f aca="false">IF(C976="success","published",IF(E976&gt;0,"blocked_at_gate","failed_before_gate"))</f>
        <v>published</v>
      </c>
      <c r="R976" s="0" t="str">
        <f aca="false">IF(C976="success","",IF(E976&gt;0,IF(I976="freshness_within_target","freshness",IF(I976="relationships_intact","relationships",IF(I976="reconciliation_residual_zero","residual",I976))),IF(H976="quality_gate","gate_infra",H976)))</f>
        <v/>
      </c>
    </row>
    <row r="977" customFormat="false" ht="15" hidden="false" customHeight="false" outlineLevel="0" collapsed="false">
      <c r="A977" s="4" t="s">
        <v>3478</v>
      </c>
      <c r="B977" s="10" t="n">
        <v>46284.59375</v>
      </c>
      <c r="C977" s="4" t="s">
        <v>1544</v>
      </c>
      <c r="D977" s="4" t="n">
        <v>860</v>
      </c>
      <c r="E977" s="4" t="n">
        <v>7</v>
      </c>
      <c r="F977" s="4" t="n">
        <v>6</v>
      </c>
      <c r="G977" s="4" t="n">
        <v>0</v>
      </c>
      <c r="J977" s="11" t="b">
        <f aca="false">TRUE()</f>
        <v>1</v>
      </c>
      <c r="K977" s="4" t="s">
        <v>3479</v>
      </c>
      <c r="L977" s="4" t="n">
        <v>4</v>
      </c>
      <c r="M977" s="4" t="n">
        <v>4</v>
      </c>
      <c r="N977" s="4" t="n">
        <v>4</v>
      </c>
      <c r="O977" s="4" t="n">
        <v>4</v>
      </c>
      <c r="P977" s="0" t="str">
        <f aca="false">IF(E977=0,"not_reached",IF(AND(F977&gt;0,G977=0),"allowed","blocked"))</f>
        <v>allowed</v>
      </c>
      <c r="Q977" s="0" t="str">
        <f aca="false">IF(C977="success","published",IF(E977&gt;0,"blocked_at_gate","failed_before_gate"))</f>
        <v>published</v>
      </c>
      <c r="R977" s="0" t="str">
        <f aca="false">IF(C977="success","",IF(E977&gt;0,IF(I977="freshness_within_target","freshness",IF(I977="relationships_intact","relationships",IF(I977="reconciliation_residual_zero","residual",I977))),IF(H977="quality_gate","gate_infra",H977)))</f>
        <v/>
      </c>
    </row>
    <row r="978" customFormat="false" ht="15" hidden="false" customHeight="false" outlineLevel="0" collapsed="false">
      <c r="A978" s="4" t="s">
        <v>3480</v>
      </c>
      <c r="B978" s="10" t="n">
        <v>46284.6354166667</v>
      </c>
      <c r="C978" s="4" t="s">
        <v>1544</v>
      </c>
      <c r="D978" s="4" t="n">
        <v>858</v>
      </c>
      <c r="E978" s="4" t="n">
        <v>7</v>
      </c>
      <c r="F978" s="4" t="n">
        <v>6</v>
      </c>
      <c r="G978" s="4" t="n">
        <v>0</v>
      </c>
      <c r="J978" s="11" t="b">
        <f aca="false">TRUE()</f>
        <v>1</v>
      </c>
      <c r="K978" s="4" t="s">
        <v>3481</v>
      </c>
      <c r="L978" s="4" t="n">
        <v>4</v>
      </c>
      <c r="M978" s="4" t="n">
        <v>4</v>
      </c>
      <c r="N978" s="4" t="n">
        <v>4</v>
      </c>
      <c r="O978" s="4" t="n">
        <v>4</v>
      </c>
      <c r="P978" s="0" t="str">
        <f aca="false">IF(E978=0,"not_reached",IF(AND(F978&gt;0,G978=0),"allowed","blocked"))</f>
        <v>allowed</v>
      </c>
      <c r="Q978" s="0" t="str">
        <f aca="false">IF(C978="success","published",IF(E978&gt;0,"blocked_at_gate","failed_before_gate"))</f>
        <v>published</v>
      </c>
      <c r="R978" s="0" t="str">
        <f aca="false">IF(C978="success","",IF(E978&gt;0,IF(I978="freshness_within_target","freshness",IF(I978="relationships_intact","relationships",IF(I978="reconciliation_residual_zero","residual",I978))),IF(H978="quality_gate","gate_infra",H978)))</f>
        <v/>
      </c>
    </row>
    <row r="979" customFormat="false" ht="15" hidden="false" customHeight="false" outlineLevel="0" collapsed="false">
      <c r="A979" s="4" t="s">
        <v>3482</v>
      </c>
      <c r="B979" s="10" t="n">
        <v>46284.6770833333</v>
      </c>
      <c r="C979" s="4" t="s">
        <v>1544</v>
      </c>
      <c r="D979" s="4" t="n">
        <v>903</v>
      </c>
      <c r="E979" s="4" t="n">
        <v>7</v>
      </c>
      <c r="F979" s="4" t="n">
        <v>6</v>
      </c>
      <c r="G979" s="4" t="n">
        <v>0</v>
      </c>
      <c r="J979" s="11" t="b">
        <f aca="false">TRUE()</f>
        <v>1</v>
      </c>
      <c r="K979" s="4" t="s">
        <v>3483</v>
      </c>
      <c r="L979" s="4" t="n">
        <v>4</v>
      </c>
      <c r="M979" s="4" t="n">
        <v>4</v>
      </c>
      <c r="N979" s="4" t="n">
        <v>4</v>
      </c>
      <c r="O979" s="4" t="n">
        <v>4</v>
      </c>
      <c r="P979" s="0" t="str">
        <f aca="false">IF(E979=0,"not_reached",IF(AND(F979&gt;0,G979=0),"allowed","blocked"))</f>
        <v>allowed</v>
      </c>
      <c r="Q979" s="0" t="str">
        <f aca="false">IF(C979="success","published",IF(E979&gt;0,"blocked_at_gate","failed_before_gate"))</f>
        <v>published</v>
      </c>
      <c r="R979" s="0" t="str">
        <f aca="false">IF(C979="success","",IF(E979&gt;0,IF(I979="freshness_within_target","freshness",IF(I979="relationships_intact","relationships",IF(I979="reconciliation_residual_zero","residual",I979))),IF(H979="quality_gate","gate_infra",H979)))</f>
        <v/>
      </c>
    </row>
    <row r="980" customFormat="false" ht="15" hidden="false" customHeight="false" outlineLevel="0" collapsed="false">
      <c r="A980" s="4" t="s">
        <v>3484</v>
      </c>
      <c r="B980" s="10" t="n">
        <v>46284.71875</v>
      </c>
      <c r="C980" s="4" t="s">
        <v>1544</v>
      </c>
      <c r="D980" s="4" t="n">
        <v>748</v>
      </c>
      <c r="E980" s="4" t="n">
        <v>7</v>
      </c>
      <c r="F980" s="4" t="n">
        <v>6</v>
      </c>
      <c r="G980" s="4" t="n">
        <v>0</v>
      </c>
      <c r="J980" s="11" t="b">
        <f aca="false">TRUE()</f>
        <v>1</v>
      </c>
      <c r="K980" s="4" t="s">
        <v>3485</v>
      </c>
      <c r="L980" s="4" t="n">
        <v>4</v>
      </c>
      <c r="M980" s="4" t="n">
        <v>4</v>
      </c>
      <c r="N980" s="4" t="n">
        <v>4</v>
      </c>
      <c r="O980" s="4" t="n">
        <v>4</v>
      </c>
      <c r="P980" s="0" t="str">
        <f aca="false">IF(E980=0,"not_reached",IF(AND(F980&gt;0,G980=0),"allowed","blocked"))</f>
        <v>allowed</v>
      </c>
      <c r="Q980" s="0" t="str">
        <f aca="false">IF(C980="success","published",IF(E980&gt;0,"blocked_at_gate","failed_before_gate"))</f>
        <v>published</v>
      </c>
      <c r="R980" s="0" t="str">
        <f aca="false">IF(C980="success","",IF(E980&gt;0,IF(I980="freshness_within_target","freshness",IF(I980="relationships_intact","relationships",IF(I980="reconciliation_residual_zero","residual",I980))),IF(H980="quality_gate","gate_infra",H980)))</f>
        <v/>
      </c>
    </row>
    <row r="981" customFormat="false" ht="15" hidden="false" customHeight="false" outlineLevel="0" collapsed="false">
      <c r="A981" s="4" t="s">
        <v>3486</v>
      </c>
      <c r="B981" s="10" t="n">
        <v>46284.7604166667</v>
      </c>
      <c r="C981" s="4" t="s">
        <v>1544</v>
      </c>
      <c r="D981" s="4" t="n">
        <v>949</v>
      </c>
      <c r="E981" s="4" t="n">
        <v>7</v>
      </c>
      <c r="F981" s="4" t="n">
        <v>6</v>
      </c>
      <c r="G981" s="4" t="n">
        <v>0</v>
      </c>
      <c r="J981" s="11" t="b">
        <f aca="false">TRUE()</f>
        <v>1</v>
      </c>
      <c r="K981" s="4" t="s">
        <v>3487</v>
      </c>
      <c r="L981" s="4" t="n">
        <v>4</v>
      </c>
      <c r="M981" s="4" t="n">
        <v>4</v>
      </c>
      <c r="N981" s="4" t="n">
        <v>4</v>
      </c>
      <c r="O981" s="4" t="n">
        <v>4</v>
      </c>
      <c r="P981" s="0" t="str">
        <f aca="false">IF(E981=0,"not_reached",IF(AND(F981&gt;0,G981=0),"allowed","blocked"))</f>
        <v>allowed</v>
      </c>
      <c r="Q981" s="0" t="str">
        <f aca="false">IF(C981="success","published",IF(E981&gt;0,"blocked_at_gate","failed_before_gate"))</f>
        <v>published</v>
      </c>
      <c r="R981" s="0" t="str">
        <f aca="false">IF(C981="success","",IF(E981&gt;0,IF(I981="freshness_within_target","freshness",IF(I981="relationships_intact","relationships",IF(I981="reconciliation_residual_zero","residual",I981))),IF(H981="quality_gate","gate_infra",H981)))</f>
        <v/>
      </c>
    </row>
    <row r="982" customFormat="false" ht="15" hidden="false" customHeight="false" outlineLevel="0" collapsed="false">
      <c r="A982" s="4" t="s">
        <v>3488</v>
      </c>
      <c r="B982" s="10" t="n">
        <v>46284.8020833333</v>
      </c>
      <c r="C982" s="4" t="s">
        <v>1544</v>
      </c>
      <c r="D982" s="4" t="n">
        <v>947</v>
      </c>
      <c r="E982" s="4" t="n">
        <v>7</v>
      </c>
      <c r="F982" s="4" t="n">
        <v>6</v>
      </c>
      <c r="G982" s="4" t="n">
        <v>0</v>
      </c>
      <c r="J982" s="11" t="b">
        <f aca="false">TRUE()</f>
        <v>1</v>
      </c>
      <c r="K982" s="4" t="s">
        <v>3489</v>
      </c>
      <c r="L982" s="4" t="n">
        <v>4</v>
      </c>
      <c r="M982" s="4" t="n">
        <v>4</v>
      </c>
      <c r="N982" s="4" t="n">
        <v>4</v>
      </c>
      <c r="O982" s="4" t="n">
        <v>4</v>
      </c>
      <c r="P982" s="0" t="str">
        <f aca="false">IF(E982=0,"not_reached",IF(AND(F982&gt;0,G982=0),"allowed","blocked"))</f>
        <v>allowed</v>
      </c>
      <c r="Q982" s="0" t="str">
        <f aca="false">IF(C982="success","published",IF(E982&gt;0,"blocked_at_gate","failed_before_gate"))</f>
        <v>published</v>
      </c>
      <c r="R982" s="0" t="str">
        <f aca="false">IF(C982="success","",IF(E982&gt;0,IF(I982="freshness_within_target","freshness",IF(I982="relationships_intact","relationships",IF(I982="reconciliation_residual_zero","residual",I982))),IF(H982="quality_gate","gate_infra",H982)))</f>
        <v/>
      </c>
    </row>
    <row r="983" customFormat="false" ht="15" hidden="false" customHeight="false" outlineLevel="0" collapsed="false">
      <c r="A983" s="4" t="s">
        <v>3490</v>
      </c>
      <c r="B983" s="10" t="n">
        <v>46284.84375</v>
      </c>
      <c r="C983" s="4" t="s">
        <v>1544</v>
      </c>
      <c r="D983" s="4" t="n">
        <v>789</v>
      </c>
      <c r="E983" s="4" t="n">
        <v>7</v>
      </c>
      <c r="F983" s="4" t="n">
        <v>6</v>
      </c>
      <c r="G983" s="4" t="n">
        <v>0</v>
      </c>
      <c r="J983" s="11" t="b">
        <f aca="false">TRUE()</f>
        <v>1</v>
      </c>
      <c r="K983" s="4" t="s">
        <v>3491</v>
      </c>
      <c r="L983" s="4" t="n">
        <v>4</v>
      </c>
      <c r="M983" s="4" t="n">
        <v>4</v>
      </c>
      <c r="N983" s="4" t="n">
        <v>4</v>
      </c>
      <c r="O983" s="4" t="n">
        <v>4</v>
      </c>
      <c r="P983" s="0" t="str">
        <f aca="false">IF(E983=0,"not_reached",IF(AND(F983&gt;0,G983=0),"allowed","blocked"))</f>
        <v>allowed</v>
      </c>
      <c r="Q983" s="0" t="str">
        <f aca="false">IF(C983="success","published",IF(E983&gt;0,"blocked_at_gate","failed_before_gate"))</f>
        <v>published</v>
      </c>
      <c r="R983" s="0" t="str">
        <f aca="false">IF(C983="success","",IF(E983&gt;0,IF(I983="freshness_within_target","freshness",IF(I983="relationships_intact","relationships",IF(I983="reconciliation_residual_zero","residual",I983))),IF(H983="quality_gate","gate_infra",H983)))</f>
        <v/>
      </c>
    </row>
    <row r="984" customFormat="false" ht="15" hidden="false" customHeight="false" outlineLevel="0" collapsed="false">
      <c r="A984" s="4" t="s">
        <v>3492</v>
      </c>
      <c r="B984" s="10" t="n">
        <v>46284.8854166667</v>
      </c>
      <c r="C984" s="4" t="s">
        <v>1544</v>
      </c>
      <c r="D984" s="4" t="n">
        <v>771</v>
      </c>
      <c r="E984" s="4" t="n">
        <v>7</v>
      </c>
      <c r="F984" s="4" t="n">
        <v>6</v>
      </c>
      <c r="G984" s="4" t="n">
        <v>0</v>
      </c>
      <c r="J984" s="11" t="b">
        <f aca="false">TRUE()</f>
        <v>1</v>
      </c>
      <c r="K984" s="4" t="s">
        <v>3493</v>
      </c>
      <c r="L984" s="4" t="n">
        <v>4</v>
      </c>
      <c r="M984" s="4" t="n">
        <v>4</v>
      </c>
      <c r="N984" s="4" t="n">
        <v>4</v>
      </c>
      <c r="O984" s="4" t="n">
        <v>4</v>
      </c>
      <c r="P984" s="0" t="str">
        <f aca="false">IF(E984=0,"not_reached",IF(AND(F984&gt;0,G984=0),"allowed","blocked"))</f>
        <v>allowed</v>
      </c>
      <c r="Q984" s="0" t="str">
        <f aca="false">IF(C984="success","published",IF(E984&gt;0,"blocked_at_gate","failed_before_gate"))</f>
        <v>published</v>
      </c>
      <c r="R984" s="0" t="str">
        <f aca="false">IF(C984="success","",IF(E984&gt;0,IF(I984="freshness_within_target","freshness",IF(I984="relationships_intact","relationships",IF(I984="reconciliation_residual_zero","residual",I984))),IF(H984="quality_gate","gate_infra",H984)))</f>
        <v/>
      </c>
    </row>
    <row r="985" customFormat="false" ht="15" hidden="false" customHeight="false" outlineLevel="0" collapsed="false">
      <c r="A985" s="4" t="s">
        <v>3494</v>
      </c>
      <c r="B985" s="10" t="n">
        <v>46284.9270833333</v>
      </c>
      <c r="C985" s="4" t="s">
        <v>1544</v>
      </c>
      <c r="D985" s="4" t="n">
        <v>839</v>
      </c>
      <c r="E985" s="4" t="n">
        <v>7</v>
      </c>
      <c r="F985" s="4" t="n">
        <v>6</v>
      </c>
      <c r="G985" s="4" t="n">
        <v>0</v>
      </c>
      <c r="J985" s="11" t="b">
        <f aca="false">TRUE()</f>
        <v>1</v>
      </c>
      <c r="K985" s="4" t="s">
        <v>3495</v>
      </c>
      <c r="L985" s="4" t="n">
        <v>4</v>
      </c>
      <c r="M985" s="4" t="n">
        <v>4</v>
      </c>
      <c r="N985" s="4" t="n">
        <v>4</v>
      </c>
      <c r="O985" s="4" t="n">
        <v>4</v>
      </c>
      <c r="P985" s="0" t="str">
        <f aca="false">IF(E985=0,"not_reached",IF(AND(F985&gt;0,G985=0),"allowed","blocked"))</f>
        <v>allowed</v>
      </c>
      <c r="Q985" s="0" t="str">
        <f aca="false">IF(C985="success","published",IF(E985&gt;0,"blocked_at_gate","failed_before_gate"))</f>
        <v>published</v>
      </c>
      <c r="R985" s="0" t="str">
        <f aca="false">IF(C985="success","",IF(E985&gt;0,IF(I985="freshness_within_target","freshness",IF(I985="relationships_intact","relationships",IF(I985="reconciliation_residual_zero","residual",I985))),IF(H985="quality_gate","gate_infra",H985)))</f>
        <v/>
      </c>
    </row>
    <row r="986" customFormat="false" ht="15" hidden="false" customHeight="false" outlineLevel="0" collapsed="false">
      <c r="A986" s="4" t="s">
        <v>3496</v>
      </c>
      <c r="B986" s="10" t="n">
        <v>46284.96875</v>
      </c>
      <c r="C986" s="4" t="s">
        <v>1544</v>
      </c>
      <c r="D986" s="4" t="n">
        <v>832</v>
      </c>
      <c r="E986" s="4" t="n">
        <v>7</v>
      </c>
      <c r="F986" s="4" t="n">
        <v>6</v>
      </c>
      <c r="G986" s="4" t="n">
        <v>0</v>
      </c>
      <c r="J986" s="11" t="b">
        <f aca="false">TRUE()</f>
        <v>1</v>
      </c>
      <c r="K986" s="4" t="s">
        <v>3497</v>
      </c>
      <c r="L986" s="4" t="n">
        <v>4</v>
      </c>
      <c r="M986" s="4" t="n">
        <v>4</v>
      </c>
      <c r="N986" s="4" t="n">
        <v>4</v>
      </c>
      <c r="O986" s="4" t="n">
        <v>4</v>
      </c>
      <c r="P986" s="0" t="str">
        <f aca="false">IF(E986=0,"not_reached",IF(AND(F986&gt;0,G986=0),"allowed","blocked"))</f>
        <v>allowed</v>
      </c>
      <c r="Q986" s="0" t="str">
        <f aca="false">IF(C986="success","published",IF(E986&gt;0,"blocked_at_gate","failed_before_gate"))</f>
        <v>published</v>
      </c>
      <c r="R986" s="0" t="str">
        <f aca="false">IF(C986="success","",IF(E986&gt;0,IF(I986="freshness_within_target","freshness",IF(I986="relationships_intact","relationships",IF(I986="reconciliation_residual_zero","residual",I986))),IF(H986="quality_gate","gate_infra",H986)))</f>
        <v/>
      </c>
    </row>
    <row r="987" customFormat="false" ht="15" hidden="false" customHeight="false" outlineLevel="0" collapsed="false">
      <c r="A987" s="4" t="s">
        <v>3498</v>
      </c>
      <c r="B987" s="10" t="n">
        <v>46285.0104166667</v>
      </c>
      <c r="C987" s="4" t="s">
        <v>1544</v>
      </c>
      <c r="D987" s="4" t="n">
        <v>960</v>
      </c>
      <c r="E987" s="4" t="n">
        <v>7</v>
      </c>
      <c r="F987" s="4" t="n">
        <v>6</v>
      </c>
      <c r="G987" s="4" t="n">
        <v>0</v>
      </c>
      <c r="J987" s="11" t="b">
        <f aca="false">TRUE()</f>
        <v>1</v>
      </c>
      <c r="K987" s="4" t="s">
        <v>3499</v>
      </c>
      <c r="L987" s="4" t="n">
        <v>4</v>
      </c>
      <c r="M987" s="4" t="n">
        <v>4</v>
      </c>
      <c r="N987" s="4" t="n">
        <v>4</v>
      </c>
      <c r="O987" s="4" t="n">
        <v>4</v>
      </c>
      <c r="P987" s="0" t="str">
        <f aca="false">IF(E987=0,"not_reached",IF(AND(F987&gt;0,G987=0),"allowed","blocked"))</f>
        <v>allowed</v>
      </c>
      <c r="Q987" s="0" t="str">
        <f aca="false">IF(C987="success","published",IF(E987&gt;0,"blocked_at_gate","failed_before_gate"))</f>
        <v>published</v>
      </c>
      <c r="R987" s="0" t="str">
        <f aca="false">IF(C987="success","",IF(E987&gt;0,IF(I987="freshness_within_target","freshness",IF(I987="relationships_intact","relationships",IF(I987="reconciliation_residual_zero","residual",I987))),IF(H987="quality_gate","gate_infra",H987)))</f>
        <v/>
      </c>
    </row>
    <row r="988" customFormat="false" ht="15" hidden="false" customHeight="false" outlineLevel="0" collapsed="false">
      <c r="A988" s="4" t="s">
        <v>3500</v>
      </c>
      <c r="B988" s="10" t="n">
        <v>46285.0520833333</v>
      </c>
      <c r="C988" s="4" t="s">
        <v>1544</v>
      </c>
      <c r="D988" s="4" t="n">
        <v>951</v>
      </c>
      <c r="E988" s="4" t="n">
        <v>7</v>
      </c>
      <c r="F988" s="4" t="n">
        <v>6</v>
      </c>
      <c r="G988" s="4" t="n">
        <v>0</v>
      </c>
      <c r="J988" s="11" t="b">
        <f aca="false">TRUE()</f>
        <v>1</v>
      </c>
      <c r="K988" s="4" t="s">
        <v>3501</v>
      </c>
      <c r="L988" s="4" t="n">
        <v>4</v>
      </c>
      <c r="M988" s="4" t="n">
        <v>4</v>
      </c>
      <c r="N988" s="4" t="n">
        <v>4</v>
      </c>
      <c r="O988" s="4" t="n">
        <v>4</v>
      </c>
      <c r="P988" s="0" t="str">
        <f aca="false">IF(E988=0,"not_reached",IF(AND(F988&gt;0,G988=0),"allowed","blocked"))</f>
        <v>allowed</v>
      </c>
      <c r="Q988" s="0" t="str">
        <f aca="false">IF(C988="success","published",IF(E988&gt;0,"blocked_at_gate","failed_before_gate"))</f>
        <v>published</v>
      </c>
      <c r="R988" s="0" t="str">
        <f aca="false">IF(C988="success","",IF(E988&gt;0,IF(I988="freshness_within_target","freshness",IF(I988="relationships_intact","relationships",IF(I988="reconciliation_residual_zero","residual",I988))),IF(H988="quality_gate","gate_infra",H988)))</f>
        <v/>
      </c>
    </row>
    <row r="989" customFormat="false" ht="15" hidden="false" customHeight="false" outlineLevel="0" collapsed="false">
      <c r="A989" s="4" t="s">
        <v>3502</v>
      </c>
      <c r="B989" s="10" t="n">
        <v>46285.09375</v>
      </c>
      <c r="C989" s="4" t="s">
        <v>1544</v>
      </c>
      <c r="D989" s="4" t="n">
        <v>913</v>
      </c>
      <c r="E989" s="4" t="n">
        <v>7</v>
      </c>
      <c r="F989" s="4" t="n">
        <v>6</v>
      </c>
      <c r="G989" s="4" t="n">
        <v>0</v>
      </c>
      <c r="J989" s="11" t="b">
        <f aca="false">TRUE()</f>
        <v>1</v>
      </c>
      <c r="K989" s="4" t="s">
        <v>3503</v>
      </c>
      <c r="L989" s="4" t="n">
        <v>4</v>
      </c>
      <c r="M989" s="4" t="n">
        <v>4</v>
      </c>
      <c r="N989" s="4" t="n">
        <v>4</v>
      </c>
      <c r="O989" s="4" t="n">
        <v>4</v>
      </c>
      <c r="P989" s="0" t="str">
        <f aca="false">IF(E989=0,"not_reached",IF(AND(F989&gt;0,G989=0),"allowed","blocked"))</f>
        <v>allowed</v>
      </c>
      <c r="Q989" s="0" t="str">
        <f aca="false">IF(C989="success","published",IF(E989&gt;0,"blocked_at_gate","failed_before_gate"))</f>
        <v>published</v>
      </c>
      <c r="R989" s="0" t="str">
        <f aca="false">IF(C989="success","",IF(E989&gt;0,IF(I989="freshness_within_target","freshness",IF(I989="relationships_intact","relationships",IF(I989="reconciliation_residual_zero","residual",I989))),IF(H989="quality_gate","gate_infra",H989)))</f>
        <v/>
      </c>
    </row>
    <row r="990" customFormat="false" ht="15" hidden="false" customHeight="false" outlineLevel="0" collapsed="false">
      <c r="A990" s="4" t="s">
        <v>3504</v>
      </c>
      <c r="B990" s="10" t="n">
        <v>46285.1354166667</v>
      </c>
      <c r="C990" s="4" t="s">
        <v>1544</v>
      </c>
      <c r="D990" s="4" t="n">
        <v>703</v>
      </c>
      <c r="E990" s="4" t="n">
        <v>7</v>
      </c>
      <c r="F990" s="4" t="n">
        <v>6</v>
      </c>
      <c r="G990" s="4" t="n">
        <v>0</v>
      </c>
      <c r="J990" s="11" t="b">
        <f aca="false">TRUE()</f>
        <v>1</v>
      </c>
      <c r="K990" s="4" t="s">
        <v>3505</v>
      </c>
      <c r="L990" s="4" t="n">
        <v>4</v>
      </c>
      <c r="M990" s="4" t="n">
        <v>4</v>
      </c>
      <c r="N990" s="4" t="n">
        <v>4</v>
      </c>
      <c r="O990" s="4" t="n">
        <v>4</v>
      </c>
      <c r="P990" s="0" t="str">
        <f aca="false">IF(E990=0,"not_reached",IF(AND(F990&gt;0,G990=0),"allowed","blocked"))</f>
        <v>allowed</v>
      </c>
      <c r="Q990" s="0" t="str">
        <f aca="false">IF(C990="success","published",IF(E990&gt;0,"blocked_at_gate","failed_before_gate"))</f>
        <v>published</v>
      </c>
      <c r="R990" s="0" t="str">
        <f aca="false">IF(C990="success","",IF(E990&gt;0,IF(I990="freshness_within_target","freshness",IF(I990="relationships_intact","relationships",IF(I990="reconciliation_residual_zero","residual",I990))),IF(H990="quality_gate","gate_infra",H990)))</f>
        <v/>
      </c>
    </row>
    <row r="991" customFormat="false" ht="15" hidden="false" customHeight="false" outlineLevel="0" collapsed="false">
      <c r="A991" s="4" t="s">
        <v>3506</v>
      </c>
      <c r="B991" s="10" t="n">
        <v>46285.1770833333</v>
      </c>
      <c r="C991" s="4" t="s">
        <v>1544</v>
      </c>
      <c r="D991" s="4" t="n">
        <v>789</v>
      </c>
      <c r="E991" s="4" t="n">
        <v>7</v>
      </c>
      <c r="F991" s="4" t="n">
        <v>6</v>
      </c>
      <c r="G991" s="4" t="n">
        <v>0</v>
      </c>
      <c r="J991" s="11" t="b">
        <f aca="false">TRUE()</f>
        <v>1</v>
      </c>
      <c r="K991" s="4" t="s">
        <v>3507</v>
      </c>
      <c r="L991" s="4" t="n">
        <v>4</v>
      </c>
      <c r="M991" s="4" t="n">
        <v>4</v>
      </c>
      <c r="N991" s="4" t="n">
        <v>4</v>
      </c>
      <c r="O991" s="4" t="n">
        <v>4</v>
      </c>
      <c r="P991" s="0" t="str">
        <f aca="false">IF(E991=0,"not_reached",IF(AND(F991&gt;0,G991=0),"allowed","blocked"))</f>
        <v>allowed</v>
      </c>
      <c r="Q991" s="0" t="str">
        <f aca="false">IF(C991="success","published",IF(E991&gt;0,"blocked_at_gate","failed_before_gate"))</f>
        <v>published</v>
      </c>
      <c r="R991" s="0" t="str">
        <f aca="false">IF(C991="success","",IF(E991&gt;0,IF(I991="freshness_within_target","freshness",IF(I991="relationships_intact","relationships",IF(I991="reconciliation_residual_zero","residual",I991))),IF(H991="quality_gate","gate_infra",H991)))</f>
        <v/>
      </c>
    </row>
    <row r="992" customFormat="false" ht="15" hidden="false" customHeight="false" outlineLevel="0" collapsed="false">
      <c r="A992" s="4" t="s">
        <v>3508</v>
      </c>
      <c r="B992" s="10" t="n">
        <v>46285.21875</v>
      </c>
      <c r="C992" s="4" t="s">
        <v>1544</v>
      </c>
      <c r="D992" s="4" t="n">
        <v>797</v>
      </c>
      <c r="E992" s="4" t="n">
        <v>7</v>
      </c>
      <c r="F992" s="4" t="n">
        <v>6</v>
      </c>
      <c r="G992" s="4" t="n">
        <v>0</v>
      </c>
      <c r="J992" s="11" t="b">
        <f aca="false">TRUE()</f>
        <v>1</v>
      </c>
      <c r="K992" s="4" t="s">
        <v>3509</v>
      </c>
      <c r="L992" s="4" t="n">
        <v>4</v>
      </c>
      <c r="M992" s="4" t="n">
        <v>4</v>
      </c>
      <c r="N992" s="4" t="n">
        <v>4</v>
      </c>
      <c r="O992" s="4" t="n">
        <v>4</v>
      </c>
      <c r="P992" s="0" t="str">
        <f aca="false">IF(E992=0,"not_reached",IF(AND(F992&gt;0,G992=0),"allowed","blocked"))</f>
        <v>allowed</v>
      </c>
      <c r="Q992" s="0" t="str">
        <f aca="false">IF(C992="success","published",IF(E992&gt;0,"blocked_at_gate","failed_before_gate"))</f>
        <v>published</v>
      </c>
      <c r="R992" s="0" t="str">
        <f aca="false">IF(C992="success","",IF(E992&gt;0,IF(I992="freshness_within_target","freshness",IF(I992="relationships_intact","relationships",IF(I992="reconciliation_residual_zero","residual",I992))),IF(H992="quality_gate","gate_infra",H992)))</f>
        <v/>
      </c>
    </row>
    <row r="993" customFormat="false" ht="15" hidden="false" customHeight="false" outlineLevel="0" collapsed="false">
      <c r="A993" s="4" t="s">
        <v>3510</v>
      </c>
      <c r="B993" s="10" t="n">
        <v>46285.2604166667</v>
      </c>
      <c r="C993" s="4" t="s">
        <v>1544</v>
      </c>
      <c r="D993" s="4" t="n">
        <v>835</v>
      </c>
      <c r="E993" s="4" t="n">
        <v>7</v>
      </c>
      <c r="F993" s="4" t="n">
        <v>6</v>
      </c>
      <c r="G993" s="4" t="n">
        <v>0</v>
      </c>
      <c r="J993" s="11" t="b">
        <f aca="false">TRUE()</f>
        <v>1</v>
      </c>
      <c r="K993" s="4" t="s">
        <v>3511</v>
      </c>
      <c r="L993" s="4" t="n">
        <v>4</v>
      </c>
      <c r="M993" s="4" t="n">
        <v>4</v>
      </c>
      <c r="N993" s="4" t="n">
        <v>4</v>
      </c>
      <c r="O993" s="4" t="n">
        <v>4</v>
      </c>
      <c r="P993" s="0" t="str">
        <f aca="false">IF(E993=0,"not_reached",IF(AND(F993&gt;0,G993=0),"allowed","blocked"))</f>
        <v>allowed</v>
      </c>
      <c r="Q993" s="0" t="str">
        <f aca="false">IF(C993="success","published",IF(E993&gt;0,"blocked_at_gate","failed_before_gate"))</f>
        <v>published</v>
      </c>
      <c r="R993" s="0" t="str">
        <f aca="false">IF(C993="success","",IF(E993&gt;0,IF(I993="freshness_within_target","freshness",IF(I993="relationships_intact","relationships",IF(I993="reconciliation_residual_zero","residual",I993))),IF(H993="quality_gate","gate_infra",H993)))</f>
        <v/>
      </c>
    </row>
    <row r="994" customFormat="false" ht="15" hidden="false" customHeight="false" outlineLevel="0" collapsed="false">
      <c r="A994" s="4" t="s">
        <v>3512</v>
      </c>
      <c r="B994" s="10" t="n">
        <v>46285.3020833333</v>
      </c>
      <c r="C994" s="4" t="s">
        <v>1544</v>
      </c>
      <c r="D994" s="4" t="n">
        <v>738</v>
      </c>
      <c r="E994" s="4" t="n">
        <v>7</v>
      </c>
      <c r="F994" s="4" t="n">
        <v>6</v>
      </c>
      <c r="G994" s="4" t="n">
        <v>0</v>
      </c>
      <c r="J994" s="11" t="b">
        <f aca="false">TRUE()</f>
        <v>1</v>
      </c>
      <c r="K994" s="4" t="s">
        <v>3513</v>
      </c>
      <c r="L994" s="4" t="n">
        <v>4</v>
      </c>
      <c r="M994" s="4" t="n">
        <v>4</v>
      </c>
      <c r="N994" s="4" t="n">
        <v>4</v>
      </c>
      <c r="O994" s="4" t="n">
        <v>4</v>
      </c>
      <c r="P994" s="0" t="str">
        <f aca="false">IF(E994=0,"not_reached",IF(AND(F994&gt;0,G994=0),"allowed","blocked"))</f>
        <v>allowed</v>
      </c>
      <c r="Q994" s="0" t="str">
        <f aca="false">IF(C994="success","published",IF(E994&gt;0,"blocked_at_gate","failed_before_gate"))</f>
        <v>published</v>
      </c>
      <c r="R994" s="0" t="str">
        <f aca="false">IF(C994="success","",IF(E994&gt;0,IF(I994="freshness_within_target","freshness",IF(I994="relationships_intact","relationships",IF(I994="reconciliation_residual_zero","residual",I994))),IF(H994="quality_gate","gate_infra",H994)))</f>
        <v/>
      </c>
    </row>
    <row r="995" customFormat="false" ht="15" hidden="false" customHeight="false" outlineLevel="0" collapsed="false">
      <c r="A995" s="4" t="s">
        <v>3514</v>
      </c>
      <c r="B995" s="10" t="n">
        <v>46285.34375</v>
      </c>
      <c r="C995" s="4" t="s">
        <v>1544</v>
      </c>
      <c r="D995" s="4" t="n">
        <v>946</v>
      </c>
      <c r="E995" s="4" t="n">
        <v>7</v>
      </c>
      <c r="F995" s="4" t="n">
        <v>6</v>
      </c>
      <c r="G995" s="4" t="n">
        <v>0</v>
      </c>
      <c r="J995" s="11" t="b">
        <f aca="false">TRUE()</f>
        <v>1</v>
      </c>
      <c r="K995" s="4" t="s">
        <v>3515</v>
      </c>
      <c r="L995" s="4" t="n">
        <v>4</v>
      </c>
      <c r="M995" s="4" t="n">
        <v>4</v>
      </c>
      <c r="N995" s="4" t="n">
        <v>4</v>
      </c>
      <c r="O995" s="4" t="n">
        <v>4</v>
      </c>
      <c r="P995" s="0" t="str">
        <f aca="false">IF(E995=0,"not_reached",IF(AND(F995&gt;0,G995=0),"allowed","blocked"))</f>
        <v>allowed</v>
      </c>
      <c r="Q995" s="0" t="str">
        <f aca="false">IF(C995="success","published",IF(E995&gt;0,"blocked_at_gate","failed_before_gate"))</f>
        <v>published</v>
      </c>
      <c r="R995" s="0" t="str">
        <f aca="false">IF(C995="success","",IF(E995&gt;0,IF(I995="freshness_within_target","freshness",IF(I995="relationships_intact","relationships",IF(I995="reconciliation_residual_zero","residual",I995))),IF(H995="quality_gate","gate_infra",H995)))</f>
        <v/>
      </c>
    </row>
    <row r="996" customFormat="false" ht="15" hidden="false" customHeight="false" outlineLevel="0" collapsed="false">
      <c r="A996" s="4" t="s">
        <v>3516</v>
      </c>
      <c r="B996" s="10" t="n">
        <v>46285.3854166667</v>
      </c>
      <c r="C996" s="4" t="s">
        <v>1544</v>
      </c>
      <c r="D996" s="4" t="n">
        <v>879</v>
      </c>
      <c r="E996" s="4" t="n">
        <v>7</v>
      </c>
      <c r="F996" s="4" t="n">
        <v>6</v>
      </c>
      <c r="G996" s="4" t="n">
        <v>0</v>
      </c>
      <c r="J996" s="11" t="b">
        <f aca="false">TRUE()</f>
        <v>1</v>
      </c>
      <c r="K996" s="4" t="s">
        <v>3517</v>
      </c>
      <c r="L996" s="4" t="n">
        <v>4</v>
      </c>
      <c r="M996" s="4" t="n">
        <v>4</v>
      </c>
      <c r="N996" s="4" t="n">
        <v>5</v>
      </c>
      <c r="O996" s="4" t="n">
        <v>4</v>
      </c>
      <c r="P996" s="0" t="str">
        <f aca="false">IF(E996=0,"not_reached",IF(AND(F996&gt;0,G996=0),"allowed","blocked"))</f>
        <v>allowed</v>
      </c>
      <c r="Q996" s="0" t="str">
        <f aca="false">IF(C996="success","published",IF(E996&gt;0,"blocked_at_gate","failed_before_gate"))</f>
        <v>published</v>
      </c>
      <c r="R996" s="0" t="str">
        <f aca="false">IF(C996="success","",IF(E996&gt;0,IF(I996="freshness_within_target","freshness",IF(I996="relationships_intact","relationships",IF(I996="reconciliation_residual_zero","residual",I996))),IF(H996="quality_gate","gate_infra",H996)))</f>
        <v/>
      </c>
    </row>
    <row r="997" customFormat="false" ht="15" hidden="false" customHeight="false" outlineLevel="0" collapsed="false">
      <c r="A997" s="4" t="s">
        <v>3518</v>
      </c>
      <c r="B997" s="10" t="n">
        <v>46285.4270833333</v>
      </c>
      <c r="C997" s="4" t="s">
        <v>1544</v>
      </c>
      <c r="D997" s="4" t="n">
        <v>933</v>
      </c>
      <c r="E997" s="4" t="n">
        <v>7</v>
      </c>
      <c r="F997" s="4" t="n">
        <v>6</v>
      </c>
      <c r="G997" s="4" t="n">
        <v>0</v>
      </c>
      <c r="J997" s="11" t="b">
        <f aca="false">TRUE()</f>
        <v>1</v>
      </c>
      <c r="K997" s="4" t="s">
        <v>3519</v>
      </c>
      <c r="L997" s="4" t="n">
        <v>4</v>
      </c>
      <c r="M997" s="4" t="n">
        <v>4</v>
      </c>
      <c r="N997" s="4" t="n">
        <v>5</v>
      </c>
      <c r="O997" s="4" t="n">
        <v>4</v>
      </c>
      <c r="P997" s="0" t="str">
        <f aca="false">IF(E997=0,"not_reached",IF(AND(F997&gt;0,G997=0),"allowed","blocked"))</f>
        <v>allowed</v>
      </c>
      <c r="Q997" s="0" t="str">
        <f aca="false">IF(C997="success","published",IF(E997&gt;0,"blocked_at_gate","failed_before_gate"))</f>
        <v>published</v>
      </c>
      <c r="R997" s="0" t="str">
        <f aca="false">IF(C997="success","",IF(E997&gt;0,IF(I997="freshness_within_target","freshness",IF(I997="relationships_intact","relationships",IF(I997="reconciliation_residual_zero","residual",I997))),IF(H997="quality_gate","gate_infra",H997)))</f>
        <v/>
      </c>
    </row>
    <row r="998" customFormat="false" ht="15" hidden="false" customHeight="false" outlineLevel="0" collapsed="false">
      <c r="A998" s="4" t="s">
        <v>3520</v>
      </c>
      <c r="B998" s="10" t="n">
        <v>46285.46875</v>
      </c>
      <c r="C998" s="4" t="s">
        <v>1544</v>
      </c>
      <c r="D998" s="4" t="n">
        <v>916</v>
      </c>
      <c r="E998" s="4" t="n">
        <v>7</v>
      </c>
      <c r="F998" s="4" t="n">
        <v>6</v>
      </c>
      <c r="G998" s="4" t="n">
        <v>0</v>
      </c>
      <c r="J998" s="11" t="b">
        <f aca="false">TRUE()</f>
        <v>1</v>
      </c>
      <c r="K998" s="4" t="s">
        <v>3521</v>
      </c>
      <c r="L998" s="4" t="n">
        <v>4</v>
      </c>
      <c r="M998" s="4" t="n">
        <v>4</v>
      </c>
      <c r="N998" s="4" t="n">
        <v>4</v>
      </c>
      <c r="O998" s="4" t="n">
        <v>4</v>
      </c>
      <c r="P998" s="0" t="str">
        <f aca="false">IF(E998=0,"not_reached",IF(AND(F998&gt;0,G998=0),"allowed","blocked"))</f>
        <v>allowed</v>
      </c>
      <c r="Q998" s="0" t="str">
        <f aca="false">IF(C998="success","published",IF(E998&gt;0,"blocked_at_gate","failed_before_gate"))</f>
        <v>published</v>
      </c>
      <c r="R998" s="0" t="str">
        <f aca="false">IF(C998="success","",IF(E998&gt;0,IF(I998="freshness_within_target","freshness",IF(I998="relationships_intact","relationships",IF(I998="reconciliation_residual_zero","residual",I998))),IF(H998="quality_gate","gate_infra",H998)))</f>
        <v/>
      </c>
    </row>
    <row r="999" customFormat="false" ht="15" hidden="false" customHeight="false" outlineLevel="0" collapsed="false">
      <c r="A999" s="4" t="s">
        <v>3522</v>
      </c>
      <c r="B999" s="10" t="n">
        <v>46285.5104166667</v>
      </c>
      <c r="C999" s="4" t="s">
        <v>1544</v>
      </c>
      <c r="D999" s="4" t="n">
        <v>847</v>
      </c>
      <c r="E999" s="4" t="n">
        <v>7</v>
      </c>
      <c r="F999" s="4" t="n">
        <v>6</v>
      </c>
      <c r="G999" s="4" t="n">
        <v>0</v>
      </c>
      <c r="J999" s="11" t="b">
        <f aca="false">TRUE()</f>
        <v>1</v>
      </c>
      <c r="K999" s="4" t="s">
        <v>3523</v>
      </c>
      <c r="L999" s="4" t="n">
        <v>4</v>
      </c>
      <c r="M999" s="4" t="n">
        <v>4</v>
      </c>
      <c r="N999" s="4" t="n">
        <v>4</v>
      </c>
      <c r="O999" s="4" t="n">
        <v>4</v>
      </c>
      <c r="P999" s="0" t="str">
        <f aca="false">IF(E999=0,"not_reached",IF(AND(F999&gt;0,G999=0),"allowed","blocked"))</f>
        <v>allowed</v>
      </c>
      <c r="Q999" s="0" t="str">
        <f aca="false">IF(C999="success","published",IF(E999&gt;0,"blocked_at_gate","failed_before_gate"))</f>
        <v>published</v>
      </c>
      <c r="R999" s="0" t="str">
        <f aca="false">IF(C999="success","",IF(E999&gt;0,IF(I999="freshness_within_target","freshness",IF(I999="relationships_intact","relationships",IF(I999="reconciliation_residual_zero","residual",I999))),IF(H999="quality_gate","gate_infra",H999)))</f>
        <v/>
      </c>
    </row>
    <row r="1000" customFormat="false" ht="15" hidden="false" customHeight="false" outlineLevel="0" collapsed="false">
      <c r="A1000" s="4" t="s">
        <v>3524</v>
      </c>
      <c r="B1000" s="10" t="n">
        <v>46285.5520833333</v>
      </c>
      <c r="C1000" s="4" t="s">
        <v>1901</v>
      </c>
      <c r="D1000" s="4" t="n">
        <v>1265</v>
      </c>
      <c r="E1000" s="4" t="n">
        <v>0</v>
      </c>
      <c r="F1000" s="4" t="n">
        <v>0</v>
      </c>
      <c r="G1000" s="4" t="n">
        <v>0</v>
      </c>
      <c r="H1000" s="4" t="s">
        <v>61</v>
      </c>
      <c r="J1000" s="11" t="b">
        <f aca="false">FALSE()</f>
        <v>0</v>
      </c>
      <c r="L1000" s="4" t="n">
        <v>2</v>
      </c>
      <c r="M1000" s="4" t="n">
        <v>1</v>
      </c>
      <c r="N1000" s="4" t="n">
        <v>4</v>
      </c>
      <c r="O1000" s="4" t="n">
        <v>1</v>
      </c>
      <c r="P1000" s="0" t="str">
        <f aca="false">IF(E1000=0,"not_reached",IF(AND(F1000&gt;0,G1000=0),"allowed","blocked"))</f>
        <v>not_reached</v>
      </c>
      <c r="Q1000" s="0" t="str">
        <f aca="false">IF(C1000="success","published",IF(E1000&gt;0,"blocked_at_gate","failed_before_gate"))</f>
        <v>failed_before_gate</v>
      </c>
      <c r="R1000" s="0" t="str">
        <f aca="false">IF(C1000="success","",IF(E1000&gt;0,IF(I1000="freshness_within_target","freshness",IF(I1000="relationships_intact","relationships",IF(I1000="reconciliation_residual_zero","residual",I1000))),IF(H1000="quality_gate","gate_infra",H1000)))</f>
        <v>transform</v>
      </c>
    </row>
    <row r="1001" customFormat="false" ht="15" hidden="false" customHeight="false" outlineLevel="0" collapsed="false">
      <c r="A1001" s="4" t="s">
        <v>3525</v>
      </c>
      <c r="B1001" s="10" t="n">
        <v>46285.59375</v>
      </c>
      <c r="C1001" s="4" t="s">
        <v>1544</v>
      </c>
      <c r="D1001" s="4" t="n">
        <v>716</v>
      </c>
      <c r="E1001" s="4" t="n">
        <v>7</v>
      </c>
      <c r="F1001" s="4" t="n">
        <v>6</v>
      </c>
      <c r="G1001" s="4" t="n">
        <v>0</v>
      </c>
      <c r="J1001" s="11" t="b">
        <f aca="false">TRUE()</f>
        <v>1</v>
      </c>
      <c r="K1001" s="4" t="s">
        <v>3526</v>
      </c>
      <c r="L1001" s="4" t="n">
        <v>4</v>
      </c>
      <c r="M1001" s="4" t="n">
        <v>4</v>
      </c>
      <c r="N1001" s="4" t="n">
        <v>4</v>
      </c>
      <c r="O1001" s="4" t="n">
        <v>4</v>
      </c>
      <c r="P1001" s="0" t="str">
        <f aca="false">IF(E1001=0,"not_reached",IF(AND(F1001&gt;0,G1001=0),"allowed","blocked"))</f>
        <v>allowed</v>
      </c>
      <c r="Q1001" s="0" t="str">
        <f aca="false">IF(C1001="success","published",IF(E1001&gt;0,"blocked_at_gate","failed_before_gate"))</f>
        <v>published</v>
      </c>
      <c r="R1001" s="0" t="str">
        <f aca="false">IF(C1001="success","",IF(E1001&gt;0,IF(I1001="freshness_within_target","freshness",IF(I1001="relationships_intact","relationships",IF(I1001="reconciliation_residual_zero","residual",I1001))),IF(H1001="quality_gate","gate_infra",H1001)))</f>
        <v/>
      </c>
    </row>
    <row r="1002" customFormat="false" ht="15" hidden="false" customHeight="false" outlineLevel="0" collapsed="false">
      <c r="A1002" s="4" t="s">
        <v>3527</v>
      </c>
      <c r="B1002" s="10" t="n">
        <v>46285.6354166667</v>
      </c>
      <c r="C1002" s="4" t="s">
        <v>1544</v>
      </c>
      <c r="D1002" s="4" t="n">
        <v>957</v>
      </c>
      <c r="E1002" s="4" t="n">
        <v>7</v>
      </c>
      <c r="F1002" s="4" t="n">
        <v>6</v>
      </c>
      <c r="G1002" s="4" t="n">
        <v>0</v>
      </c>
      <c r="J1002" s="11" t="b">
        <f aca="false">TRUE()</f>
        <v>1</v>
      </c>
      <c r="K1002" s="4" t="s">
        <v>3528</v>
      </c>
      <c r="L1002" s="4" t="n">
        <v>4</v>
      </c>
      <c r="M1002" s="4" t="n">
        <v>4</v>
      </c>
      <c r="N1002" s="4" t="n">
        <v>4</v>
      </c>
      <c r="O1002" s="4" t="n">
        <v>4</v>
      </c>
      <c r="P1002" s="0" t="str">
        <f aca="false">IF(E1002=0,"not_reached",IF(AND(F1002&gt;0,G1002=0),"allowed","blocked"))</f>
        <v>allowed</v>
      </c>
      <c r="Q1002" s="0" t="str">
        <f aca="false">IF(C1002="success","published",IF(E1002&gt;0,"blocked_at_gate","failed_before_gate"))</f>
        <v>published</v>
      </c>
      <c r="R1002" s="0" t="str">
        <f aca="false">IF(C1002="success","",IF(E1002&gt;0,IF(I1002="freshness_within_target","freshness",IF(I1002="relationships_intact","relationships",IF(I1002="reconciliation_residual_zero","residual",I1002))),IF(H1002="quality_gate","gate_infra",H1002)))</f>
        <v/>
      </c>
    </row>
    <row r="1003" customFormat="false" ht="15" hidden="false" customHeight="false" outlineLevel="0" collapsed="false">
      <c r="A1003" s="4" t="s">
        <v>3529</v>
      </c>
      <c r="B1003" s="10" t="n">
        <v>46285.6770833333</v>
      </c>
      <c r="C1003" s="4" t="s">
        <v>1544</v>
      </c>
      <c r="D1003" s="4" t="n">
        <v>788</v>
      </c>
      <c r="E1003" s="4" t="n">
        <v>7</v>
      </c>
      <c r="F1003" s="4" t="n">
        <v>6</v>
      </c>
      <c r="G1003" s="4" t="n">
        <v>0</v>
      </c>
      <c r="J1003" s="11" t="b">
        <f aca="false">TRUE()</f>
        <v>1</v>
      </c>
      <c r="K1003" s="4" t="s">
        <v>3530</v>
      </c>
      <c r="L1003" s="4" t="n">
        <v>4</v>
      </c>
      <c r="M1003" s="4" t="n">
        <v>4</v>
      </c>
      <c r="N1003" s="4" t="n">
        <v>4</v>
      </c>
      <c r="O1003" s="4" t="n">
        <v>4</v>
      </c>
      <c r="P1003" s="0" t="str">
        <f aca="false">IF(E1003=0,"not_reached",IF(AND(F1003&gt;0,G1003=0),"allowed","blocked"))</f>
        <v>allowed</v>
      </c>
      <c r="Q1003" s="0" t="str">
        <f aca="false">IF(C1003="success","published",IF(E1003&gt;0,"blocked_at_gate","failed_before_gate"))</f>
        <v>published</v>
      </c>
      <c r="R1003" s="0" t="str">
        <f aca="false">IF(C1003="success","",IF(E1003&gt;0,IF(I1003="freshness_within_target","freshness",IF(I1003="relationships_intact","relationships",IF(I1003="reconciliation_residual_zero","residual",I1003))),IF(H1003="quality_gate","gate_infra",H1003)))</f>
        <v/>
      </c>
    </row>
    <row r="1004" customFormat="false" ht="15" hidden="false" customHeight="false" outlineLevel="0" collapsed="false">
      <c r="A1004" s="4" t="s">
        <v>3531</v>
      </c>
      <c r="B1004" s="10" t="n">
        <v>46285.71875</v>
      </c>
      <c r="C1004" s="4" t="s">
        <v>1544</v>
      </c>
      <c r="D1004" s="4" t="n">
        <v>844</v>
      </c>
      <c r="E1004" s="4" t="n">
        <v>7</v>
      </c>
      <c r="F1004" s="4" t="n">
        <v>6</v>
      </c>
      <c r="G1004" s="4" t="n">
        <v>0</v>
      </c>
      <c r="J1004" s="11" t="b">
        <f aca="false">TRUE()</f>
        <v>1</v>
      </c>
      <c r="K1004" s="4" t="s">
        <v>3532</v>
      </c>
      <c r="L1004" s="4" t="n">
        <v>4</v>
      </c>
      <c r="M1004" s="4" t="n">
        <v>4</v>
      </c>
      <c r="N1004" s="4" t="n">
        <v>4</v>
      </c>
      <c r="O1004" s="4" t="n">
        <v>4</v>
      </c>
      <c r="P1004" s="0" t="str">
        <f aca="false">IF(E1004=0,"not_reached",IF(AND(F1004&gt;0,G1004=0),"allowed","blocked"))</f>
        <v>allowed</v>
      </c>
      <c r="Q1004" s="0" t="str">
        <f aca="false">IF(C1004="success","published",IF(E1004&gt;0,"blocked_at_gate","failed_before_gate"))</f>
        <v>published</v>
      </c>
      <c r="R1004" s="0" t="str">
        <f aca="false">IF(C1004="success","",IF(E1004&gt;0,IF(I1004="freshness_within_target","freshness",IF(I1004="relationships_intact","relationships",IF(I1004="reconciliation_residual_zero","residual",I1004))),IF(H1004="quality_gate","gate_infra",H1004)))</f>
        <v/>
      </c>
    </row>
    <row r="1005" customFormat="false" ht="15" hidden="false" customHeight="false" outlineLevel="0" collapsed="false">
      <c r="A1005" s="4" t="s">
        <v>3533</v>
      </c>
      <c r="B1005" s="10" t="n">
        <v>46285.7604166667</v>
      </c>
      <c r="C1005" s="4" t="s">
        <v>1544</v>
      </c>
      <c r="D1005" s="4" t="n">
        <v>714</v>
      </c>
      <c r="E1005" s="4" t="n">
        <v>7</v>
      </c>
      <c r="F1005" s="4" t="n">
        <v>6</v>
      </c>
      <c r="G1005" s="4" t="n">
        <v>0</v>
      </c>
      <c r="J1005" s="11" t="b">
        <f aca="false">TRUE()</f>
        <v>1</v>
      </c>
      <c r="K1005" s="4" t="s">
        <v>3534</v>
      </c>
      <c r="L1005" s="4" t="n">
        <v>4</v>
      </c>
      <c r="M1005" s="4" t="n">
        <v>4</v>
      </c>
      <c r="N1005" s="4" t="n">
        <v>4</v>
      </c>
      <c r="O1005" s="4" t="n">
        <v>4</v>
      </c>
      <c r="P1005" s="0" t="str">
        <f aca="false">IF(E1005=0,"not_reached",IF(AND(F1005&gt;0,G1005=0),"allowed","blocked"))</f>
        <v>allowed</v>
      </c>
      <c r="Q1005" s="0" t="str">
        <f aca="false">IF(C1005="success","published",IF(E1005&gt;0,"blocked_at_gate","failed_before_gate"))</f>
        <v>published</v>
      </c>
      <c r="R1005" s="0" t="str">
        <f aca="false">IF(C1005="success","",IF(E1005&gt;0,IF(I1005="freshness_within_target","freshness",IF(I1005="relationships_intact","relationships",IF(I1005="reconciliation_residual_zero","residual",I1005))),IF(H1005="quality_gate","gate_infra",H1005)))</f>
        <v/>
      </c>
    </row>
    <row r="1006" customFormat="false" ht="15" hidden="false" customHeight="false" outlineLevel="0" collapsed="false">
      <c r="A1006" s="4" t="s">
        <v>3535</v>
      </c>
      <c r="B1006" s="10" t="n">
        <v>46285.8020833333</v>
      </c>
      <c r="C1006" s="4" t="s">
        <v>1544</v>
      </c>
      <c r="D1006" s="4" t="n">
        <v>789</v>
      </c>
      <c r="E1006" s="4" t="n">
        <v>7</v>
      </c>
      <c r="F1006" s="4" t="n">
        <v>6</v>
      </c>
      <c r="G1006" s="4" t="n">
        <v>0</v>
      </c>
      <c r="J1006" s="11" t="b">
        <f aca="false">TRUE()</f>
        <v>1</v>
      </c>
      <c r="K1006" s="4" t="s">
        <v>3536</v>
      </c>
      <c r="L1006" s="4" t="n">
        <v>4</v>
      </c>
      <c r="M1006" s="4" t="n">
        <v>4</v>
      </c>
      <c r="N1006" s="4" t="n">
        <v>4</v>
      </c>
      <c r="O1006" s="4" t="n">
        <v>4</v>
      </c>
      <c r="P1006" s="0" t="str">
        <f aca="false">IF(E1006=0,"not_reached",IF(AND(F1006&gt;0,G1006=0),"allowed","blocked"))</f>
        <v>allowed</v>
      </c>
      <c r="Q1006" s="0" t="str">
        <f aca="false">IF(C1006="success","published",IF(E1006&gt;0,"blocked_at_gate","failed_before_gate"))</f>
        <v>published</v>
      </c>
      <c r="R1006" s="0" t="str">
        <f aca="false">IF(C1006="success","",IF(E1006&gt;0,IF(I1006="freshness_within_target","freshness",IF(I1006="relationships_intact","relationships",IF(I1006="reconciliation_residual_zero","residual",I1006))),IF(H1006="quality_gate","gate_infra",H1006)))</f>
        <v/>
      </c>
    </row>
    <row r="1007" customFormat="false" ht="15" hidden="false" customHeight="false" outlineLevel="0" collapsed="false">
      <c r="A1007" s="4" t="s">
        <v>3537</v>
      </c>
      <c r="B1007" s="10" t="n">
        <v>46285.84375</v>
      </c>
      <c r="C1007" s="4" t="s">
        <v>1544</v>
      </c>
      <c r="D1007" s="4" t="n">
        <v>796</v>
      </c>
      <c r="E1007" s="4" t="n">
        <v>7</v>
      </c>
      <c r="F1007" s="4" t="n">
        <v>6</v>
      </c>
      <c r="G1007" s="4" t="n">
        <v>0</v>
      </c>
      <c r="J1007" s="11" t="b">
        <f aca="false">TRUE()</f>
        <v>1</v>
      </c>
      <c r="K1007" s="4" t="s">
        <v>3538</v>
      </c>
      <c r="L1007" s="4" t="n">
        <v>4</v>
      </c>
      <c r="M1007" s="4" t="n">
        <v>4</v>
      </c>
      <c r="N1007" s="4" t="n">
        <v>4</v>
      </c>
      <c r="O1007" s="4" t="n">
        <v>4</v>
      </c>
      <c r="P1007" s="0" t="str">
        <f aca="false">IF(E1007=0,"not_reached",IF(AND(F1007&gt;0,G1007=0),"allowed","blocked"))</f>
        <v>allowed</v>
      </c>
      <c r="Q1007" s="0" t="str">
        <f aca="false">IF(C1007="success","published",IF(E1007&gt;0,"blocked_at_gate","failed_before_gate"))</f>
        <v>published</v>
      </c>
      <c r="R1007" s="0" t="str">
        <f aca="false">IF(C1007="success","",IF(E1007&gt;0,IF(I1007="freshness_within_target","freshness",IF(I1007="relationships_intact","relationships",IF(I1007="reconciliation_residual_zero","residual",I1007))),IF(H1007="quality_gate","gate_infra",H1007)))</f>
        <v/>
      </c>
    </row>
    <row r="1008" customFormat="false" ht="15" hidden="false" customHeight="false" outlineLevel="0" collapsed="false">
      <c r="A1008" s="4" t="s">
        <v>3539</v>
      </c>
      <c r="B1008" s="10" t="n">
        <v>46285.8854166667</v>
      </c>
      <c r="C1008" s="4" t="s">
        <v>1544</v>
      </c>
      <c r="D1008" s="4" t="n">
        <v>711</v>
      </c>
      <c r="E1008" s="4" t="n">
        <v>7</v>
      </c>
      <c r="F1008" s="4" t="n">
        <v>6</v>
      </c>
      <c r="G1008" s="4" t="n">
        <v>0</v>
      </c>
      <c r="J1008" s="11" t="b">
        <f aca="false">TRUE()</f>
        <v>1</v>
      </c>
      <c r="K1008" s="4" t="s">
        <v>3540</v>
      </c>
      <c r="L1008" s="4" t="n">
        <v>4</v>
      </c>
      <c r="M1008" s="4" t="n">
        <v>4</v>
      </c>
      <c r="N1008" s="4" t="n">
        <v>4</v>
      </c>
      <c r="O1008" s="4" t="n">
        <v>4</v>
      </c>
      <c r="P1008" s="0" t="str">
        <f aca="false">IF(E1008=0,"not_reached",IF(AND(F1008&gt;0,G1008=0),"allowed","blocked"))</f>
        <v>allowed</v>
      </c>
      <c r="Q1008" s="0" t="str">
        <f aca="false">IF(C1008="success","published",IF(E1008&gt;0,"blocked_at_gate","failed_before_gate"))</f>
        <v>published</v>
      </c>
      <c r="R1008" s="0" t="str">
        <f aca="false">IF(C1008="success","",IF(E1008&gt;0,IF(I1008="freshness_within_target","freshness",IF(I1008="relationships_intact","relationships",IF(I1008="reconciliation_residual_zero","residual",I1008))),IF(H1008="quality_gate","gate_infra",H1008)))</f>
        <v/>
      </c>
    </row>
    <row r="1009" customFormat="false" ht="15" hidden="false" customHeight="false" outlineLevel="0" collapsed="false">
      <c r="A1009" s="4" t="s">
        <v>3541</v>
      </c>
      <c r="B1009" s="10" t="n">
        <v>46285.9270833333</v>
      </c>
      <c r="C1009" s="4" t="s">
        <v>1544</v>
      </c>
      <c r="D1009" s="4" t="n">
        <v>691</v>
      </c>
      <c r="E1009" s="4" t="n">
        <v>7</v>
      </c>
      <c r="F1009" s="4" t="n">
        <v>6</v>
      </c>
      <c r="G1009" s="4" t="n">
        <v>0</v>
      </c>
      <c r="J1009" s="11" t="b">
        <f aca="false">TRUE()</f>
        <v>1</v>
      </c>
      <c r="K1009" s="4" t="s">
        <v>3542</v>
      </c>
      <c r="L1009" s="4" t="n">
        <v>4</v>
      </c>
      <c r="M1009" s="4" t="n">
        <v>4</v>
      </c>
      <c r="N1009" s="4" t="n">
        <v>4</v>
      </c>
      <c r="O1009" s="4" t="n">
        <v>4</v>
      </c>
      <c r="P1009" s="0" t="str">
        <f aca="false">IF(E1009=0,"not_reached",IF(AND(F1009&gt;0,G1009=0),"allowed","blocked"))</f>
        <v>allowed</v>
      </c>
      <c r="Q1009" s="0" t="str">
        <f aca="false">IF(C1009="success","published",IF(E1009&gt;0,"blocked_at_gate","failed_before_gate"))</f>
        <v>published</v>
      </c>
      <c r="R1009" s="0" t="str">
        <f aca="false">IF(C1009="success","",IF(E1009&gt;0,IF(I1009="freshness_within_target","freshness",IF(I1009="relationships_intact","relationships",IF(I1009="reconciliation_residual_zero","residual",I1009))),IF(H1009="quality_gate","gate_infra",H1009)))</f>
        <v/>
      </c>
    </row>
    <row r="1010" customFormat="false" ht="15" hidden="false" customHeight="false" outlineLevel="0" collapsed="false">
      <c r="A1010" s="4" t="s">
        <v>3543</v>
      </c>
      <c r="B1010" s="10" t="n">
        <v>46285.96875</v>
      </c>
      <c r="C1010" s="4" t="s">
        <v>1544</v>
      </c>
      <c r="D1010" s="4" t="n">
        <v>678</v>
      </c>
      <c r="E1010" s="4" t="n">
        <v>7</v>
      </c>
      <c r="F1010" s="4" t="n">
        <v>6</v>
      </c>
      <c r="G1010" s="4" t="n">
        <v>0</v>
      </c>
      <c r="J1010" s="11" t="b">
        <f aca="false">TRUE()</f>
        <v>1</v>
      </c>
      <c r="K1010" s="4" t="s">
        <v>3544</v>
      </c>
      <c r="L1010" s="4" t="n">
        <v>4</v>
      </c>
      <c r="M1010" s="4" t="n">
        <v>4</v>
      </c>
      <c r="N1010" s="4" t="n">
        <v>4</v>
      </c>
      <c r="O1010" s="4" t="n">
        <v>4</v>
      </c>
      <c r="P1010" s="0" t="str">
        <f aca="false">IF(E1010=0,"not_reached",IF(AND(F1010&gt;0,G1010=0),"allowed","blocked"))</f>
        <v>allowed</v>
      </c>
      <c r="Q1010" s="0" t="str">
        <f aca="false">IF(C1010="success","published",IF(E1010&gt;0,"blocked_at_gate","failed_before_gate"))</f>
        <v>published</v>
      </c>
      <c r="R1010" s="0" t="str">
        <f aca="false">IF(C1010="success","",IF(E1010&gt;0,IF(I1010="freshness_within_target","freshness",IF(I1010="relationships_intact","relationships",IF(I1010="reconciliation_residual_zero","residual",I1010))),IF(H1010="quality_gate","gate_infra",H1010)))</f>
        <v/>
      </c>
    </row>
    <row r="1011" customFormat="false" ht="15" hidden="false" customHeight="false" outlineLevel="0" collapsed="false">
      <c r="A1011" s="4" t="s">
        <v>3545</v>
      </c>
      <c r="B1011" s="10" t="n">
        <v>46286.0104166667</v>
      </c>
      <c r="C1011" s="4" t="s">
        <v>1544</v>
      </c>
      <c r="D1011" s="4" t="n">
        <v>908</v>
      </c>
      <c r="E1011" s="4" t="n">
        <v>7</v>
      </c>
      <c r="F1011" s="4" t="n">
        <v>6</v>
      </c>
      <c r="G1011" s="4" t="n">
        <v>0</v>
      </c>
      <c r="J1011" s="11" t="b">
        <f aca="false">TRUE()</f>
        <v>1</v>
      </c>
      <c r="K1011" s="4" t="s">
        <v>3546</v>
      </c>
      <c r="L1011" s="4" t="n">
        <v>4</v>
      </c>
      <c r="M1011" s="4" t="n">
        <v>4</v>
      </c>
      <c r="N1011" s="4" t="n">
        <v>4</v>
      </c>
      <c r="O1011" s="4" t="n">
        <v>4</v>
      </c>
      <c r="P1011" s="0" t="str">
        <f aca="false">IF(E1011=0,"not_reached",IF(AND(F1011&gt;0,G1011=0),"allowed","blocked"))</f>
        <v>allowed</v>
      </c>
      <c r="Q1011" s="0" t="str">
        <f aca="false">IF(C1011="success","published",IF(E1011&gt;0,"blocked_at_gate","failed_before_gate"))</f>
        <v>published</v>
      </c>
      <c r="R1011" s="0" t="str">
        <f aca="false">IF(C1011="success","",IF(E1011&gt;0,IF(I1011="freshness_within_target","freshness",IF(I1011="relationships_intact","relationships",IF(I1011="reconciliation_residual_zero","residual",I1011))),IF(H1011="quality_gate","gate_infra",H1011)))</f>
        <v/>
      </c>
    </row>
    <row r="1012" customFormat="false" ht="15" hidden="false" customHeight="false" outlineLevel="0" collapsed="false">
      <c r="A1012" s="4" t="s">
        <v>3547</v>
      </c>
      <c r="B1012" s="10" t="n">
        <v>46286.0520833333</v>
      </c>
      <c r="C1012" s="4" t="s">
        <v>1544</v>
      </c>
      <c r="D1012" s="4" t="n">
        <v>700</v>
      </c>
      <c r="E1012" s="4" t="n">
        <v>7</v>
      </c>
      <c r="F1012" s="4" t="n">
        <v>6</v>
      </c>
      <c r="G1012" s="4" t="n">
        <v>0</v>
      </c>
      <c r="J1012" s="11" t="b">
        <f aca="false">TRUE()</f>
        <v>1</v>
      </c>
      <c r="K1012" s="4" t="s">
        <v>3548</v>
      </c>
      <c r="L1012" s="4" t="n">
        <v>4</v>
      </c>
      <c r="M1012" s="4" t="n">
        <v>4</v>
      </c>
      <c r="N1012" s="4" t="n">
        <v>4</v>
      </c>
      <c r="O1012" s="4" t="n">
        <v>4</v>
      </c>
      <c r="P1012" s="0" t="str">
        <f aca="false">IF(E1012=0,"not_reached",IF(AND(F1012&gt;0,G1012=0),"allowed","blocked"))</f>
        <v>allowed</v>
      </c>
      <c r="Q1012" s="0" t="str">
        <f aca="false">IF(C1012="success","published",IF(E1012&gt;0,"blocked_at_gate","failed_before_gate"))</f>
        <v>published</v>
      </c>
      <c r="R1012" s="0" t="str">
        <f aca="false">IF(C1012="success","",IF(E1012&gt;0,IF(I1012="freshness_within_target","freshness",IF(I1012="relationships_intact","relationships",IF(I1012="reconciliation_residual_zero","residual",I1012))),IF(H1012="quality_gate","gate_infra",H1012)))</f>
        <v/>
      </c>
    </row>
    <row r="1013" customFormat="false" ht="15" hidden="false" customHeight="false" outlineLevel="0" collapsed="false">
      <c r="A1013" s="4" t="s">
        <v>3549</v>
      </c>
      <c r="B1013" s="10" t="n">
        <v>46286.09375</v>
      </c>
      <c r="C1013" s="4" t="s">
        <v>1544</v>
      </c>
      <c r="D1013" s="4" t="n">
        <v>669</v>
      </c>
      <c r="E1013" s="4" t="n">
        <v>7</v>
      </c>
      <c r="F1013" s="4" t="n">
        <v>6</v>
      </c>
      <c r="G1013" s="4" t="n">
        <v>0</v>
      </c>
      <c r="J1013" s="11" t="b">
        <f aca="false">TRUE()</f>
        <v>1</v>
      </c>
      <c r="K1013" s="4" t="s">
        <v>3550</v>
      </c>
      <c r="L1013" s="4" t="n">
        <v>4</v>
      </c>
      <c r="M1013" s="4" t="n">
        <v>4</v>
      </c>
      <c r="N1013" s="4" t="n">
        <v>4</v>
      </c>
      <c r="O1013" s="4" t="n">
        <v>4</v>
      </c>
      <c r="P1013" s="0" t="str">
        <f aca="false">IF(E1013=0,"not_reached",IF(AND(F1013&gt;0,G1013=0),"allowed","blocked"))</f>
        <v>allowed</v>
      </c>
      <c r="Q1013" s="0" t="str">
        <f aca="false">IF(C1013="success","published",IF(E1013&gt;0,"blocked_at_gate","failed_before_gate"))</f>
        <v>published</v>
      </c>
      <c r="R1013" s="0" t="str">
        <f aca="false">IF(C1013="success","",IF(E1013&gt;0,IF(I1013="freshness_within_target","freshness",IF(I1013="relationships_intact","relationships",IF(I1013="reconciliation_residual_zero","residual",I1013))),IF(H1013="quality_gate","gate_infra",H1013)))</f>
        <v/>
      </c>
    </row>
    <row r="1014" customFormat="false" ht="15" hidden="false" customHeight="false" outlineLevel="0" collapsed="false">
      <c r="A1014" s="4" t="s">
        <v>3551</v>
      </c>
      <c r="B1014" s="10" t="n">
        <v>46286.1354166667</v>
      </c>
      <c r="C1014" s="4" t="s">
        <v>1544</v>
      </c>
      <c r="D1014" s="4" t="n">
        <v>815</v>
      </c>
      <c r="E1014" s="4" t="n">
        <v>7</v>
      </c>
      <c r="F1014" s="4" t="n">
        <v>6</v>
      </c>
      <c r="G1014" s="4" t="n">
        <v>0</v>
      </c>
      <c r="J1014" s="11" t="b">
        <f aca="false">TRUE()</f>
        <v>1</v>
      </c>
      <c r="K1014" s="4" t="s">
        <v>3552</v>
      </c>
      <c r="L1014" s="4" t="n">
        <v>4</v>
      </c>
      <c r="M1014" s="4" t="n">
        <v>4</v>
      </c>
      <c r="N1014" s="4" t="n">
        <v>4</v>
      </c>
      <c r="O1014" s="4" t="n">
        <v>4</v>
      </c>
      <c r="P1014" s="0" t="str">
        <f aca="false">IF(E1014=0,"not_reached",IF(AND(F1014&gt;0,G1014=0),"allowed","blocked"))</f>
        <v>allowed</v>
      </c>
      <c r="Q1014" s="0" t="str">
        <f aca="false">IF(C1014="success","published",IF(E1014&gt;0,"blocked_at_gate","failed_before_gate"))</f>
        <v>published</v>
      </c>
      <c r="R1014" s="0" t="str">
        <f aca="false">IF(C1014="success","",IF(E1014&gt;0,IF(I1014="freshness_within_target","freshness",IF(I1014="relationships_intact","relationships",IF(I1014="reconciliation_residual_zero","residual",I1014))),IF(H1014="quality_gate","gate_infra",H1014)))</f>
        <v/>
      </c>
    </row>
    <row r="1015" customFormat="false" ht="15" hidden="false" customHeight="false" outlineLevel="0" collapsed="false">
      <c r="A1015" s="4" t="s">
        <v>3553</v>
      </c>
      <c r="B1015" s="10" t="n">
        <v>46286.1770833333</v>
      </c>
      <c r="C1015" s="4" t="s">
        <v>1544</v>
      </c>
      <c r="D1015" s="4" t="n">
        <v>863</v>
      </c>
      <c r="E1015" s="4" t="n">
        <v>7</v>
      </c>
      <c r="F1015" s="4" t="n">
        <v>6</v>
      </c>
      <c r="G1015" s="4" t="n">
        <v>0</v>
      </c>
      <c r="J1015" s="11" t="b">
        <f aca="false">TRUE()</f>
        <v>1</v>
      </c>
      <c r="K1015" s="4" t="s">
        <v>3554</v>
      </c>
      <c r="L1015" s="4" t="n">
        <v>4</v>
      </c>
      <c r="M1015" s="4" t="n">
        <v>4</v>
      </c>
      <c r="N1015" s="4" t="n">
        <v>4</v>
      </c>
      <c r="O1015" s="4" t="n">
        <v>4</v>
      </c>
      <c r="P1015" s="0" t="str">
        <f aca="false">IF(E1015=0,"not_reached",IF(AND(F1015&gt;0,G1015=0),"allowed","blocked"))</f>
        <v>allowed</v>
      </c>
      <c r="Q1015" s="0" t="str">
        <f aca="false">IF(C1015="success","published",IF(E1015&gt;0,"blocked_at_gate","failed_before_gate"))</f>
        <v>published</v>
      </c>
      <c r="R1015" s="0" t="str">
        <f aca="false">IF(C1015="success","",IF(E1015&gt;0,IF(I1015="freshness_within_target","freshness",IF(I1015="relationships_intact","relationships",IF(I1015="reconciliation_residual_zero","residual",I1015))),IF(H1015="quality_gate","gate_infra",H1015)))</f>
        <v/>
      </c>
    </row>
    <row r="1016" customFormat="false" ht="15" hidden="false" customHeight="false" outlineLevel="0" collapsed="false">
      <c r="A1016" s="4" t="s">
        <v>3555</v>
      </c>
      <c r="B1016" s="10" t="n">
        <v>46286.21875</v>
      </c>
      <c r="C1016" s="4" t="s">
        <v>1544</v>
      </c>
      <c r="D1016" s="4" t="n">
        <v>732</v>
      </c>
      <c r="E1016" s="4" t="n">
        <v>7</v>
      </c>
      <c r="F1016" s="4" t="n">
        <v>6</v>
      </c>
      <c r="G1016" s="4" t="n">
        <v>0</v>
      </c>
      <c r="J1016" s="11" t="b">
        <f aca="false">TRUE()</f>
        <v>1</v>
      </c>
      <c r="K1016" s="4" t="s">
        <v>3556</v>
      </c>
      <c r="L1016" s="4" t="n">
        <v>4</v>
      </c>
      <c r="M1016" s="4" t="n">
        <v>4</v>
      </c>
      <c r="N1016" s="4" t="n">
        <v>4</v>
      </c>
      <c r="O1016" s="4" t="n">
        <v>4</v>
      </c>
      <c r="P1016" s="0" t="str">
        <f aca="false">IF(E1016=0,"not_reached",IF(AND(F1016&gt;0,G1016=0),"allowed","blocked"))</f>
        <v>allowed</v>
      </c>
      <c r="Q1016" s="0" t="str">
        <f aca="false">IF(C1016="success","published",IF(E1016&gt;0,"blocked_at_gate","failed_before_gate"))</f>
        <v>published</v>
      </c>
      <c r="R1016" s="0" t="str">
        <f aca="false">IF(C1016="success","",IF(E1016&gt;0,IF(I1016="freshness_within_target","freshness",IF(I1016="relationships_intact","relationships",IF(I1016="reconciliation_residual_zero","residual",I1016))),IF(H1016="quality_gate","gate_infra",H1016)))</f>
        <v/>
      </c>
    </row>
    <row r="1017" customFormat="false" ht="15" hidden="false" customHeight="false" outlineLevel="0" collapsed="false">
      <c r="A1017" s="4" t="s">
        <v>3557</v>
      </c>
      <c r="B1017" s="10" t="n">
        <v>46286.2604166667</v>
      </c>
      <c r="C1017" s="4" t="s">
        <v>1544</v>
      </c>
      <c r="D1017" s="4" t="n">
        <v>820</v>
      </c>
      <c r="E1017" s="4" t="n">
        <v>7</v>
      </c>
      <c r="F1017" s="4" t="n">
        <v>6</v>
      </c>
      <c r="G1017" s="4" t="n">
        <v>0</v>
      </c>
      <c r="J1017" s="11" t="b">
        <f aca="false">TRUE()</f>
        <v>1</v>
      </c>
      <c r="K1017" s="4" t="s">
        <v>3558</v>
      </c>
      <c r="L1017" s="4" t="n">
        <v>4</v>
      </c>
      <c r="M1017" s="4" t="n">
        <v>4</v>
      </c>
      <c r="N1017" s="4" t="n">
        <v>4</v>
      </c>
      <c r="O1017" s="4" t="n">
        <v>4</v>
      </c>
      <c r="P1017" s="0" t="str">
        <f aca="false">IF(E1017=0,"not_reached",IF(AND(F1017&gt;0,G1017=0),"allowed","blocked"))</f>
        <v>allowed</v>
      </c>
      <c r="Q1017" s="0" t="str">
        <f aca="false">IF(C1017="success","published",IF(E1017&gt;0,"blocked_at_gate","failed_before_gate"))</f>
        <v>published</v>
      </c>
      <c r="R1017" s="0" t="str">
        <f aca="false">IF(C1017="success","",IF(E1017&gt;0,IF(I1017="freshness_within_target","freshness",IF(I1017="relationships_intact","relationships",IF(I1017="reconciliation_residual_zero","residual",I1017))),IF(H1017="quality_gate","gate_infra",H1017)))</f>
        <v/>
      </c>
    </row>
    <row r="1018" customFormat="false" ht="15" hidden="false" customHeight="false" outlineLevel="0" collapsed="false">
      <c r="A1018" s="4" t="s">
        <v>3559</v>
      </c>
      <c r="B1018" s="10" t="n">
        <v>46286.3020833333</v>
      </c>
      <c r="C1018" s="4" t="s">
        <v>1544</v>
      </c>
      <c r="D1018" s="4" t="n">
        <v>708</v>
      </c>
      <c r="E1018" s="4" t="n">
        <v>7</v>
      </c>
      <c r="F1018" s="4" t="n">
        <v>6</v>
      </c>
      <c r="G1018" s="4" t="n">
        <v>0</v>
      </c>
      <c r="J1018" s="11" t="b">
        <f aca="false">TRUE()</f>
        <v>1</v>
      </c>
      <c r="K1018" s="4" t="s">
        <v>3560</v>
      </c>
      <c r="L1018" s="4" t="n">
        <v>4</v>
      </c>
      <c r="M1018" s="4" t="n">
        <v>4</v>
      </c>
      <c r="N1018" s="4" t="n">
        <v>4</v>
      </c>
      <c r="O1018" s="4" t="n">
        <v>4</v>
      </c>
      <c r="P1018" s="0" t="str">
        <f aca="false">IF(E1018=0,"not_reached",IF(AND(F1018&gt;0,G1018=0),"allowed","blocked"))</f>
        <v>allowed</v>
      </c>
      <c r="Q1018" s="0" t="str">
        <f aca="false">IF(C1018="success","published",IF(E1018&gt;0,"blocked_at_gate","failed_before_gate"))</f>
        <v>published</v>
      </c>
      <c r="R1018" s="0" t="str">
        <f aca="false">IF(C1018="success","",IF(E1018&gt;0,IF(I1018="freshness_within_target","freshness",IF(I1018="relationships_intact","relationships",IF(I1018="reconciliation_residual_zero","residual",I1018))),IF(H1018="quality_gate","gate_infra",H1018)))</f>
        <v/>
      </c>
    </row>
    <row r="1019" customFormat="false" ht="15" hidden="false" customHeight="false" outlineLevel="0" collapsed="false">
      <c r="A1019" s="4" t="s">
        <v>3561</v>
      </c>
      <c r="B1019" s="10" t="n">
        <v>46286.34375</v>
      </c>
      <c r="C1019" s="4" t="s">
        <v>1544</v>
      </c>
      <c r="D1019" s="4" t="n">
        <v>719</v>
      </c>
      <c r="E1019" s="4" t="n">
        <v>7</v>
      </c>
      <c r="F1019" s="4" t="n">
        <v>6</v>
      </c>
      <c r="G1019" s="4" t="n">
        <v>0</v>
      </c>
      <c r="J1019" s="11" t="b">
        <f aca="false">TRUE()</f>
        <v>1</v>
      </c>
      <c r="K1019" s="4" t="s">
        <v>3562</v>
      </c>
      <c r="L1019" s="4" t="n">
        <v>4</v>
      </c>
      <c r="M1019" s="4" t="n">
        <v>4</v>
      </c>
      <c r="N1019" s="4" t="n">
        <v>4</v>
      </c>
      <c r="O1019" s="4" t="n">
        <v>4</v>
      </c>
      <c r="P1019" s="0" t="str">
        <f aca="false">IF(E1019=0,"not_reached",IF(AND(F1019&gt;0,G1019=0),"allowed","blocked"))</f>
        <v>allowed</v>
      </c>
      <c r="Q1019" s="0" t="str">
        <f aca="false">IF(C1019="success","published",IF(E1019&gt;0,"blocked_at_gate","failed_before_gate"))</f>
        <v>published</v>
      </c>
      <c r="R1019" s="0" t="str">
        <f aca="false">IF(C1019="success","",IF(E1019&gt;0,IF(I1019="freshness_within_target","freshness",IF(I1019="relationships_intact","relationships",IF(I1019="reconciliation_residual_zero","residual",I1019))),IF(H1019="quality_gate","gate_infra",H1019)))</f>
        <v/>
      </c>
    </row>
    <row r="1020" customFormat="false" ht="15" hidden="false" customHeight="false" outlineLevel="0" collapsed="false">
      <c r="A1020" s="4" t="s">
        <v>3563</v>
      </c>
      <c r="B1020" s="10" t="n">
        <v>46286.3854166667</v>
      </c>
      <c r="C1020" s="4" t="s">
        <v>1544</v>
      </c>
      <c r="D1020" s="4" t="n">
        <v>1094</v>
      </c>
      <c r="E1020" s="4" t="n">
        <v>7</v>
      </c>
      <c r="F1020" s="4" t="n">
        <v>6</v>
      </c>
      <c r="G1020" s="4" t="n">
        <v>0</v>
      </c>
      <c r="J1020" s="11" t="b">
        <f aca="false">TRUE()</f>
        <v>1</v>
      </c>
      <c r="K1020" s="4" t="s">
        <v>3564</v>
      </c>
      <c r="L1020" s="4" t="n">
        <v>4</v>
      </c>
      <c r="M1020" s="4" t="n">
        <v>4</v>
      </c>
      <c r="N1020" s="4" t="n">
        <v>5</v>
      </c>
      <c r="O1020" s="4" t="n">
        <v>4</v>
      </c>
      <c r="P1020" s="0" t="str">
        <f aca="false">IF(E1020=0,"not_reached",IF(AND(F1020&gt;0,G1020=0),"allowed","blocked"))</f>
        <v>allowed</v>
      </c>
      <c r="Q1020" s="0" t="str">
        <f aca="false">IF(C1020="success","published",IF(E1020&gt;0,"blocked_at_gate","failed_before_gate"))</f>
        <v>published</v>
      </c>
      <c r="R1020" s="0" t="str">
        <f aca="false">IF(C1020="success","",IF(E1020&gt;0,IF(I1020="freshness_within_target","freshness",IF(I1020="relationships_intact","relationships",IF(I1020="reconciliation_residual_zero","residual",I1020))),IF(H1020="quality_gate","gate_infra",H1020)))</f>
        <v/>
      </c>
    </row>
    <row r="1021" customFormat="false" ht="15" hidden="false" customHeight="false" outlineLevel="0" collapsed="false">
      <c r="A1021" s="4" t="s">
        <v>3565</v>
      </c>
      <c r="B1021" s="10" t="n">
        <v>46286.4270833333</v>
      </c>
      <c r="C1021" s="4" t="s">
        <v>1544</v>
      </c>
      <c r="D1021" s="4" t="n">
        <v>712</v>
      </c>
      <c r="E1021" s="4" t="n">
        <v>7</v>
      </c>
      <c r="F1021" s="4" t="n">
        <v>6</v>
      </c>
      <c r="G1021" s="4" t="n">
        <v>0</v>
      </c>
      <c r="J1021" s="11" t="b">
        <f aca="false">TRUE()</f>
        <v>1</v>
      </c>
      <c r="K1021" s="4" t="s">
        <v>3566</v>
      </c>
      <c r="L1021" s="4" t="n">
        <v>4</v>
      </c>
      <c r="M1021" s="4" t="n">
        <v>4</v>
      </c>
      <c r="N1021" s="4" t="n">
        <v>4</v>
      </c>
      <c r="O1021" s="4" t="n">
        <v>4</v>
      </c>
      <c r="P1021" s="0" t="str">
        <f aca="false">IF(E1021=0,"not_reached",IF(AND(F1021&gt;0,G1021=0),"allowed","blocked"))</f>
        <v>allowed</v>
      </c>
      <c r="Q1021" s="0" t="str">
        <f aca="false">IF(C1021="success","published",IF(E1021&gt;0,"blocked_at_gate","failed_before_gate"))</f>
        <v>published</v>
      </c>
      <c r="R1021" s="0" t="str">
        <f aca="false">IF(C1021="success","",IF(E1021&gt;0,IF(I1021="freshness_within_target","freshness",IF(I1021="relationships_intact","relationships",IF(I1021="reconciliation_residual_zero","residual",I1021))),IF(H1021="quality_gate","gate_infra",H1021)))</f>
        <v/>
      </c>
    </row>
    <row r="1022" customFormat="false" ht="15" hidden="false" customHeight="false" outlineLevel="0" collapsed="false">
      <c r="A1022" s="4" t="s">
        <v>3567</v>
      </c>
      <c r="B1022" s="10" t="n">
        <v>46286.46875</v>
      </c>
      <c r="C1022" s="4" t="s">
        <v>1544</v>
      </c>
      <c r="D1022" s="4" t="n">
        <v>732</v>
      </c>
      <c r="E1022" s="4" t="n">
        <v>7</v>
      </c>
      <c r="F1022" s="4" t="n">
        <v>6</v>
      </c>
      <c r="G1022" s="4" t="n">
        <v>0</v>
      </c>
      <c r="J1022" s="11" t="b">
        <f aca="false">TRUE()</f>
        <v>1</v>
      </c>
      <c r="K1022" s="4" t="s">
        <v>3568</v>
      </c>
      <c r="L1022" s="4" t="n">
        <v>4</v>
      </c>
      <c r="M1022" s="4" t="n">
        <v>4</v>
      </c>
      <c r="N1022" s="4" t="n">
        <v>4</v>
      </c>
      <c r="O1022" s="4" t="n">
        <v>4</v>
      </c>
      <c r="P1022" s="0" t="str">
        <f aca="false">IF(E1022=0,"not_reached",IF(AND(F1022&gt;0,G1022=0),"allowed","blocked"))</f>
        <v>allowed</v>
      </c>
      <c r="Q1022" s="0" t="str">
        <f aca="false">IF(C1022="success","published",IF(E1022&gt;0,"blocked_at_gate","failed_before_gate"))</f>
        <v>published</v>
      </c>
      <c r="R1022" s="0" t="str">
        <f aca="false">IF(C1022="success","",IF(E1022&gt;0,IF(I1022="freshness_within_target","freshness",IF(I1022="relationships_intact","relationships",IF(I1022="reconciliation_residual_zero","residual",I1022))),IF(H1022="quality_gate","gate_infra",H1022)))</f>
        <v/>
      </c>
    </row>
    <row r="1023" customFormat="false" ht="15" hidden="false" customHeight="false" outlineLevel="0" collapsed="false">
      <c r="A1023" s="4" t="s">
        <v>3569</v>
      </c>
      <c r="B1023" s="10" t="n">
        <v>46286.5104166667</v>
      </c>
      <c r="C1023" s="4" t="s">
        <v>1544</v>
      </c>
      <c r="D1023" s="4" t="n">
        <v>1038</v>
      </c>
      <c r="E1023" s="4" t="n">
        <v>7</v>
      </c>
      <c r="F1023" s="4" t="n">
        <v>6</v>
      </c>
      <c r="G1023" s="4" t="n">
        <v>0</v>
      </c>
      <c r="J1023" s="11" t="b">
        <f aca="false">TRUE()</f>
        <v>1</v>
      </c>
      <c r="K1023" s="4" t="s">
        <v>3570</v>
      </c>
      <c r="L1023" s="4" t="n">
        <v>4</v>
      </c>
      <c r="M1023" s="4" t="n">
        <v>4</v>
      </c>
      <c r="N1023" s="4" t="n">
        <v>5</v>
      </c>
      <c r="O1023" s="4" t="n">
        <v>4</v>
      </c>
      <c r="P1023" s="0" t="str">
        <f aca="false">IF(E1023=0,"not_reached",IF(AND(F1023&gt;0,G1023=0),"allowed","blocked"))</f>
        <v>allowed</v>
      </c>
      <c r="Q1023" s="0" t="str">
        <f aca="false">IF(C1023="success","published",IF(E1023&gt;0,"blocked_at_gate","failed_before_gate"))</f>
        <v>published</v>
      </c>
      <c r="R1023" s="0" t="str">
        <f aca="false">IF(C1023="success","",IF(E1023&gt;0,IF(I1023="freshness_within_target","freshness",IF(I1023="relationships_intact","relationships",IF(I1023="reconciliation_residual_zero","residual",I1023))),IF(H1023="quality_gate","gate_infra",H1023)))</f>
        <v/>
      </c>
    </row>
    <row r="1024" customFormat="false" ht="15" hidden="false" customHeight="false" outlineLevel="0" collapsed="false">
      <c r="A1024" s="4" t="s">
        <v>3571</v>
      </c>
      <c r="B1024" s="10" t="n">
        <v>46286.5520833333</v>
      </c>
      <c r="C1024" s="4" t="s">
        <v>1544</v>
      </c>
      <c r="D1024" s="4" t="n">
        <v>940</v>
      </c>
      <c r="E1024" s="4" t="n">
        <v>7</v>
      </c>
      <c r="F1024" s="4" t="n">
        <v>6</v>
      </c>
      <c r="G1024" s="4" t="n">
        <v>0</v>
      </c>
      <c r="J1024" s="11" t="b">
        <f aca="false">TRUE()</f>
        <v>1</v>
      </c>
      <c r="K1024" s="4" t="s">
        <v>3572</v>
      </c>
      <c r="L1024" s="4" t="n">
        <v>4</v>
      </c>
      <c r="M1024" s="4" t="n">
        <v>4</v>
      </c>
      <c r="N1024" s="4" t="n">
        <v>4</v>
      </c>
      <c r="O1024" s="4" t="n">
        <v>4</v>
      </c>
      <c r="P1024" s="0" t="str">
        <f aca="false">IF(E1024=0,"not_reached",IF(AND(F1024&gt;0,G1024=0),"allowed","blocked"))</f>
        <v>allowed</v>
      </c>
      <c r="Q1024" s="0" t="str">
        <f aca="false">IF(C1024="success","published",IF(E1024&gt;0,"blocked_at_gate","failed_before_gate"))</f>
        <v>published</v>
      </c>
      <c r="R1024" s="0" t="str">
        <f aca="false">IF(C1024="success","",IF(E1024&gt;0,IF(I1024="freshness_within_target","freshness",IF(I1024="relationships_intact","relationships",IF(I1024="reconciliation_residual_zero","residual",I1024))),IF(H1024="quality_gate","gate_infra",H1024)))</f>
        <v/>
      </c>
    </row>
    <row r="1025" customFormat="false" ht="15" hidden="false" customHeight="false" outlineLevel="0" collapsed="false">
      <c r="A1025" s="4" t="s">
        <v>3573</v>
      </c>
      <c r="B1025" s="10" t="n">
        <v>46286.59375</v>
      </c>
      <c r="C1025" s="4" t="s">
        <v>1544</v>
      </c>
      <c r="D1025" s="4" t="n">
        <v>703</v>
      </c>
      <c r="E1025" s="4" t="n">
        <v>7</v>
      </c>
      <c r="F1025" s="4" t="n">
        <v>6</v>
      </c>
      <c r="G1025" s="4" t="n">
        <v>0</v>
      </c>
      <c r="J1025" s="11" t="b">
        <f aca="false">TRUE()</f>
        <v>1</v>
      </c>
      <c r="K1025" s="4" t="s">
        <v>3574</v>
      </c>
      <c r="L1025" s="4" t="n">
        <v>4</v>
      </c>
      <c r="M1025" s="4" t="n">
        <v>4</v>
      </c>
      <c r="N1025" s="4" t="n">
        <v>4</v>
      </c>
      <c r="O1025" s="4" t="n">
        <v>4</v>
      </c>
      <c r="P1025" s="0" t="str">
        <f aca="false">IF(E1025=0,"not_reached",IF(AND(F1025&gt;0,G1025=0),"allowed","blocked"))</f>
        <v>allowed</v>
      </c>
      <c r="Q1025" s="0" t="str">
        <f aca="false">IF(C1025="success","published",IF(E1025&gt;0,"blocked_at_gate","failed_before_gate"))</f>
        <v>published</v>
      </c>
      <c r="R1025" s="0" t="str">
        <f aca="false">IF(C1025="success","",IF(E1025&gt;0,IF(I1025="freshness_within_target","freshness",IF(I1025="relationships_intact","relationships",IF(I1025="reconciliation_residual_zero","residual",I1025))),IF(H1025="quality_gate","gate_infra",H1025)))</f>
        <v/>
      </c>
    </row>
    <row r="1026" customFormat="false" ht="15" hidden="false" customHeight="false" outlineLevel="0" collapsed="false">
      <c r="A1026" s="4" t="s">
        <v>3575</v>
      </c>
      <c r="B1026" s="10" t="n">
        <v>46286.6354166667</v>
      </c>
      <c r="C1026" s="4" t="s">
        <v>1544</v>
      </c>
      <c r="D1026" s="4" t="n">
        <v>793</v>
      </c>
      <c r="E1026" s="4" t="n">
        <v>7</v>
      </c>
      <c r="F1026" s="4" t="n">
        <v>6</v>
      </c>
      <c r="G1026" s="4" t="n">
        <v>0</v>
      </c>
      <c r="J1026" s="11" t="b">
        <f aca="false">TRUE()</f>
        <v>1</v>
      </c>
      <c r="K1026" s="4" t="s">
        <v>3576</v>
      </c>
      <c r="L1026" s="4" t="n">
        <v>4</v>
      </c>
      <c r="M1026" s="4" t="n">
        <v>4</v>
      </c>
      <c r="N1026" s="4" t="n">
        <v>4</v>
      </c>
      <c r="O1026" s="4" t="n">
        <v>4</v>
      </c>
      <c r="P1026" s="0" t="str">
        <f aca="false">IF(E1026=0,"not_reached",IF(AND(F1026&gt;0,G1026=0),"allowed","blocked"))</f>
        <v>allowed</v>
      </c>
      <c r="Q1026" s="0" t="str">
        <f aca="false">IF(C1026="success","published",IF(E1026&gt;0,"blocked_at_gate","failed_before_gate"))</f>
        <v>published</v>
      </c>
      <c r="R1026" s="0" t="str">
        <f aca="false">IF(C1026="success","",IF(E1026&gt;0,IF(I1026="freshness_within_target","freshness",IF(I1026="relationships_intact","relationships",IF(I1026="reconciliation_residual_zero","residual",I1026))),IF(H1026="quality_gate","gate_infra",H1026)))</f>
        <v/>
      </c>
    </row>
    <row r="1027" customFormat="false" ht="15" hidden="false" customHeight="false" outlineLevel="0" collapsed="false">
      <c r="A1027" s="4" t="s">
        <v>3577</v>
      </c>
      <c r="B1027" s="10" t="n">
        <v>46286.6770833333</v>
      </c>
      <c r="C1027" s="4" t="s">
        <v>1544</v>
      </c>
      <c r="D1027" s="4" t="n">
        <v>1327</v>
      </c>
      <c r="E1027" s="4" t="n">
        <v>7</v>
      </c>
      <c r="F1027" s="4" t="n">
        <v>6</v>
      </c>
      <c r="G1027" s="4" t="n">
        <v>0</v>
      </c>
      <c r="J1027" s="11" t="b">
        <f aca="false">TRUE()</f>
        <v>1</v>
      </c>
      <c r="K1027" s="4" t="s">
        <v>3578</v>
      </c>
      <c r="L1027" s="4" t="n">
        <v>4</v>
      </c>
      <c r="M1027" s="4" t="n">
        <v>4</v>
      </c>
      <c r="N1027" s="4" t="n">
        <v>5</v>
      </c>
      <c r="O1027" s="4" t="n">
        <v>4</v>
      </c>
      <c r="P1027" s="0" t="str">
        <f aca="false">IF(E1027=0,"not_reached",IF(AND(F1027&gt;0,G1027=0),"allowed","blocked"))</f>
        <v>allowed</v>
      </c>
      <c r="Q1027" s="0" t="str">
        <f aca="false">IF(C1027="success","published",IF(E1027&gt;0,"blocked_at_gate","failed_before_gate"))</f>
        <v>published</v>
      </c>
      <c r="R1027" s="0" t="str">
        <f aca="false">IF(C1027="success","",IF(E1027&gt;0,IF(I1027="freshness_within_target","freshness",IF(I1027="relationships_intact","relationships",IF(I1027="reconciliation_residual_zero","residual",I1027))),IF(H1027="quality_gate","gate_infra",H1027)))</f>
        <v/>
      </c>
    </row>
    <row r="1028" customFormat="false" ht="15" hidden="false" customHeight="false" outlineLevel="0" collapsed="false">
      <c r="A1028" s="4" t="s">
        <v>3579</v>
      </c>
      <c r="B1028" s="10" t="n">
        <v>46286.71875</v>
      </c>
      <c r="C1028" s="4" t="s">
        <v>1544</v>
      </c>
      <c r="D1028" s="4" t="n">
        <v>729</v>
      </c>
      <c r="E1028" s="4" t="n">
        <v>7</v>
      </c>
      <c r="F1028" s="4" t="n">
        <v>6</v>
      </c>
      <c r="G1028" s="4" t="n">
        <v>0</v>
      </c>
      <c r="J1028" s="11" t="b">
        <f aca="false">TRUE()</f>
        <v>1</v>
      </c>
      <c r="K1028" s="4" t="s">
        <v>3580</v>
      </c>
      <c r="L1028" s="4" t="n">
        <v>4</v>
      </c>
      <c r="M1028" s="4" t="n">
        <v>4</v>
      </c>
      <c r="N1028" s="4" t="n">
        <v>4</v>
      </c>
      <c r="O1028" s="4" t="n">
        <v>4</v>
      </c>
      <c r="P1028" s="0" t="str">
        <f aca="false">IF(E1028=0,"not_reached",IF(AND(F1028&gt;0,G1028=0),"allowed","blocked"))</f>
        <v>allowed</v>
      </c>
      <c r="Q1028" s="0" t="str">
        <f aca="false">IF(C1028="success","published",IF(E1028&gt;0,"blocked_at_gate","failed_before_gate"))</f>
        <v>published</v>
      </c>
      <c r="R1028" s="0" t="str">
        <f aca="false">IF(C1028="success","",IF(E1028&gt;0,IF(I1028="freshness_within_target","freshness",IF(I1028="relationships_intact","relationships",IF(I1028="reconciliation_residual_zero","residual",I1028))),IF(H1028="quality_gate","gate_infra",H1028)))</f>
        <v/>
      </c>
    </row>
    <row r="1029" customFormat="false" ht="15" hidden="false" customHeight="false" outlineLevel="0" collapsed="false">
      <c r="A1029" s="4" t="s">
        <v>3581</v>
      </c>
      <c r="B1029" s="10" t="n">
        <v>46286.7604166667</v>
      </c>
      <c r="C1029" s="4" t="s">
        <v>1544</v>
      </c>
      <c r="D1029" s="4" t="n">
        <v>857</v>
      </c>
      <c r="E1029" s="4" t="n">
        <v>7</v>
      </c>
      <c r="F1029" s="4" t="n">
        <v>6</v>
      </c>
      <c r="G1029" s="4" t="n">
        <v>0</v>
      </c>
      <c r="J1029" s="11" t="b">
        <f aca="false">TRUE()</f>
        <v>1</v>
      </c>
      <c r="K1029" s="4" t="s">
        <v>3582</v>
      </c>
      <c r="L1029" s="4" t="n">
        <v>4</v>
      </c>
      <c r="M1029" s="4" t="n">
        <v>4</v>
      </c>
      <c r="N1029" s="4" t="n">
        <v>4</v>
      </c>
      <c r="O1029" s="4" t="n">
        <v>4</v>
      </c>
      <c r="P1029" s="0" t="str">
        <f aca="false">IF(E1029=0,"not_reached",IF(AND(F1029&gt;0,G1029=0),"allowed","blocked"))</f>
        <v>allowed</v>
      </c>
      <c r="Q1029" s="0" t="str">
        <f aca="false">IF(C1029="success","published",IF(E1029&gt;0,"blocked_at_gate","failed_before_gate"))</f>
        <v>published</v>
      </c>
      <c r="R1029" s="0" t="str">
        <f aca="false">IF(C1029="success","",IF(E1029&gt;0,IF(I1029="freshness_within_target","freshness",IF(I1029="relationships_intact","relationships",IF(I1029="reconciliation_residual_zero","residual",I1029))),IF(H1029="quality_gate","gate_infra",H1029)))</f>
        <v/>
      </c>
    </row>
    <row r="1030" customFormat="false" ht="15" hidden="false" customHeight="false" outlineLevel="0" collapsed="false">
      <c r="A1030" s="4" t="s">
        <v>3583</v>
      </c>
      <c r="B1030" s="10" t="n">
        <v>46286.8020833333</v>
      </c>
      <c r="C1030" s="4" t="s">
        <v>1544</v>
      </c>
      <c r="D1030" s="4" t="n">
        <v>970</v>
      </c>
      <c r="E1030" s="4" t="n">
        <v>7</v>
      </c>
      <c r="F1030" s="4" t="n">
        <v>6</v>
      </c>
      <c r="G1030" s="4" t="n">
        <v>0</v>
      </c>
      <c r="J1030" s="11" t="b">
        <f aca="false">TRUE()</f>
        <v>1</v>
      </c>
      <c r="K1030" s="4" t="s">
        <v>3584</v>
      </c>
      <c r="L1030" s="4" t="n">
        <v>4</v>
      </c>
      <c r="M1030" s="4" t="n">
        <v>4</v>
      </c>
      <c r="N1030" s="4" t="n">
        <v>5</v>
      </c>
      <c r="O1030" s="4" t="n">
        <v>4</v>
      </c>
      <c r="P1030" s="0" t="str">
        <f aca="false">IF(E1030=0,"not_reached",IF(AND(F1030&gt;0,G1030=0),"allowed","blocked"))</f>
        <v>allowed</v>
      </c>
      <c r="Q1030" s="0" t="str">
        <f aca="false">IF(C1030="success","published",IF(E1030&gt;0,"blocked_at_gate","failed_before_gate"))</f>
        <v>published</v>
      </c>
      <c r="R1030" s="0" t="str">
        <f aca="false">IF(C1030="success","",IF(E1030&gt;0,IF(I1030="freshness_within_target","freshness",IF(I1030="relationships_intact","relationships",IF(I1030="reconciliation_residual_zero","residual",I1030))),IF(H1030="quality_gate","gate_infra",H1030)))</f>
        <v/>
      </c>
    </row>
    <row r="1031" customFormat="false" ht="15" hidden="false" customHeight="false" outlineLevel="0" collapsed="false">
      <c r="A1031" s="4" t="s">
        <v>3585</v>
      </c>
      <c r="B1031" s="10" t="n">
        <v>46286.84375</v>
      </c>
      <c r="C1031" s="4" t="s">
        <v>1544</v>
      </c>
      <c r="D1031" s="4" t="n">
        <v>715</v>
      </c>
      <c r="E1031" s="4" t="n">
        <v>7</v>
      </c>
      <c r="F1031" s="4" t="n">
        <v>6</v>
      </c>
      <c r="G1031" s="4" t="n">
        <v>0</v>
      </c>
      <c r="J1031" s="11" t="b">
        <f aca="false">TRUE()</f>
        <v>1</v>
      </c>
      <c r="K1031" s="4" t="s">
        <v>3586</v>
      </c>
      <c r="L1031" s="4" t="n">
        <v>4</v>
      </c>
      <c r="M1031" s="4" t="n">
        <v>4</v>
      </c>
      <c r="N1031" s="4" t="n">
        <v>4</v>
      </c>
      <c r="O1031" s="4" t="n">
        <v>4</v>
      </c>
      <c r="P1031" s="0" t="str">
        <f aca="false">IF(E1031=0,"not_reached",IF(AND(F1031&gt;0,G1031=0),"allowed","blocked"))</f>
        <v>allowed</v>
      </c>
      <c r="Q1031" s="0" t="str">
        <f aca="false">IF(C1031="success","published",IF(E1031&gt;0,"blocked_at_gate","failed_before_gate"))</f>
        <v>published</v>
      </c>
      <c r="R1031" s="0" t="str">
        <f aca="false">IF(C1031="success","",IF(E1031&gt;0,IF(I1031="freshness_within_target","freshness",IF(I1031="relationships_intact","relationships",IF(I1031="reconciliation_residual_zero","residual",I1031))),IF(H1031="quality_gate","gate_infra",H1031)))</f>
        <v/>
      </c>
    </row>
    <row r="1032" customFormat="false" ht="15" hidden="false" customHeight="false" outlineLevel="0" collapsed="false">
      <c r="A1032" s="4" t="s">
        <v>3587</v>
      </c>
      <c r="B1032" s="10" t="n">
        <v>46286.8854166667</v>
      </c>
      <c r="C1032" s="4" t="s">
        <v>1544</v>
      </c>
      <c r="D1032" s="4" t="n">
        <v>787</v>
      </c>
      <c r="E1032" s="4" t="n">
        <v>7</v>
      </c>
      <c r="F1032" s="4" t="n">
        <v>6</v>
      </c>
      <c r="G1032" s="4" t="n">
        <v>0</v>
      </c>
      <c r="J1032" s="11" t="b">
        <f aca="false">TRUE()</f>
        <v>1</v>
      </c>
      <c r="K1032" s="4" t="s">
        <v>3588</v>
      </c>
      <c r="L1032" s="4" t="n">
        <v>4</v>
      </c>
      <c r="M1032" s="4" t="n">
        <v>4</v>
      </c>
      <c r="N1032" s="4" t="n">
        <v>4</v>
      </c>
      <c r="O1032" s="4" t="n">
        <v>4</v>
      </c>
      <c r="P1032" s="0" t="str">
        <f aca="false">IF(E1032=0,"not_reached",IF(AND(F1032&gt;0,G1032=0),"allowed","blocked"))</f>
        <v>allowed</v>
      </c>
      <c r="Q1032" s="0" t="str">
        <f aca="false">IF(C1032="success","published",IF(E1032&gt;0,"blocked_at_gate","failed_before_gate"))</f>
        <v>published</v>
      </c>
      <c r="R1032" s="0" t="str">
        <f aca="false">IF(C1032="success","",IF(E1032&gt;0,IF(I1032="freshness_within_target","freshness",IF(I1032="relationships_intact","relationships",IF(I1032="reconciliation_residual_zero","residual",I1032))),IF(H1032="quality_gate","gate_infra",H1032)))</f>
        <v/>
      </c>
    </row>
    <row r="1033" customFormat="false" ht="15" hidden="false" customHeight="false" outlineLevel="0" collapsed="false">
      <c r="A1033" s="4" t="s">
        <v>3589</v>
      </c>
      <c r="B1033" s="10" t="n">
        <v>46286.9270833333</v>
      </c>
      <c r="C1033" s="4" t="s">
        <v>1544</v>
      </c>
      <c r="D1033" s="4" t="n">
        <v>814</v>
      </c>
      <c r="E1033" s="4" t="n">
        <v>7</v>
      </c>
      <c r="F1033" s="4" t="n">
        <v>6</v>
      </c>
      <c r="G1033" s="4" t="n">
        <v>0</v>
      </c>
      <c r="J1033" s="11" t="b">
        <f aca="false">TRUE()</f>
        <v>1</v>
      </c>
      <c r="K1033" s="4" t="s">
        <v>3590</v>
      </c>
      <c r="L1033" s="4" t="n">
        <v>4</v>
      </c>
      <c r="M1033" s="4" t="n">
        <v>4</v>
      </c>
      <c r="N1033" s="4" t="n">
        <v>4</v>
      </c>
      <c r="O1033" s="4" t="n">
        <v>4</v>
      </c>
      <c r="P1033" s="0" t="str">
        <f aca="false">IF(E1033=0,"not_reached",IF(AND(F1033&gt;0,G1033=0),"allowed","blocked"))</f>
        <v>allowed</v>
      </c>
      <c r="Q1033" s="0" t="str">
        <f aca="false">IF(C1033="success","published",IF(E1033&gt;0,"blocked_at_gate","failed_before_gate"))</f>
        <v>published</v>
      </c>
      <c r="R1033" s="0" t="str">
        <f aca="false">IF(C1033="success","",IF(E1033&gt;0,IF(I1033="freshness_within_target","freshness",IF(I1033="relationships_intact","relationships",IF(I1033="reconciliation_residual_zero","residual",I1033))),IF(H1033="quality_gate","gate_infra",H1033)))</f>
        <v/>
      </c>
    </row>
    <row r="1034" customFormat="false" ht="15" hidden="false" customHeight="false" outlineLevel="0" collapsed="false">
      <c r="A1034" s="4" t="s">
        <v>3591</v>
      </c>
      <c r="B1034" s="10" t="n">
        <v>46286.96875</v>
      </c>
      <c r="C1034" s="4" t="s">
        <v>1544</v>
      </c>
      <c r="D1034" s="4" t="n">
        <v>823</v>
      </c>
      <c r="E1034" s="4" t="n">
        <v>7</v>
      </c>
      <c r="F1034" s="4" t="n">
        <v>6</v>
      </c>
      <c r="G1034" s="4" t="n">
        <v>0</v>
      </c>
      <c r="J1034" s="11" t="b">
        <f aca="false">TRUE()</f>
        <v>1</v>
      </c>
      <c r="K1034" s="4" t="s">
        <v>3592</v>
      </c>
      <c r="L1034" s="4" t="n">
        <v>4</v>
      </c>
      <c r="M1034" s="4" t="n">
        <v>4</v>
      </c>
      <c r="N1034" s="4" t="n">
        <v>4</v>
      </c>
      <c r="O1034" s="4" t="n">
        <v>4</v>
      </c>
      <c r="P1034" s="0" t="str">
        <f aca="false">IF(E1034=0,"not_reached",IF(AND(F1034&gt;0,G1034=0),"allowed","blocked"))</f>
        <v>allowed</v>
      </c>
      <c r="Q1034" s="0" t="str">
        <f aca="false">IF(C1034="success","published",IF(E1034&gt;0,"blocked_at_gate","failed_before_gate"))</f>
        <v>published</v>
      </c>
      <c r="R1034" s="0" t="str">
        <f aca="false">IF(C1034="success","",IF(E1034&gt;0,IF(I1034="freshness_within_target","freshness",IF(I1034="relationships_intact","relationships",IF(I1034="reconciliation_residual_zero","residual",I1034))),IF(H1034="quality_gate","gate_infra",H1034)))</f>
        <v/>
      </c>
    </row>
    <row r="1035" customFormat="false" ht="15" hidden="false" customHeight="false" outlineLevel="0" collapsed="false">
      <c r="A1035" s="4" t="s">
        <v>3593</v>
      </c>
      <c r="B1035" s="10" t="n">
        <v>46287.0104166667</v>
      </c>
      <c r="C1035" s="4" t="s">
        <v>1544</v>
      </c>
      <c r="D1035" s="4" t="n">
        <v>671</v>
      </c>
      <c r="E1035" s="4" t="n">
        <v>7</v>
      </c>
      <c r="F1035" s="4" t="n">
        <v>6</v>
      </c>
      <c r="G1035" s="4" t="n">
        <v>0</v>
      </c>
      <c r="J1035" s="11" t="b">
        <f aca="false">TRUE()</f>
        <v>1</v>
      </c>
      <c r="K1035" s="4" t="s">
        <v>3594</v>
      </c>
      <c r="L1035" s="4" t="n">
        <v>4</v>
      </c>
      <c r="M1035" s="4" t="n">
        <v>4</v>
      </c>
      <c r="N1035" s="4" t="n">
        <v>4</v>
      </c>
      <c r="O1035" s="4" t="n">
        <v>4</v>
      </c>
      <c r="P1035" s="0" t="str">
        <f aca="false">IF(E1035=0,"not_reached",IF(AND(F1035&gt;0,G1035=0),"allowed","blocked"))</f>
        <v>allowed</v>
      </c>
      <c r="Q1035" s="0" t="str">
        <f aca="false">IF(C1035="success","published",IF(E1035&gt;0,"blocked_at_gate","failed_before_gate"))</f>
        <v>published</v>
      </c>
      <c r="R1035" s="0" t="str">
        <f aca="false">IF(C1035="success","",IF(E1035&gt;0,IF(I1035="freshness_within_target","freshness",IF(I1035="relationships_intact","relationships",IF(I1035="reconciliation_residual_zero","residual",I1035))),IF(H1035="quality_gate","gate_infra",H1035)))</f>
        <v/>
      </c>
    </row>
    <row r="1036" customFormat="false" ht="15" hidden="false" customHeight="false" outlineLevel="0" collapsed="false">
      <c r="A1036" s="4" t="s">
        <v>3595</v>
      </c>
      <c r="B1036" s="10" t="n">
        <v>46287.0520833333</v>
      </c>
      <c r="C1036" s="4" t="s">
        <v>1544</v>
      </c>
      <c r="D1036" s="4" t="n">
        <v>743</v>
      </c>
      <c r="E1036" s="4" t="n">
        <v>7</v>
      </c>
      <c r="F1036" s="4" t="n">
        <v>6</v>
      </c>
      <c r="G1036" s="4" t="n">
        <v>0</v>
      </c>
      <c r="J1036" s="11" t="b">
        <f aca="false">TRUE()</f>
        <v>1</v>
      </c>
      <c r="K1036" s="4" t="s">
        <v>3596</v>
      </c>
      <c r="L1036" s="4" t="n">
        <v>4</v>
      </c>
      <c r="M1036" s="4" t="n">
        <v>4</v>
      </c>
      <c r="N1036" s="4" t="n">
        <v>4</v>
      </c>
      <c r="O1036" s="4" t="n">
        <v>4</v>
      </c>
      <c r="P1036" s="0" t="str">
        <f aca="false">IF(E1036=0,"not_reached",IF(AND(F1036&gt;0,G1036=0),"allowed","blocked"))</f>
        <v>allowed</v>
      </c>
      <c r="Q1036" s="0" t="str">
        <f aca="false">IF(C1036="success","published",IF(E1036&gt;0,"blocked_at_gate","failed_before_gate"))</f>
        <v>published</v>
      </c>
      <c r="R1036" s="0" t="str">
        <f aca="false">IF(C1036="success","",IF(E1036&gt;0,IF(I1036="freshness_within_target","freshness",IF(I1036="relationships_intact","relationships",IF(I1036="reconciliation_residual_zero","residual",I1036))),IF(H1036="quality_gate","gate_infra",H1036)))</f>
        <v/>
      </c>
    </row>
    <row r="1037" customFormat="false" ht="15" hidden="false" customHeight="false" outlineLevel="0" collapsed="false">
      <c r="A1037" s="4" t="s">
        <v>3597</v>
      </c>
      <c r="B1037" s="10" t="n">
        <v>46287.09375</v>
      </c>
      <c r="C1037" s="4" t="s">
        <v>1544</v>
      </c>
      <c r="D1037" s="4" t="n">
        <v>813</v>
      </c>
      <c r="E1037" s="4" t="n">
        <v>7</v>
      </c>
      <c r="F1037" s="4" t="n">
        <v>6</v>
      </c>
      <c r="G1037" s="4" t="n">
        <v>0</v>
      </c>
      <c r="J1037" s="11" t="b">
        <f aca="false">TRUE()</f>
        <v>1</v>
      </c>
      <c r="K1037" s="4" t="s">
        <v>3598</v>
      </c>
      <c r="L1037" s="4" t="n">
        <v>4</v>
      </c>
      <c r="M1037" s="4" t="n">
        <v>4</v>
      </c>
      <c r="N1037" s="4" t="n">
        <v>4</v>
      </c>
      <c r="O1037" s="4" t="n">
        <v>4</v>
      </c>
      <c r="P1037" s="0" t="str">
        <f aca="false">IF(E1037=0,"not_reached",IF(AND(F1037&gt;0,G1037=0),"allowed","blocked"))</f>
        <v>allowed</v>
      </c>
      <c r="Q1037" s="0" t="str">
        <f aca="false">IF(C1037="success","published",IF(E1037&gt;0,"blocked_at_gate","failed_before_gate"))</f>
        <v>published</v>
      </c>
      <c r="R1037" s="0" t="str">
        <f aca="false">IF(C1037="success","",IF(E1037&gt;0,IF(I1037="freshness_within_target","freshness",IF(I1037="relationships_intact","relationships",IF(I1037="reconciliation_residual_zero","residual",I1037))),IF(H1037="quality_gate","gate_infra",H1037)))</f>
        <v/>
      </c>
    </row>
    <row r="1038" customFormat="false" ht="15" hidden="false" customHeight="false" outlineLevel="0" collapsed="false">
      <c r="A1038" s="4" t="s">
        <v>3599</v>
      </c>
      <c r="B1038" s="10" t="n">
        <v>46287.1354166667</v>
      </c>
      <c r="C1038" s="4" t="s">
        <v>1544</v>
      </c>
      <c r="D1038" s="4" t="n">
        <v>1125</v>
      </c>
      <c r="E1038" s="4" t="n">
        <v>7</v>
      </c>
      <c r="F1038" s="4" t="n">
        <v>6</v>
      </c>
      <c r="G1038" s="4" t="n">
        <v>0</v>
      </c>
      <c r="J1038" s="11" t="b">
        <f aca="false">TRUE()</f>
        <v>1</v>
      </c>
      <c r="K1038" s="4" t="s">
        <v>3600</v>
      </c>
      <c r="L1038" s="4" t="n">
        <v>4</v>
      </c>
      <c r="M1038" s="4" t="n">
        <v>4</v>
      </c>
      <c r="N1038" s="4" t="n">
        <v>5</v>
      </c>
      <c r="O1038" s="4" t="n">
        <v>4</v>
      </c>
      <c r="P1038" s="0" t="str">
        <f aca="false">IF(E1038=0,"not_reached",IF(AND(F1038&gt;0,G1038=0),"allowed","blocked"))</f>
        <v>allowed</v>
      </c>
      <c r="Q1038" s="0" t="str">
        <f aca="false">IF(C1038="success","published",IF(E1038&gt;0,"blocked_at_gate","failed_before_gate"))</f>
        <v>published</v>
      </c>
      <c r="R1038" s="0" t="str">
        <f aca="false">IF(C1038="success","",IF(E1038&gt;0,IF(I1038="freshness_within_target","freshness",IF(I1038="relationships_intact","relationships",IF(I1038="reconciliation_residual_zero","residual",I1038))),IF(H1038="quality_gate","gate_infra",H1038)))</f>
        <v/>
      </c>
    </row>
    <row r="1039" customFormat="false" ht="15" hidden="false" customHeight="false" outlineLevel="0" collapsed="false">
      <c r="A1039" s="4" t="s">
        <v>3601</v>
      </c>
      <c r="B1039" s="10" t="n">
        <v>46287.1770833333</v>
      </c>
      <c r="C1039" s="4" t="s">
        <v>1544</v>
      </c>
      <c r="D1039" s="4" t="n">
        <v>954</v>
      </c>
      <c r="E1039" s="4" t="n">
        <v>7</v>
      </c>
      <c r="F1039" s="4" t="n">
        <v>6</v>
      </c>
      <c r="G1039" s="4" t="n">
        <v>0</v>
      </c>
      <c r="J1039" s="11" t="b">
        <f aca="false">TRUE()</f>
        <v>1</v>
      </c>
      <c r="K1039" s="4" t="s">
        <v>3602</v>
      </c>
      <c r="L1039" s="4" t="n">
        <v>4</v>
      </c>
      <c r="M1039" s="4" t="n">
        <v>4</v>
      </c>
      <c r="N1039" s="4" t="n">
        <v>4</v>
      </c>
      <c r="O1039" s="4" t="n">
        <v>4</v>
      </c>
      <c r="P1039" s="0" t="str">
        <f aca="false">IF(E1039=0,"not_reached",IF(AND(F1039&gt;0,G1039=0),"allowed","blocked"))</f>
        <v>allowed</v>
      </c>
      <c r="Q1039" s="0" t="str">
        <f aca="false">IF(C1039="success","published",IF(E1039&gt;0,"blocked_at_gate","failed_before_gate"))</f>
        <v>published</v>
      </c>
      <c r="R1039" s="0" t="str">
        <f aca="false">IF(C1039="success","",IF(E1039&gt;0,IF(I1039="freshness_within_target","freshness",IF(I1039="relationships_intact","relationships",IF(I1039="reconciliation_residual_zero","residual",I1039))),IF(H1039="quality_gate","gate_infra",H1039)))</f>
        <v/>
      </c>
    </row>
    <row r="1040" customFormat="false" ht="15" hidden="false" customHeight="false" outlineLevel="0" collapsed="false">
      <c r="A1040" s="4" t="s">
        <v>3603</v>
      </c>
      <c r="B1040" s="10" t="n">
        <v>46287.21875</v>
      </c>
      <c r="C1040" s="4" t="s">
        <v>1544</v>
      </c>
      <c r="D1040" s="4" t="n">
        <v>668</v>
      </c>
      <c r="E1040" s="4" t="n">
        <v>7</v>
      </c>
      <c r="F1040" s="4" t="n">
        <v>6</v>
      </c>
      <c r="G1040" s="4" t="n">
        <v>0</v>
      </c>
      <c r="J1040" s="11" t="b">
        <f aca="false">TRUE()</f>
        <v>1</v>
      </c>
      <c r="K1040" s="4" t="s">
        <v>3604</v>
      </c>
      <c r="L1040" s="4" t="n">
        <v>4</v>
      </c>
      <c r="M1040" s="4" t="n">
        <v>4</v>
      </c>
      <c r="N1040" s="4" t="n">
        <v>4</v>
      </c>
      <c r="O1040" s="4" t="n">
        <v>4</v>
      </c>
      <c r="P1040" s="0" t="str">
        <f aca="false">IF(E1040=0,"not_reached",IF(AND(F1040&gt;0,G1040=0),"allowed","blocked"))</f>
        <v>allowed</v>
      </c>
      <c r="Q1040" s="0" t="str">
        <f aca="false">IF(C1040="success","published",IF(E1040&gt;0,"blocked_at_gate","failed_before_gate"))</f>
        <v>published</v>
      </c>
      <c r="R1040" s="0" t="str">
        <f aca="false">IF(C1040="success","",IF(E1040&gt;0,IF(I1040="freshness_within_target","freshness",IF(I1040="relationships_intact","relationships",IF(I1040="reconciliation_residual_zero","residual",I1040))),IF(H1040="quality_gate","gate_infra",H1040)))</f>
        <v/>
      </c>
    </row>
    <row r="1041" customFormat="false" ht="15" hidden="false" customHeight="false" outlineLevel="0" collapsed="false">
      <c r="A1041" s="4" t="s">
        <v>3605</v>
      </c>
      <c r="B1041" s="10" t="n">
        <v>46287.2604166667</v>
      </c>
      <c r="C1041" s="4" t="s">
        <v>1544</v>
      </c>
      <c r="D1041" s="4" t="n">
        <v>988</v>
      </c>
      <c r="E1041" s="4" t="n">
        <v>7</v>
      </c>
      <c r="F1041" s="4" t="n">
        <v>6</v>
      </c>
      <c r="G1041" s="4" t="n">
        <v>0</v>
      </c>
      <c r="J1041" s="11" t="b">
        <f aca="false">TRUE()</f>
        <v>1</v>
      </c>
      <c r="K1041" s="4" t="s">
        <v>3606</v>
      </c>
      <c r="L1041" s="4" t="n">
        <v>4</v>
      </c>
      <c r="M1041" s="4" t="n">
        <v>4</v>
      </c>
      <c r="N1041" s="4" t="n">
        <v>5</v>
      </c>
      <c r="O1041" s="4" t="n">
        <v>4</v>
      </c>
      <c r="P1041" s="0" t="str">
        <f aca="false">IF(E1041=0,"not_reached",IF(AND(F1041&gt;0,G1041=0),"allowed","blocked"))</f>
        <v>allowed</v>
      </c>
      <c r="Q1041" s="0" t="str">
        <f aca="false">IF(C1041="success","published",IF(E1041&gt;0,"blocked_at_gate","failed_before_gate"))</f>
        <v>published</v>
      </c>
      <c r="R1041" s="0" t="str">
        <f aca="false">IF(C1041="success","",IF(E1041&gt;0,IF(I1041="freshness_within_target","freshness",IF(I1041="relationships_intact","relationships",IF(I1041="reconciliation_residual_zero","residual",I1041))),IF(H1041="quality_gate","gate_infra",H1041)))</f>
        <v/>
      </c>
    </row>
    <row r="1042" customFormat="false" ht="15" hidden="false" customHeight="false" outlineLevel="0" collapsed="false">
      <c r="A1042" s="4" t="s">
        <v>3607</v>
      </c>
      <c r="B1042" s="10" t="n">
        <v>46287.3020833333</v>
      </c>
      <c r="C1042" s="4" t="s">
        <v>1544</v>
      </c>
      <c r="D1042" s="4" t="n">
        <v>673</v>
      </c>
      <c r="E1042" s="4" t="n">
        <v>7</v>
      </c>
      <c r="F1042" s="4" t="n">
        <v>6</v>
      </c>
      <c r="G1042" s="4" t="n">
        <v>0</v>
      </c>
      <c r="J1042" s="11" t="b">
        <f aca="false">TRUE()</f>
        <v>1</v>
      </c>
      <c r="K1042" s="4" t="s">
        <v>3608</v>
      </c>
      <c r="L1042" s="4" t="n">
        <v>4</v>
      </c>
      <c r="M1042" s="4" t="n">
        <v>4</v>
      </c>
      <c r="N1042" s="4" t="n">
        <v>4</v>
      </c>
      <c r="O1042" s="4" t="n">
        <v>4</v>
      </c>
      <c r="P1042" s="0" t="str">
        <f aca="false">IF(E1042=0,"not_reached",IF(AND(F1042&gt;0,G1042=0),"allowed","blocked"))</f>
        <v>allowed</v>
      </c>
      <c r="Q1042" s="0" t="str">
        <f aca="false">IF(C1042="success","published",IF(E1042&gt;0,"blocked_at_gate","failed_before_gate"))</f>
        <v>published</v>
      </c>
      <c r="R1042" s="0" t="str">
        <f aca="false">IF(C1042="success","",IF(E1042&gt;0,IF(I1042="freshness_within_target","freshness",IF(I1042="relationships_intact","relationships",IF(I1042="reconciliation_residual_zero","residual",I1042))),IF(H1042="quality_gate","gate_infra",H1042)))</f>
        <v/>
      </c>
    </row>
    <row r="1043" customFormat="false" ht="15" hidden="false" customHeight="false" outlineLevel="0" collapsed="false">
      <c r="A1043" s="4" t="s">
        <v>3609</v>
      </c>
      <c r="B1043" s="10" t="n">
        <v>46287.34375</v>
      </c>
      <c r="C1043" s="4" t="s">
        <v>1544</v>
      </c>
      <c r="D1043" s="4" t="n">
        <v>667</v>
      </c>
      <c r="E1043" s="4" t="n">
        <v>7</v>
      </c>
      <c r="F1043" s="4" t="n">
        <v>6</v>
      </c>
      <c r="G1043" s="4" t="n">
        <v>0</v>
      </c>
      <c r="J1043" s="11" t="b">
        <f aca="false">TRUE()</f>
        <v>1</v>
      </c>
      <c r="K1043" s="4" t="s">
        <v>3610</v>
      </c>
      <c r="L1043" s="4" t="n">
        <v>4</v>
      </c>
      <c r="M1043" s="4" t="n">
        <v>4</v>
      </c>
      <c r="N1043" s="4" t="n">
        <v>4</v>
      </c>
      <c r="O1043" s="4" t="n">
        <v>4</v>
      </c>
      <c r="P1043" s="0" t="str">
        <f aca="false">IF(E1043=0,"not_reached",IF(AND(F1043&gt;0,G1043=0),"allowed","blocked"))</f>
        <v>allowed</v>
      </c>
      <c r="Q1043" s="0" t="str">
        <f aca="false">IF(C1043="success","published",IF(E1043&gt;0,"blocked_at_gate","failed_before_gate"))</f>
        <v>published</v>
      </c>
      <c r="R1043" s="0" t="str">
        <f aca="false">IF(C1043="success","",IF(E1043&gt;0,IF(I1043="freshness_within_target","freshness",IF(I1043="relationships_intact","relationships",IF(I1043="reconciliation_residual_zero","residual",I1043))),IF(H1043="quality_gate","gate_infra",H1043)))</f>
        <v/>
      </c>
    </row>
    <row r="1044" customFormat="false" ht="15" hidden="false" customHeight="false" outlineLevel="0" collapsed="false">
      <c r="A1044" s="4" t="s">
        <v>3611</v>
      </c>
      <c r="B1044" s="10" t="n">
        <v>46287.3854166667</v>
      </c>
      <c r="C1044" s="4" t="s">
        <v>1544</v>
      </c>
      <c r="D1044" s="4" t="n">
        <v>904</v>
      </c>
      <c r="E1044" s="4" t="n">
        <v>7</v>
      </c>
      <c r="F1044" s="4" t="n">
        <v>6</v>
      </c>
      <c r="G1044" s="4" t="n">
        <v>0</v>
      </c>
      <c r="J1044" s="11" t="b">
        <f aca="false">TRUE()</f>
        <v>1</v>
      </c>
      <c r="K1044" s="4" t="s">
        <v>3612</v>
      </c>
      <c r="L1044" s="4" t="n">
        <v>4</v>
      </c>
      <c r="M1044" s="4" t="n">
        <v>4</v>
      </c>
      <c r="N1044" s="4" t="n">
        <v>4</v>
      </c>
      <c r="O1044" s="4" t="n">
        <v>4</v>
      </c>
      <c r="P1044" s="0" t="str">
        <f aca="false">IF(E1044=0,"not_reached",IF(AND(F1044&gt;0,G1044=0),"allowed","blocked"))</f>
        <v>allowed</v>
      </c>
      <c r="Q1044" s="0" t="str">
        <f aca="false">IF(C1044="success","published",IF(E1044&gt;0,"blocked_at_gate","failed_before_gate"))</f>
        <v>published</v>
      </c>
      <c r="R1044" s="0" t="str">
        <f aca="false">IF(C1044="success","",IF(E1044&gt;0,IF(I1044="freshness_within_target","freshness",IF(I1044="relationships_intact","relationships",IF(I1044="reconciliation_residual_zero","residual",I1044))),IF(H1044="quality_gate","gate_infra",H1044)))</f>
        <v/>
      </c>
    </row>
    <row r="1045" customFormat="false" ht="15" hidden="false" customHeight="false" outlineLevel="0" collapsed="false">
      <c r="A1045" s="4" t="s">
        <v>3613</v>
      </c>
      <c r="B1045" s="10" t="n">
        <v>46287.4270833333</v>
      </c>
      <c r="C1045" s="4" t="s">
        <v>1544</v>
      </c>
      <c r="D1045" s="4" t="n">
        <v>908</v>
      </c>
      <c r="E1045" s="4" t="n">
        <v>7</v>
      </c>
      <c r="F1045" s="4" t="n">
        <v>6</v>
      </c>
      <c r="G1045" s="4" t="n">
        <v>0</v>
      </c>
      <c r="J1045" s="11" t="b">
        <f aca="false">TRUE()</f>
        <v>1</v>
      </c>
      <c r="K1045" s="4" t="s">
        <v>3614</v>
      </c>
      <c r="L1045" s="4" t="n">
        <v>4</v>
      </c>
      <c r="M1045" s="4" t="n">
        <v>4</v>
      </c>
      <c r="N1045" s="4" t="n">
        <v>4</v>
      </c>
      <c r="O1045" s="4" t="n">
        <v>4</v>
      </c>
      <c r="P1045" s="0" t="str">
        <f aca="false">IF(E1045=0,"not_reached",IF(AND(F1045&gt;0,G1045=0),"allowed","blocked"))</f>
        <v>allowed</v>
      </c>
      <c r="Q1045" s="0" t="str">
        <f aca="false">IF(C1045="success","published",IF(E1045&gt;0,"blocked_at_gate","failed_before_gate"))</f>
        <v>published</v>
      </c>
      <c r="R1045" s="0" t="str">
        <f aca="false">IF(C1045="success","",IF(E1045&gt;0,IF(I1045="freshness_within_target","freshness",IF(I1045="relationships_intact","relationships",IF(I1045="reconciliation_residual_zero","residual",I1045))),IF(H1045="quality_gate","gate_infra",H1045)))</f>
        <v/>
      </c>
    </row>
    <row r="1046" customFormat="false" ht="15" hidden="false" customHeight="false" outlineLevel="0" collapsed="false">
      <c r="A1046" s="4" t="s">
        <v>3615</v>
      </c>
      <c r="B1046" s="10" t="n">
        <v>46287.46875</v>
      </c>
      <c r="C1046" s="4" t="s">
        <v>1544</v>
      </c>
      <c r="D1046" s="4" t="n">
        <v>882</v>
      </c>
      <c r="E1046" s="4" t="n">
        <v>7</v>
      </c>
      <c r="F1046" s="4" t="n">
        <v>6</v>
      </c>
      <c r="G1046" s="4" t="n">
        <v>0</v>
      </c>
      <c r="J1046" s="11" t="b">
        <f aca="false">TRUE()</f>
        <v>1</v>
      </c>
      <c r="K1046" s="4" t="s">
        <v>3616</v>
      </c>
      <c r="L1046" s="4" t="n">
        <v>4</v>
      </c>
      <c r="M1046" s="4" t="n">
        <v>4</v>
      </c>
      <c r="N1046" s="4" t="n">
        <v>4</v>
      </c>
      <c r="O1046" s="4" t="n">
        <v>4</v>
      </c>
      <c r="P1046" s="0" t="str">
        <f aca="false">IF(E1046=0,"not_reached",IF(AND(F1046&gt;0,G1046=0),"allowed","blocked"))</f>
        <v>allowed</v>
      </c>
      <c r="Q1046" s="0" t="str">
        <f aca="false">IF(C1046="success","published",IF(E1046&gt;0,"blocked_at_gate","failed_before_gate"))</f>
        <v>published</v>
      </c>
      <c r="R1046" s="0" t="str">
        <f aca="false">IF(C1046="success","",IF(E1046&gt;0,IF(I1046="freshness_within_target","freshness",IF(I1046="relationships_intact","relationships",IF(I1046="reconciliation_residual_zero","residual",I1046))),IF(H1046="quality_gate","gate_infra",H1046)))</f>
        <v/>
      </c>
    </row>
    <row r="1047" customFormat="false" ht="15" hidden="false" customHeight="false" outlineLevel="0" collapsed="false">
      <c r="A1047" s="4" t="s">
        <v>3617</v>
      </c>
      <c r="B1047" s="10" t="n">
        <v>46287.5104166667</v>
      </c>
      <c r="C1047" s="4" t="s">
        <v>1544</v>
      </c>
      <c r="D1047" s="4" t="n">
        <v>789</v>
      </c>
      <c r="E1047" s="4" t="n">
        <v>7</v>
      </c>
      <c r="F1047" s="4" t="n">
        <v>6</v>
      </c>
      <c r="G1047" s="4" t="n">
        <v>0</v>
      </c>
      <c r="J1047" s="11" t="b">
        <f aca="false">TRUE()</f>
        <v>1</v>
      </c>
      <c r="K1047" s="4" t="s">
        <v>3618</v>
      </c>
      <c r="L1047" s="4" t="n">
        <v>4</v>
      </c>
      <c r="M1047" s="4" t="n">
        <v>4</v>
      </c>
      <c r="N1047" s="4" t="n">
        <v>4</v>
      </c>
      <c r="O1047" s="4" t="n">
        <v>4</v>
      </c>
      <c r="P1047" s="0" t="str">
        <f aca="false">IF(E1047=0,"not_reached",IF(AND(F1047&gt;0,G1047=0),"allowed","blocked"))</f>
        <v>allowed</v>
      </c>
      <c r="Q1047" s="0" t="str">
        <f aca="false">IF(C1047="success","published",IF(E1047&gt;0,"blocked_at_gate","failed_before_gate"))</f>
        <v>published</v>
      </c>
      <c r="R1047" s="0" t="str">
        <f aca="false">IF(C1047="success","",IF(E1047&gt;0,IF(I1047="freshness_within_target","freshness",IF(I1047="relationships_intact","relationships",IF(I1047="reconciliation_residual_zero","residual",I1047))),IF(H1047="quality_gate","gate_infra",H1047)))</f>
        <v/>
      </c>
    </row>
    <row r="1048" customFormat="false" ht="15" hidden="false" customHeight="false" outlineLevel="0" collapsed="false">
      <c r="A1048" s="4" t="s">
        <v>3619</v>
      </c>
      <c r="B1048" s="10" t="n">
        <v>46287.5520833333</v>
      </c>
      <c r="C1048" s="4" t="s">
        <v>1544</v>
      </c>
      <c r="D1048" s="4" t="n">
        <v>686</v>
      </c>
      <c r="E1048" s="4" t="n">
        <v>7</v>
      </c>
      <c r="F1048" s="4" t="n">
        <v>6</v>
      </c>
      <c r="G1048" s="4" t="n">
        <v>0</v>
      </c>
      <c r="J1048" s="11" t="b">
        <f aca="false">TRUE()</f>
        <v>1</v>
      </c>
      <c r="K1048" s="4" t="s">
        <v>3620</v>
      </c>
      <c r="L1048" s="4" t="n">
        <v>4</v>
      </c>
      <c r="M1048" s="4" t="n">
        <v>4</v>
      </c>
      <c r="N1048" s="4" t="n">
        <v>4</v>
      </c>
      <c r="O1048" s="4" t="n">
        <v>4</v>
      </c>
      <c r="P1048" s="0" t="str">
        <f aca="false">IF(E1048=0,"not_reached",IF(AND(F1048&gt;0,G1048=0),"allowed","blocked"))</f>
        <v>allowed</v>
      </c>
      <c r="Q1048" s="0" t="str">
        <f aca="false">IF(C1048="success","published",IF(E1048&gt;0,"blocked_at_gate","failed_before_gate"))</f>
        <v>published</v>
      </c>
      <c r="R1048" s="0" t="str">
        <f aca="false">IF(C1048="success","",IF(E1048&gt;0,IF(I1048="freshness_within_target","freshness",IF(I1048="relationships_intact","relationships",IF(I1048="reconciliation_residual_zero","residual",I1048))),IF(H1048="quality_gate","gate_infra",H1048)))</f>
        <v/>
      </c>
    </row>
    <row r="1049" customFormat="false" ht="15" hidden="false" customHeight="false" outlineLevel="0" collapsed="false">
      <c r="A1049" s="4" t="s">
        <v>3621</v>
      </c>
      <c r="B1049" s="10" t="n">
        <v>46287.59375</v>
      </c>
      <c r="C1049" s="4" t="s">
        <v>1544</v>
      </c>
      <c r="D1049" s="4" t="n">
        <v>959</v>
      </c>
      <c r="E1049" s="4" t="n">
        <v>7</v>
      </c>
      <c r="F1049" s="4" t="n">
        <v>6</v>
      </c>
      <c r="G1049" s="4" t="n">
        <v>0</v>
      </c>
      <c r="J1049" s="11" t="b">
        <f aca="false">TRUE()</f>
        <v>1</v>
      </c>
      <c r="K1049" s="4" t="s">
        <v>3622</v>
      </c>
      <c r="L1049" s="4" t="n">
        <v>4</v>
      </c>
      <c r="M1049" s="4" t="n">
        <v>4</v>
      </c>
      <c r="N1049" s="4" t="n">
        <v>4</v>
      </c>
      <c r="O1049" s="4" t="n">
        <v>4</v>
      </c>
      <c r="P1049" s="0" t="str">
        <f aca="false">IF(E1049=0,"not_reached",IF(AND(F1049&gt;0,G1049=0),"allowed","blocked"))</f>
        <v>allowed</v>
      </c>
      <c r="Q1049" s="0" t="str">
        <f aca="false">IF(C1049="success","published",IF(E1049&gt;0,"blocked_at_gate","failed_before_gate"))</f>
        <v>published</v>
      </c>
      <c r="R1049" s="0" t="str">
        <f aca="false">IF(C1049="success","",IF(E1049&gt;0,IF(I1049="freshness_within_target","freshness",IF(I1049="relationships_intact","relationships",IF(I1049="reconciliation_residual_zero","residual",I1049))),IF(H1049="quality_gate","gate_infra",H1049)))</f>
        <v/>
      </c>
    </row>
    <row r="1050" customFormat="false" ht="15" hidden="false" customHeight="false" outlineLevel="0" collapsed="false">
      <c r="A1050" s="4" t="s">
        <v>3623</v>
      </c>
      <c r="B1050" s="10" t="n">
        <v>46287.6354166667</v>
      </c>
      <c r="C1050" s="4" t="s">
        <v>1544</v>
      </c>
      <c r="D1050" s="4" t="n">
        <v>1003</v>
      </c>
      <c r="E1050" s="4" t="n">
        <v>7</v>
      </c>
      <c r="F1050" s="4" t="n">
        <v>6</v>
      </c>
      <c r="G1050" s="4" t="n">
        <v>0</v>
      </c>
      <c r="J1050" s="11" t="b">
        <f aca="false">TRUE()</f>
        <v>1</v>
      </c>
      <c r="K1050" s="4" t="s">
        <v>3624</v>
      </c>
      <c r="L1050" s="4" t="n">
        <v>4</v>
      </c>
      <c r="M1050" s="4" t="n">
        <v>4</v>
      </c>
      <c r="N1050" s="4" t="n">
        <v>5</v>
      </c>
      <c r="O1050" s="4" t="n">
        <v>4</v>
      </c>
      <c r="P1050" s="0" t="str">
        <f aca="false">IF(E1050=0,"not_reached",IF(AND(F1050&gt;0,G1050=0),"allowed","blocked"))</f>
        <v>allowed</v>
      </c>
      <c r="Q1050" s="0" t="str">
        <f aca="false">IF(C1050="success","published",IF(E1050&gt;0,"blocked_at_gate","failed_before_gate"))</f>
        <v>published</v>
      </c>
      <c r="R1050" s="0" t="str">
        <f aca="false">IF(C1050="success","",IF(E1050&gt;0,IF(I1050="freshness_within_target","freshness",IF(I1050="relationships_intact","relationships",IF(I1050="reconciliation_residual_zero","residual",I1050))),IF(H1050="quality_gate","gate_infra",H1050)))</f>
        <v/>
      </c>
    </row>
    <row r="1051" customFormat="false" ht="15" hidden="false" customHeight="false" outlineLevel="0" collapsed="false">
      <c r="A1051" s="4" t="s">
        <v>3625</v>
      </c>
      <c r="B1051" s="10" t="n">
        <v>46287.6770833333</v>
      </c>
      <c r="C1051" s="4" t="s">
        <v>1544</v>
      </c>
      <c r="D1051" s="4" t="n">
        <v>736</v>
      </c>
      <c r="E1051" s="4" t="n">
        <v>7</v>
      </c>
      <c r="F1051" s="4" t="n">
        <v>6</v>
      </c>
      <c r="G1051" s="4" t="n">
        <v>0</v>
      </c>
      <c r="J1051" s="11" t="b">
        <f aca="false">TRUE()</f>
        <v>1</v>
      </c>
      <c r="K1051" s="4" t="s">
        <v>3626</v>
      </c>
      <c r="L1051" s="4" t="n">
        <v>4</v>
      </c>
      <c r="M1051" s="4" t="n">
        <v>4</v>
      </c>
      <c r="N1051" s="4" t="n">
        <v>4</v>
      </c>
      <c r="O1051" s="4" t="n">
        <v>4</v>
      </c>
      <c r="P1051" s="0" t="str">
        <f aca="false">IF(E1051=0,"not_reached",IF(AND(F1051&gt;0,G1051=0),"allowed","blocked"))</f>
        <v>allowed</v>
      </c>
      <c r="Q1051" s="0" t="str">
        <f aca="false">IF(C1051="success","published",IF(E1051&gt;0,"blocked_at_gate","failed_before_gate"))</f>
        <v>published</v>
      </c>
      <c r="R1051" s="0" t="str">
        <f aca="false">IF(C1051="success","",IF(E1051&gt;0,IF(I1051="freshness_within_target","freshness",IF(I1051="relationships_intact","relationships",IF(I1051="reconciliation_residual_zero","residual",I1051))),IF(H1051="quality_gate","gate_infra",H1051)))</f>
        <v/>
      </c>
    </row>
    <row r="1052" customFormat="false" ht="15" hidden="false" customHeight="false" outlineLevel="0" collapsed="false">
      <c r="A1052" s="4" t="s">
        <v>3627</v>
      </c>
      <c r="B1052" s="10" t="n">
        <v>46287.71875</v>
      </c>
      <c r="C1052" s="4" t="s">
        <v>1544</v>
      </c>
      <c r="D1052" s="4" t="n">
        <v>926</v>
      </c>
      <c r="E1052" s="4" t="n">
        <v>7</v>
      </c>
      <c r="F1052" s="4" t="n">
        <v>6</v>
      </c>
      <c r="G1052" s="4" t="n">
        <v>0</v>
      </c>
      <c r="J1052" s="11" t="b">
        <f aca="false">TRUE()</f>
        <v>1</v>
      </c>
      <c r="K1052" s="4" t="s">
        <v>3628</v>
      </c>
      <c r="L1052" s="4" t="n">
        <v>4</v>
      </c>
      <c r="M1052" s="4" t="n">
        <v>4</v>
      </c>
      <c r="N1052" s="4" t="n">
        <v>4</v>
      </c>
      <c r="O1052" s="4" t="n">
        <v>4</v>
      </c>
      <c r="P1052" s="0" t="str">
        <f aca="false">IF(E1052=0,"not_reached",IF(AND(F1052&gt;0,G1052=0),"allowed","blocked"))</f>
        <v>allowed</v>
      </c>
      <c r="Q1052" s="0" t="str">
        <f aca="false">IF(C1052="success","published",IF(E1052&gt;0,"blocked_at_gate","failed_before_gate"))</f>
        <v>published</v>
      </c>
      <c r="R1052" s="0" t="str">
        <f aca="false">IF(C1052="success","",IF(E1052&gt;0,IF(I1052="freshness_within_target","freshness",IF(I1052="relationships_intact","relationships",IF(I1052="reconciliation_residual_zero","residual",I1052))),IF(H1052="quality_gate","gate_infra",H1052)))</f>
        <v/>
      </c>
    </row>
    <row r="1053" customFormat="false" ht="15" hidden="false" customHeight="false" outlineLevel="0" collapsed="false">
      <c r="A1053" s="4" t="s">
        <v>3629</v>
      </c>
      <c r="B1053" s="10" t="n">
        <v>46287.7604166667</v>
      </c>
      <c r="C1053" s="4" t="s">
        <v>1544</v>
      </c>
      <c r="D1053" s="4" t="n">
        <v>784</v>
      </c>
      <c r="E1053" s="4" t="n">
        <v>7</v>
      </c>
      <c r="F1053" s="4" t="n">
        <v>6</v>
      </c>
      <c r="G1053" s="4" t="n">
        <v>0</v>
      </c>
      <c r="J1053" s="11" t="b">
        <f aca="false">TRUE()</f>
        <v>1</v>
      </c>
      <c r="K1053" s="4" t="s">
        <v>3630</v>
      </c>
      <c r="L1053" s="4" t="n">
        <v>4</v>
      </c>
      <c r="M1053" s="4" t="n">
        <v>4</v>
      </c>
      <c r="N1053" s="4" t="n">
        <v>4</v>
      </c>
      <c r="O1053" s="4" t="n">
        <v>4</v>
      </c>
      <c r="P1053" s="0" t="str">
        <f aca="false">IF(E1053=0,"not_reached",IF(AND(F1053&gt;0,G1053=0),"allowed","blocked"))</f>
        <v>allowed</v>
      </c>
      <c r="Q1053" s="0" t="str">
        <f aca="false">IF(C1053="success","published",IF(E1053&gt;0,"blocked_at_gate","failed_before_gate"))</f>
        <v>published</v>
      </c>
      <c r="R1053" s="0" t="str">
        <f aca="false">IF(C1053="success","",IF(E1053&gt;0,IF(I1053="freshness_within_target","freshness",IF(I1053="relationships_intact","relationships",IF(I1053="reconciliation_residual_zero","residual",I1053))),IF(H1053="quality_gate","gate_infra",H1053)))</f>
        <v/>
      </c>
    </row>
    <row r="1054" customFormat="false" ht="15" hidden="false" customHeight="false" outlineLevel="0" collapsed="false">
      <c r="A1054" s="4" t="s">
        <v>3631</v>
      </c>
      <c r="B1054" s="10" t="n">
        <v>46287.8020833333</v>
      </c>
      <c r="C1054" s="4" t="s">
        <v>1544</v>
      </c>
      <c r="D1054" s="4" t="n">
        <v>823</v>
      </c>
      <c r="E1054" s="4" t="n">
        <v>7</v>
      </c>
      <c r="F1054" s="4" t="n">
        <v>6</v>
      </c>
      <c r="G1054" s="4" t="n">
        <v>0</v>
      </c>
      <c r="J1054" s="11" t="b">
        <f aca="false">TRUE()</f>
        <v>1</v>
      </c>
      <c r="K1054" s="4" t="s">
        <v>3632</v>
      </c>
      <c r="L1054" s="4" t="n">
        <v>4</v>
      </c>
      <c r="M1054" s="4" t="n">
        <v>4</v>
      </c>
      <c r="N1054" s="4" t="n">
        <v>4</v>
      </c>
      <c r="O1054" s="4" t="n">
        <v>4</v>
      </c>
      <c r="P1054" s="0" t="str">
        <f aca="false">IF(E1054=0,"not_reached",IF(AND(F1054&gt;0,G1054=0),"allowed","blocked"))</f>
        <v>allowed</v>
      </c>
      <c r="Q1054" s="0" t="str">
        <f aca="false">IF(C1054="success","published",IF(E1054&gt;0,"blocked_at_gate","failed_before_gate"))</f>
        <v>published</v>
      </c>
      <c r="R1054" s="0" t="str">
        <f aca="false">IF(C1054="success","",IF(E1054&gt;0,IF(I1054="freshness_within_target","freshness",IF(I1054="relationships_intact","relationships",IF(I1054="reconciliation_residual_zero","residual",I1054))),IF(H1054="quality_gate","gate_infra",H1054)))</f>
        <v/>
      </c>
    </row>
    <row r="1055" customFormat="false" ht="15" hidden="false" customHeight="false" outlineLevel="0" collapsed="false">
      <c r="A1055" s="4" t="s">
        <v>3633</v>
      </c>
      <c r="B1055" s="10" t="n">
        <v>46287.84375</v>
      </c>
      <c r="C1055" s="4" t="s">
        <v>1544</v>
      </c>
      <c r="D1055" s="4" t="n">
        <v>726</v>
      </c>
      <c r="E1055" s="4" t="n">
        <v>7</v>
      </c>
      <c r="F1055" s="4" t="n">
        <v>6</v>
      </c>
      <c r="G1055" s="4" t="n">
        <v>0</v>
      </c>
      <c r="J1055" s="11" t="b">
        <f aca="false">TRUE()</f>
        <v>1</v>
      </c>
      <c r="K1055" s="4" t="s">
        <v>3634</v>
      </c>
      <c r="L1055" s="4" t="n">
        <v>4</v>
      </c>
      <c r="M1055" s="4" t="n">
        <v>4</v>
      </c>
      <c r="N1055" s="4" t="n">
        <v>4</v>
      </c>
      <c r="O1055" s="4" t="n">
        <v>4</v>
      </c>
      <c r="P1055" s="0" t="str">
        <f aca="false">IF(E1055=0,"not_reached",IF(AND(F1055&gt;0,G1055=0),"allowed","blocked"))</f>
        <v>allowed</v>
      </c>
      <c r="Q1055" s="0" t="str">
        <f aca="false">IF(C1055="success","published",IF(E1055&gt;0,"blocked_at_gate","failed_before_gate"))</f>
        <v>published</v>
      </c>
      <c r="R1055" s="0" t="str">
        <f aca="false">IF(C1055="success","",IF(E1055&gt;0,IF(I1055="freshness_within_target","freshness",IF(I1055="relationships_intact","relationships",IF(I1055="reconciliation_residual_zero","residual",I1055))),IF(H1055="quality_gate","gate_infra",H1055)))</f>
        <v/>
      </c>
    </row>
    <row r="1056" customFormat="false" ht="15" hidden="false" customHeight="false" outlineLevel="0" collapsed="false">
      <c r="A1056" s="4" t="s">
        <v>3635</v>
      </c>
      <c r="B1056" s="10" t="n">
        <v>46287.8854166667</v>
      </c>
      <c r="C1056" s="4" t="s">
        <v>1544</v>
      </c>
      <c r="D1056" s="4" t="n">
        <v>719</v>
      </c>
      <c r="E1056" s="4" t="n">
        <v>7</v>
      </c>
      <c r="F1056" s="4" t="n">
        <v>6</v>
      </c>
      <c r="G1056" s="4" t="n">
        <v>0</v>
      </c>
      <c r="J1056" s="11" t="b">
        <f aca="false">TRUE()</f>
        <v>1</v>
      </c>
      <c r="K1056" s="4" t="s">
        <v>3636</v>
      </c>
      <c r="L1056" s="4" t="n">
        <v>4</v>
      </c>
      <c r="M1056" s="4" t="n">
        <v>4</v>
      </c>
      <c r="N1056" s="4" t="n">
        <v>4</v>
      </c>
      <c r="O1056" s="4" t="n">
        <v>4</v>
      </c>
      <c r="P1056" s="0" t="str">
        <f aca="false">IF(E1056=0,"not_reached",IF(AND(F1056&gt;0,G1056=0),"allowed","blocked"))</f>
        <v>allowed</v>
      </c>
      <c r="Q1056" s="0" t="str">
        <f aca="false">IF(C1056="success","published",IF(E1056&gt;0,"blocked_at_gate","failed_before_gate"))</f>
        <v>published</v>
      </c>
      <c r="R1056" s="0" t="str">
        <f aca="false">IF(C1056="success","",IF(E1056&gt;0,IF(I1056="freshness_within_target","freshness",IF(I1056="relationships_intact","relationships",IF(I1056="reconciliation_residual_zero","residual",I1056))),IF(H1056="quality_gate","gate_infra",H1056)))</f>
        <v/>
      </c>
    </row>
    <row r="1057" customFormat="false" ht="15" hidden="false" customHeight="false" outlineLevel="0" collapsed="false">
      <c r="A1057" s="4" t="s">
        <v>3637</v>
      </c>
      <c r="B1057" s="10" t="n">
        <v>46287.9270833333</v>
      </c>
      <c r="C1057" s="4" t="s">
        <v>1544</v>
      </c>
      <c r="D1057" s="4" t="n">
        <v>677</v>
      </c>
      <c r="E1057" s="4" t="n">
        <v>7</v>
      </c>
      <c r="F1057" s="4" t="n">
        <v>6</v>
      </c>
      <c r="G1057" s="4" t="n">
        <v>0</v>
      </c>
      <c r="J1057" s="11" t="b">
        <f aca="false">TRUE()</f>
        <v>1</v>
      </c>
      <c r="K1057" s="4" t="s">
        <v>3638</v>
      </c>
      <c r="L1057" s="4" t="n">
        <v>4</v>
      </c>
      <c r="M1057" s="4" t="n">
        <v>4</v>
      </c>
      <c r="N1057" s="4" t="n">
        <v>4</v>
      </c>
      <c r="O1057" s="4" t="n">
        <v>4</v>
      </c>
      <c r="P1057" s="0" t="str">
        <f aca="false">IF(E1057=0,"not_reached",IF(AND(F1057&gt;0,G1057=0),"allowed","blocked"))</f>
        <v>allowed</v>
      </c>
      <c r="Q1057" s="0" t="str">
        <f aca="false">IF(C1057="success","published",IF(E1057&gt;0,"blocked_at_gate","failed_before_gate"))</f>
        <v>published</v>
      </c>
      <c r="R1057" s="0" t="str">
        <f aca="false">IF(C1057="success","",IF(E1057&gt;0,IF(I1057="freshness_within_target","freshness",IF(I1057="relationships_intact","relationships",IF(I1057="reconciliation_residual_zero","residual",I1057))),IF(H1057="quality_gate","gate_infra",H1057)))</f>
        <v/>
      </c>
    </row>
    <row r="1058" customFormat="false" ht="15" hidden="false" customHeight="false" outlineLevel="0" collapsed="false">
      <c r="A1058" s="4" t="s">
        <v>3639</v>
      </c>
      <c r="B1058" s="10" t="n">
        <v>46287.96875</v>
      </c>
      <c r="C1058" s="4" t="s">
        <v>1544</v>
      </c>
      <c r="D1058" s="4" t="n">
        <v>903</v>
      </c>
      <c r="E1058" s="4" t="n">
        <v>7</v>
      </c>
      <c r="F1058" s="4" t="n">
        <v>6</v>
      </c>
      <c r="G1058" s="4" t="n">
        <v>0</v>
      </c>
      <c r="J1058" s="11" t="b">
        <f aca="false">TRUE()</f>
        <v>1</v>
      </c>
      <c r="K1058" s="4" t="s">
        <v>3640</v>
      </c>
      <c r="L1058" s="4" t="n">
        <v>4</v>
      </c>
      <c r="M1058" s="4" t="n">
        <v>4</v>
      </c>
      <c r="N1058" s="4" t="n">
        <v>4</v>
      </c>
      <c r="O1058" s="4" t="n">
        <v>4</v>
      </c>
      <c r="P1058" s="0" t="str">
        <f aca="false">IF(E1058=0,"not_reached",IF(AND(F1058&gt;0,G1058=0),"allowed","blocked"))</f>
        <v>allowed</v>
      </c>
      <c r="Q1058" s="0" t="str">
        <f aca="false">IF(C1058="success","published",IF(E1058&gt;0,"blocked_at_gate","failed_before_gate"))</f>
        <v>published</v>
      </c>
      <c r="R1058" s="0" t="str">
        <f aca="false">IF(C1058="success","",IF(E1058&gt;0,IF(I1058="freshness_within_target","freshness",IF(I1058="relationships_intact","relationships",IF(I1058="reconciliation_residual_zero","residual",I1058))),IF(H1058="quality_gate","gate_infra",H1058)))</f>
        <v/>
      </c>
    </row>
    <row r="1059" customFormat="false" ht="15" hidden="false" customHeight="false" outlineLevel="0" collapsed="false">
      <c r="A1059" s="4" t="s">
        <v>3641</v>
      </c>
      <c r="B1059" s="10" t="n">
        <v>46288.0104166667</v>
      </c>
      <c r="C1059" s="4" t="s">
        <v>1544</v>
      </c>
      <c r="D1059" s="4" t="n">
        <v>817</v>
      </c>
      <c r="E1059" s="4" t="n">
        <v>7</v>
      </c>
      <c r="F1059" s="4" t="n">
        <v>6</v>
      </c>
      <c r="G1059" s="4" t="n">
        <v>0</v>
      </c>
      <c r="J1059" s="11" t="b">
        <f aca="false">TRUE()</f>
        <v>1</v>
      </c>
      <c r="K1059" s="4" t="s">
        <v>3642</v>
      </c>
      <c r="L1059" s="4" t="n">
        <v>4</v>
      </c>
      <c r="M1059" s="4" t="n">
        <v>4</v>
      </c>
      <c r="N1059" s="4" t="n">
        <v>4</v>
      </c>
      <c r="O1059" s="4" t="n">
        <v>4</v>
      </c>
      <c r="P1059" s="0" t="str">
        <f aca="false">IF(E1059=0,"not_reached",IF(AND(F1059&gt;0,G1059=0),"allowed","blocked"))</f>
        <v>allowed</v>
      </c>
      <c r="Q1059" s="0" t="str">
        <f aca="false">IF(C1059="success","published",IF(E1059&gt;0,"blocked_at_gate","failed_before_gate"))</f>
        <v>published</v>
      </c>
      <c r="R1059" s="0" t="str">
        <f aca="false">IF(C1059="success","",IF(E1059&gt;0,IF(I1059="freshness_within_target","freshness",IF(I1059="relationships_intact","relationships",IF(I1059="reconciliation_residual_zero","residual",I1059))),IF(H1059="quality_gate","gate_infra",H1059)))</f>
        <v/>
      </c>
    </row>
    <row r="1060" customFormat="false" ht="15" hidden="false" customHeight="false" outlineLevel="0" collapsed="false">
      <c r="A1060" s="4" t="s">
        <v>3643</v>
      </c>
      <c r="B1060" s="10" t="n">
        <v>46288.0520833333</v>
      </c>
      <c r="C1060" s="4" t="s">
        <v>1544</v>
      </c>
      <c r="D1060" s="4" t="n">
        <v>855</v>
      </c>
      <c r="E1060" s="4" t="n">
        <v>7</v>
      </c>
      <c r="F1060" s="4" t="n">
        <v>6</v>
      </c>
      <c r="G1060" s="4" t="n">
        <v>0</v>
      </c>
      <c r="J1060" s="11" t="b">
        <f aca="false">TRUE()</f>
        <v>1</v>
      </c>
      <c r="K1060" s="4" t="s">
        <v>3644</v>
      </c>
      <c r="L1060" s="4" t="n">
        <v>4</v>
      </c>
      <c r="M1060" s="4" t="n">
        <v>4</v>
      </c>
      <c r="N1060" s="4" t="n">
        <v>4</v>
      </c>
      <c r="O1060" s="4" t="n">
        <v>4</v>
      </c>
      <c r="P1060" s="0" t="str">
        <f aca="false">IF(E1060=0,"not_reached",IF(AND(F1060&gt;0,G1060=0),"allowed","blocked"))</f>
        <v>allowed</v>
      </c>
      <c r="Q1060" s="0" t="str">
        <f aca="false">IF(C1060="success","published",IF(E1060&gt;0,"blocked_at_gate","failed_before_gate"))</f>
        <v>published</v>
      </c>
      <c r="R1060" s="0" t="str">
        <f aca="false">IF(C1060="success","",IF(E1060&gt;0,IF(I1060="freshness_within_target","freshness",IF(I1060="relationships_intact","relationships",IF(I1060="reconciliation_residual_zero","residual",I1060))),IF(H1060="quality_gate","gate_infra",H1060)))</f>
        <v/>
      </c>
    </row>
    <row r="1061" customFormat="false" ht="15" hidden="false" customHeight="false" outlineLevel="0" collapsed="false">
      <c r="A1061" s="4" t="s">
        <v>3645</v>
      </c>
      <c r="B1061" s="10" t="n">
        <v>46288.09375</v>
      </c>
      <c r="C1061" s="4" t="s">
        <v>1544</v>
      </c>
      <c r="D1061" s="4" t="n">
        <v>801</v>
      </c>
      <c r="E1061" s="4" t="n">
        <v>7</v>
      </c>
      <c r="F1061" s="4" t="n">
        <v>6</v>
      </c>
      <c r="G1061" s="4" t="n">
        <v>0</v>
      </c>
      <c r="J1061" s="11" t="b">
        <f aca="false">TRUE()</f>
        <v>1</v>
      </c>
      <c r="K1061" s="4" t="s">
        <v>3646</v>
      </c>
      <c r="L1061" s="4" t="n">
        <v>4</v>
      </c>
      <c r="M1061" s="4" t="n">
        <v>4</v>
      </c>
      <c r="N1061" s="4" t="n">
        <v>4</v>
      </c>
      <c r="O1061" s="4" t="n">
        <v>4</v>
      </c>
      <c r="P1061" s="0" t="str">
        <f aca="false">IF(E1061=0,"not_reached",IF(AND(F1061&gt;0,G1061=0),"allowed","blocked"))</f>
        <v>allowed</v>
      </c>
      <c r="Q1061" s="0" t="str">
        <f aca="false">IF(C1061="success","published",IF(E1061&gt;0,"blocked_at_gate","failed_before_gate"))</f>
        <v>published</v>
      </c>
      <c r="R1061" s="0" t="str">
        <f aca="false">IF(C1061="success","",IF(E1061&gt;0,IF(I1061="freshness_within_target","freshness",IF(I1061="relationships_intact","relationships",IF(I1061="reconciliation_residual_zero","residual",I1061))),IF(H1061="quality_gate","gate_infra",H1061)))</f>
        <v/>
      </c>
    </row>
    <row r="1062" customFormat="false" ht="15" hidden="false" customHeight="false" outlineLevel="0" collapsed="false">
      <c r="A1062" s="4" t="s">
        <v>3647</v>
      </c>
      <c r="B1062" s="10" t="n">
        <v>46288.1354166667</v>
      </c>
      <c r="C1062" s="4" t="s">
        <v>1544</v>
      </c>
      <c r="D1062" s="4" t="n">
        <v>738</v>
      </c>
      <c r="E1062" s="4" t="n">
        <v>7</v>
      </c>
      <c r="F1062" s="4" t="n">
        <v>6</v>
      </c>
      <c r="G1062" s="4" t="n">
        <v>0</v>
      </c>
      <c r="J1062" s="11" t="b">
        <f aca="false">TRUE()</f>
        <v>1</v>
      </c>
      <c r="K1062" s="4" t="s">
        <v>3648</v>
      </c>
      <c r="L1062" s="4" t="n">
        <v>4</v>
      </c>
      <c r="M1062" s="4" t="n">
        <v>4</v>
      </c>
      <c r="N1062" s="4" t="n">
        <v>4</v>
      </c>
      <c r="O1062" s="4" t="n">
        <v>4</v>
      </c>
      <c r="P1062" s="0" t="str">
        <f aca="false">IF(E1062=0,"not_reached",IF(AND(F1062&gt;0,G1062=0),"allowed","blocked"))</f>
        <v>allowed</v>
      </c>
      <c r="Q1062" s="0" t="str">
        <f aca="false">IF(C1062="success","published",IF(E1062&gt;0,"blocked_at_gate","failed_before_gate"))</f>
        <v>published</v>
      </c>
      <c r="R1062" s="0" t="str">
        <f aca="false">IF(C1062="success","",IF(E1062&gt;0,IF(I1062="freshness_within_target","freshness",IF(I1062="relationships_intact","relationships",IF(I1062="reconciliation_residual_zero","residual",I1062))),IF(H1062="quality_gate","gate_infra",H1062)))</f>
        <v/>
      </c>
    </row>
    <row r="1063" customFormat="false" ht="15" hidden="false" customHeight="false" outlineLevel="0" collapsed="false">
      <c r="A1063" s="4" t="s">
        <v>3649</v>
      </c>
      <c r="B1063" s="10" t="n">
        <v>46288.1770833333</v>
      </c>
      <c r="C1063" s="4" t="s">
        <v>1544</v>
      </c>
      <c r="D1063" s="4" t="n">
        <v>818</v>
      </c>
      <c r="E1063" s="4" t="n">
        <v>7</v>
      </c>
      <c r="F1063" s="4" t="n">
        <v>6</v>
      </c>
      <c r="G1063" s="4" t="n">
        <v>0</v>
      </c>
      <c r="J1063" s="11" t="b">
        <f aca="false">TRUE()</f>
        <v>1</v>
      </c>
      <c r="K1063" s="4" t="s">
        <v>3650</v>
      </c>
      <c r="L1063" s="4" t="n">
        <v>4</v>
      </c>
      <c r="M1063" s="4" t="n">
        <v>4</v>
      </c>
      <c r="N1063" s="4" t="n">
        <v>4</v>
      </c>
      <c r="O1063" s="4" t="n">
        <v>4</v>
      </c>
      <c r="P1063" s="0" t="str">
        <f aca="false">IF(E1063=0,"not_reached",IF(AND(F1063&gt;0,G1063=0),"allowed","blocked"))</f>
        <v>allowed</v>
      </c>
      <c r="Q1063" s="0" t="str">
        <f aca="false">IF(C1063="success","published",IF(E1063&gt;0,"blocked_at_gate","failed_before_gate"))</f>
        <v>published</v>
      </c>
      <c r="R1063" s="0" t="str">
        <f aca="false">IF(C1063="success","",IF(E1063&gt;0,IF(I1063="freshness_within_target","freshness",IF(I1063="relationships_intact","relationships",IF(I1063="reconciliation_residual_zero","residual",I1063))),IF(H1063="quality_gate","gate_infra",H1063)))</f>
        <v/>
      </c>
    </row>
    <row r="1064" customFormat="false" ht="15" hidden="false" customHeight="false" outlineLevel="0" collapsed="false">
      <c r="A1064" s="4" t="s">
        <v>3651</v>
      </c>
      <c r="B1064" s="10" t="n">
        <v>46288.21875</v>
      </c>
      <c r="C1064" s="4" t="s">
        <v>1544</v>
      </c>
      <c r="D1064" s="4" t="n">
        <v>807</v>
      </c>
      <c r="E1064" s="4" t="n">
        <v>7</v>
      </c>
      <c r="F1064" s="4" t="n">
        <v>6</v>
      </c>
      <c r="G1064" s="4" t="n">
        <v>0</v>
      </c>
      <c r="J1064" s="11" t="b">
        <f aca="false">TRUE()</f>
        <v>1</v>
      </c>
      <c r="K1064" s="4" t="s">
        <v>3652</v>
      </c>
      <c r="L1064" s="4" t="n">
        <v>4</v>
      </c>
      <c r="M1064" s="4" t="n">
        <v>4</v>
      </c>
      <c r="N1064" s="4" t="n">
        <v>4</v>
      </c>
      <c r="O1064" s="4" t="n">
        <v>4</v>
      </c>
      <c r="P1064" s="0" t="str">
        <f aca="false">IF(E1064=0,"not_reached",IF(AND(F1064&gt;0,G1064=0),"allowed","blocked"))</f>
        <v>allowed</v>
      </c>
      <c r="Q1064" s="0" t="str">
        <f aca="false">IF(C1064="success","published",IF(E1064&gt;0,"blocked_at_gate","failed_before_gate"))</f>
        <v>published</v>
      </c>
      <c r="R1064" s="0" t="str">
        <f aca="false">IF(C1064="success","",IF(E1064&gt;0,IF(I1064="freshness_within_target","freshness",IF(I1064="relationships_intact","relationships",IF(I1064="reconciliation_residual_zero","residual",I1064))),IF(H1064="quality_gate","gate_infra",H1064)))</f>
        <v/>
      </c>
    </row>
    <row r="1065" customFormat="false" ht="15" hidden="false" customHeight="false" outlineLevel="0" collapsed="false">
      <c r="A1065" s="4" t="s">
        <v>3653</v>
      </c>
      <c r="B1065" s="10" t="n">
        <v>46288.2604166667</v>
      </c>
      <c r="C1065" s="4" t="s">
        <v>1544</v>
      </c>
      <c r="D1065" s="4" t="n">
        <v>670</v>
      </c>
      <c r="E1065" s="4" t="n">
        <v>7</v>
      </c>
      <c r="F1065" s="4" t="n">
        <v>6</v>
      </c>
      <c r="G1065" s="4" t="n">
        <v>0</v>
      </c>
      <c r="J1065" s="11" t="b">
        <f aca="false">TRUE()</f>
        <v>1</v>
      </c>
      <c r="K1065" s="4" t="s">
        <v>3654</v>
      </c>
      <c r="L1065" s="4" t="n">
        <v>4</v>
      </c>
      <c r="M1065" s="4" t="n">
        <v>4</v>
      </c>
      <c r="N1065" s="4" t="n">
        <v>4</v>
      </c>
      <c r="O1065" s="4" t="n">
        <v>4</v>
      </c>
      <c r="P1065" s="0" t="str">
        <f aca="false">IF(E1065=0,"not_reached",IF(AND(F1065&gt;0,G1065=0),"allowed","blocked"))</f>
        <v>allowed</v>
      </c>
      <c r="Q1065" s="0" t="str">
        <f aca="false">IF(C1065="success","published",IF(E1065&gt;0,"blocked_at_gate","failed_before_gate"))</f>
        <v>published</v>
      </c>
      <c r="R1065" s="0" t="str">
        <f aca="false">IF(C1065="success","",IF(E1065&gt;0,IF(I1065="freshness_within_target","freshness",IF(I1065="relationships_intact","relationships",IF(I1065="reconciliation_residual_zero","residual",I1065))),IF(H1065="quality_gate","gate_infra",H1065)))</f>
        <v/>
      </c>
    </row>
    <row r="1066" customFormat="false" ht="15" hidden="false" customHeight="false" outlineLevel="0" collapsed="false">
      <c r="A1066" s="4" t="s">
        <v>3655</v>
      </c>
      <c r="B1066" s="10" t="n">
        <v>46288.3020833333</v>
      </c>
      <c r="C1066" s="4" t="s">
        <v>1544</v>
      </c>
      <c r="D1066" s="4" t="n">
        <v>912</v>
      </c>
      <c r="E1066" s="4" t="n">
        <v>7</v>
      </c>
      <c r="F1066" s="4" t="n">
        <v>6</v>
      </c>
      <c r="G1066" s="4" t="n">
        <v>0</v>
      </c>
      <c r="J1066" s="11" t="b">
        <f aca="false">TRUE()</f>
        <v>1</v>
      </c>
      <c r="K1066" s="4" t="s">
        <v>3656</v>
      </c>
      <c r="L1066" s="4" t="n">
        <v>4</v>
      </c>
      <c r="M1066" s="4" t="n">
        <v>4</v>
      </c>
      <c r="N1066" s="4" t="n">
        <v>4</v>
      </c>
      <c r="O1066" s="4" t="n">
        <v>4</v>
      </c>
      <c r="P1066" s="0" t="str">
        <f aca="false">IF(E1066=0,"not_reached",IF(AND(F1066&gt;0,G1066=0),"allowed","blocked"))</f>
        <v>allowed</v>
      </c>
      <c r="Q1066" s="0" t="str">
        <f aca="false">IF(C1066="success","published",IF(E1066&gt;0,"blocked_at_gate","failed_before_gate"))</f>
        <v>published</v>
      </c>
      <c r="R1066" s="0" t="str">
        <f aca="false">IF(C1066="success","",IF(E1066&gt;0,IF(I1066="freshness_within_target","freshness",IF(I1066="relationships_intact","relationships",IF(I1066="reconciliation_residual_zero","residual",I1066))),IF(H1066="quality_gate","gate_infra",H1066)))</f>
        <v/>
      </c>
    </row>
    <row r="1067" customFormat="false" ht="15" hidden="false" customHeight="false" outlineLevel="0" collapsed="false">
      <c r="A1067" s="4" t="s">
        <v>3657</v>
      </c>
      <c r="B1067" s="10" t="n">
        <v>46288.34375</v>
      </c>
      <c r="C1067" s="4" t="s">
        <v>1544</v>
      </c>
      <c r="D1067" s="4" t="n">
        <v>1234</v>
      </c>
      <c r="E1067" s="4" t="n">
        <v>7</v>
      </c>
      <c r="F1067" s="4" t="n">
        <v>6</v>
      </c>
      <c r="G1067" s="4" t="n">
        <v>0</v>
      </c>
      <c r="J1067" s="11" t="b">
        <f aca="false">TRUE()</f>
        <v>1</v>
      </c>
      <c r="K1067" s="4" t="s">
        <v>3658</v>
      </c>
      <c r="L1067" s="4" t="n">
        <v>4</v>
      </c>
      <c r="M1067" s="4" t="n">
        <v>4</v>
      </c>
      <c r="N1067" s="4" t="n">
        <v>5</v>
      </c>
      <c r="O1067" s="4" t="n">
        <v>4</v>
      </c>
      <c r="P1067" s="0" t="str">
        <f aca="false">IF(E1067=0,"not_reached",IF(AND(F1067&gt;0,G1067=0),"allowed","blocked"))</f>
        <v>allowed</v>
      </c>
      <c r="Q1067" s="0" t="str">
        <f aca="false">IF(C1067="success","published",IF(E1067&gt;0,"blocked_at_gate","failed_before_gate"))</f>
        <v>published</v>
      </c>
      <c r="R1067" s="0" t="str">
        <f aca="false">IF(C1067="success","",IF(E1067&gt;0,IF(I1067="freshness_within_target","freshness",IF(I1067="relationships_intact","relationships",IF(I1067="reconciliation_residual_zero","residual",I1067))),IF(H1067="quality_gate","gate_infra",H1067)))</f>
        <v/>
      </c>
    </row>
    <row r="1068" customFormat="false" ht="15" hidden="false" customHeight="false" outlineLevel="0" collapsed="false">
      <c r="A1068" s="4" t="s">
        <v>3659</v>
      </c>
      <c r="B1068" s="10" t="n">
        <v>46288.3854166667</v>
      </c>
      <c r="C1068" s="4" t="s">
        <v>1544</v>
      </c>
      <c r="D1068" s="4" t="n">
        <v>754</v>
      </c>
      <c r="E1068" s="4" t="n">
        <v>7</v>
      </c>
      <c r="F1068" s="4" t="n">
        <v>6</v>
      </c>
      <c r="G1068" s="4" t="n">
        <v>0</v>
      </c>
      <c r="J1068" s="11" t="b">
        <f aca="false">TRUE()</f>
        <v>1</v>
      </c>
      <c r="K1068" s="4" t="s">
        <v>3660</v>
      </c>
      <c r="L1068" s="4" t="n">
        <v>4</v>
      </c>
      <c r="M1068" s="4" t="n">
        <v>4</v>
      </c>
      <c r="N1068" s="4" t="n">
        <v>4</v>
      </c>
      <c r="O1068" s="4" t="n">
        <v>4</v>
      </c>
      <c r="P1068" s="0" t="str">
        <f aca="false">IF(E1068=0,"not_reached",IF(AND(F1068&gt;0,G1068=0),"allowed","blocked"))</f>
        <v>allowed</v>
      </c>
      <c r="Q1068" s="0" t="str">
        <f aca="false">IF(C1068="success","published",IF(E1068&gt;0,"blocked_at_gate","failed_before_gate"))</f>
        <v>published</v>
      </c>
      <c r="R1068" s="0" t="str">
        <f aca="false">IF(C1068="success","",IF(E1068&gt;0,IF(I1068="freshness_within_target","freshness",IF(I1068="relationships_intact","relationships",IF(I1068="reconciliation_residual_zero","residual",I1068))),IF(H1068="quality_gate","gate_infra",H1068)))</f>
        <v/>
      </c>
    </row>
    <row r="1069" customFormat="false" ht="15" hidden="false" customHeight="false" outlineLevel="0" collapsed="false">
      <c r="A1069" s="4" t="s">
        <v>3661</v>
      </c>
      <c r="B1069" s="10" t="n">
        <v>46288.4270833333</v>
      </c>
      <c r="C1069" s="4" t="s">
        <v>1544</v>
      </c>
      <c r="D1069" s="4" t="n">
        <v>830</v>
      </c>
      <c r="E1069" s="4" t="n">
        <v>7</v>
      </c>
      <c r="F1069" s="4" t="n">
        <v>6</v>
      </c>
      <c r="G1069" s="4" t="n">
        <v>0</v>
      </c>
      <c r="J1069" s="11" t="b">
        <f aca="false">TRUE()</f>
        <v>1</v>
      </c>
      <c r="K1069" s="4" t="s">
        <v>3662</v>
      </c>
      <c r="L1069" s="4" t="n">
        <v>4</v>
      </c>
      <c r="M1069" s="4" t="n">
        <v>4</v>
      </c>
      <c r="N1069" s="4" t="n">
        <v>4</v>
      </c>
      <c r="O1069" s="4" t="n">
        <v>4</v>
      </c>
      <c r="P1069" s="0" t="str">
        <f aca="false">IF(E1069=0,"not_reached",IF(AND(F1069&gt;0,G1069=0),"allowed","blocked"))</f>
        <v>allowed</v>
      </c>
      <c r="Q1069" s="0" t="str">
        <f aca="false">IF(C1069="success","published",IF(E1069&gt;0,"blocked_at_gate","failed_before_gate"))</f>
        <v>published</v>
      </c>
      <c r="R1069" s="0" t="str">
        <f aca="false">IF(C1069="success","",IF(E1069&gt;0,IF(I1069="freshness_within_target","freshness",IF(I1069="relationships_intact","relationships",IF(I1069="reconciliation_residual_zero","residual",I1069))),IF(H1069="quality_gate","gate_infra",H1069)))</f>
        <v/>
      </c>
    </row>
    <row r="1070" customFormat="false" ht="15" hidden="false" customHeight="false" outlineLevel="0" collapsed="false">
      <c r="A1070" s="4" t="s">
        <v>3663</v>
      </c>
      <c r="B1070" s="10" t="n">
        <v>46288.46875</v>
      </c>
      <c r="C1070" s="4" t="s">
        <v>1544</v>
      </c>
      <c r="D1070" s="4" t="n">
        <v>831</v>
      </c>
      <c r="E1070" s="4" t="n">
        <v>7</v>
      </c>
      <c r="F1070" s="4" t="n">
        <v>6</v>
      </c>
      <c r="G1070" s="4" t="n">
        <v>0</v>
      </c>
      <c r="J1070" s="11" t="b">
        <f aca="false">TRUE()</f>
        <v>1</v>
      </c>
      <c r="K1070" s="4" t="s">
        <v>3664</v>
      </c>
      <c r="L1070" s="4" t="n">
        <v>4</v>
      </c>
      <c r="M1070" s="4" t="n">
        <v>4</v>
      </c>
      <c r="N1070" s="4" t="n">
        <v>4</v>
      </c>
      <c r="O1070" s="4" t="n">
        <v>4</v>
      </c>
      <c r="P1070" s="0" t="str">
        <f aca="false">IF(E1070=0,"not_reached",IF(AND(F1070&gt;0,G1070=0),"allowed","blocked"))</f>
        <v>allowed</v>
      </c>
      <c r="Q1070" s="0" t="str">
        <f aca="false">IF(C1070="success","published",IF(E1070&gt;0,"blocked_at_gate","failed_before_gate"))</f>
        <v>published</v>
      </c>
      <c r="R1070" s="0" t="str">
        <f aca="false">IF(C1070="success","",IF(E1070&gt;0,IF(I1070="freshness_within_target","freshness",IF(I1070="relationships_intact","relationships",IF(I1070="reconciliation_residual_zero","residual",I1070))),IF(H1070="quality_gate","gate_infra",H1070)))</f>
        <v/>
      </c>
    </row>
    <row r="1071" customFormat="false" ht="15" hidden="false" customHeight="false" outlineLevel="0" collapsed="false">
      <c r="A1071" s="4" t="s">
        <v>3665</v>
      </c>
      <c r="B1071" s="10" t="n">
        <v>46288.5104166667</v>
      </c>
      <c r="C1071" s="4" t="s">
        <v>1544</v>
      </c>
      <c r="D1071" s="4" t="n">
        <v>689</v>
      </c>
      <c r="E1071" s="4" t="n">
        <v>7</v>
      </c>
      <c r="F1071" s="4" t="n">
        <v>6</v>
      </c>
      <c r="G1071" s="4" t="n">
        <v>0</v>
      </c>
      <c r="J1071" s="11" t="b">
        <f aca="false">TRUE()</f>
        <v>1</v>
      </c>
      <c r="K1071" s="4" t="s">
        <v>3666</v>
      </c>
      <c r="L1071" s="4" t="n">
        <v>4</v>
      </c>
      <c r="M1071" s="4" t="n">
        <v>4</v>
      </c>
      <c r="N1071" s="4" t="n">
        <v>4</v>
      </c>
      <c r="O1071" s="4" t="n">
        <v>4</v>
      </c>
      <c r="P1071" s="0" t="str">
        <f aca="false">IF(E1071=0,"not_reached",IF(AND(F1071&gt;0,G1071=0),"allowed","blocked"))</f>
        <v>allowed</v>
      </c>
      <c r="Q1071" s="0" t="str">
        <f aca="false">IF(C1071="success","published",IF(E1071&gt;0,"blocked_at_gate","failed_before_gate"))</f>
        <v>published</v>
      </c>
      <c r="R1071" s="0" t="str">
        <f aca="false">IF(C1071="success","",IF(E1071&gt;0,IF(I1071="freshness_within_target","freshness",IF(I1071="relationships_intact","relationships",IF(I1071="reconciliation_residual_zero","residual",I1071))),IF(H1071="quality_gate","gate_infra",H1071)))</f>
        <v/>
      </c>
    </row>
    <row r="1072" customFormat="false" ht="15" hidden="false" customHeight="false" outlineLevel="0" collapsed="false">
      <c r="A1072" s="4" t="s">
        <v>3667</v>
      </c>
      <c r="B1072" s="10" t="n">
        <v>46288.5520833333</v>
      </c>
      <c r="C1072" s="4" t="s">
        <v>1544</v>
      </c>
      <c r="D1072" s="4" t="n">
        <v>888</v>
      </c>
      <c r="E1072" s="4" t="n">
        <v>7</v>
      </c>
      <c r="F1072" s="4" t="n">
        <v>6</v>
      </c>
      <c r="G1072" s="4" t="n">
        <v>0</v>
      </c>
      <c r="J1072" s="11" t="b">
        <f aca="false">TRUE()</f>
        <v>1</v>
      </c>
      <c r="K1072" s="4" t="s">
        <v>3668</v>
      </c>
      <c r="L1072" s="4" t="n">
        <v>4</v>
      </c>
      <c r="M1072" s="4" t="n">
        <v>4</v>
      </c>
      <c r="N1072" s="4" t="n">
        <v>4</v>
      </c>
      <c r="O1072" s="4" t="n">
        <v>4</v>
      </c>
      <c r="P1072" s="0" t="str">
        <f aca="false">IF(E1072=0,"not_reached",IF(AND(F1072&gt;0,G1072=0),"allowed","blocked"))</f>
        <v>allowed</v>
      </c>
      <c r="Q1072" s="0" t="str">
        <f aca="false">IF(C1072="success","published",IF(E1072&gt;0,"blocked_at_gate","failed_before_gate"))</f>
        <v>published</v>
      </c>
      <c r="R1072" s="0" t="str">
        <f aca="false">IF(C1072="success","",IF(E1072&gt;0,IF(I1072="freshness_within_target","freshness",IF(I1072="relationships_intact","relationships",IF(I1072="reconciliation_residual_zero","residual",I1072))),IF(H1072="quality_gate","gate_infra",H1072)))</f>
        <v/>
      </c>
    </row>
    <row r="1073" customFormat="false" ht="15" hidden="false" customHeight="false" outlineLevel="0" collapsed="false">
      <c r="A1073" s="4" t="s">
        <v>3669</v>
      </c>
      <c r="B1073" s="10" t="n">
        <v>46288.59375</v>
      </c>
      <c r="C1073" s="4" t="s">
        <v>1544</v>
      </c>
      <c r="D1073" s="4" t="n">
        <v>751</v>
      </c>
      <c r="E1073" s="4" t="n">
        <v>7</v>
      </c>
      <c r="F1073" s="4" t="n">
        <v>6</v>
      </c>
      <c r="G1073" s="4" t="n">
        <v>0</v>
      </c>
      <c r="J1073" s="11" t="b">
        <f aca="false">TRUE()</f>
        <v>1</v>
      </c>
      <c r="K1073" s="4" t="s">
        <v>3670</v>
      </c>
      <c r="L1073" s="4" t="n">
        <v>4</v>
      </c>
      <c r="M1073" s="4" t="n">
        <v>4</v>
      </c>
      <c r="N1073" s="4" t="n">
        <v>4</v>
      </c>
      <c r="O1073" s="4" t="n">
        <v>4</v>
      </c>
      <c r="P1073" s="0" t="str">
        <f aca="false">IF(E1073=0,"not_reached",IF(AND(F1073&gt;0,G1073=0),"allowed","blocked"))</f>
        <v>allowed</v>
      </c>
      <c r="Q1073" s="0" t="str">
        <f aca="false">IF(C1073="success","published",IF(E1073&gt;0,"blocked_at_gate","failed_before_gate"))</f>
        <v>published</v>
      </c>
      <c r="R1073" s="0" t="str">
        <f aca="false">IF(C1073="success","",IF(E1073&gt;0,IF(I1073="freshness_within_target","freshness",IF(I1073="relationships_intact","relationships",IF(I1073="reconciliation_residual_zero","residual",I1073))),IF(H1073="quality_gate","gate_infra",H1073)))</f>
        <v/>
      </c>
    </row>
    <row r="1074" customFormat="false" ht="15" hidden="false" customHeight="false" outlineLevel="0" collapsed="false">
      <c r="A1074" s="4" t="s">
        <v>3671</v>
      </c>
      <c r="B1074" s="10" t="n">
        <v>46288.6354166667</v>
      </c>
      <c r="C1074" s="4" t="s">
        <v>1544</v>
      </c>
      <c r="D1074" s="4" t="n">
        <v>904</v>
      </c>
      <c r="E1074" s="4" t="n">
        <v>7</v>
      </c>
      <c r="F1074" s="4" t="n">
        <v>6</v>
      </c>
      <c r="G1074" s="4" t="n">
        <v>0</v>
      </c>
      <c r="J1074" s="11" t="b">
        <f aca="false">TRUE()</f>
        <v>1</v>
      </c>
      <c r="K1074" s="4" t="s">
        <v>3672</v>
      </c>
      <c r="L1074" s="4" t="n">
        <v>4</v>
      </c>
      <c r="M1074" s="4" t="n">
        <v>4</v>
      </c>
      <c r="N1074" s="4" t="n">
        <v>4</v>
      </c>
      <c r="O1074" s="4" t="n">
        <v>4</v>
      </c>
      <c r="P1074" s="0" t="str">
        <f aca="false">IF(E1074=0,"not_reached",IF(AND(F1074&gt;0,G1074=0),"allowed","blocked"))</f>
        <v>allowed</v>
      </c>
      <c r="Q1074" s="0" t="str">
        <f aca="false">IF(C1074="success","published",IF(E1074&gt;0,"blocked_at_gate","failed_before_gate"))</f>
        <v>published</v>
      </c>
      <c r="R1074" s="0" t="str">
        <f aca="false">IF(C1074="success","",IF(E1074&gt;0,IF(I1074="freshness_within_target","freshness",IF(I1074="relationships_intact","relationships",IF(I1074="reconciliation_residual_zero","residual",I1074))),IF(H1074="quality_gate","gate_infra",H1074)))</f>
        <v/>
      </c>
    </row>
    <row r="1075" customFormat="false" ht="15" hidden="false" customHeight="false" outlineLevel="0" collapsed="false">
      <c r="A1075" s="4" t="s">
        <v>3673</v>
      </c>
      <c r="B1075" s="10" t="n">
        <v>46288.6770833333</v>
      </c>
      <c r="C1075" s="4" t="s">
        <v>1544</v>
      </c>
      <c r="D1075" s="4" t="n">
        <v>676</v>
      </c>
      <c r="E1075" s="4" t="n">
        <v>7</v>
      </c>
      <c r="F1075" s="4" t="n">
        <v>6</v>
      </c>
      <c r="G1075" s="4" t="n">
        <v>0</v>
      </c>
      <c r="J1075" s="11" t="b">
        <f aca="false">TRUE()</f>
        <v>1</v>
      </c>
      <c r="K1075" s="4" t="s">
        <v>3674</v>
      </c>
      <c r="L1075" s="4" t="n">
        <v>4</v>
      </c>
      <c r="M1075" s="4" t="n">
        <v>4</v>
      </c>
      <c r="N1075" s="4" t="n">
        <v>4</v>
      </c>
      <c r="O1075" s="4" t="n">
        <v>4</v>
      </c>
      <c r="P1075" s="0" t="str">
        <f aca="false">IF(E1075=0,"not_reached",IF(AND(F1075&gt;0,G1075=0),"allowed","blocked"))</f>
        <v>allowed</v>
      </c>
      <c r="Q1075" s="0" t="str">
        <f aca="false">IF(C1075="success","published",IF(E1075&gt;0,"blocked_at_gate","failed_before_gate"))</f>
        <v>published</v>
      </c>
      <c r="R1075" s="0" t="str">
        <f aca="false">IF(C1075="success","",IF(E1075&gt;0,IF(I1075="freshness_within_target","freshness",IF(I1075="relationships_intact","relationships",IF(I1075="reconciliation_residual_zero","residual",I1075))),IF(H1075="quality_gate","gate_infra",H1075)))</f>
        <v/>
      </c>
    </row>
    <row r="1076" customFormat="false" ht="15" hidden="false" customHeight="false" outlineLevel="0" collapsed="false">
      <c r="A1076" s="4" t="s">
        <v>3675</v>
      </c>
      <c r="B1076" s="10" t="n">
        <v>46288.71875</v>
      </c>
      <c r="C1076" s="4" t="s">
        <v>1544</v>
      </c>
      <c r="D1076" s="4" t="n">
        <v>1120</v>
      </c>
      <c r="E1076" s="4" t="n">
        <v>7</v>
      </c>
      <c r="F1076" s="4" t="n">
        <v>6</v>
      </c>
      <c r="G1076" s="4" t="n">
        <v>0</v>
      </c>
      <c r="J1076" s="11" t="b">
        <f aca="false">TRUE()</f>
        <v>1</v>
      </c>
      <c r="K1076" s="4" t="s">
        <v>3676</v>
      </c>
      <c r="L1076" s="4" t="n">
        <v>4</v>
      </c>
      <c r="M1076" s="4" t="n">
        <v>4</v>
      </c>
      <c r="N1076" s="4" t="n">
        <v>5</v>
      </c>
      <c r="O1076" s="4" t="n">
        <v>4</v>
      </c>
      <c r="P1076" s="0" t="str">
        <f aca="false">IF(E1076=0,"not_reached",IF(AND(F1076&gt;0,G1076=0),"allowed","blocked"))</f>
        <v>allowed</v>
      </c>
      <c r="Q1076" s="0" t="str">
        <f aca="false">IF(C1076="success","published",IF(E1076&gt;0,"blocked_at_gate","failed_before_gate"))</f>
        <v>published</v>
      </c>
      <c r="R1076" s="0" t="str">
        <f aca="false">IF(C1076="success","",IF(E1076&gt;0,IF(I1076="freshness_within_target","freshness",IF(I1076="relationships_intact","relationships",IF(I1076="reconciliation_residual_zero","residual",I1076))),IF(H1076="quality_gate","gate_infra",H1076)))</f>
        <v/>
      </c>
    </row>
    <row r="1077" customFormat="false" ht="15" hidden="false" customHeight="false" outlineLevel="0" collapsed="false">
      <c r="A1077" s="4" t="s">
        <v>3677</v>
      </c>
      <c r="B1077" s="10" t="n">
        <v>46288.7604166667</v>
      </c>
      <c r="C1077" s="4" t="s">
        <v>1544</v>
      </c>
      <c r="D1077" s="4" t="n">
        <v>950</v>
      </c>
      <c r="E1077" s="4" t="n">
        <v>7</v>
      </c>
      <c r="F1077" s="4" t="n">
        <v>6</v>
      </c>
      <c r="G1077" s="4" t="n">
        <v>0</v>
      </c>
      <c r="J1077" s="11" t="b">
        <f aca="false">TRUE()</f>
        <v>1</v>
      </c>
      <c r="K1077" s="4" t="s">
        <v>3678</v>
      </c>
      <c r="L1077" s="4" t="n">
        <v>4</v>
      </c>
      <c r="M1077" s="4" t="n">
        <v>4</v>
      </c>
      <c r="N1077" s="4" t="n">
        <v>4</v>
      </c>
      <c r="O1077" s="4" t="n">
        <v>4</v>
      </c>
      <c r="P1077" s="0" t="str">
        <f aca="false">IF(E1077=0,"not_reached",IF(AND(F1077&gt;0,G1077=0),"allowed","blocked"))</f>
        <v>allowed</v>
      </c>
      <c r="Q1077" s="0" t="str">
        <f aca="false">IF(C1077="success","published",IF(E1077&gt;0,"blocked_at_gate","failed_before_gate"))</f>
        <v>published</v>
      </c>
      <c r="R1077" s="0" t="str">
        <f aca="false">IF(C1077="success","",IF(E1077&gt;0,IF(I1077="freshness_within_target","freshness",IF(I1077="relationships_intact","relationships",IF(I1077="reconciliation_residual_zero","residual",I1077))),IF(H1077="quality_gate","gate_infra",H1077)))</f>
        <v/>
      </c>
    </row>
    <row r="1078" customFormat="false" ht="15" hidden="false" customHeight="false" outlineLevel="0" collapsed="false">
      <c r="A1078" s="4" t="s">
        <v>3679</v>
      </c>
      <c r="B1078" s="10" t="n">
        <v>46288.8020833333</v>
      </c>
      <c r="C1078" s="4" t="s">
        <v>1544</v>
      </c>
      <c r="D1078" s="4" t="n">
        <v>943</v>
      </c>
      <c r="E1078" s="4" t="n">
        <v>7</v>
      </c>
      <c r="F1078" s="4" t="n">
        <v>6</v>
      </c>
      <c r="G1078" s="4" t="n">
        <v>0</v>
      </c>
      <c r="J1078" s="11" t="b">
        <f aca="false">TRUE()</f>
        <v>1</v>
      </c>
      <c r="K1078" s="4" t="s">
        <v>3680</v>
      </c>
      <c r="L1078" s="4" t="n">
        <v>4</v>
      </c>
      <c r="M1078" s="4" t="n">
        <v>4</v>
      </c>
      <c r="N1078" s="4" t="n">
        <v>4</v>
      </c>
      <c r="O1078" s="4" t="n">
        <v>4</v>
      </c>
      <c r="P1078" s="0" t="str">
        <f aca="false">IF(E1078=0,"not_reached",IF(AND(F1078&gt;0,G1078=0),"allowed","blocked"))</f>
        <v>allowed</v>
      </c>
      <c r="Q1078" s="0" t="str">
        <f aca="false">IF(C1078="success","published",IF(E1078&gt;0,"blocked_at_gate","failed_before_gate"))</f>
        <v>published</v>
      </c>
      <c r="R1078" s="0" t="str">
        <f aca="false">IF(C1078="success","",IF(E1078&gt;0,IF(I1078="freshness_within_target","freshness",IF(I1078="relationships_intact","relationships",IF(I1078="reconciliation_residual_zero","residual",I1078))),IF(H1078="quality_gate","gate_infra",H1078)))</f>
        <v/>
      </c>
    </row>
    <row r="1079" customFormat="false" ht="15" hidden="false" customHeight="false" outlineLevel="0" collapsed="false">
      <c r="A1079" s="4" t="s">
        <v>3681</v>
      </c>
      <c r="B1079" s="10" t="n">
        <v>46288.84375</v>
      </c>
      <c r="C1079" s="4" t="s">
        <v>1544</v>
      </c>
      <c r="D1079" s="4" t="n">
        <v>767</v>
      </c>
      <c r="E1079" s="4" t="n">
        <v>7</v>
      </c>
      <c r="F1079" s="4" t="n">
        <v>6</v>
      </c>
      <c r="G1079" s="4" t="n">
        <v>0</v>
      </c>
      <c r="J1079" s="11" t="b">
        <f aca="false">TRUE()</f>
        <v>1</v>
      </c>
      <c r="K1079" s="4" t="s">
        <v>3682</v>
      </c>
      <c r="L1079" s="4" t="n">
        <v>4</v>
      </c>
      <c r="M1079" s="4" t="n">
        <v>4</v>
      </c>
      <c r="N1079" s="4" t="n">
        <v>4</v>
      </c>
      <c r="O1079" s="4" t="n">
        <v>4</v>
      </c>
      <c r="P1079" s="0" t="str">
        <f aca="false">IF(E1079=0,"not_reached",IF(AND(F1079&gt;0,G1079=0),"allowed","blocked"))</f>
        <v>allowed</v>
      </c>
      <c r="Q1079" s="0" t="str">
        <f aca="false">IF(C1079="success","published",IF(E1079&gt;0,"blocked_at_gate","failed_before_gate"))</f>
        <v>published</v>
      </c>
      <c r="R1079" s="0" t="str">
        <f aca="false">IF(C1079="success","",IF(E1079&gt;0,IF(I1079="freshness_within_target","freshness",IF(I1079="relationships_intact","relationships",IF(I1079="reconciliation_residual_zero","residual",I1079))),IF(H1079="quality_gate","gate_infra",H1079)))</f>
        <v/>
      </c>
    </row>
    <row r="1080" customFormat="false" ht="15" hidden="false" customHeight="false" outlineLevel="0" collapsed="false">
      <c r="A1080" s="4" t="s">
        <v>3683</v>
      </c>
      <c r="B1080" s="10" t="n">
        <v>46288.8854166667</v>
      </c>
      <c r="C1080" s="4" t="s">
        <v>1544</v>
      </c>
      <c r="D1080" s="4" t="n">
        <v>815</v>
      </c>
      <c r="E1080" s="4" t="n">
        <v>7</v>
      </c>
      <c r="F1080" s="4" t="n">
        <v>6</v>
      </c>
      <c r="G1080" s="4" t="n">
        <v>0</v>
      </c>
      <c r="J1080" s="11" t="b">
        <f aca="false">TRUE()</f>
        <v>1</v>
      </c>
      <c r="K1080" s="4" t="s">
        <v>3684</v>
      </c>
      <c r="L1080" s="4" t="n">
        <v>4</v>
      </c>
      <c r="M1080" s="4" t="n">
        <v>4</v>
      </c>
      <c r="N1080" s="4" t="n">
        <v>4</v>
      </c>
      <c r="O1080" s="4" t="n">
        <v>4</v>
      </c>
      <c r="P1080" s="0" t="str">
        <f aca="false">IF(E1080=0,"not_reached",IF(AND(F1080&gt;0,G1080=0),"allowed","blocked"))</f>
        <v>allowed</v>
      </c>
      <c r="Q1080" s="0" t="str">
        <f aca="false">IF(C1080="success","published",IF(E1080&gt;0,"blocked_at_gate","failed_before_gate"))</f>
        <v>published</v>
      </c>
      <c r="R1080" s="0" t="str">
        <f aca="false">IF(C1080="success","",IF(E1080&gt;0,IF(I1080="freshness_within_target","freshness",IF(I1080="relationships_intact","relationships",IF(I1080="reconciliation_residual_zero","residual",I1080))),IF(H1080="quality_gate","gate_infra",H1080)))</f>
        <v/>
      </c>
    </row>
    <row r="1081" customFormat="false" ht="15" hidden="false" customHeight="false" outlineLevel="0" collapsed="false">
      <c r="A1081" s="4" t="s">
        <v>3685</v>
      </c>
      <c r="B1081" s="10" t="n">
        <v>46288.9270833333</v>
      </c>
      <c r="C1081" s="4" t="s">
        <v>1544</v>
      </c>
      <c r="D1081" s="4" t="n">
        <v>959</v>
      </c>
      <c r="E1081" s="4" t="n">
        <v>7</v>
      </c>
      <c r="F1081" s="4" t="n">
        <v>6</v>
      </c>
      <c r="G1081" s="4" t="n">
        <v>0</v>
      </c>
      <c r="J1081" s="11" t="b">
        <f aca="false">TRUE()</f>
        <v>1</v>
      </c>
      <c r="K1081" s="4" t="s">
        <v>3686</v>
      </c>
      <c r="L1081" s="4" t="n">
        <v>4</v>
      </c>
      <c r="M1081" s="4" t="n">
        <v>4</v>
      </c>
      <c r="N1081" s="4" t="n">
        <v>4</v>
      </c>
      <c r="O1081" s="4" t="n">
        <v>4</v>
      </c>
      <c r="P1081" s="0" t="str">
        <f aca="false">IF(E1081=0,"not_reached",IF(AND(F1081&gt;0,G1081=0),"allowed","blocked"))</f>
        <v>allowed</v>
      </c>
      <c r="Q1081" s="0" t="str">
        <f aca="false">IF(C1081="success","published",IF(E1081&gt;0,"blocked_at_gate","failed_before_gate"))</f>
        <v>published</v>
      </c>
      <c r="R1081" s="0" t="str">
        <f aca="false">IF(C1081="success","",IF(E1081&gt;0,IF(I1081="freshness_within_target","freshness",IF(I1081="relationships_intact","relationships",IF(I1081="reconciliation_residual_zero","residual",I1081))),IF(H1081="quality_gate","gate_infra",H1081)))</f>
        <v/>
      </c>
    </row>
    <row r="1082" customFormat="false" ht="15" hidden="false" customHeight="false" outlineLevel="0" collapsed="false">
      <c r="A1082" s="4" t="s">
        <v>3687</v>
      </c>
      <c r="B1082" s="10" t="n">
        <v>46288.96875</v>
      </c>
      <c r="C1082" s="4" t="s">
        <v>1544</v>
      </c>
      <c r="D1082" s="4" t="n">
        <v>850</v>
      </c>
      <c r="E1082" s="4" t="n">
        <v>7</v>
      </c>
      <c r="F1082" s="4" t="n">
        <v>6</v>
      </c>
      <c r="G1082" s="4" t="n">
        <v>0</v>
      </c>
      <c r="J1082" s="11" t="b">
        <f aca="false">TRUE()</f>
        <v>1</v>
      </c>
      <c r="K1082" s="4" t="s">
        <v>3688</v>
      </c>
      <c r="L1082" s="4" t="n">
        <v>4</v>
      </c>
      <c r="M1082" s="4" t="n">
        <v>4</v>
      </c>
      <c r="N1082" s="4" t="n">
        <v>4</v>
      </c>
      <c r="O1082" s="4" t="n">
        <v>4</v>
      </c>
      <c r="P1082" s="0" t="str">
        <f aca="false">IF(E1082=0,"not_reached",IF(AND(F1082&gt;0,G1082=0),"allowed","blocked"))</f>
        <v>allowed</v>
      </c>
      <c r="Q1082" s="0" t="str">
        <f aca="false">IF(C1082="success","published",IF(E1082&gt;0,"blocked_at_gate","failed_before_gate"))</f>
        <v>published</v>
      </c>
      <c r="R1082" s="0" t="str">
        <f aca="false">IF(C1082="success","",IF(E1082&gt;0,IF(I1082="freshness_within_target","freshness",IF(I1082="relationships_intact","relationships",IF(I1082="reconciliation_residual_zero","residual",I1082))),IF(H1082="quality_gate","gate_infra",H1082)))</f>
        <v/>
      </c>
    </row>
    <row r="1083" customFormat="false" ht="15" hidden="false" customHeight="false" outlineLevel="0" collapsed="false">
      <c r="A1083" s="4" t="s">
        <v>3689</v>
      </c>
      <c r="B1083" s="10" t="n">
        <v>46289.0104166667</v>
      </c>
      <c r="C1083" s="4" t="s">
        <v>1544</v>
      </c>
      <c r="D1083" s="4" t="n">
        <v>914</v>
      </c>
      <c r="E1083" s="4" t="n">
        <v>7</v>
      </c>
      <c r="F1083" s="4" t="n">
        <v>6</v>
      </c>
      <c r="G1083" s="4" t="n">
        <v>0</v>
      </c>
      <c r="J1083" s="11" t="b">
        <f aca="false">TRUE()</f>
        <v>1</v>
      </c>
      <c r="K1083" s="4" t="s">
        <v>3690</v>
      </c>
      <c r="L1083" s="4" t="n">
        <v>4</v>
      </c>
      <c r="M1083" s="4" t="n">
        <v>4</v>
      </c>
      <c r="N1083" s="4" t="n">
        <v>4</v>
      </c>
      <c r="O1083" s="4" t="n">
        <v>4</v>
      </c>
      <c r="P1083" s="0" t="str">
        <f aca="false">IF(E1083=0,"not_reached",IF(AND(F1083&gt;0,G1083=0),"allowed","blocked"))</f>
        <v>allowed</v>
      </c>
      <c r="Q1083" s="0" t="str">
        <f aca="false">IF(C1083="success","published",IF(E1083&gt;0,"blocked_at_gate","failed_before_gate"))</f>
        <v>published</v>
      </c>
      <c r="R1083" s="0" t="str">
        <f aca="false">IF(C1083="success","",IF(E1083&gt;0,IF(I1083="freshness_within_target","freshness",IF(I1083="relationships_intact","relationships",IF(I1083="reconciliation_residual_zero","residual",I1083))),IF(H1083="quality_gate","gate_infra",H1083)))</f>
        <v/>
      </c>
    </row>
    <row r="1084" customFormat="false" ht="15" hidden="false" customHeight="false" outlineLevel="0" collapsed="false">
      <c r="A1084" s="4" t="s">
        <v>3691</v>
      </c>
      <c r="B1084" s="10" t="n">
        <v>46289.0520833333</v>
      </c>
      <c r="C1084" s="4" t="s">
        <v>1544</v>
      </c>
      <c r="D1084" s="4" t="n">
        <v>728</v>
      </c>
      <c r="E1084" s="4" t="n">
        <v>7</v>
      </c>
      <c r="F1084" s="4" t="n">
        <v>6</v>
      </c>
      <c r="G1084" s="4" t="n">
        <v>0</v>
      </c>
      <c r="J1084" s="11" t="b">
        <f aca="false">TRUE()</f>
        <v>1</v>
      </c>
      <c r="K1084" s="4" t="s">
        <v>3692</v>
      </c>
      <c r="L1084" s="4" t="n">
        <v>4</v>
      </c>
      <c r="M1084" s="4" t="n">
        <v>4</v>
      </c>
      <c r="N1084" s="4" t="n">
        <v>4</v>
      </c>
      <c r="O1084" s="4" t="n">
        <v>4</v>
      </c>
      <c r="P1084" s="0" t="str">
        <f aca="false">IF(E1084=0,"not_reached",IF(AND(F1084&gt;0,G1084=0),"allowed","blocked"))</f>
        <v>allowed</v>
      </c>
      <c r="Q1084" s="0" t="str">
        <f aca="false">IF(C1084="success","published",IF(E1084&gt;0,"blocked_at_gate","failed_before_gate"))</f>
        <v>published</v>
      </c>
      <c r="R1084" s="0" t="str">
        <f aca="false">IF(C1084="success","",IF(E1084&gt;0,IF(I1084="freshness_within_target","freshness",IF(I1084="relationships_intact","relationships",IF(I1084="reconciliation_residual_zero","residual",I1084))),IF(H1084="quality_gate","gate_infra",H1084)))</f>
        <v/>
      </c>
    </row>
    <row r="1085" customFormat="false" ht="15" hidden="false" customHeight="false" outlineLevel="0" collapsed="false">
      <c r="A1085" s="4" t="s">
        <v>3693</v>
      </c>
      <c r="B1085" s="10" t="n">
        <v>46289.09375</v>
      </c>
      <c r="C1085" s="4" t="s">
        <v>1544</v>
      </c>
      <c r="D1085" s="4" t="n">
        <v>747</v>
      </c>
      <c r="E1085" s="4" t="n">
        <v>7</v>
      </c>
      <c r="F1085" s="4" t="n">
        <v>6</v>
      </c>
      <c r="G1085" s="4" t="n">
        <v>0</v>
      </c>
      <c r="J1085" s="11" t="b">
        <f aca="false">TRUE()</f>
        <v>1</v>
      </c>
      <c r="K1085" s="4" t="s">
        <v>3694</v>
      </c>
      <c r="L1085" s="4" t="n">
        <v>4</v>
      </c>
      <c r="M1085" s="4" t="n">
        <v>4</v>
      </c>
      <c r="N1085" s="4" t="n">
        <v>4</v>
      </c>
      <c r="O1085" s="4" t="n">
        <v>4</v>
      </c>
      <c r="P1085" s="0" t="str">
        <f aca="false">IF(E1085=0,"not_reached",IF(AND(F1085&gt;0,G1085=0),"allowed","blocked"))</f>
        <v>allowed</v>
      </c>
      <c r="Q1085" s="0" t="str">
        <f aca="false">IF(C1085="success","published",IF(E1085&gt;0,"blocked_at_gate","failed_before_gate"))</f>
        <v>published</v>
      </c>
      <c r="R1085" s="0" t="str">
        <f aca="false">IF(C1085="success","",IF(E1085&gt;0,IF(I1085="freshness_within_target","freshness",IF(I1085="relationships_intact","relationships",IF(I1085="reconciliation_residual_zero","residual",I1085))),IF(H1085="quality_gate","gate_infra",H1085)))</f>
        <v/>
      </c>
    </row>
    <row r="1086" customFormat="false" ht="15" hidden="false" customHeight="false" outlineLevel="0" collapsed="false">
      <c r="A1086" s="4" t="s">
        <v>3695</v>
      </c>
      <c r="B1086" s="10" t="n">
        <v>46289.1354166667</v>
      </c>
      <c r="C1086" s="4" t="s">
        <v>1544</v>
      </c>
      <c r="D1086" s="4" t="n">
        <v>706</v>
      </c>
      <c r="E1086" s="4" t="n">
        <v>7</v>
      </c>
      <c r="F1086" s="4" t="n">
        <v>6</v>
      </c>
      <c r="G1086" s="4" t="n">
        <v>0</v>
      </c>
      <c r="J1086" s="11" t="b">
        <f aca="false">TRUE()</f>
        <v>1</v>
      </c>
      <c r="K1086" s="4" t="s">
        <v>3696</v>
      </c>
      <c r="L1086" s="4" t="n">
        <v>4</v>
      </c>
      <c r="M1086" s="4" t="n">
        <v>4</v>
      </c>
      <c r="N1086" s="4" t="n">
        <v>4</v>
      </c>
      <c r="O1086" s="4" t="n">
        <v>4</v>
      </c>
      <c r="P1086" s="0" t="str">
        <f aca="false">IF(E1086=0,"not_reached",IF(AND(F1086&gt;0,G1086=0),"allowed","blocked"))</f>
        <v>allowed</v>
      </c>
      <c r="Q1086" s="0" t="str">
        <f aca="false">IF(C1086="success","published",IF(E1086&gt;0,"blocked_at_gate","failed_before_gate"))</f>
        <v>published</v>
      </c>
      <c r="R1086" s="0" t="str">
        <f aca="false">IF(C1086="success","",IF(E1086&gt;0,IF(I1086="freshness_within_target","freshness",IF(I1086="relationships_intact","relationships",IF(I1086="reconciliation_residual_zero","residual",I1086))),IF(H1086="quality_gate","gate_infra",H1086)))</f>
        <v/>
      </c>
    </row>
    <row r="1087" customFormat="false" ht="15" hidden="false" customHeight="false" outlineLevel="0" collapsed="false">
      <c r="A1087" s="4" t="s">
        <v>3697</v>
      </c>
      <c r="B1087" s="10" t="n">
        <v>46289.1770833333</v>
      </c>
      <c r="C1087" s="4" t="s">
        <v>1544</v>
      </c>
      <c r="D1087" s="4" t="n">
        <v>852</v>
      </c>
      <c r="E1087" s="4" t="n">
        <v>7</v>
      </c>
      <c r="F1087" s="4" t="n">
        <v>6</v>
      </c>
      <c r="G1087" s="4" t="n">
        <v>0</v>
      </c>
      <c r="J1087" s="11" t="b">
        <f aca="false">TRUE()</f>
        <v>1</v>
      </c>
      <c r="K1087" s="4" t="s">
        <v>3698</v>
      </c>
      <c r="L1087" s="4" t="n">
        <v>4</v>
      </c>
      <c r="M1087" s="4" t="n">
        <v>4</v>
      </c>
      <c r="N1087" s="4" t="n">
        <v>4</v>
      </c>
      <c r="O1087" s="4" t="n">
        <v>4</v>
      </c>
      <c r="P1087" s="0" t="str">
        <f aca="false">IF(E1087=0,"not_reached",IF(AND(F1087&gt;0,G1087=0),"allowed","blocked"))</f>
        <v>allowed</v>
      </c>
      <c r="Q1087" s="0" t="str">
        <f aca="false">IF(C1087="success","published",IF(E1087&gt;0,"blocked_at_gate","failed_before_gate"))</f>
        <v>published</v>
      </c>
      <c r="R1087" s="0" t="str">
        <f aca="false">IF(C1087="success","",IF(E1087&gt;0,IF(I1087="freshness_within_target","freshness",IF(I1087="relationships_intact","relationships",IF(I1087="reconciliation_residual_zero","residual",I1087))),IF(H1087="quality_gate","gate_infra",H1087)))</f>
        <v/>
      </c>
    </row>
    <row r="1088" customFormat="false" ht="15" hidden="false" customHeight="false" outlineLevel="0" collapsed="false">
      <c r="A1088" s="4" t="s">
        <v>3699</v>
      </c>
      <c r="B1088" s="10" t="n">
        <v>46289.21875</v>
      </c>
      <c r="C1088" s="4" t="s">
        <v>1544</v>
      </c>
      <c r="D1088" s="4" t="n">
        <v>723</v>
      </c>
      <c r="E1088" s="4" t="n">
        <v>7</v>
      </c>
      <c r="F1088" s="4" t="n">
        <v>6</v>
      </c>
      <c r="G1088" s="4" t="n">
        <v>0</v>
      </c>
      <c r="J1088" s="11" t="b">
        <f aca="false">TRUE()</f>
        <v>1</v>
      </c>
      <c r="K1088" s="4" t="s">
        <v>3700</v>
      </c>
      <c r="L1088" s="4" t="n">
        <v>4</v>
      </c>
      <c r="M1088" s="4" t="n">
        <v>4</v>
      </c>
      <c r="N1088" s="4" t="n">
        <v>4</v>
      </c>
      <c r="O1088" s="4" t="n">
        <v>4</v>
      </c>
      <c r="P1088" s="0" t="str">
        <f aca="false">IF(E1088=0,"not_reached",IF(AND(F1088&gt;0,G1088=0),"allowed","blocked"))</f>
        <v>allowed</v>
      </c>
      <c r="Q1088" s="0" t="str">
        <f aca="false">IF(C1088="success","published",IF(E1088&gt;0,"blocked_at_gate","failed_before_gate"))</f>
        <v>published</v>
      </c>
      <c r="R1088" s="0" t="str">
        <f aca="false">IF(C1088="success","",IF(E1088&gt;0,IF(I1088="freshness_within_target","freshness",IF(I1088="relationships_intact","relationships",IF(I1088="reconciliation_residual_zero","residual",I1088))),IF(H1088="quality_gate","gate_infra",H1088)))</f>
        <v/>
      </c>
    </row>
    <row r="1089" customFormat="false" ht="15" hidden="false" customHeight="false" outlineLevel="0" collapsed="false">
      <c r="A1089" s="4" t="s">
        <v>3701</v>
      </c>
      <c r="B1089" s="10" t="n">
        <v>46289.2604166667</v>
      </c>
      <c r="C1089" s="4" t="s">
        <v>1544</v>
      </c>
      <c r="D1089" s="4" t="n">
        <v>771</v>
      </c>
      <c r="E1089" s="4" t="n">
        <v>7</v>
      </c>
      <c r="F1089" s="4" t="n">
        <v>6</v>
      </c>
      <c r="G1089" s="4" t="n">
        <v>0</v>
      </c>
      <c r="J1089" s="11" t="b">
        <f aca="false">TRUE()</f>
        <v>1</v>
      </c>
      <c r="K1089" s="4" t="s">
        <v>3702</v>
      </c>
      <c r="L1089" s="4" t="n">
        <v>4</v>
      </c>
      <c r="M1089" s="4" t="n">
        <v>4</v>
      </c>
      <c r="N1089" s="4" t="n">
        <v>4</v>
      </c>
      <c r="O1089" s="4" t="n">
        <v>4</v>
      </c>
      <c r="P1089" s="0" t="str">
        <f aca="false">IF(E1089=0,"not_reached",IF(AND(F1089&gt;0,G1089=0),"allowed","blocked"))</f>
        <v>allowed</v>
      </c>
      <c r="Q1089" s="0" t="str">
        <f aca="false">IF(C1089="success","published",IF(E1089&gt;0,"blocked_at_gate","failed_before_gate"))</f>
        <v>published</v>
      </c>
      <c r="R1089" s="0" t="str">
        <f aca="false">IF(C1089="success","",IF(E1089&gt;0,IF(I1089="freshness_within_target","freshness",IF(I1089="relationships_intact","relationships",IF(I1089="reconciliation_residual_zero","residual",I1089))),IF(H1089="quality_gate","gate_infra",H1089)))</f>
        <v/>
      </c>
    </row>
    <row r="1090" customFormat="false" ht="15" hidden="false" customHeight="false" outlineLevel="0" collapsed="false">
      <c r="A1090" s="4" t="s">
        <v>3703</v>
      </c>
      <c r="B1090" s="10" t="n">
        <v>46289.3020833333</v>
      </c>
      <c r="C1090" s="4" t="s">
        <v>1544</v>
      </c>
      <c r="D1090" s="4" t="n">
        <v>910</v>
      </c>
      <c r="E1090" s="4" t="n">
        <v>7</v>
      </c>
      <c r="F1090" s="4" t="n">
        <v>6</v>
      </c>
      <c r="G1090" s="4" t="n">
        <v>0</v>
      </c>
      <c r="J1090" s="11" t="b">
        <f aca="false">TRUE()</f>
        <v>1</v>
      </c>
      <c r="K1090" s="4" t="s">
        <v>3704</v>
      </c>
      <c r="L1090" s="4" t="n">
        <v>4</v>
      </c>
      <c r="M1090" s="4" t="n">
        <v>4</v>
      </c>
      <c r="N1090" s="4" t="n">
        <v>4</v>
      </c>
      <c r="O1090" s="4" t="n">
        <v>4</v>
      </c>
      <c r="P1090" s="0" t="str">
        <f aca="false">IF(E1090=0,"not_reached",IF(AND(F1090&gt;0,G1090=0),"allowed","blocked"))</f>
        <v>allowed</v>
      </c>
      <c r="Q1090" s="0" t="str">
        <f aca="false">IF(C1090="success","published",IF(E1090&gt;0,"blocked_at_gate","failed_before_gate"))</f>
        <v>published</v>
      </c>
      <c r="R1090" s="0" t="str">
        <f aca="false">IF(C1090="success","",IF(E1090&gt;0,IF(I1090="freshness_within_target","freshness",IF(I1090="relationships_intact","relationships",IF(I1090="reconciliation_residual_zero","residual",I1090))),IF(H1090="quality_gate","gate_infra",H1090)))</f>
        <v/>
      </c>
    </row>
    <row r="1091" customFormat="false" ht="15" hidden="false" customHeight="false" outlineLevel="0" collapsed="false">
      <c r="A1091" s="4" t="s">
        <v>3705</v>
      </c>
      <c r="B1091" s="10" t="n">
        <v>46289.34375</v>
      </c>
      <c r="C1091" s="4" t="s">
        <v>1544</v>
      </c>
      <c r="D1091" s="4" t="n">
        <v>725</v>
      </c>
      <c r="E1091" s="4" t="n">
        <v>7</v>
      </c>
      <c r="F1091" s="4" t="n">
        <v>6</v>
      </c>
      <c r="G1091" s="4" t="n">
        <v>0</v>
      </c>
      <c r="J1091" s="11" t="b">
        <f aca="false">TRUE()</f>
        <v>1</v>
      </c>
      <c r="K1091" s="4" t="s">
        <v>3706</v>
      </c>
      <c r="L1091" s="4" t="n">
        <v>4</v>
      </c>
      <c r="M1091" s="4" t="n">
        <v>4</v>
      </c>
      <c r="N1091" s="4" t="n">
        <v>4</v>
      </c>
      <c r="O1091" s="4" t="n">
        <v>4</v>
      </c>
      <c r="P1091" s="0" t="str">
        <f aca="false">IF(E1091=0,"not_reached",IF(AND(F1091&gt;0,G1091=0),"allowed","blocked"))</f>
        <v>allowed</v>
      </c>
      <c r="Q1091" s="0" t="str">
        <f aca="false">IF(C1091="success","published",IF(E1091&gt;0,"blocked_at_gate","failed_before_gate"))</f>
        <v>published</v>
      </c>
      <c r="R1091" s="0" t="str">
        <f aca="false">IF(C1091="success","",IF(E1091&gt;0,IF(I1091="freshness_within_target","freshness",IF(I1091="relationships_intact","relationships",IF(I1091="reconciliation_residual_zero","residual",I1091))),IF(H1091="quality_gate","gate_infra",H1091)))</f>
        <v/>
      </c>
    </row>
    <row r="1092" customFormat="false" ht="15" hidden="false" customHeight="false" outlineLevel="0" collapsed="false">
      <c r="A1092" s="4" t="s">
        <v>3707</v>
      </c>
      <c r="B1092" s="10" t="n">
        <v>46289.3854166667</v>
      </c>
      <c r="C1092" s="4" t="s">
        <v>1544</v>
      </c>
      <c r="D1092" s="4" t="n">
        <v>749</v>
      </c>
      <c r="E1092" s="4" t="n">
        <v>7</v>
      </c>
      <c r="F1092" s="4" t="n">
        <v>6</v>
      </c>
      <c r="G1092" s="4" t="n">
        <v>0</v>
      </c>
      <c r="J1092" s="11" t="b">
        <f aca="false">TRUE()</f>
        <v>1</v>
      </c>
      <c r="K1092" s="4" t="s">
        <v>3708</v>
      </c>
      <c r="L1092" s="4" t="n">
        <v>4</v>
      </c>
      <c r="M1092" s="4" t="n">
        <v>4</v>
      </c>
      <c r="N1092" s="4" t="n">
        <v>4</v>
      </c>
      <c r="O1092" s="4" t="n">
        <v>4</v>
      </c>
      <c r="P1092" s="0" t="str">
        <f aca="false">IF(E1092=0,"not_reached",IF(AND(F1092&gt;0,G1092=0),"allowed","blocked"))</f>
        <v>allowed</v>
      </c>
      <c r="Q1092" s="0" t="str">
        <f aca="false">IF(C1092="success","published",IF(E1092&gt;0,"blocked_at_gate","failed_before_gate"))</f>
        <v>published</v>
      </c>
      <c r="R1092" s="0" t="str">
        <f aca="false">IF(C1092="success","",IF(E1092&gt;0,IF(I1092="freshness_within_target","freshness",IF(I1092="relationships_intact","relationships",IF(I1092="reconciliation_residual_zero","residual",I1092))),IF(H1092="quality_gate","gate_infra",H1092)))</f>
        <v/>
      </c>
    </row>
    <row r="1093" customFormat="false" ht="15" hidden="false" customHeight="false" outlineLevel="0" collapsed="false">
      <c r="A1093" s="4" t="s">
        <v>3709</v>
      </c>
      <c r="B1093" s="10" t="n">
        <v>46289.4270833333</v>
      </c>
      <c r="C1093" s="4" t="s">
        <v>1544</v>
      </c>
      <c r="D1093" s="4" t="n">
        <v>711</v>
      </c>
      <c r="E1093" s="4" t="n">
        <v>7</v>
      </c>
      <c r="F1093" s="4" t="n">
        <v>6</v>
      </c>
      <c r="G1093" s="4" t="n">
        <v>0</v>
      </c>
      <c r="J1093" s="11" t="b">
        <f aca="false">TRUE()</f>
        <v>1</v>
      </c>
      <c r="K1093" s="4" t="s">
        <v>3710</v>
      </c>
      <c r="L1093" s="4" t="n">
        <v>4</v>
      </c>
      <c r="M1093" s="4" t="n">
        <v>4</v>
      </c>
      <c r="N1093" s="4" t="n">
        <v>4</v>
      </c>
      <c r="O1093" s="4" t="n">
        <v>4</v>
      </c>
      <c r="P1093" s="0" t="str">
        <f aca="false">IF(E1093=0,"not_reached",IF(AND(F1093&gt;0,G1093=0),"allowed","blocked"))</f>
        <v>allowed</v>
      </c>
      <c r="Q1093" s="0" t="str">
        <f aca="false">IF(C1093="success","published",IF(E1093&gt;0,"blocked_at_gate","failed_before_gate"))</f>
        <v>published</v>
      </c>
      <c r="R1093" s="0" t="str">
        <f aca="false">IF(C1093="success","",IF(E1093&gt;0,IF(I1093="freshness_within_target","freshness",IF(I1093="relationships_intact","relationships",IF(I1093="reconciliation_residual_zero","residual",I1093))),IF(H1093="quality_gate","gate_infra",H1093)))</f>
        <v/>
      </c>
    </row>
    <row r="1094" customFormat="false" ht="15" hidden="false" customHeight="false" outlineLevel="0" collapsed="false">
      <c r="A1094" s="4" t="s">
        <v>3711</v>
      </c>
      <c r="B1094" s="10" t="n">
        <v>46289.46875</v>
      </c>
      <c r="C1094" s="4" t="s">
        <v>1544</v>
      </c>
      <c r="D1094" s="4" t="n">
        <v>668</v>
      </c>
      <c r="E1094" s="4" t="n">
        <v>7</v>
      </c>
      <c r="F1094" s="4" t="n">
        <v>6</v>
      </c>
      <c r="G1094" s="4" t="n">
        <v>0</v>
      </c>
      <c r="J1094" s="11" t="b">
        <f aca="false">TRUE()</f>
        <v>1</v>
      </c>
      <c r="K1094" s="4" t="s">
        <v>3712</v>
      </c>
      <c r="L1094" s="4" t="n">
        <v>4</v>
      </c>
      <c r="M1094" s="4" t="n">
        <v>4</v>
      </c>
      <c r="N1094" s="4" t="n">
        <v>4</v>
      </c>
      <c r="O1094" s="4" t="n">
        <v>4</v>
      </c>
      <c r="P1094" s="0" t="str">
        <f aca="false">IF(E1094=0,"not_reached",IF(AND(F1094&gt;0,G1094=0),"allowed","blocked"))</f>
        <v>allowed</v>
      </c>
      <c r="Q1094" s="0" t="str">
        <f aca="false">IF(C1094="success","published",IF(E1094&gt;0,"blocked_at_gate","failed_before_gate"))</f>
        <v>published</v>
      </c>
      <c r="R1094" s="0" t="str">
        <f aca="false">IF(C1094="success","",IF(E1094&gt;0,IF(I1094="freshness_within_target","freshness",IF(I1094="relationships_intact","relationships",IF(I1094="reconciliation_residual_zero","residual",I1094))),IF(H1094="quality_gate","gate_infra",H1094)))</f>
        <v/>
      </c>
    </row>
    <row r="1095" customFormat="false" ht="15" hidden="false" customHeight="false" outlineLevel="0" collapsed="false">
      <c r="A1095" s="4" t="s">
        <v>3713</v>
      </c>
      <c r="B1095" s="10" t="n">
        <v>46289.5104166667</v>
      </c>
      <c r="C1095" s="4" t="s">
        <v>1544</v>
      </c>
      <c r="D1095" s="4" t="n">
        <v>900</v>
      </c>
      <c r="E1095" s="4" t="n">
        <v>7</v>
      </c>
      <c r="F1095" s="4" t="n">
        <v>6</v>
      </c>
      <c r="G1095" s="4" t="n">
        <v>0</v>
      </c>
      <c r="J1095" s="11" t="b">
        <f aca="false">TRUE()</f>
        <v>1</v>
      </c>
      <c r="K1095" s="4" t="s">
        <v>3714</v>
      </c>
      <c r="L1095" s="4" t="n">
        <v>4</v>
      </c>
      <c r="M1095" s="4" t="n">
        <v>4</v>
      </c>
      <c r="N1095" s="4" t="n">
        <v>4</v>
      </c>
      <c r="O1095" s="4" t="n">
        <v>4</v>
      </c>
      <c r="P1095" s="0" t="str">
        <f aca="false">IF(E1095=0,"not_reached",IF(AND(F1095&gt;0,G1095=0),"allowed","blocked"))</f>
        <v>allowed</v>
      </c>
      <c r="Q1095" s="0" t="str">
        <f aca="false">IF(C1095="success","published",IF(E1095&gt;0,"blocked_at_gate","failed_before_gate"))</f>
        <v>published</v>
      </c>
      <c r="R1095" s="0" t="str">
        <f aca="false">IF(C1095="success","",IF(E1095&gt;0,IF(I1095="freshness_within_target","freshness",IF(I1095="relationships_intact","relationships",IF(I1095="reconciliation_residual_zero","residual",I1095))),IF(H1095="quality_gate","gate_infra",H1095)))</f>
        <v/>
      </c>
    </row>
    <row r="1096" customFormat="false" ht="15" hidden="false" customHeight="false" outlineLevel="0" collapsed="false">
      <c r="A1096" s="4" t="s">
        <v>3715</v>
      </c>
      <c r="B1096" s="10" t="n">
        <v>46289.5520833333</v>
      </c>
      <c r="C1096" s="4" t="s">
        <v>1544</v>
      </c>
      <c r="D1096" s="4" t="n">
        <v>1214</v>
      </c>
      <c r="E1096" s="4" t="n">
        <v>7</v>
      </c>
      <c r="F1096" s="4" t="n">
        <v>6</v>
      </c>
      <c r="G1096" s="4" t="n">
        <v>0</v>
      </c>
      <c r="J1096" s="11" t="b">
        <f aca="false">TRUE()</f>
        <v>1</v>
      </c>
      <c r="K1096" s="4" t="s">
        <v>3716</v>
      </c>
      <c r="L1096" s="4" t="n">
        <v>4</v>
      </c>
      <c r="M1096" s="4" t="n">
        <v>4</v>
      </c>
      <c r="N1096" s="4" t="n">
        <v>5</v>
      </c>
      <c r="O1096" s="4" t="n">
        <v>4</v>
      </c>
      <c r="P1096" s="0" t="str">
        <f aca="false">IF(E1096=0,"not_reached",IF(AND(F1096&gt;0,G1096=0),"allowed","blocked"))</f>
        <v>allowed</v>
      </c>
      <c r="Q1096" s="0" t="str">
        <f aca="false">IF(C1096="success","published",IF(E1096&gt;0,"blocked_at_gate","failed_before_gate"))</f>
        <v>published</v>
      </c>
      <c r="R1096" s="0" t="str">
        <f aca="false">IF(C1096="success","",IF(E1096&gt;0,IF(I1096="freshness_within_target","freshness",IF(I1096="relationships_intact","relationships",IF(I1096="reconciliation_residual_zero","residual",I1096))),IF(H1096="quality_gate","gate_infra",H1096)))</f>
        <v/>
      </c>
    </row>
    <row r="1097" customFormat="false" ht="15" hidden="false" customHeight="false" outlineLevel="0" collapsed="false">
      <c r="A1097" s="4" t="s">
        <v>3717</v>
      </c>
      <c r="B1097" s="10" t="n">
        <v>46289.59375</v>
      </c>
      <c r="C1097" s="4" t="s">
        <v>1544</v>
      </c>
      <c r="D1097" s="4" t="n">
        <v>835</v>
      </c>
      <c r="E1097" s="4" t="n">
        <v>7</v>
      </c>
      <c r="F1097" s="4" t="n">
        <v>6</v>
      </c>
      <c r="G1097" s="4" t="n">
        <v>0</v>
      </c>
      <c r="J1097" s="11" t="b">
        <f aca="false">TRUE()</f>
        <v>1</v>
      </c>
      <c r="K1097" s="4" t="s">
        <v>3718</v>
      </c>
      <c r="L1097" s="4" t="n">
        <v>4</v>
      </c>
      <c r="M1097" s="4" t="n">
        <v>4</v>
      </c>
      <c r="N1097" s="4" t="n">
        <v>4</v>
      </c>
      <c r="O1097" s="4" t="n">
        <v>4</v>
      </c>
      <c r="P1097" s="0" t="str">
        <f aca="false">IF(E1097=0,"not_reached",IF(AND(F1097&gt;0,G1097=0),"allowed","blocked"))</f>
        <v>allowed</v>
      </c>
      <c r="Q1097" s="0" t="str">
        <f aca="false">IF(C1097="success","published",IF(E1097&gt;0,"blocked_at_gate","failed_before_gate"))</f>
        <v>published</v>
      </c>
      <c r="R1097" s="0" t="str">
        <f aca="false">IF(C1097="success","",IF(E1097&gt;0,IF(I1097="freshness_within_target","freshness",IF(I1097="relationships_intact","relationships",IF(I1097="reconciliation_residual_zero","residual",I1097))),IF(H1097="quality_gate","gate_infra",H1097)))</f>
        <v/>
      </c>
    </row>
    <row r="1098" customFormat="false" ht="15" hidden="false" customHeight="false" outlineLevel="0" collapsed="false">
      <c r="A1098" s="4" t="s">
        <v>3719</v>
      </c>
      <c r="B1098" s="10" t="n">
        <v>46289.6354166667</v>
      </c>
      <c r="C1098" s="4" t="s">
        <v>1544</v>
      </c>
      <c r="D1098" s="4" t="n">
        <v>799</v>
      </c>
      <c r="E1098" s="4" t="n">
        <v>7</v>
      </c>
      <c r="F1098" s="4" t="n">
        <v>6</v>
      </c>
      <c r="G1098" s="4" t="n">
        <v>0</v>
      </c>
      <c r="J1098" s="11" t="b">
        <f aca="false">TRUE()</f>
        <v>1</v>
      </c>
      <c r="K1098" s="4" t="s">
        <v>3720</v>
      </c>
      <c r="L1098" s="4" t="n">
        <v>4</v>
      </c>
      <c r="M1098" s="4" t="n">
        <v>4</v>
      </c>
      <c r="N1098" s="4" t="n">
        <v>4</v>
      </c>
      <c r="O1098" s="4" t="n">
        <v>4</v>
      </c>
      <c r="P1098" s="0" t="str">
        <f aca="false">IF(E1098=0,"not_reached",IF(AND(F1098&gt;0,G1098=0),"allowed","blocked"))</f>
        <v>allowed</v>
      </c>
      <c r="Q1098" s="0" t="str">
        <f aca="false">IF(C1098="success","published",IF(E1098&gt;0,"blocked_at_gate","failed_before_gate"))</f>
        <v>published</v>
      </c>
      <c r="R1098" s="0" t="str">
        <f aca="false">IF(C1098="success","",IF(E1098&gt;0,IF(I1098="freshness_within_target","freshness",IF(I1098="relationships_intact","relationships",IF(I1098="reconciliation_residual_zero","residual",I1098))),IF(H1098="quality_gate","gate_infra",H1098)))</f>
        <v/>
      </c>
    </row>
    <row r="1099" customFormat="false" ht="15" hidden="false" customHeight="false" outlineLevel="0" collapsed="false">
      <c r="A1099" s="4" t="s">
        <v>3721</v>
      </c>
      <c r="B1099" s="10" t="n">
        <v>46289.6770833333</v>
      </c>
      <c r="C1099" s="4" t="s">
        <v>1544</v>
      </c>
      <c r="D1099" s="4" t="n">
        <v>757</v>
      </c>
      <c r="E1099" s="4" t="n">
        <v>7</v>
      </c>
      <c r="F1099" s="4" t="n">
        <v>6</v>
      </c>
      <c r="G1099" s="4" t="n">
        <v>0</v>
      </c>
      <c r="J1099" s="11" t="b">
        <f aca="false">TRUE()</f>
        <v>1</v>
      </c>
      <c r="K1099" s="4" t="s">
        <v>3722</v>
      </c>
      <c r="L1099" s="4" t="n">
        <v>4</v>
      </c>
      <c r="M1099" s="4" t="n">
        <v>4</v>
      </c>
      <c r="N1099" s="4" t="n">
        <v>4</v>
      </c>
      <c r="O1099" s="4" t="n">
        <v>4</v>
      </c>
      <c r="P1099" s="0" t="str">
        <f aca="false">IF(E1099=0,"not_reached",IF(AND(F1099&gt;0,G1099=0),"allowed","blocked"))</f>
        <v>allowed</v>
      </c>
      <c r="Q1099" s="0" t="str">
        <f aca="false">IF(C1099="success","published",IF(E1099&gt;0,"blocked_at_gate","failed_before_gate"))</f>
        <v>published</v>
      </c>
      <c r="R1099" s="0" t="str">
        <f aca="false">IF(C1099="success","",IF(E1099&gt;0,IF(I1099="freshness_within_target","freshness",IF(I1099="relationships_intact","relationships",IF(I1099="reconciliation_residual_zero","residual",I1099))),IF(H1099="quality_gate","gate_infra",H1099)))</f>
        <v/>
      </c>
    </row>
    <row r="1100" customFormat="false" ht="15" hidden="false" customHeight="false" outlineLevel="0" collapsed="false">
      <c r="A1100" s="4" t="s">
        <v>3723</v>
      </c>
      <c r="B1100" s="10" t="n">
        <v>46289.71875</v>
      </c>
      <c r="C1100" s="4" t="s">
        <v>1544</v>
      </c>
      <c r="D1100" s="4" t="n">
        <v>870</v>
      </c>
      <c r="E1100" s="4" t="n">
        <v>7</v>
      </c>
      <c r="F1100" s="4" t="n">
        <v>6</v>
      </c>
      <c r="G1100" s="4" t="n">
        <v>0</v>
      </c>
      <c r="J1100" s="11" t="b">
        <f aca="false">TRUE()</f>
        <v>1</v>
      </c>
      <c r="K1100" s="4" t="s">
        <v>3724</v>
      </c>
      <c r="L1100" s="4" t="n">
        <v>4</v>
      </c>
      <c r="M1100" s="4" t="n">
        <v>4</v>
      </c>
      <c r="N1100" s="4" t="n">
        <v>4</v>
      </c>
      <c r="O1100" s="4" t="n">
        <v>4</v>
      </c>
      <c r="P1100" s="0" t="str">
        <f aca="false">IF(E1100=0,"not_reached",IF(AND(F1100&gt;0,G1100=0),"allowed","blocked"))</f>
        <v>allowed</v>
      </c>
      <c r="Q1100" s="0" t="str">
        <f aca="false">IF(C1100="success","published",IF(E1100&gt;0,"blocked_at_gate","failed_before_gate"))</f>
        <v>published</v>
      </c>
      <c r="R1100" s="0" t="str">
        <f aca="false">IF(C1100="success","",IF(E1100&gt;0,IF(I1100="freshness_within_target","freshness",IF(I1100="relationships_intact","relationships",IF(I1100="reconciliation_residual_zero","residual",I1100))),IF(H1100="quality_gate","gate_infra",H1100)))</f>
        <v/>
      </c>
    </row>
    <row r="1101" customFormat="false" ht="15" hidden="false" customHeight="false" outlineLevel="0" collapsed="false">
      <c r="A1101" s="4" t="s">
        <v>3725</v>
      </c>
      <c r="B1101" s="10" t="n">
        <v>46289.7604166667</v>
      </c>
      <c r="C1101" s="4" t="s">
        <v>1544</v>
      </c>
      <c r="D1101" s="4" t="n">
        <v>952</v>
      </c>
      <c r="E1101" s="4" t="n">
        <v>7</v>
      </c>
      <c r="F1101" s="4" t="n">
        <v>6</v>
      </c>
      <c r="G1101" s="4" t="n">
        <v>0</v>
      </c>
      <c r="J1101" s="11" t="b">
        <f aca="false">TRUE()</f>
        <v>1</v>
      </c>
      <c r="K1101" s="4" t="s">
        <v>3726</v>
      </c>
      <c r="L1101" s="4" t="n">
        <v>4</v>
      </c>
      <c r="M1101" s="4" t="n">
        <v>4</v>
      </c>
      <c r="N1101" s="4" t="n">
        <v>4</v>
      </c>
      <c r="O1101" s="4" t="n">
        <v>4</v>
      </c>
      <c r="P1101" s="0" t="str">
        <f aca="false">IF(E1101=0,"not_reached",IF(AND(F1101&gt;0,G1101=0),"allowed","blocked"))</f>
        <v>allowed</v>
      </c>
      <c r="Q1101" s="0" t="str">
        <f aca="false">IF(C1101="success","published",IF(E1101&gt;0,"blocked_at_gate","failed_before_gate"))</f>
        <v>published</v>
      </c>
      <c r="R1101" s="0" t="str">
        <f aca="false">IF(C1101="success","",IF(E1101&gt;0,IF(I1101="freshness_within_target","freshness",IF(I1101="relationships_intact","relationships",IF(I1101="reconciliation_residual_zero","residual",I1101))),IF(H1101="quality_gate","gate_infra",H1101)))</f>
        <v/>
      </c>
    </row>
    <row r="1102" customFormat="false" ht="15" hidden="false" customHeight="false" outlineLevel="0" collapsed="false">
      <c r="A1102" s="4" t="s">
        <v>3727</v>
      </c>
      <c r="B1102" s="10" t="n">
        <v>46289.8020833333</v>
      </c>
      <c r="C1102" s="4" t="s">
        <v>1544</v>
      </c>
      <c r="D1102" s="4" t="n">
        <v>947</v>
      </c>
      <c r="E1102" s="4" t="n">
        <v>7</v>
      </c>
      <c r="F1102" s="4" t="n">
        <v>6</v>
      </c>
      <c r="G1102" s="4" t="n">
        <v>0</v>
      </c>
      <c r="J1102" s="11" t="b">
        <f aca="false">TRUE()</f>
        <v>1</v>
      </c>
      <c r="K1102" s="4" t="s">
        <v>3728</v>
      </c>
      <c r="L1102" s="4" t="n">
        <v>4</v>
      </c>
      <c r="M1102" s="4" t="n">
        <v>4</v>
      </c>
      <c r="N1102" s="4" t="n">
        <v>4</v>
      </c>
      <c r="O1102" s="4" t="n">
        <v>4</v>
      </c>
      <c r="P1102" s="0" t="str">
        <f aca="false">IF(E1102=0,"not_reached",IF(AND(F1102&gt;0,G1102=0),"allowed","blocked"))</f>
        <v>allowed</v>
      </c>
      <c r="Q1102" s="0" t="str">
        <f aca="false">IF(C1102="success","published",IF(E1102&gt;0,"blocked_at_gate","failed_before_gate"))</f>
        <v>published</v>
      </c>
      <c r="R1102" s="0" t="str">
        <f aca="false">IF(C1102="success","",IF(E1102&gt;0,IF(I1102="freshness_within_target","freshness",IF(I1102="relationships_intact","relationships",IF(I1102="reconciliation_residual_zero","residual",I1102))),IF(H1102="quality_gate","gate_infra",H1102)))</f>
        <v/>
      </c>
    </row>
    <row r="1103" customFormat="false" ht="15" hidden="false" customHeight="false" outlineLevel="0" collapsed="false">
      <c r="A1103" s="4" t="s">
        <v>3729</v>
      </c>
      <c r="B1103" s="10" t="n">
        <v>46289.84375</v>
      </c>
      <c r="C1103" s="4" t="s">
        <v>1544</v>
      </c>
      <c r="D1103" s="4" t="n">
        <v>858</v>
      </c>
      <c r="E1103" s="4" t="n">
        <v>7</v>
      </c>
      <c r="F1103" s="4" t="n">
        <v>6</v>
      </c>
      <c r="G1103" s="4" t="n">
        <v>0</v>
      </c>
      <c r="J1103" s="11" t="b">
        <f aca="false">TRUE()</f>
        <v>1</v>
      </c>
      <c r="K1103" s="4" t="s">
        <v>3730</v>
      </c>
      <c r="L1103" s="4" t="n">
        <v>4</v>
      </c>
      <c r="M1103" s="4" t="n">
        <v>4</v>
      </c>
      <c r="N1103" s="4" t="n">
        <v>4</v>
      </c>
      <c r="O1103" s="4" t="n">
        <v>4</v>
      </c>
      <c r="P1103" s="0" t="str">
        <f aca="false">IF(E1103=0,"not_reached",IF(AND(F1103&gt;0,G1103=0),"allowed","blocked"))</f>
        <v>allowed</v>
      </c>
      <c r="Q1103" s="0" t="str">
        <f aca="false">IF(C1103="success","published",IF(E1103&gt;0,"blocked_at_gate","failed_before_gate"))</f>
        <v>published</v>
      </c>
      <c r="R1103" s="0" t="str">
        <f aca="false">IF(C1103="success","",IF(E1103&gt;0,IF(I1103="freshness_within_target","freshness",IF(I1103="relationships_intact","relationships",IF(I1103="reconciliation_residual_zero","residual",I1103))),IF(H1103="quality_gate","gate_infra",H1103)))</f>
        <v/>
      </c>
    </row>
    <row r="1104" customFormat="false" ht="15" hidden="false" customHeight="false" outlineLevel="0" collapsed="false">
      <c r="A1104" s="4" t="s">
        <v>3731</v>
      </c>
      <c r="B1104" s="10" t="n">
        <v>46289.8854166667</v>
      </c>
      <c r="C1104" s="4" t="s">
        <v>1544</v>
      </c>
      <c r="D1104" s="4" t="n">
        <v>931</v>
      </c>
      <c r="E1104" s="4" t="n">
        <v>7</v>
      </c>
      <c r="F1104" s="4" t="n">
        <v>6</v>
      </c>
      <c r="G1104" s="4" t="n">
        <v>0</v>
      </c>
      <c r="J1104" s="11" t="b">
        <f aca="false">TRUE()</f>
        <v>1</v>
      </c>
      <c r="K1104" s="4" t="s">
        <v>3732</v>
      </c>
      <c r="L1104" s="4" t="n">
        <v>4</v>
      </c>
      <c r="M1104" s="4" t="n">
        <v>4</v>
      </c>
      <c r="N1104" s="4" t="n">
        <v>4</v>
      </c>
      <c r="O1104" s="4" t="n">
        <v>4</v>
      </c>
      <c r="P1104" s="0" t="str">
        <f aca="false">IF(E1104=0,"not_reached",IF(AND(F1104&gt;0,G1104=0),"allowed","blocked"))</f>
        <v>allowed</v>
      </c>
      <c r="Q1104" s="0" t="str">
        <f aca="false">IF(C1104="success","published",IF(E1104&gt;0,"blocked_at_gate","failed_before_gate"))</f>
        <v>published</v>
      </c>
      <c r="R1104" s="0" t="str">
        <f aca="false">IF(C1104="success","",IF(E1104&gt;0,IF(I1104="freshness_within_target","freshness",IF(I1104="relationships_intact","relationships",IF(I1104="reconciliation_residual_zero","residual",I1104))),IF(H1104="quality_gate","gate_infra",H1104)))</f>
        <v/>
      </c>
    </row>
    <row r="1105" customFormat="false" ht="15" hidden="false" customHeight="false" outlineLevel="0" collapsed="false">
      <c r="A1105" s="4" t="s">
        <v>3733</v>
      </c>
      <c r="B1105" s="10" t="n">
        <v>46289.9270833333</v>
      </c>
      <c r="C1105" s="4" t="s">
        <v>1544</v>
      </c>
      <c r="D1105" s="4" t="n">
        <v>697</v>
      </c>
      <c r="E1105" s="4" t="n">
        <v>7</v>
      </c>
      <c r="F1105" s="4" t="n">
        <v>6</v>
      </c>
      <c r="G1105" s="4" t="n">
        <v>0</v>
      </c>
      <c r="J1105" s="11" t="b">
        <f aca="false">TRUE()</f>
        <v>1</v>
      </c>
      <c r="K1105" s="4" t="s">
        <v>3734</v>
      </c>
      <c r="L1105" s="4" t="n">
        <v>4</v>
      </c>
      <c r="M1105" s="4" t="n">
        <v>4</v>
      </c>
      <c r="N1105" s="4" t="n">
        <v>4</v>
      </c>
      <c r="O1105" s="4" t="n">
        <v>4</v>
      </c>
      <c r="P1105" s="0" t="str">
        <f aca="false">IF(E1105=0,"not_reached",IF(AND(F1105&gt;0,G1105=0),"allowed","blocked"))</f>
        <v>allowed</v>
      </c>
      <c r="Q1105" s="0" t="str">
        <f aca="false">IF(C1105="success","published",IF(E1105&gt;0,"blocked_at_gate","failed_before_gate"))</f>
        <v>published</v>
      </c>
      <c r="R1105" s="0" t="str">
        <f aca="false">IF(C1105="success","",IF(E1105&gt;0,IF(I1105="freshness_within_target","freshness",IF(I1105="relationships_intact","relationships",IF(I1105="reconciliation_residual_zero","residual",I1105))),IF(H1105="quality_gate","gate_infra",H1105)))</f>
        <v/>
      </c>
    </row>
    <row r="1106" customFormat="false" ht="15" hidden="false" customHeight="false" outlineLevel="0" collapsed="false">
      <c r="A1106" s="4" t="s">
        <v>3735</v>
      </c>
      <c r="B1106" s="10" t="n">
        <v>46289.96875</v>
      </c>
      <c r="C1106" s="4" t="s">
        <v>1544</v>
      </c>
      <c r="D1106" s="4" t="n">
        <v>876</v>
      </c>
      <c r="E1106" s="4" t="n">
        <v>7</v>
      </c>
      <c r="F1106" s="4" t="n">
        <v>6</v>
      </c>
      <c r="G1106" s="4" t="n">
        <v>0</v>
      </c>
      <c r="J1106" s="11" t="b">
        <f aca="false">TRUE()</f>
        <v>1</v>
      </c>
      <c r="K1106" s="4" t="s">
        <v>3736</v>
      </c>
      <c r="L1106" s="4" t="n">
        <v>4</v>
      </c>
      <c r="M1106" s="4" t="n">
        <v>4</v>
      </c>
      <c r="N1106" s="4" t="n">
        <v>4</v>
      </c>
      <c r="O1106" s="4" t="n">
        <v>4</v>
      </c>
      <c r="P1106" s="0" t="str">
        <f aca="false">IF(E1106=0,"not_reached",IF(AND(F1106&gt;0,G1106=0),"allowed","blocked"))</f>
        <v>allowed</v>
      </c>
      <c r="Q1106" s="0" t="str">
        <f aca="false">IF(C1106="success","published",IF(E1106&gt;0,"blocked_at_gate","failed_before_gate"))</f>
        <v>published</v>
      </c>
      <c r="R1106" s="0" t="str">
        <f aca="false">IF(C1106="success","",IF(E1106&gt;0,IF(I1106="freshness_within_target","freshness",IF(I1106="relationships_intact","relationships",IF(I1106="reconciliation_residual_zero","residual",I1106))),IF(H1106="quality_gate","gate_infra",H1106)))</f>
        <v/>
      </c>
    </row>
    <row r="1107" customFormat="false" ht="15" hidden="false" customHeight="false" outlineLevel="0" collapsed="false">
      <c r="A1107" s="4" t="s">
        <v>3737</v>
      </c>
      <c r="B1107" s="10" t="n">
        <v>46290.0104166667</v>
      </c>
      <c r="C1107" s="4" t="s">
        <v>1544</v>
      </c>
      <c r="D1107" s="4" t="n">
        <v>819</v>
      </c>
      <c r="E1107" s="4" t="n">
        <v>7</v>
      </c>
      <c r="F1107" s="4" t="n">
        <v>6</v>
      </c>
      <c r="G1107" s="4" t="n">
        <v>0</v>
      </c>
      <c r="J1107" s="11" t="b">
        <f aca="false">TRUE()</f>
        <v>1</v>
      </c>
      <c r="K1107" s="4" t="s">
        <v>3738</v>
      </c>
      <c r="L1107" s="4" t="n">
        <v>4</v>
      </c>
      <c r="M1107" s="4" t="n">
        <v>4</v>
      </c>
      <c r="N1107" s="4" t="n">
        <v>4</v>
      </c>
      <c r="O1107" s="4" t="n">
        <v>4</v>
      </c>
      <c r="P1107" s="0" t="str">
        <f aca="false">IF(E1107=0,"not_reached",IF(AND(F1107&gt;0,G1107=0),"allowed","blocked"))</f>
        <v>allowed</v>
      </c>
      <c r="Q1107" s="0" t="str">
        <f aca="false">IF(C1107="success","published",IF(E1107&gt;0,"blocked_at_gate","failed_before_gate"))</f>
        <v>published</v>
      </c>
      <c r="R1107" s="0" t="str">
        <f aca="false">IF(C1107="success","",IF(E1107&gt;0,IF(I1107="freshness_within_target","freshness",IF(I1107="relationships_intact","relationships",IF(I1107="reconciliation_residual_zero","residual",I1107))),IF(H1107="quality_gate","gate_infra",H1107)))</f>
        <v/>
      </c>
    </row>
    <row r="1108" customFormat="false" ht="15" hidden="false" customHeight="false" outlineLevel="0" collapsed="false">
      <c r="A1108" s="4" t="s">
        <v>3739</v>
      </c>
      <c r="B1108" s="10" t="n">
        <v>46290.0520833333</v>
      </c>
      <c r="C1108" s="4" t="s">
        <v>1544</v>
      </c>
      <c r="D1108" s="4" t="n">
        <v>876</v>
      </c>
      <c r="E1108" s="4" t="n">
        <v>7</v>
      </c>
      <c r="F1108" s="4" t="n">
        <v>6</v>
      </c>
      <c r="G1108" s="4" t="n">
        <v>0</v>
      </c>
      <c r="J1108" s="11" t="b">
        <f aca="false">TRUE()</f>
        <v>1</v>
      </c>
      <c r="K1108" s="4" t="s">
        <v>3740</v>
      </c>
      <c r="L1108" s="4" t="n">
        <v>4</v>
      </c>
      <c r="M1108" s="4" t="n">
        <v>4</v>
      </c>
      <c r="N1108" s="4" t="n">
        <v>4</v>
      </c>
      <c r="O1108" s="4" t="n">
        <v>4</v>
      </c>
      <c r="P1108" s="0" t="str">
        <f aca="false">IF(E1108=0,"not_reached",IF(AND(F1108&gt;0,G1108=0),"allowed","blocked"))</f>
        <v>allowed</v>
      </c>
      <c r="Q1108" s="0" t="str">
        <f aca="false">IF(C1108="success","published",IF(E1108&gt;0,"blocked_at_gate","failed_before_gate"))</f>
        <v>published</v>
      </c>
      <c r="R1108" s="0" t="str">
        <f aca="false">IF(C1108="success","",IF(E1108&gt;0,IF(I1108="freshness_within_target","freshness",IF(I1108="relationships_intact","relationships",IF(I1108="reconciliation_residual_zero","residual",I1108))),IF(H1108="quality_gate","gate_infra",H1108)))</f>
        <v/>
      </c>
    </row>
    <row r="1109" customFormat="false" ht="15" hidden="false" customHeight="false" outlineLevel="0" collapsed="false">
      <c r="A1109" s="4" t="s">
        <v>3741</v>
      </c>
      <c r="B1109" s="10" t="n">
        <v>46290.09375</v>
      </c>
      <c r="C1109" s="4" t="s">
        <v>1544</v>
      </c>
      <c r="D1109" s="4" t="n">
        <v>728</v>
      </c>
      <c r="E1109" s="4" t="n">
        <v>7</v>
      </c>
      <c r="F1109" s="4" t="n">
        <v>6</v>
      </c>
      <c r="G1109" s="4" t="n">
        <v>0</v>
      </c>
      <c r="J1109" s="11" t="b">
        <f aca="false">TRUE()</f>
        <v>1</v>
      </c>
      <c r="K1109" s="4" t="s">
        <v>3742</v>
      </c>
      <c r="L1109" s="4" t="n">
        <v>4</v>
      </c>
      <c r="M1109" s="4" t="n">
        <v>4</v>
      </c>
      <c r="N1109" s="4" t="n">
        <v>4</v>
      </c>
      <c r="O1109" s="4" t="n">
        <v>4</v>
      </c>
      <c r="P1109" s="0" t="str">
        <f aca="false">IF(E1109=0,"not_reached",IF(AND(F1109&gt;0,G1109=0),"allowed","blocked"))</f>
        <v>allowed</v>
      </c>
      <c r="Q1109" s="0" t="str">
        <f aca="false">IF(C1109="success","published",IF(E1109&gt;0,"blocked_at_gate","failed_before_gate"))</f>
        <v>published</v>
      </c>
      <c r="R1109" s="0" t="str">
        <f aca="false">IF(C1109="success","",IF(E1109&gt;0,IF(I1109="freshness_within_target","freshness",IF(I1109="relationships_intact","relationships",IF(I1109="reconciliation_residual_zero","residual",I1109))),IF(H1109="quality_gate","gate_infra",H1109)))</f>
        <v/>
      </c>
    </row>
    <row r="1110" customFormat="false" ht="15" hidden="false" customHeight="false" outlineLevel="0" collapsed="false">
      <c r="A1110" s="4" t="s">
        <v>3743</v>
      </c>
      <c r="B1110" s="10" t="n">
        <v>46290.1354166667</v>
      </c>
      <c r="C1110" s="4" t="s">
        <v>1544</v>
      </c>
      <c r="D1110" s="4" t="n">
        <v>947</v>
      </c>
      <c r="E1110" s="4" t="n">
        <v>7</v>
      </c>
      <c r="F1110" s="4" t="n">
        <v>6</v>
      </c>
      <c r="G1110" s="4" t="n">
        <v>0</v>
      </c>
      <c r="J1110" s="11" t="b">
        <f aca="false">TRUE()</f>
        <v>1</v>
      </c>
      <c r="K1110" s="4" t="s">
        <v>3744</v>
      </c>
      <c r="L1110" s="4" t="n">
        <v>4</v>
      </c>
      <c r="M1110" s="4" t="n">
        <v>4</v>
      </c>
      <c r="N1110" s="4" t="n">
        <v>4</v>
      </c>
      <c r="O1110" s="4" t="n">
        <v>4</v>
      </c>
      <c r="P1110" s="0" t="str">
        <f aca="false">IF(E1110=0,"not_reached",IF(AND(F1110&gt;0,G1110=0),"allowed","blocked"))</f>
        <v>allowed</v>
      </c>
      <c r="Q1110" s="0" t="str">
        <f aca="false">IF(C1110="success","published",IF(E1110&gt;0,"blocked_at_gate","failed_before_gate"))</f>
        <v>published</v>
      </c>
      <c r="R1110" s="0" t="str">
        <f aca="false">IF(C1110="success","",IF(E1110&gt;0,IF(I1110="freshness_within_target","freshness",IF(I1110="relationships_intact","relationships",IF(I1110="reconciliation_residual_zero","residual",I1110))),IF(H1110="quality_gate","gate_infra",H1110)))</f>
        <v/>
      </c>
    </row>
    <row r="1111" customFormat="false" ht="15" hidden="false" customHeight="false" outlineLevel="0" collapsed="false">
      <c r="A1111" s="4" t="s">
        <v>3745</v>
      </c>
      <c r="B1111" s="10" t="n">
        <v>46290.1770833333</v>
      </c>
      <c r="C1111" s="4" t="s">
        <v>1544</v>
      </c>
      <c r="D1111" s="4" t="n">
        <v>893</v>
      </c>
      <c r="E1111" s="4" t="n">
        <v>7</v>
      </c>
      <c r="F1111" s="4" t="n">
        <v>6</v>
      </c>
      <c r="G1111" s="4" t="n">
        <v>0</v>
      </c>
      <c r="J1111" s="11" t="b">
        <f aca="false">TRUE()</f>
        <v>1</v>
      </c>
      <c r="K1111" s="4" t="s">
        <v>3746</v>
      </c>
      <c r="L1111" s="4" t="n">
        <v>4</v>
      </c>
      <c r="M1111" s="4" t="n">
        <v>4</v>
      </c>
      <c r="N1111" s="4" t="n">
        <v>4</v>
      </c>
      <c r="O1111" s="4" t="n">
        <v>4</v>
      </c>
      <c r="P1111" s="0" t="str">
        <f aca="false">IF(E1111=0,"not_reached",IF(AND(F1111&gt;0,G1111=0),"allowed","blocked"))</f>
        <v>allowed</v>
      </c>
      <c r="Q1111" s="0" t="str">
        <f aca="false">IF(C1111="success","published",IF(E1111&gt;0,"blocked_at_gate","failed_before_gate"))</f>
        <v>published</v>
      </c>
      <c r="R1111" s="0" t="str">
        <f aca="false">IF(C1111="success","",IF(E1111&gt;0,IF(I1111="freshness_within_target","freshness",IF(I1111="relationships_intact","relationships",IF(I1111="reconciliation_residual_zero","residual",I1111))),IF(H1111="quality_gate","gate_infra",H1111)))</f>
        <v/>
      </c>
    </row>
    <row r="1112" customFormat="false" ht="15" hidden="false" customHeight="false" outlineLevel="0" collapsed="false">
      <c r="A1112" s="4" t="s">
        <v>3747</v>
      </c>
      <c r="B1112" s="10" t="n">
        <v>46290.21875</v>
      </c>
      <c r="C1112" s="4" t="s">
        <v>1544</v>
      </c>
      <c r="D1112" s="4" t="n">
        <v>849</v>
      </c>
      <c r="E1112" s="4" t="n">
        <v>7</v>
      </c>
      <c r="F1112" s="4" t="n">
        <v>6</v>
      </c>
      <c r="G1112" s="4" t="n">
        <v>0</v>
      </c>
      <c r="J1112" s="11" t="b">
        <f aca="false">TRUE()</f>
        <v>1</v>
      </c>
      <c r="K1112" s="4" t="s">
        <v>3748</v>
      </c>
      <c r="L1112" s="4" t="n">
        <v>4</v>
      </c>
      <c r="M1112" s="4" t="n">
        <v>4</v>
      </c>
      <c r="N1112" s="4" t="n">
        <v>4</v>
      </c>
      <c r="O1112" s="4" t="n">
        <v>4</v>
      </c>
      <c r="P1112" s="0" t="str">
        <f aca="false">IF(E1112=0,"not_reached",IF(AND(F1112&gt;0,G1112=0),"allowed","blocked"))</f>
        <v>allowed</v>
      </c>
      <c r="Q1112" s="0" t="str">
        <f aca="false">IF(C1112="success","published",IF(E1112&gt;0,"blocked_at_gate","failed_before_gate"))</f>
        <v>published</v>
      </c>
      <c r="R1112" s="0" t="str">
        <f aca="false">IF(C1112="success","",IF(E1112&gt;0,IF(I1112="freshness_within_target","freshness",IF(I1112="relationships_intact","relationships",IF(I1112="reconciliation_residual_zero","residual",I1112))),IF(H1112="quality_gate","gate_infra",H1112)))</f>
        <v/>
      </c>
    </row>
    <row r="1113" customFormat="false" ht="15" hidden="false" customHeight="false" outlineLevel="0" collapsed="false">
      <c r="A1113" s="4" t="s">
        <v>3749</v>
      </c>
      <c r="B1113" s="10" t="n">
        <v>46290.2604166667</v>
      </c>
      <c r="C1113" s="4" t="s">
        <v>1544</v>
      </c>
      <c r="D1113" s="4" t="n">
        <v>729</v>
      </c>
      <c r="E1113" s="4" t="n">
        <v>7</v>
      </c>
      <c r="F1113" s="4" t="n">
        <v>6</v>
      </c>
      <c r="G1113" s="4" t="n">
        <v>0</v>
      </c>
      <c r="J1113" s="11" t="b">
        <f aca="false">TRUE()</f>
        <v>1</v>
      </c>
      <c r="K1113" s="4" t="s">
        <v>3750</v>
      </c>
      <c r="L1113" s="4" t="n">
        <v>4</v>
      </c>
      <c r="M1113" s="4" t="n">
        <v>4</v>
      </c>
      <c r="N1113" s="4" t="n">
        <v>4</v>
      </c>
      <c r="O1113" s="4" t="n">
        <v>4</v>
      </c>
      <c r="P1113" s="0" t="str">
        <f aca="false">IF(E1113=0,"not_reached",IF(AND(F1113&gt;0,G1113=0),"allowed","blocked"))</f>
        <v>allowed</v>
      </c>
      <c r="Q1113" s="0" t="str">
        <f aca="false">IF(C1113="success","published",IF(E1113&gt;0,"blocked_at_gate","failed_before_gate"))</f>
        <v>published</v>
      </c>
      <c r="R1113" s="0" t="str">
        <f aca="false">IF(C1113="success","",IF(E1113&gt;0,IF(I1113="freshness_within_target","freshness",IF(I1113="relationships_intact","relationships",IF(I1113="reconciliation_residual_zero","residual",I1113))),IF(H1113="quality_gate","gate_infra",H1113)))</f>
        <v/>
      </c>
    </row>
    <row r="1114" customFormat="false" ht="15" hidden="false" customHeight="false" outlineLevel="0" collapsed="false">
      <c r="A1114" s="4" t="s">
        <v>3751</v>
      </c>
      <c r="B1114" s="10" t="n">
        <v>46290.3020833333</v>
      </c>
      <c r="C1114" s="4" t="s">
        <v>1544</v>
      </c>
      <c r="D1114" s="4" t="n">
        <v>833</v>
      </c>
      <c r="E1114" s="4" t="n">
        <v>7</v>
      </c>
      <c r="F1114" s="4" t="n">
        <v>6</v>
      </c>
      <c r="G1114" s="4" t="n">
        <v>0</v>
      </c>
      <c r="J1114" s="11" t="b">
        <f aca="false">TRUE()</f>
        <v>1</v>
      </c>
      <c r="K1114" s="4" t="s">
        <v>3752</v>
      </c>
      <c r="L1114" s="4" t="n">
        <v>4</v>
      </c>
      <c r="M1114" s="4" t="n">
        <v>4</v>
      </c>
      <c r="N1114" s="4" t="n">
        <v>4</v>
      </c>
      <c r="O1114" s="4" t="n">
        <v>4</v>
      </c>
      <c r="P1114" s="0" t="str">
        <f aca="false">IF(E1114=0,"not_reached",IF(AND(F1114&gt;0,G1114=0),"allowed","blocked"))</f>
        <v>allowed</v>
      </c>
      <c r="Q1114" s="0" t="str">
        <f aca="false">IF(C1114="success","published",IF(E1114&gt;0,"blocked_at_gate","failed_before_gate"))</f>
        <v>published</v>
      </c>
      <c r="R1114" s="0" t="str">
        <f aca="false">IF(C1114="success","",IF(E1114&gt;0,IF(I1114="freshness_within_target","freshness",IF(I1114="relationships_intact","relationships",IF(I1114="reconciliation_residual_zero","residual",I1114))),IF(H1114="quality_gate","gate_infra",H1114)))</f>
        <v/>
      </c>
    </row>
    <row r="1115" customFormat="false" ht="15" hidden="false" customHeight="false" outlineLevel="0" collapsed="false">
      <c r="A1115" s="4" t="s">
        <v>3753</v>
      </c>
      <c r="B1115" s="10" t="n">
        <v>46290.34375</v>
      </c>
      <c r="C1115" s="4" t="s">
        <v>1544</v>
      </c>
      <c r="D1115" s="4" t="n">
        <v>843</v>
      </c>
      <c r="E1115" s="4" t="n">
        <v>7</v>
      </c>
      <c r="F1115" s="4" t="n">
        <v>6</v>
      </c>
      <c r="G1115" s="4" t="n">
        <v>0</v>
      </c>
      <c r="J1115" s="11" t="b">
        <f aca="false">TRUE()</f>
        <v>1</v>
      </c>
      <c r="K1115" s="4" t="s">
        <v>3754</v>
      </c>
      <c r="L1115" s="4" t="n">
        <v>4</v>
      </c>
      <c r="M1115" s="4" t="n">
        <v>4</v>
      </c>
      <c r="N1115" s="4" t="n">
        <v>4</v>
      </c>
      <c r="O1115" s="4" t="n">
        <v>4</v>
      </c>
      <c r="P1115" s="0" t="str">
        <f aca="false">IF(E1115=0,"not_reached",IF(AND(F1115&gt;0,G1115=0),"allowed","blocked"))</f>
        <v>allowed</v>
      </c>
      <c r="Q1115" s="0" t="str">
        <f aca="false">IF(C1115="success","published",IF(E1115&gt;0,"blocked_at_gate","failed_before_gate"))</f>
        <v>published</v>
      </c>
      <c r="R1115" s="0" t="str">
        <f aca="false">IF(C1115="success","",IF(E1115&gt;0,IF(I1115="freshness_within_target","freshness",IF(I1115="relationships_intact","relationships",IF(I1115="reconciliation_residual_zero","residual",I1115))),IF(H1115="quality_gate","gate_infra",H1115)))</f>
        <v/>
      </c>
    </row>
    <row r="1116" customFormat="false" ht="15" hidden="false" customHeight="false" outlineLevel="0" collapsed="false">
      <c r="A1116" s="4" t="s">
        <v>3755</v>
      </c>
      <c r="B1116" s="10" t="n">
        <v>46290.3854166667</v>
      </c>
      <c r="C1116" s="4" t="s">
        <v>1544</v>
      </c>
      <c r="D1116" s="4" t="n">
        <v>907</v>
      </c>
      <c r="E1116" s="4" t="n">
        <v>7</v>
      </c>
      <c r="F1116" s="4" t="n">
        <v>6</v>
      </c>
      <c r="G1116" s="4" t="n">
        <v>0</v>
      </c>
      <c r="J1116" s="11" t="b">
        <f aca="false">TRUE()</f>
        <v>1</v>
      </c>
      <c r="K1116" s="4" t="s">
        <v>3756</v>
      </c>
      <c r="L1116" s="4" t="n">
        <v>4</v>
      </c>
      <c r="M1116" s="4" t="n">
        <v>4</v>
      </c>
      <c r="N1116" s="4" t="n">
        <v>4</v>
      </c>
      <c r="O1116" s="4" t="n">
        <v>4</v>
      </c>
      <c r="P1116" s="0" t="str">
        <f aca="false">IF(E1116=0,"not_reached",IF(AND(F1116&gt;0,G1116=0),"allowed","blocked"))</f>
        <v>allowed</v>
      </c>
      <c r="Q1116" s="0" t="str">
        <f aca="false">IF(C1116="success","published",IF(E1116&gt;0,"blocked_at_gate","failed_before_gate"))</f>
        <v>published</v>
      </c>
      <c r="R1116" s="0" t="str">
        <f aca="false">IF(C1116="success","",IF(E1116&gt;0,IF(I1116="freshness_within_target","freshness",IF(I1116="relationships_intact","relationships",IF(I1116="reconciliation_residual_zero","residual",I1116))),IF(H1116="quality_gate","gate_infra",H1116)))</f>
        <v/>
      </c>
    </row>
    <row r="1117" customFormat="false" ht="15" hidden="false" customHeight="false" outlineLevel="0" collapsed="false">
      <c r="A1117" s="4" t="s">
        <v>3757</v>
      </c>
      <c r="B1117" s="10" t="n">
        <v>46290.4270833333</v>
      </c>
      <c r="C1117" s="4" t="s">
        <v>1544</v>
      </c>
      <c r="D1117" s="4" t="n">
        <v>749</v>
      </c>
      <c r="E1117" s="4" t="n">
        <v>7</v>
      </c>
      <c r="F1117" s="4" t="n">
        <v>6</v>
      </c>
      <c r="G1117" s="4" t="n">
        <v>0</v>
      </c>
      <c r="J1117" s="11" t="b">
        <f aca="false">TRUE()</f>
        <v>1</v>
      </c>
      <c r="K1117" s="4" t="s">
        <v>3758</v>
      </c>
      <c r="L1117" s="4" t="n">
        <v>4</v>
      </c>
      <c r="M1117" s="4" t="n">
        <v>4</v>
      </c>
      <c r="N1117" s="4" t="n">
        <v>4</v>
      </c>
      <c r="O1117" s="4" t="n">
        <v>4</v>
      </c>
      <c r="P1117" s="0" t="str">
        <f aca="false">IF(E1117=0,"not_reached",IF(AND(F1117&gt;0,G1117=0),"allowed","blocked"))</f>
        <v>allowed</v>
      </c>
      <c r="Q1117" s="0" t="str">
        <f aca="false">IF(C1117="success","published",IF(E1117&gt;0,"blocked_at_gate","failed_before_gate"))</f>
        <v>published</v>
      </c>
      <c r="R1117" s="0" t="str">
        <f aca="false">IF(C1117="success","",IF(E1117&gt;0,IF(I1117="freshness_within_target","freshness",IF(I1117="relationships_intact","relationships",IF(I1117="reconciliation_residual_zero","residual",I1117))),IF(H1117="quality_gate","gate_infra",H1117)))</f>
        <v/>
      </c>
    </row>
    <row r="1118" customFormat="false" ht="15" hidden="false" customHeight="false" outlineLevel="0" collapsed="false">
      <c r="A1118" s="4" t="s">
        <v>3759</v>
      </c>
      <c r="B1118" s="10" t="n">
        <v>46290.46875</v>
      </c>
      <c r="C1118" s="4" t="s">
        <v>1544</v>
      </c>
      <c r="D1118" s="4" t="n">
        <v>826</v>
      </c>
      <c r="E1118" s="4" t="n">
        <v>7</v>
      </c>
      <c r="F1118" s="4" t="n">
        <v>6</v>
      </c>
      <c r="G1118" s="4" t="n">
        <v>0</v>
      </c>
      <c r="J1118" s="11" t="b">
        <f aca="false">TRUE()</f>
        <v>1</v>
      </c>
      <c r="K1118" s="4" t="s">
        <v>3760</v>
      </c>
      <c r="L1118" s="4" t="n">
        <v>4</v>
      </c>
      <c r="M1118" s="4" t="n">
        <v>4</v>
      </c>
      <c r="N1118" s="4" t="n">
        <v>4</v>
      </c>
      <c r="O1118" s="4" t="n">
        <v>4</v>
      </c>
      <c r="P1118" s="0" t="str">
        <f aca="false">IF(E1118=0,"not_reached",IF(AND(F1118&gt;0,G1118=0),"allowed","blocked"))</f>
        <v>allowed</v>
      </c>
      <c r="Q1118" s="0" t="str">
        <f aca="false">IF(C1118="success","published",IF(E1118&gt;0,"blocked_at_gate","failed_before_gate"))</f>
        <v>published</v>
      </c>
      <c r="R1118" s="0" t="str">
        <f aca="false">IF(C1118="success","",IF(E1118&gt;0,IF(I1118="freshness_within_target","freshness",IF(I1118="relationships_intact","relationships",IF(I1118="reconciliation_residual_zero","residual",I1118))),IF(H1118="quality_gate","gate_infra",H1118)))</f>
        <v/>
      </c>
    </row>
    <row r="1119" customFormat="false" ht="15" hidden="false" customHeight="false" outlineLevel="0" collapsed="false">
      <c r="A1119" s="4" t="s">
        <v>3761</v>
      </c>
      <c r="B1119" s="10" t="n">
        <v>46290.5104166667</v>
      </c>
      <c r="C1119" s="4" t="s">
        <v>1544</v>
      </c>
      <c r="D1119" s="4" t="n">
        <v>814</v>
      </c>
      <c r="E1119" s="4" t="n">
        <v>7</v>
      </c>
      <c r="F1119" s="4" t="n">
        <v>6</v>
      </c>
      <c r="G1119" s="4" t="n">
        <v>0</v>
      </c>
      <c r="J1119" s="11" t="b">
        <f aca="false">TRUE()</f>
        <v>1</v>
      </c>
      <c r="K1119" s="4" t="s">
        <v>3762</v>
      </c>
      <c r="L1119" s="4" t="n">
        <v>4</v>
      </c>
      <c r="M1119" s="4" t="n">
        <v>4</v>
      </c>
      <c r="N1119" s="4" t="n">
        <v>4</v>
      </c>
      <c r="O1119" s="4" t="n">
        <v>4</v>
      </c>
      <c r="P1119" s="0" t="str">
        <f aca="false">IF(E1119=0,"not_reached",IF(AND(F1119&gt;0,G1119=0),"allowed","blocked"))</f>
        <v>allowed</v>
      </c>
      <c r="Q1119" s="0" t="str">
        <f aca="false">IF(C1119="success","published",IF(E1119&gt;0,"blocked_at_gate","failed_before_gate"))</f>
        <v>published</v>
      </c>
      <c r="R1119" s="0" t="str">
        <f aca="false">IF(C1119="success","",IF(E1119&gt;0,IF(I1119="freshness_within_target","freshness",IF(I1119="relationships_intact","relationships",IF(I1119="reconciliation_residual_zero","residual",I1119))),IF(H1119="quality_gate","gate_infra",H1119)))</f>
        <v/>
      </c>
    </row>
    <row r="1120" customFormat="false" ht="15" hidden="false" customHeight="false" outlineLevel="0" collapsed="false">
      <c r="A1120" s="4" t="s">
        <v>3763</v>
      </c>
      <c r="B1120" s="10" t="n">
        <v>46290.5520833333</v>
      </c>
      <c r="C1120" s="4" t="s">
        <v>1544</v>
      </c>
      <c r="D1120" s="4" t="n">
        <v>782</v>
      </c>
      <c r="E1120" s="4" t="n">
        <v>7</v>
      </c>
      <c r="F1120" s="4" t="n">
        <v>6</v>
      </c>
      <c r="G1120" s="4" t="n">
        <v>0</v>
      </c>
      <c r="J1120" s="11" t="b">
        <f aca="false">TRUE()</f>
        <v>1</v>
      </c>
      <c r="K1120" s="4" t="s">
        <v>3764</v>
      </c>
      <c r="L1120" s="4" t="n">
        <v>4</v>
      </c>
      <c r="M1120" s="4" t="n">
        <v>4</v>
      </c>
      <c r="N1120" s="4" t="n">
        <v>4</v>
      </c>
      <c r="O1120" s="4" t="n">
        <v>4</v>
      </c>
      <c r="P1120" s="0" t="str">
        <f aca="false">IF(E1120=0,"not_reached",IF(AND(F1120&gt;0,G1120=0),"allowed","blocked"))</f>
        <v>allowed</v>
      </c>
      <c r="Q1120" s="0" t="str">
        <f aca="false">IF(C1120="success","published",IF(E1120&gt;0,"blocked_at_gate","failed_before_gate"))</f>
        <v>published</v>
      </c>
      <c r="R1120" s="0" t="str">
        <f aca="false">IF(C1120="success","",IF(E1120&gt;0,IF(I1120="freshness_within_target","freshness",IF(I1120="relationships_intact","relationships",IF(I1120="reconciliation_residual_zero","residual",I1120))),IF(H1120="quality_gate","gate_infra",H1120)))</f>
        <v/>
      </c>
    </row>
    <row r="1121" customFormat="false" ht="15" hidden="false" customHeight="false" outlineLevel="0" collapsed="false">
      <c r="A1121" s="4" t="s">
        <v>3765</v>
      </c>
      <c r="B1121" s="10" t="n">
        <v>46290.59375</v>
      </c>
      <c r="C1121" s="4" t="s">
        <v>1544</v>
      </c>
      <c r="D1121" s="4" t="n">
        <v>843</v>
      </c>
      <c r="E1121" s="4" t="n">
        <v>7</v>
      </c>
      <c r="F1121" s="4" t="n">
        <v>6</v>
      </c>
      <c r="G1121" s="4" t="n">
        <v>0</v>
      </c>
      <c r="J1121" s="11" t="b">
        <f aca="false">TRUE()</f>
        <v>1</v>
      </c>
      <c r="K1121" s="4" t="s">
        <v>3766</v>
      </c>
      <c r="L1121" s="4" t="n">
        <v>4</v>
      </c>
      <c r="M1121" s="4" t="n">
        <v>4</v>
      </c>
      <c r="N1121" s="4" t="n">
        <v>4</v>
      </c>
      <c r="O1121" s="4" t="n">
        <v>4</v>
      </c>
      <c r="P1121" s="0" t="str">
        <f aca="false">IF(E1121=0,"not_reached",IF(AND(F1121&gt;0,G1121=0),"allowed","blocked"))</f>
        <v>allowed</v>
      </c>
      <c r="Q1121" s="0" t="str">
        <f aca="false">IF(C1121="success","published",IF(E1121&gt;0,"blocked_at_gate","failed_before_gate"))</f>
        <v>published</v>
      </c>
      <c r="R1121" s="0" t="str">
        <f aca="false">IF(C1121="success","",IF(E1121&gt;0,IF(I1121="freshness_within_target","freshness",IF(I1121="relationships_intact","relationships",IF(I1121="reconciliation_residual_zero","residual",I1121))),IF(H1121="quality_gate","gate_infra",H1121)))</f>
        <v/>
      </c>
    </row>
    <row r="1122" customFormat="false" ht="15" hidden="false" customHeight="false" outlineLevel="0" collapsed="false">
      <c r="A1122" s="4" t="s">
        <v>3767</v>
      </c>
      <c r="B1122" s="10" t="n">
        <v>46290.6354166667</v>
      </c>
      <c r="C1122" s="4" t="s">
        <v>1544</v>
      </c>
      <c r="D1122" s="4" t="n">
        <v>708</v>
      </c>
      <c r="E1122" s="4" t="n">
        <v>7</v>
      </c>
      <c r="F1122" s="4" t="n">
        <v>6</v>
      </c>
      <c r="G1122" s="4" t="n">
        <v>0</v>
      </c>
      <c r="J1122" s="11" t="b">
        <f aca="false">TRUE()</f>
        <v>1</v>
      </c>
      <c r="K1122" s="4" t="s">
        <v>3768</v>
      </c>
      <c r="L1122" s="4" t="n">
        <v>4</v>
      </c>
      <c r="M1122" s="4" t="n">
        <v>4</v>
      </c>
      <c r="N1122" s="4" t="n">
        <v>4</v>
      </c>
      <c r="O1122" s="4" t="n">
        <v>4</v>
      </c>
      <c r="P1122" s="0" t="str">
        <f aca="false">IF(E1122=0,"not_reached",IF(AND(F1122&gt;0,G1122=0),"allowed","blocked"))</f>
        <v>allowed</v>
      </c>
      <c r="Q1122" s="0" t="str">
        <f aca="false">IF(C1122="success","published",IF(E1122&gt;0,"blocked_at_gate","failed_before_gate"))</f>
        <v>published</v>
      </c>
      <c r="R1122" s="0" t="str">
        <f aca="false">IF(C1122="success","",IF(E1122&gt;0,IF(I1122="freshness_within_target","freshness",IF(I1122="relationships_intact","relationships",IF(I1122="reconciliation_residual_zero","residual",I1122))),IF(H1122="quality_gate","gate_infra",H1122)))</f>
        <v/>
      </c>
    </row>
    <row r="1123" customFormat="false" ht="15" hidden="false" customHeight="false" outlineLevel="0" collapsed="false">
      <c r="A1123" s="4" t="s">
        <v>3769</v>
      </c>
      <c r="B1123" s="10" t="n">
        <v>46290.6770833333</v>
      </c>
      <c r="C1123" s="4" t="s">
        <v>1544</v>
      </c>
      <c r="D1123" s="4" t="n">
        <v>841</v>
      </c>
      <c r="E1123" s="4" t="n">
        <v>7</v>
      </c>
      <c r="F1123" s="4" t="n">
        <v>6</v>
      </c>
      <c r="G1123" s="4" t="n">
        <v>0</v>
      </c>
      <c r="J1123" s="11" t="b">
        <f aca="false">TRUE()</f>
        <v>1</v>
      </c>
      <c r="K1123" s="4" t="s">
        <v>3770</v>
      </c>
      <c r="L1123" s="4" t="n">
        <v>4</v>
      </c>
      <c r="M1123" s="4" t="n">
        <v>4</v>
      </c>
      <c r="N1123" s="4" t="n">
        <v>4</v>
      </c>
      <c r="O1123" s="4" t="n">
        <v>4</v>
      </c>
      <c r="P1123" s="0" t="str">
        <f aca="false">IF(E1123=0,"not_reached",IF(AND(F1123&gt;0,G1123=0),"allowed","blocked"))</f>
        <v>allowed</v>
      </c>
      <c r="Q1123" s="0" t="str">
        <f aca="false">IF(C1123="success","published",IF(E1123&gt;0,"blocked_at_gate","failed_before_gate"))</f>
        <v>published</v>
      </c>
      <c r="R1123" s="0" t="str">
        <f aca="false">IF(C1123="success","",IF(E1123&gt;0,IF(I1123="freshness_within_target","freshness",IF(I1123="relationships_intact","relationships",IF(I1123="reconciliation_residual_zero","residual",I1123))),IF(H1123="quality_gate","gate_infra",H1123)))</f>
        <v/>
      </c>
    </row>
    <row r="1124" customFormat="false" ht="15" hidden="false" customHeight="false" outlineLevel="0" collapsed="false">
      <c r="A1124" s="4" t="s">
        <v>3771</v>
      </c>
      <c r="B1124" s="10" t="n">
        <v>46290.71875</v>
      </c>
      <c r="C1124" s="4" t="s">
        <v>1544</v>
      </c>
      <c r="D1124" s="4" t="n">
        <v>954</v>
      </c>
      <c r="E1124" s="4" t="n">
        <v>7</v>
      </c>
      <c r="F1124" s="4" t="n">
        <v>6</v>
      </c>
      <c r="G1124" s="4" t="n">
        <v>0</v>
      </c>
      <c r="J1124" s="11" t="b">
        <f aca="false">TRUE()</f>
        <v>1</v>
      </c>
      <c r="K1124" s="4" t="s">
        <v>3772</v>
      </c>
      <c r="L1124" s="4" t="n">
        <v>4</v>
      </c>
      <c r="M1124" s="4" t="n">
        <v>4</v>
      </c>
      <c r="N1124" s="4" t="n">
        <v>4</v>
      </c>
      <c r="O1124" s="4" t="n">
        <v>4</v>
      </c>
      <c r="P1124" s="0" t="str">
        <f aca="false">IF(E1124=0,"not_reached",IF(AND(F1124&gt;0,G1124=0),"allowed","blocked"))</f>
        <v>allowed</v>
      </c>
      <c r="Q1124" s="0" t="str">
        <f aca="false">IF(C1124="success","published",IF(E1124&gt;0,"blocked_at_gate","failed_before_gate"))</f>
        <v>published</v>
      </c>
      <c r="R1124" s="0" t="str">
        <f aca="false">IF(C1124="success","",IF(E1124&gt;0,IF(I1124="freshness_within_target","freshness",IF(I1124="relationships_intact","relationships",IF(I1124="reconciliation_residual_zero","residual",I1124))),IF(H1124="quality_gate","gate_infra",H1124)))</f>
        <v/>
      </c>
    </row>
    <row r="1125" customFormat="false" ht="15" hidden="false" customHeight="false" outlineLevel="0" collapsed="false">
      <c r="A1125" s="4" t="s">
        <v>3773</v>
      </c>
      <c r="B1125" s="10" t="n">
        <v>46290.7604166667</v>
      </c>
      <c r="C1125" s="4" t="s">
        <v>1544</v>
      </c>
      <c r="D1125" s="4" t="n">
        <v>730</v>
      </c>
      <c r="E1125" s="4" t="n">
        <v>7</v>
      </c>
      <c r="F1125" s="4" t="n">
        <v>6</v>
      </c>
      <c r="G1125" s="4" t="n">
        <v>0</v>
      </c>
      <c r="J1125" s="11" t="b">
        <f aca="false">TRUE()</f>
        <v>1</v>
      </c>
      <c r="K1125" s="4" t="s">
        <v>3774</v>
      </c>
      <c r="L1125" s="4" t="n">
        <v>4</v>
      </c>
      <c r="M1125" s="4" t="n">
        <v>4</v>
      </c>
      <c r="N1125" s="4" t="n">
        <v>4</v>
      </c>
      <c r="O1125" s="4" t="n">
        <v>4</v>
      </c>
      <c r="P1125" s="0" t="str">
        <f aca="false">IF(E1125=0,"not_reached",IF(AND(F1125&gt;0,G1125=0),"allowed","blocked"))</f>
        <v>allowed</v>
      </c>
      <c r="Q1125" s="0" t="str">
        <f aca="false">IF(C1125="success","published",IF(E1125&gt;0,"blocked_at_gate","failed_before_gate"))</f>
        <v>published</v>
      </c>
      <c r="R1125" s="0" t="str">
        <f aca="false">IF(C1125="success","",IF(E1125&gt;0,IF(I1125="freshness_within_target","freshness",IF(I1125="relationships_intact","relationships",IF(I1125="reconciliation_residual_zero","residual",I1125))),IF(H1125="quality_gate","gate_infra",H1125)))</f>
        <v/>
      </c>
    </row>
    <row r="1126" customFormat="false" ht="15" hidden="false" customHeight="false" outlineLevel="0" collapsed="false">
      <c r="A1126" s="4" t="s">
        <v>3775</v>
      </c>
      <c r="B1126" s="10" t="n">
        <v>46290.8020833333</v>
      </c>
      <c r="C1126" s="4" t="s">
        <v>1544</v>
      </c>
      <c r="D1126" s="4" t="n">
        <v>839</v>
      </c>
      <c r="E1126" s="4" t="n">
        <v>7</v>
      </c>
      <c r="F1126" s="4" t="n">
        <v>6</v>
      </c>
      <c r="G1126" s="4" t="n">
        <v>0</v>
      </c>
      <c r="J1126" s="11" t="b">
        <f aca="false">TRUE()</f>
        <v>1</v>
      </c>
      <c r="K1126" s="4" t="s">
        <v>3776</v>
      </c>
      <c r="L1126" s="4" t="n">
        <v>4</v>
      </c>
      <c r="M1126" s="4" t="n">
        <v>4</v>
      </c>
      <c r="N1126" s="4" t="n">
        <v>4</v>
      </c>
      <c r="O1126" s="4" t="n">
        <v>4</v>
      </c>
      <c r="P1126" s="0" t="str">
        <f aca="false">IF(E1126=0,"not_reached",IF(AND(F1126&gt;0,G1126=0),"allowed","blocked"))</f>
        <v>allowed</v>
      </c>
      <c r="Q1126" s="0" t="str">
        <f aca="false">IF(C1126="success","published",IF(E1126&gt;0,"blocked_at_gate","failed_before_gate"))</f>
        <v>published</v>
      </c>
      <c r="R1126" s="0" t="str">
        <f aca="false">IF(C1126="success","",IF(E1126&gt;0,IF(I1126="freshness_within_target","freshness",IF(I1126="relationships_intact","relationships",IF(I1126="reconciliation_residual_zero","residual",I1126))),IF(H1126="quality_gate","gate_infra",H1126)))</f>
        <v/>
      </c>
    </row>
    <row r="1127" customFormat="false" ht="15" hidden="false" customHeight="false" outlineLevel="0" collapsed="false">
      <c r="A1127" s="4" t="s">
        <v>3777</v>
      </c>
      <c r="B1127" s="10" t="n">
        <v>46290.84375</v>
      </c>
      <c r="C1127" s="4" t="s">
        <v>1544</v>
      </c>
      <c r="D1127" s="4" t="n">
        <v>805</v>
      </c>
      <c r="E1127" s="4" t="n">
        <v>7</v>
      </c>
      <c r="F1127" s="4" t="n">
        <v>6</v>
      </c>
      <c r="G1127" s="4" t="n">
        <v>0</v>
      </c>
      <c r="J1127" s="11" t="b">
        <f aca="false">TRUE()</f>
        <v>1</v>
      </c>
      <c r="K1127" s="4" t="s">
        <v>3778</v>
      </c>
      <c r="L1127" s="4" t="n">
        <v>4</v>
      </c>
      <c r="M1127" s="4" t="n">
        <v>4</v>
      </c>
      <c r="N1127" s="4" t="n">
        <v>4</v>
      </c>
      <c r="O1127" s="4" t="n">
        <v>4</v>
      </c>
      <c r="P1127" s="0" t="str">
        <f aca="false">IF(E1127=0,"not_reached",IF(AND(F1127&gt;0,G1127=0),"allowed","blocked"))</f>
        <v>allowed</v>
      </c>
      <c r="Q1127" s="0" t="str">
        <f aca="false">IF(C1127="success","published",IF(E1127&gt;0,"blocked_at_gate","failed_before_gate"))</f>
        <v>published</v>
      </c>
      <c r="R1127" s="0" t="str">
        <f aca="false">IF(C1127="success","",IF(E1127&gt;0,IF(I1127="freshness_within_target","freshness",IF(I1127="relationships_intact","relationships",IF(I1127="reconciliation_residual_zero","residual",I1127))),IF(H1127="quality_gate","gate_infra",H1127)))</f>
        <v/>
      </c>
    </row>
    <row r="1128" customFormat="false" ht="15" hidden="false" customHeight="false" outlineLevel="0" collapsed="false">
      <c r="A1128" s="4" t="s">
        <v>3779</v>
      </c>
      <c r="B1128" s="10" t="n">
        <v>46290.8854166667</v>
      </c>
      <c r="C1128" s="4" t="s">
        <v>1544</v>
      </c>
      <c r="D1128" s="4" t="n">
        <v>913</v>
      </c>
      <c r="E1128" s="4" t="n">
        <v>7</v>
      </c>
      <c r="F1128" s="4" t="n">
        <v>6</v>
      </c>
      <c r="G1128" s="4" t="n">
        <v>0</v>
      </c>
      <c r="J1128" s="11" t="b">
        <f aca="false">TRUE()</f>
        <v>1</v>
      </c>
      <c r="K1128" s="4" t="s">
        <v>3780</v>
      </c>
      <c r="L1128" s="4" t="n">
        <v>4</v>
      </c>
      <c r="M1128" s="4" t="n">
        <v>4</v>
      </c>
      <c r="N1128" s="4" t="n">
        <v>4</v>
      </c>
      <c r="O1128" s="4" t="n">
        <v>4</v>
      </c>
      <c r="P1128" s="0" t="str">
        <f aca="false">IF(E1128=0,"not_reached",IF(AND(F1128&gt;0,G1128=0),"allowed","blocked"))</f>
        <v>allowed</v>
      </c>
      <c r="Q1128" s="0" t="str">
        <f aca="false">IF(C1128="success","published",IF(E1128&gt;0,"blocked_at_gate","failed_before_gate"))</f>
        <v>published</v>
      </c>
      <c r="R1128" s="0" t="str">
        <f aca="false">IF(C1128="success","",IF(E1128&gt;0,IF(I1128="freshness_within_target","freshness",IF(I1128="relationships_intact","relationships",IF(I1128="reconciliation_residual_zero","residual",I1128))),IF(H1128="quality_gate","gate_infra",H1128)))</f>
        <v/>
      </c>
    </row>
    <row r="1129" customFormat="false" ht="15" hidden="false" customHeight="false" outlineLevel="0" collapsed="false">
      <c r="A1129" s="4" t="s">
        <v>3781</v>
      </c>
      <c r="B1129" s="10" t="n">
        <v>46290.9270833333</v>
      </c>
      <c r="C1129" s="4" t="s">
        <v>1544</v>
      </c>
      <c r="D1129" s="4" t="n">
        <v>714</v>
      </c>
      <c r="E1129" s="4" t="n">
        <v>7</v>
      </c>
      <c r="F1129" s="4" t="n">
        <v>6</v>
      </c>
      <c r="G1129" s="4" t="n">
        <v>0</v>
      </c>
      <c r="J1129" s="11" t="b">
        <f aca="false">TRUE()</f>
        <v>1</v>
      </c>
      <c r="K1129" s="4" t="s">
        <v>3782</v>
      </c>
      <c r="L1129" s="4" t="n">
        <v>4</v>
      </c>
      <c r="M1129" s="4" t="n">
        <v>4</v>
      </c>
      <c r="N1129" s="4" t="n">
        <v>4</v>
      </c>
      <c r="O1129" s="4" t="n">
        <v>4</v>
      </c>
      <c r="P1129" s="0" t="str">
        <f aca="false">IF(E1129=0,"not_reached",IF(AND(F1129&gt;0,G1129=0),"allowed","blocked"))</f>
        <v>allowed</v>
      </c>
      <c r="Q1129" s="0" t="str">
        <f aca="false">IF(C1129="success","published",IF(E1129&gt;0,"blocked_at_gate","failed_before_gate"))</f>
        <v>published</v>
      </c>
      <c r="R1129" s="0" t="str">
        <f aca="false">IF(C1129="success","",IF(E1129&gt;0,IF(I1129="freshness_within_target","freshness",IF(I1129="relationships_intact","relationships",IF(I1129="reconciliation_residual_zero","residual",I1129))),IF(H1129="quality_gate","gate_infra",H1129)))</f>
        <v/>
      </c>
    </row>
    <row r="1130" customFormat="false" ht="15" hidden="false" customHeight="false" outlineLevel="0" collapsed="false">
      <c r="A1130" s="4" t="s">
        <v>3783</v>
      </c>
      <c r="B1130" s="10" t="n">
        <v>46290.96875</v>
      </c>
      <c r="C1130" s="4" t="s">
        <v>1544</v>
      </c>
      <c r="D1130" s="4" t="n">
        <v>938</v>
      </c>
      <c r="E1130" s="4" t="n">
        <v>7</v>
      </c>
      <c r="F1130" s="4" t="n">
        <v>6</v>
      </c>
      <c r="G1130" s="4" t="n">
        <v>0</v>
      </c>
      <c r="J1130" s="11" t="b">
        <f aca="false">TRUE()</f>
        <v>1</v>
      </c>
      <c r="K1130" s="4" t="s">
        <v>3784</v>
      </c>
      <c r="L1130" s="4" t="n">
        <v>4</v>
      </c>
      <c r="M1130" s="4" t="n">
        <v>4</v>
      </c>
      <c r="N1130" s="4" t="n">
        <v>4</v>
      </c>
      <c r="O1130" s="4" t="n">
        <v>4</v>
      </c>
      <c r="P1130" s="0" t="str">
        <f aca="false">IF(E1130=0,"not_reached",IF(AND(F1130&gt;0,G1130=0),"allowed","blocked"))</f>
        <v>allowed</v>
      </c>
      <c r="Q1130" s="0" t="str">
        <f aca="false">IF(C1130="success","published",IF(E1130&gt;0,"blocked_at_gate","failed_before_gate"))</f>
        <v>published</v>
      </c>
      <c r="R1130" s="0" t="str">
        <f aca="false">IF(C1130="success","",IF(E1130&gt;0,IF(I1130="freshness_within_target","freshness",IF(I1130="relationships_intact","relationships",IF(I1130="reconciliation_residual_zero","residual",I1130))),IF(H1130="quality_gate","gate_infra",H1130)))</f>
        <v/>
      </c>
    </row>
    <row r="1131" customFormat="false" ht="15" hidden="false" customHeight="false" outlineLevel="0" collapsed="false">
      <c r="A1131" s="4" t="s">
        <v>3785</v>
      </c>
      <c r="B1131" s="10" t="n">
        <v>46291.0104166667</v>
      </c>
      <c r="C1131" s="4" t="s">
        <v>1544</v>
      </c>
      <c r="D1131" s="4" t="n">
        <v>915</v>
      </c>
      <c r="E1131" s="4" t="n">
        <v>7</v>
      </c>
      <c r="F1131" s="4" t="n">
        <v>6</v>
      </c>
      <c r="G1131" s="4" t="n">
        <v>0</v>
      </c>
      <c r="J1131" s="11" t="b">
        <f aca="false">TRUE()</f>
        <v>1</v>
      </c>
      <c r="K1131" s="4" t="s">
        <v>3786</v>
      </c>
      <c r="L1131" s="4" t="n">
        <v>4</v>
      </c>
      <c r="M1131" s="4" t="n">
        <v>4</v>
      </c>
      <c r="N1131" s="4" t="n">
        <v>4</v>
      </c>
      <c r="O1131" s="4" t="n">
        <v>4</v>
      </c>
      <c r="P1131" s="0" t="str">
        <f aca="false">IF(E1131=0,"not_reached",IF(AND(F1131&gt;0,G1131=0),"allowed","blocked"))</f>
        <v>allowed</v>
      </c>
      <c r="Q1131" s="0" t="str">
        <f aca="false">IF(C1131="success","published",IF(E1131&gt;0,"blocked_at_gate","failed_before_gate"))</f>
        <v>published</v>
      </c>
      <c r="R1131" s="0" t="str">
        <f aca="false">IF(C1131="success","",IF(E1131&gt;0,IF(I1131="freshness_within_target","freshness",IF(I1131="relationships_intact","relationships",IF(I1131="reconciliation_residual_zero","residual",I1131))),IF(H1131="quality_gate","gate_infra",H1131)))</f>
        <v/>
      </c>
    </row>
    <row r="1132" customFormat="false" ht="15" hidden="false" customHeight="false" outlineLevel="0" collapsed="false">
      <c r="A1132" s="4" t="s">
        <v>3787</v>
      </c>
      <c r="B1132" s="10" t="n">
        <v>46291.0520833333</v>
      </c>
      <c r="C1132" s="4" t="s">
        <v>1544</v>
      </c>
      <c r="D1132" s="4" t="n">
        <v>755</v>
      </c>
      <c r="E1132" s="4" t="n">
        <v>7</v>
      </c>
      <c r="F1132" s="4" t="n">
        <v>6</v>
      </c>
      <c r="G1132" s="4" t="n">
        <v>0</v>
      </c>
      <c r="J1132" s="11" t="b">
        <f aca="false">TRUE()</f>
        <v>1</v>
      </c>
      <c r="K1132" s="4" t="s">
        <v>3788</v>
      </c>
      <c r="L1132" s="4" t="n">
        <v>4</v>
      </c>
      <c r="M1132" s="4" t="n">
        <v>4</v>
      </c>
      <c r="N1132" s="4" t="n">
        <v>4</v>
      </c>
      <c r="O1132" s="4" t="n">
        <v>4</v>
      </c>
      <c r="P1132" s="0" t="str">
        <f aca="false">IF(E1132=0,"not_reached",IF(AND(F1132&gt;0,G1132=0),"allowed","blocked"))</f>
        <v>allowed</v>
      </c>
      <c r="Q1132" s="0" t="str">
        <f aca="false">IF(C1132="success","published",IF(E1132&gt;0,"blocked_at_gate","failed_before_gate"))</f>
        <v>published</v>
      </c>
      <c r="R1132" s="0" t="str">
        <f aca="false">IF(C1132="success","",IF(E1132&gt;0,IF(I1132="freshness_within_target","freshness",IF(I1132="relationships_intact","relationships",IF(I1132="reconciliation_residual_zero","residual",I1132))),IF(H1132="quality_gate","gate_infra",H1132)))</f>
        <v/>
      </c>
    </row>
    <row r="1133" customFormat="false" ht="15" hidden="false" customHeight="false" outlineLevel="0" collapsed="false">
      <c r="A1133" s="4" t="s">
        <v>3789</v>
      </c>
      <c r="B1133" s="10" t="n">
        <v>46291.09375</v>
      </c>
      <c r="C1133" s="4" t="s">
        <v>1544</v>
      </c>
      <c r="D1133" s="4" t="n">
        <v>671</v>
      </c>
      <c r="E1133" s="4" t="n">
        <v>7</v>
      </c>
      <c r="F1133" s="4" t="n">
        <v>6</v>
      </c>
      <c r="G1133" s="4" t="n">
        <v>0</v>
      </c>
      <c r="J1133" s="11" t="b">
        <f aca="false">TRUE()</f>
        <v>1</v>
      </c>
      <c r="K1133" s="4" t="s">
        <v>3790</v>
      </c>
      <c r="L1133" s="4" t="n">
        <v>4</v>
      </c>
      <c r="M1133" s="4" t="n">
        <v>4</v>
      </c>
      <c r="N1133" s="4" t="n">
        <v>4</v>
      </c>
      <c r="O1133" s="4" t="n">
        <v>4</v>
      </c>
      <c r="P1133" s="0" t="str">
        <f aca="false">IF(E1133=0,"not_reached",IF(AND(F1133&gt;0,G1133=0),"allowed","blocked"))</f>
        <v>allowed</v>
      </c>
      <c r="Q1133" s="0" t="str">
        <f aca="false">IF(C1133="success","published",IF(E1133&gt;0,"blocked_at_gate","failed_before_gate"))</f>
        <v>published</v>
      </c>
      <c r="R1133" s="0" t="str">
        <f aca="false">IF(C1133="success","",IF(E1133&gt;0,IF(I1133="freshness_within_target","freshness",IF(I1133="relationships_intact","relationships",IF(I1133="reconciliation_residual_zero","residual",I1133))),IF(H1133="quality_gate","gate_infra",H1133)))</f>
        <v/>
      </c>
    </row>
    <row r="1134" customFormat="false" ht="15" hidden="false" customHeight="false" outlineLevel="0" collapsed="false">
      <c r="A1134" s="4" t="s">
        <v>3791</v>
      </c>
      <c r="B1134" s="10" t="n">
        <v>46291.1354166667</v>
      </c>
      <c r="C1134" s="4" t="s">
        <v>1544</v>
      </c>
      <c r="D1134" s="4" t="n">
        <v>760</v>
      </c>
      <c r="E1134" s="4" t="n">
        <v>7</v>
      </c>
      <c r="F1134" s="4" t="n">
        <v>6</v>
      </c>
      <c r="G1134" s="4" t="n">
        <v>0</v>
      </c>
      <c r="J1134" s="11" t="b">
        <f aca="false">TRUE()</f>
        <v>1</v>
      </c>
      <c r="K1134" s="4" t="s">
        <v>3792</v>
      </c>
      <c r="L1134" s="4" t="n">
        <v>4</v>
      </c>
      <c r="M1134" s="4" t="n">
        <v>4</v>
      </c>
      <c r="N1134" s="4" t="n">
        <v>4</v>
      </c>
      <c r="O1134" s="4" t="n">
        <v>4</v>
      </c>
      <c r="P1134" s="0" t="str">
        <f aca="false">IF(E1134=0,"not_reached",IF(AND(F1134&gt;0,G1134=0),"allowed","blocked"))</f>
        <v>allowed</v>
      </c>
      <c r="Q1134" s="0" t="str">
        <f aca="false">IF(C1134="success","published",IF(E1134&gt;0,"blocked_at_gate","failed_before_gate"))</f>
        <v>published</v>
      </c>
      <c r="R1134" s="0" t="str">
        <f aca="false">IF(C1134="success","",IF(E1134&gt;0,IF(I1134="freshness_within_target","freshness",IF(I1134="relationships_intact","relationships",IF(I1134="reconciliation_residual_zero","residual",I1134))),IF(H1134="quality_gate","gate_infra",H1134)))</f>
        <v/>
      </c>
    </row>
    <row r="1135" customFormat="false" ht="15" hidden="false" customHeight="false" outlineLevel="0" collapsed="false">
      <c r="A1135" s="4" t="s">
        <v>3793</v>
      </c>
      <c r="B1135" s="10" t="n">
        <v>46291.1770833333</v>
      </c>
      <c r="C1135" s="4" t="s">
        <v>1544</v>
      </c>
      <c r="D1135" s="4" t="n">
        <v>759</v>
      </c>
      <c r="E1135" s="4" t="n">
        <v>7</v>
      </c>
      <c r="F1135" s="4" t="n">
        <v>6</v>
      </c>
      <c r="G1135" s="4" t="n">
        <v>0</v>
      </c>
      <c r="J1135" s="11" t="b">
        <f aca="false">TRUE()</f>
        <v>1</v>
      </c>
      <c r="K1135" s="4" t="s">
        <v>3794</v>
      </c>
      <c r="L1135" s="4" t="n">
        <v>4</v>
      </c>
      <c r="M1135" s="4" t="n">
        <v>4</v>
      </c>
      <c r="N1135" s="4" t="n">
        <v>4</v>
      </c>
      <c r="O1135" s="4" t="n">
        <v>4</v>
      </c>
      <c r="P1135" s="0" t="str">
        <f aca="false">IF(E1135=0,"not_reached",IF(AND(F1135&gt;0,G1135=0),"allowed","blocked"))</f>
        <v>allowed</v>
      </c>
      <c r="Q1135" s="0" t="str">
        <f aca="false">IF(C1135="success","published",IF(E1135&gt;0,"blocked_at_gate","failed_before_gate"))</f>
        <v>published</v>
      </c>
      <c r="R1135" s="0" t="str">
        <f aca="false">IF(C1135="success","",IF(E1135&gt;0,IF(I1135="freshness_within_target","freshness",IF(I1135="relationships_intact","relationships",IF(I1135="reconciliation_residual_zero","residual",I1135))),IF(H1135="quality_gate","gate_infra",H1135)))</f>
        <v/>
      </c>
    </row>
    <row r="1136" customFormat="false" ht="15" hidden="false" customHeight="false" outlineLevel="0" collapsed="false">
      <c r="A1136" s="4" t="s">
        <v>3795</v>
      </c>
      <c r="B1136" s="10" t="n">
        <v>46291.21875</v>
      </c>
      <c r="C1136" s="4" t="s">
        <v>1544</v>
      </c>
      <c r="D1136" s="4" t="n">
        <v>794</v>
      </c>
      <c r="E1136" s="4" t="n">
        <v>7</v>
      </c>
      <c r="F1136" s="4" t="n">
        <v>6</v>
      </c>
      <c r="G1136" s="4" t="n">
        <v>0</v>
      </c>
      <c r="J1136" s="11" t="b">
        <f aca="false">TRUE()</f>
        <v>1</v>
      </c>
      <c r="K1136" s="4" t="s">
        <v>3796</v>
      </c>
      <c r="L1136" s="4" t="n">
        <v>4</v>
      </c>
      <c r="M1136" s="4" t="n">
        <v>4</v>
      </c>
      <c r="N1136" s="4" t="n">
        <v>4</v>
      </c>
      <c r="O1136" s="4" t="n">
        <v>4</v>
      </c>
      <c r="P1136" s="0" t="str">
        <f aca="false">IF(E1136=0,"not_reached",IF(AND(F1136&gt;0,G1136=0),"allowed","blocked"))</f>
        <v>allowed</v>
      </c>
      <c r="Q1136" s="0" t="str">
        <f aca="false">IF(C1136="success","published",IF(E1136&gt;0,"blocked_at_gate","failed_before_gate"))</f>
        <v>published</v>
      </c>
      <c r="R1136" s="0" t="str">
        <f aca="false">IF(C1136="success","",IF(E1136&gt;0,IF(I1136="freshness_within_target","freshness",IF(I1136="relationships_intact","relationships",IF(I1136="reconciliation_residual_zero","residual",I1136))),IF(H1136="quality_gate","gate_infra",H1136)))</f>
        <v/>
      </c>
    </row>
    <row r="1137" customFormat="false" ht="15" hidden="false" customHeight="false" outlineLevel="0" collapsed="false">
      <c r="A1137" s="4" t="s">
        <v>3797</v>
      </c>
      <c r="B1137" s="10" t="n">
        <v>46291.2604166667</v>
      </c>
      <c r="C1137" s="4" t="s">
        <v>1544</v>
      </c>
      <c r="D1137" s="4" t="n">
        <v>694</v>
      </c>
      <c r="E1137" s="4" t="n">
        <v>7</v>
      </c>
      <c r="F1137" s="4" t="n">
        <v>6</v>
      </c>
      <c r="G1137" s="4" t="n">
        <v>0</v>
      </c>
      <c r="J1137" s="11" t="b">
        <f aca="false">TRUE()</f>
        <v>1</v>
      </c>
      <c r="K1137" s="4" t="s">
        <v>3798</v>
      </c>
      <c r="L1137" s="4" t="n">
        <v>4</v>
      </c>
      <c r="M1137" s="4" t="n">
        <v>4</v>
      </c>
      <c r="N1137" s="4" t="n">
        <v>4</v>
      </c>
      <c r="O1137" s="4" t="n">
        <v>4</v>
      </c>
      <c r="P1137" s="0" t="str">
        <f aca="false">IF(E1137=0,"not_reached",IF(AND(F1137&gt;0,G1137=0),"allowed","blocked"))</f>
        <v>allowed</v>
      </c>
      <c r="Q1137" s="0" t="str">
        <f aca="false">IF(C1137="success","published",IF(E1137&gt;0,"blocked_at_gate","failed_before_gate"))</f>
        <v>published</v>
      </c>
      <c r="R1137" s="0" t="str">
        <f aca="false">IF(C1137="success","",IF(E1137&gt;0,IF(I1137="freshness_within_target","freshness",IF(I1137="relationships_intact","relationships",IF(I1137="reconciliation_residual_zero","residual",I1137))),IF(H1137="quality_gate","gate_infra",H1137)))</f>
        <v/>
      </c>
    </row>
    <row r="1138" customFormat="false" ht="15" hidden="false" customHeight="false" outlineLevel="0" collapsed="false">
      <c r="A1138" s="4" t="s">
        <v>3799</v>
      </c>
      <c r="B1138" s="10" t="n">
        <v>46291.3020833333</v>
      </c>
      <c r="C1138" s="4" t="s">
        <v>1544</v>
      </c>
      <c r="D1138" s="4" t="n">
        <v>847</v>
      </c>
      <c r="E1138" s="4" t="n">
        <v>7</v>
      </c>
      <c r="F1138" s="4" t="n">
        <v>6</v>
      </c>
      <c r="G1138" s="4" t="n">
        <v>0</v>
      </c>
      <c r="J1138" s="11" t="b">
        <f aca="false">TRUE()</f>
        <v>1</v>
      </c>
      <c r="K1138" s="4" t="s">
        <v>3800</v>
      </c>
      <c r="L1138" s="4" t="n">
        <v>4</v>
      </c>
      <c r="M1138" s="4" t="n">
        <v>4</v>
      </c>
      <c r="N1138" s="4" t="n">
        <v>4</v>
      </c>
      <c r="O1138" s="4" t="n">
        <v>4</v>
      </c>
      <c r="P1138" s="0" t="str">
        <f aca="false">IF(E1138=0,"not_reached",IF(AND(F1138&gt;0,G1138=0),"allowed","blocked"))</f>
        <v>allowed</v>
      </c>
      <c r="Q1138" s="0" t="str">
        <f aca="false">IF(C1138="success","published",IF(E1138&gt;0,"blocked_at_gate","failed_before_gate"))</f>
        <v>published</v>
      </c>
      <c r="R1138" s="0" t="str">
        <f aca="false">IF(C1138="success","",IF(E1138&gt;0,IF(I1138="freshness_within_target","freshness",IF(I1138="relationships_intact","relationships",IF(I1138="reconciliation_residual_zero","residual",I1138))),IF(H1138="quality_gate","gate_infra",H1138)))</f>
        <v/>
      </c>
    </row>
    <row r="1139" customFormat="false" ht="15" hidden="false" customHeight="false" outlineLevel="0" collapsed="false">
      <c r="A1139" s="4" t="s">
        <v>3801</v>
      </c>
      <c r="B1139" s="10" t="n">
        <v>46291.34375</v>
      </c>
      <c r="C1139" s="4" t="s">
        <v>1544</v>
      </c>
      <c r="D1139" s="4" t="n">
        <v>854</v>
      </c>
      <c r="E1139" s="4" t="n">
        <v>7</v>
      </c>
      <c r="F1139" s="4" t="n">
        <v>6</v>
      </c>
      <c r="G1139" s="4" t="n">
        <v>0</v>
      </c>
      <c r="J1139" s="11" t="b">
        <f aca="false">TRUE()</f>
        <v>1</v>
      </c>
      <c r="K1139" s="4" t="s">
        <v>3802</v>
      </c>
      <c r="L1139" s="4" t="n">
        <v>4</v>
      </c>
      <c r="M1139" s="4" t="n">
        <v>4</v>
      </c>
      <c r="N1139" s="4" t="n">
        <v>4</v>
      </c>
      <c r="O1139" s="4" t="n">
        <v>4</v>
      </c>
      <c r="P1139" s="0" t="str">
        <f aca="false">IF(E1139=0,"not_reached",IF(AND(F1139&gt;0,G1139=0),"allowed","blocked"))</f>
        <v>allowed</v>
      </c>
      <c r="Q1139" s="0" t="str">
        <f aca="false">IF(C1139="success","published",IF(E1139&gt;0,"blocked_at_gate","failed_before_gate"))</f>
        <v>published</v>
      </c>
      <c r="R1139" s="0" t="str">
        <f aca="false">IF(C1139="success","",IF(E1139&gt;0,IF(I1139="freshness_within_target","freshness",IF(I1139="relationships_intact","relationships",IF(I1139="reconciliation_residual_zero","residual",I1139))),IF(H1139="quality_gate","gate_infra",H1139)))</f>
        <v/>
      </c>
    </row>
    <row r="1140" customFormat="false" ht="15" hidden="false" customHeight="false" outlineLevel="0" collapsed="false">
      <c r="A1140" s="4" t="s">
        <v>3803</v>
      </c>
      <c r="B1140" s="10" t="n">
        <v>46291.3854166667</v>
      </c>
      <c r="C1140" s="4" t="s">
        <v>1544</v>
      </c>
      <c r="D1140" s="4" t="n">
        <v>695</v>
      </c>
      <c r="E1140" s="4" t="n">
        <v>7</v>
      </c>
      <c r="F1140" s="4" t="n">
        <v>6</v>
      </c>
      <c r="G1140" s="4" t="n">
        <v>0</v>
      </c>
      <c r="J1140" s="11" t="b">
        <f aca="false">TRUE()</f>
        <v>1</v>
      </c>
      <c r="K1140" s="4" t="s">
        <v>3804</v>
      </c>
      <c r="L1140" s="4" t="n">
        <v>4</v>
      </c>
      <c r="M1140" s="4" t="n">
        <v>4</v>
      </c>
      <c r="N1140" s="4" t="n">
        <v>4</v>
      </c>
      <c r="O1140" s="4" t="n">
        <v>4</v>
      </c>
      <c r="P1140" s="0" t="str">
        <f aca="false">IF(E1140=0,"not_reached",IF(AND(F1140&gt;0,G1140=0),"allowed","blocked"))</f>
        <v>allowed</v>
      </c>
      <c r="Q1140" s="0" t="str">
        <f aca="false">IF(C1140="success","published",IF(E1140&gt;0,"blocked_at_gate","failed_before_gate"))</f>
        <v>published</v>
      </c>
      <c r="R1140" s="0" t="str">
        <f aca="false">IF(C1140="success","",IF(E1140&gt;0,IF(I1140="freshness_within_target","freshness",IF(I1140="relationships_intact","relationships",IF(I1140="reconciliation_residual_zero","residual",I1140))),IF(H1140="quality_gate","gate_infra",H1140)))</f>
        <v/>
      </c>
    </row>
    <row r="1141" customFormat="false" ht="15" hidden="false" customHeight="false" outlineLevel="0" collapsed="false">
      <c r="A1141" s="4" t="s">
        <v>3805</v>
      </c>
      <c r="B1141" s="10" t="n">
        <v>46291.4270833333</v>
      </c>
      <c r="C1141" s="4" t="s">
        <v>1544</v>
      </c>
      <c r="D1141" s="4" t="n">
        <v>893</v>
      </c>
      <c r="E1141" s="4" t="n">
        <v>7</v>
      </c>
      <c r="F1141" s="4" t="n">
        <v>6</v>
      </c>
      <c r="G1141" s="4" t="n">
        <v>0</v>
      </c>
      <c r="J1141" s="11" t="b">
        <f aca="false">TRUE()</f>
        <v>1</v>
      </c>
      <c r="K1141" s="4" t="s">
        <v>3806</v>
      </c>
      <c r="L1141" s="4" t="n">
        <v>4</v>
      </c>
      <c r="M1141" s="4" t="n">
        <v>4</v>
      </c>
      <c r="N1141" s="4" t="n">
        <v>4</v>
      </c>
      <c r="O1141" s="4" t="n">
        <v>4</v>
      </c>
      <c r="P1141" s="0" t="str">
        <f aca="false">IF(E1141=0,"not_reached",IF(AND(F1141&gt;0,G1141=0),"allowed","blocked"))</f>
        <v>allowed</v>
      </c>
      <c r="Q1141" s="0" t="str">
        <f aca="false">IF(C1141="success","published",IF(E1141&gt;0,"blocked_at_gate","failed_before_gate"))</f>
        <v>published</v>
      </c>
      <c r="R1141" s="0" t="str">
        <f aca="false">IF(C1141="success","",IF(E1141&gt;0,IF(I1141="freshness_within_target","freshness",IF(I1141="relationships_intact","relationships",IF(I1141="reconciliation_residual_zero","residual",I1141))),IF(H1141="quality_gate","gate_infra",H1141)))</f>
        <v/>
      </c>
    </row>
    <row r="1142" customFormat="false" ht="15" hidden="false" customHeight="false" outlineLevel="0" collapsed="false">
      <c r="A1142" s="4" t="s">
        <v>3807</v>
      </c>
      <c r="B1142" s="10" t="n">
        <v>46291.46875</v>
      </c>
      <c r="C1142" s="4" t="s">
        <v>1901</v>
      </c>
      <c r="D1142" s="4" t="n">
        <v>1225</v>
      </c>
      <c r="E1142" s="4" t="n">
        <v>0</v>
      </c>
      <c r="F1142" s="4" t="n">
        <v>0</v>
      </c>
      <c r="G1142" s="4" t="n">
        <v>0</v>
      </c>
      <c r="H1142" s="4" t="s">
        <v>61</v>
      </c>
      <c r="J1142" s="11" t="b">
        <f aca="false">FALSE()</f>
        <v>0</v>
      </c>
      <c r="L1142" s="4" t="n">
        <v>2</v>
      </c>
      <c r="M1142" s="4" t="n">
        <v>1</v>
      </c>
      <c r="N1142" s="4" t="n">
        <v>4</v>
      </c>
      <c r="O1142" s="4" t="n">
        <v>1</v>
      </c>
      <c r="P1142" s="0" t="str">
        <f aca="false">IF(E1142=0,"not_reached",IF(AND(F1142&gt;0,G1142=0),"allowed","blocked"))</f>
        <v>not_reached</v>
      </c>
      <c r="Q1142" s="0" t="str">
        <f aca="false">IF(C1142="success","published",IF(E1142&gt;0,"blocked_at_gate","failed_before_gate"))</f>
        <v>failed_before_gate</v>
      </c>
      <c r="R1142" s="0" t="str">
        <f aca="false">IF(C1142="success","",IF(E1142&gt;0,IF(I1142="freshness_within_target","freshness",IF(I1142="relationships_intact","relationships",IF(I1142="reconciliation_residual_zero","residual",I1142))),IF(H1142="quality_gate","gate_infra",H1142)))</f>
        <v>transform</v>
      </c>
    </row>
    <row r="1143" customFormat="false" ht="15" hidden="false" customHeight="false" outlineLevel="0" collapsed="false">
      <c r="A1143" s="4" t="s">
        <v>3808</v>
      </c>
      <c r="B1143" s="10" t="n">
        <v>46291.5104166667</v>
      </c>
      <c r="C1143" s="4" t="s">
        <v>1544</v>
      </c>
      <c r="D1143" s="4" t="n">
        <v>811</v>
      </c>
      <c r="E1143" s="4" t="n">
        <v>7</v>
      </c>
      <c r="F1143" s="4" t="n">
        <v>6</v>
      </c>
      <c r="G1143" s="4" t="n">
        <v>0</v>
      </c>
      <c r="J1143" s="11" t="b">
        <f aca="false">TRUE()</f>
        <v>1</v>
      </c>
      <c r="K1143" s="4" t="s">
        <v>3809</v>
      </c>
      <c r="L1143" s="4" t="n">
        <v>4</v>
      </c>
      <c r="M1143" s="4" t="n">
        <v>4</v>
      </c>
      <c r="N1143" s="4" t="n">
        <v>4</v>
      </c>
      <c r="O1143" s="4" t="n">
        <v>4</v>
      </c>
      <c r="P1143" s="0" t="str">
        <f aca="false">IF(E1143=0,"not_reached",IF(AND(F1143&gt;0,G1143=0),"allowed","blocked"))</f>
        <v>allowed</v>
      </c>
      <c r="Q1143" s="0" t="str">
        <f aca="false">IF(C1143="success","published",IF(E1143&gt;0,"blocked_at_gate","failed_before_gate"))</f>
        <v>published</v>
      </c>
      <c r="R1143" s="0" t="str">
        <f aca="false">IF(C1143="success","",IF(E1143&gt;0,IF(I1143="freshness_within_target","freshness",IF(I1143="relationships_intact","relationships",IF(I1143="reconciliation_residual_zero","residual",I1143))),IF(H1143="quality_gate","gate_infra",H1143)))</f>
        <v/>
      </c>
    </row>
    <row r="1144" customFormat="false" ht="15" hidden="false" customHeight="false" outlineLevel="0" collapsed="false">
      <c r="A1144" s="4" t="s">
        <v>3810</v>
      </c>
      <c r="B1144" s="10" t="n">
        <v>46291.5520833333</v>
      </c>
      <c r="C1144" s="4" t="s">
        <v>1544</v>
      </c>
      <c r="D1144" s="4" t="n">
        <v>800</v>
      </c>
      <c r="E1144" s="4" t="n">
        <v>7</v>
      </c>
      <c r="F1144" s="4" t="n">
        <v>6</v>
      </c>
      <c r="G1144" s="4" t="n">
        <v>0</v>
      </c>
      <c r="J1144" s="11" t="b">
        <f aca="false">TRUE()</f>
        <v>1</v>
      </c>
      <c r="K1144" s="4" t="s">
        <v>3811</v>
      </c>
      <c r="L1144" s="4" t="n">
        <v>4</v>
      </c>
      <c r="M1144" s="4" t="n">
        <v>4</v>
      </c>
      <c r="N1144" s="4" t="n">
        <v>4</v>
      </c>
      <c r="O1144" s="4" t="n">
        <v>4</v>
      </c>
      <c r="P1144" s="0" t="str">
        <f aca="false">IF(E1144=0,"not_reached",IF(AND(F1144&gt;0,G1144=0),"allowed","blocked"))</f>
        <v>allowed</v>
      </c>
      <c r="Q1144" s="0" t="str">
        <f aca="false">IF(C1144="success","published",IF(E1144&gt;0,"blocked_at_gate","failed_before_gate"))</f>
        <v>published</v>
      </c>
      <c r="R1144" s="0" t="str">
        <f aca="false">IF(C1144="success","",IF(E1144&gt;0,IF(I1144="freshness_within_target","freshness",IF(I1144="relationships_intact","relationships",IF(I1144="reconciliation_residual_zero","residual",I1144))),IF(H1144="quality_gate","gate_infra",H1144)))</f>
        <v/>
      </c>
    </row>
    <row r="1145" customFormat="false" ht="15" hidden="false" customHeight="false" outlineLevel="0" collapsed="false">
      <c r="A1145" s="4" t="s">
        <v>3812</v>
      </c>
      <c r="B1145" s="10" t="n">
        <v>46291.59375</v>
      </c>
      <c r="C1145" s="4" t="s">
        <v>1544</v>
      </c>
      <c r="D1145" s="4" t="n">
        <v>710</v>
      </c>
      <c r="E1145" s="4" t="n">
        <v>7</v>
      </c>
      <c r="F1145" s="4" t="n">
        <v>6</v>
      </c>
      <c r="G1145" s="4" t="n">
        <v>0</v>
      </c>
      <c r="J1145" s="11" t="b">
        <f aca="false">TRUE()</f>
        <v>1</v>
      </c>
      <c r="K1145" s="4" t="s">
        <v>3813</v>
      </c>
      <c r="L1145" s="4" t="n">
        <v>4</v>
      </c>
      <c r="M1145" s="4" t="n">
        <v>4</v>
      </c>
      <c r="N1145" s="4" t="n">
        <v>4</v>
      </c>
      <c r="O1145" s="4" t="n">
        <v>4</v>
      </c>
      <c r="P1145" s="0" t="str">
        <f aca="false">IF(E1145=0,"not_reached",IF(AND(F1145&gt;0,G1145=0),"allowed","blocked"))</f>
        <v>allowed</v>
      </c>
      <c r="Q1145" s="0" t="str">
        <f aca="false">IF(C1145="success","published",IF(E1145&gt;0,"blocked_at_gate","failed_before_gate"))</f>
        <v>published</v>
      </c>
      <c r="R1145" s="0" t="str">
        <f aca="false">IF(C1145="success","",IF(E1145&gt;0,IF(I1145="freshness_within_target","freshness",IF(I1145="relationships_intact","relationships",IF(I1145="reconciliation_residual_zero","residual",I1145))),IF(H1145="quality_gate","gate_infra",H1145)))</f>
        <v/>
      </c>
    </row>
    <row r="1146" customFormat="false" ht="15" hidden="false" customHeight="false" outlineLevel="0" collapsed="false">
      <c r="A1146" s="4" t="s">
        <v>3814</v>
      </c>
      <c r="B1146" s="10" t="n">
        <v>46291.6354166667</v>
      </c>
      <c r="C1146" s="4" t="s">
        <v>1544</v>
      </c>
      <c r="D1146" s="4" t="n">
        <v>731</v>
      </c>
      <c r="E1146" s="4" t="n">
        <v>7</v>
      </c>
      <c r="F1146" s="4" t="n">
        <v>6</v>
      </c>
      <c r="G1146" s="4" t="n">
        <v>0</v>
      </c>
      <c r="J1146" s="11" t="b">
        <f aca="false">TRUE()</f>
        <v>1</v>
      </c>
      <c r="K1146" s="4" t="s">
        <v>3815</v>
      </c>
      <c r="L1146" s="4" t="n">
        <v>4</v>
      </c>
      <c r="M1146" s="4" t="n">
        <v>4</v>
      </c>
      <c r="N1146" s="4" t="n">
        <v>4</v>
      </c>
      <c r="O1146" s="4" t="n">
        <v>4</v>
      </c>
      <c r="P1146" s="0" t="str">
        <f aca="false">IF(E1146=0,"not_reached",IF(AND(F1146&gt;0,G1146=0),"allowed","blocked"))</f>
        <v>allowed</v>
      </c>
      <c r="Q1146" s="0" t="str">
        <f aca="false">IF(C1146="success","published",IF(E1146&gt;0,"blocked_at_gate","failed_before_gate"))</f>
        <v>published</v>
      </c>
      <c r="R1146" s="0" t="str">
        <f aca="false">IF(C1146="success","",IF(E1146&gt;0,IF(I1146="freshness_within_target","freshness",IF(I1146="relationships_intact","relationships",IF(I1146="reconciliation_residual_zero","residual",I1146))),IF(H1146="quality_gate","gate_infra",H1146)))</f>
        <v/>
      </c>
    </row>
    <row r="1147" customFormat="false" ht="15" hidden="false" customHeight="false" outlineLevel="0" collapsed="false">
      <c r="A1147" s="4" t="s">
        <v>3816</v>
      </c>
      <c r="B1147" s="10" t="n">
        <v>46291.6770833333</v>
      </c>
      <c r="C1147" s="4" t="s">
        <v>1544</v>
      </c>
      <c r="D1147" s="4" t="n">
        <v>767</v>
      </c>
      <c r="E1147" s="4" t="n">
        <v>7</v>
      </c>
      <c r="F1147" s="4" t="n">
        <v>6</v>
      </c>
      <c r="G1147" s="4" t="n">
        <v>0</v>
      </c>
      <c r="J1147" s="11" t="b">
        <f aca="false">TRUE()</f>
        <v>1</v>
      </c>
      <c r="K1147" s="4" t="s">
        <v>3817</v>
      </c>
      <c r="L1147" s="4" t="n">
        <v>4</v>
      </c>
      <c r="M1147" s="4" t="n">
        <v>4</v>
      </c>
      <c r="N1147" s="4" t="n">
        <v>4</v>
      </c>
      <c r="O1147" s="4" t="n">
        <v>4</v>
      </c>
      <c r="P1147" s="0" t="str">
        <f aca="false">IF(E1147=0,"not_reached",IF(AND(F1147&gt;0,G1147=0),"allowed","blocked"))</f>
        <v>allowed</v>
      </c>
      <c r="Q1147" s="0" t="str">
        <f aca="false">IF(C1147="success","published",IF(E1147&gt;0,"blocked_at_gate","failed_before_gate"))</f>
        <v>published</v>
      </c>
      <c r="R1147" s="0" t="str">
        <f aca="false">IF(C1147="success","",IF(E1147&gt;0,IF(I1147="freshness_within_target","freshness",IF(I1147="relationships_intact","relationships",IF(I1147="reconciliation_residual_zero","residual",I1147))),IF(H1147="quality_gate","gate_infra",H1147)))</f>
        <v/>
      </c>
    </row>
    <row r="1148" customFormat="false" ht="15" hidden="false" customHeight="false" outlineLevel="0" collapsed="false">
      <c r="A1148" s="4" t="s">
        <v>3818</v>
      </c>
      <c r="B1148" s="10" t="n">
        <v>46291.71875</v>
      </c>
      <c r="C1148" s="4" t="s">
        <v>1544</v>
      </c>
      <c r="D1148" s="4" t="n">
        <v>886</v>
      </c>
      <c r="E1148" s="4" t="n">
        <v>7</v>
      </c>
      <c r="F1148" s="4" t="n">
        <v>6</v>
      </c>
      <c r="G1148" s="4" t="n">
        <v>0</v>
      </c>
      <c r="J1148" s="11" t="b">
        <f aca="false">TRUE()</f>
        <v>1</v>
      </c>
      <c r="K1148" s="4" t="s">
        <v>3819</v>
      </c>
      <c r="L1148" s="4" t="n">
        <v>4</v>
      </c>
      <c r="M1148" s="4" t="n">
        <v>4</v>
      </c>
      <c r="N1148" s="4" t="n">
        <v>4</v>
      </c>
      <c r="O1148" s="4" t="n">
        <v>4</v>
      </c>
      <c r="P1148" s="0" t="str">
        <f aca="false">IF(E1148=0,"not_reached",IF(AND(F1148&gt;0,G1148=0),"allowed","blocked"))</f>
        <v>allowed</v>
      </c>
      <c r="Q1148" s="0" t="str">
        <f aca="false">IF(C1148="success","published",IF(E1148&gt;0,"blocked_at_gate","failed_before_gate"))</f>
        <v>published</v>
      </c>
      <c r="R1148" s="0" t="str">
        <f aca="false">IF(C1148="success","",IF(E1148&gt;0,IF(I1148="freshness_within_target","freshness",IF(I1148="relationships_intact","relationships",IF(I1148="reconciliation_residual_zero","residual",I1148))),IF(H1148="quality_gate","gate_infra",H1148)))</f>
        <v/>
      </c>
    </row>
    <row r="1149" customFormat="false" ht="15" hidden="false" customHeight="false" outlineLevel="0" collapsed="false">
      <c r="A1149" s="4" t="s">
        <v>3820</v>
      </c>
      <c r="B1149" s="10" t="n">
        <v>46291.7604166667</v>
      </c>
      <c r="C1149" s="4" t="s">
        <v>1901</v>
      </c>
      <c r="D1149" s="4" t="n">
        <v>527</v>
      </c>
      <c r="E1149" s="4" t="n">
        <v>7</v>
      </c>
      <c r="F1149" s="4" t="n">
        <v>6</v>
      </c>
      <c r="G1149" s="4" t="n">
        <v>1</v>
      </c>
      <c r="H1149" s="4" t="s">
        <v>1954</v>
      </c>
      <c r="I1149" s="4" t="s">
        <v>1992</v>
      </c>
      <c r="J1149" s="11" t="b">
        <f aca="false">FALSE()</f>
        <v>0</v>
      </c>
      <c r="L1149" s="4" t="n">
        <v>3</v>
      </c>
      <c r="M1149" s="4" t="n">
        <v>2</v>
      </c>
      <c r="N1149" s="4" t="n">
        <v>3</v>
      </c>
      <c r="O1149" s="4" t="n">
        <v>2</v>
      </c>
      <c r="P1149" s="0" t="str">
        <f aca="false">IF(E1149=0,"not_reached",IF(AND(F1149&gt;0,G1149=0),"allowed","blocked"))</f>
        <v>blocked</v>
      </c>
      <c r="Q1149" s="0" t="str">
        <f aca="false">IF(C1149="success","published",IF(E1149&gt;0,"blocked_at_gate","failed_before_gate"))</f>
        <v>blocked_at_gate</v>
      </c>
      <c r="R1149" s="0" t="str">
        <f aca="false">IF(C1149="success","",IF(E1149&gt;0,IF(I1149="freshness_within_target","freshness",IF(I1149="relationships_intact","relationships",IF(I1149="reconciliation_residual_zero","residual",I1149))),IF(H1149="quality_gate","gate_infra",H1149)))</f>
        <v>freshness</v>
      </c>
    </row>
    <row r="1150" customFormat="false" ht="15" hidden="false" customHeight="false" outlineLevel="0" collapsed="false">
      <c r="A1150" s="4" t="s">
        <v>3821</v>
      </c>
      <c r="B1150" s="10" t="n">
        <v>46291.8020833333</v>
      </c>
      <c r="C1150" s="4" t="s">
        <v>1544</v>
      </c>
      <c r="D1150" s="4" t="n">
        <v>1271</v>
      </c>
      <c r="E1150" s="4" t="n">
        <v>7</v>
      </c>
      <c r="F1150" s="4" t="n">
        <v>6</v>
      </c>
      <c r="G1150" s="4" t="n">
        <v>0</v>
      </c>
      <c r="J1150" s="11" t="b">
        <f aca="false">TRUE()</f>
        <v>1</v>
      </c>
      <c r="K1150" s="4" t="s">
        <v>3822</v>
      </c>
      <c r="L1150" s="4" t="n">
        <v>4</v>
      </c>
      <c r="M1150" s="4" t="n">
        <v>4</v>
      </c>
      <c r="N1150" s="4" t="n">
        <v>5</v>
      </c>
      <c r="O1150" s="4" t="n">
        <v>4</v>
      </c>
      <c r="P1150" s="0" t="str">
        <f aca="false">IF(E1150=0,"not_reached",IF(AND(F1150&gt;0,G1150=0),"allowed","blocked"))</f>
        <v>allowed</v>
      </c>
      <c r="Q1150" s="0" t="str">
        <f aca="false">IF(C1150="success","published",IF(E1150&gt;0,"blocked_at_gate","failed_before_gate"))</f>
        <v>published</v>
      </c>
      <c r="R1150" s="0" t="str">
        <f aca="false">IF(C1150="success","",IF(E1150&gt;0,IF(I1150="freshness_within_target","freshness",IF(I1150="relationships_intact","relationships",IF(I1150="reconciliation_residual_zero","residual",I1150))),IF(H1150="quality_gate","gate_infra",H1150)))</f>
        <v/>
      </c>
    </row>
    <row r="1151" customFormat="false" ht="15" hidden="false" customHeight="false" outlineLevel="0" collapsed="false">
      <c r="A1151" s="4" t="s">
        <v>3823</v>
      </c>
      <c r="B1151" s="10" t="n">
        <v>46291.84375</v>
      </c>
      <c r="C1151" s="4" t="s">
        <v>1544</v>
      </c>
      <c r="D1151" s="4" t="n">
        <v>808</v>
      </c>
      <c r="E1151" s="4" t="n">
        <v>7</v>
      </c>
      <c r="F1151" s="4" t="n">
        <v>6</v>
      </c>
      <c r="G1151" s="4" t="n">
        <v>0</v>
      </c>
      <c r="J1151" s="11" t="b">
        <f aca="false">TRUE()</f>
        <v>1</v>
      </c>
      <c r="K1151" s="4" t="s">
        <v>3824</v>
      </c>
      <c r="L1151" s="4" t="n">
        <v>4</v>
      </c>
      <c r="M1151" s="4" t="n">
        <v>4</v>
      </c>
      <c r="N1151" s="4" t="n">
        <v>4</v>
      </c>
      <c r="O1151" s="4" t="n">
        <v>4</v>
      </c>
      <c r="P1151" s="0" t="str">
        <f aca="false">IF(E1151=0,"not_reached",IF(AND(F1151&gt;0,G1151=0),"allowed","blocked"))</f>
        <v>allowed</v>
      </c>
      <c r="Q1151" s="0" t="str">
        <f aca="false">IF(C1151="success","published",IF(E1151&gt;0,"blocked_at_gate","failed_before_gate"))</f>
        <v>published</v>
      </c>
      <c r="R1151" s="0" t="str">
        <f aca="false">IF(C1151="success","",IF(E1151&gt;0,IF(I1151="freshness_within_target","freshness",IF(I1151="relationships_intact","relationships",IF(I1151="reconciliation_residual_zero","residual",I1151))),IF(H1151="quality_gate","gate_infra",H1151)))</f>
        <v/>
      </c>
    </row>
    <row r="1152" customFormat="false" ht="15" hidden="false" customHeight="false" outlineLevel="0" collapsed="false">
      <c r="A1152" s="4" t="s">
        <v>3825</v>
      </c>
      <c r="B1152" s="10" t="n">
        <v>46291.8854166667</v>
      </c>
      <c r="C1152" s="4" t="s">
        <v>1544</v>
      </c>
      <c r="D1152" s="4" t="n">
        <v>821</v>
      </c>
      <c r="E1152" s="4" t="n">
        <v>7</v>
      </c>
      <c r="F1152" s="4" t="n">
        <v>6</v>
      </c>
      <c r="G1152" s="4" t="n">
        <v>0</v>
      </c>
      <c r="J1152" s="11" t="b">
        <f aca="false">TRUE()</f>
        <v>1</v>
      </c>
      <c r="K1152" s="4" t="s">
        <v>3826</v>
      </c>
      <c r="L1152" s="4" t="n">
        <v>4</v>
      </c>
      <c r="M1152" s="4" t="n">
        <v>4</v>
      </c>
      <c r="N1152" s="4" t="n">
        <v>4</v>
      </c>
      <c r="O1152" s="4" t="n">
        <v>4</v>
      </c>
      <c r="P1152" s="0" t="str">
        <f aca="false">IF(E1152=0,"not_reached",IF(AND(F1152&gt;0,G1152=0),"allowed","blocked"))</f>
        <v>allowed</v>
      </c>
      <c r="Q1152" s="0" t="str">
        <f aca="false">IF(C1152="success","published",IF(E1152&gt;0,"blocked_at_gate","failed_before_gate"))</f>
        <v>published</v>
      </c>
      <c r="R1152" s="0" t="str">
        <f aca="false">IF(C1152="success","",IF(E1152&gt;0,IF(I1152="freshness_within_target","freshness",IF(I1152="relationships_intact","relationships",IF(I1152="reconciliation_residual_zero","residual",I1152))),IF(H1152="quality_gate","gate_infra",H1152)))</f>
        <v/>
      </c>
    </row>
    <row r="1153" customFormat="false" ht="15" hidden="false" customHeight="false" outlineLevel="0" collapsed="false">
      <c r="A1153" s="4" t="s">
        <v>3827</v>
      </c>
      <c r="B1153" s="10" t="n">
        <v>46291.9270833333</v>
      </c>
      <c r="C1153" s="4" t="s">
        <v>1544</v>
      </c>
      <c r="D1153" s="4" t="n">
        <v>755</v>
      </c>
      <c r="E1153" s="4" t="n">
        <v>7</v>
      </c>
      <c r="F1153" s="4" t="n">
        <v>6</v>
      </c>
      <c r="G1153" s="4" t="n">
        <v>0</v>
      </c>
      <c r="J1153" s="11" t="b">
        <f aca="false">TRUE()</f>
        <v>1</v>
      </c>
      <c r="K1153" s="4" t="s">
        <v>3828</v>
      </c>
      <c r="L1153" s="4" t="n">
        <v>4</v>
      </c>
      <c r="M1153" s="4" t="n">
        <v>4</v>
      </c>
      <c r="N1153" s="4" t="n">
        <v>4</v>
      </c>
      <c r="O1153" s="4" t="n">
        <v>4</v>
      </c>
      <c r="P1153" s="0" t="str">
        <f aca="false">IF(E1153=0,"not_reached",IF(AND(F1153&gt;0,G1153=0),"allowed","blocked"))</f>
        <v>allowed</v>
      </c>
      <c r="Q1153" s="0" t="str">
        <f aca="false">IF(C1153="success","published",IF(E1153&gt;0,"blocked_at_gate","failed_before_gate"))</f>
        <v>published</v>
      </c>
      <c r="R1153" s="0" t="str">
        <f aca="false">IF(C1153="success","",IF(E1153&gt;0,IF(I1153="freshness_within_target","freshness",IF(I1153="relationships_intact","relationships",IF(I1153="reconciliation_residual_zero","residual",I1153))),IF(H1153="quality_gate","gate_infra",H1153)))</f>
        <v/>
      </c>
    </row>
    <row r="1154" customFormat="false" ht="15" hidden="false" customHeight="false" outlineLevel="0" collapsed="false">
      <c r="A1154" s="4" t="s">
        <v>3829</v>
      </c>
      <c r="B1154" s="10" t="n">
        <v>46291.96875</v>
      </c>
      <c r="C1154" s="4" t="s">
        <v>1544</v>
      </c>
      <c r="D1154" s="4" t="n">
        <v>853</v>
      </c>
      <c r="E1154" s="4" t="n">
        <v>7</v>
      </c>
      <c r="F1154" s="4" t="n">
        <v>6</v>
      </c>
      <c r="G1154" s="4" t="n">
        <v>0</v>
      </c>
      <c r="J1154" s="11" t="b">
        <f aca="false">TRUE()</f>
        <v>1</v>
      </c>
      <c r="K1154" s="4" t="s">
        <v>3830</v>
      </c>
      <c r="L1154" s="4" t="n">
        <v>4</v>
      </c>
      <c r="M1154" s="4" t="n">
        <v>4</v>
      </c>
      <c r="N1154" s="4" t="n">
        <v>4</v>
      </c>
      <c r="O1154" s="4" t="n">
        <v>4</v>
      </c>
      <c r="P1154" s="0" t="str">
        <f aca="false">IF(E1154=0,"not_reached",IF(AND(F1154&gt;0,G1154=0),"allowed","blocked"))</f>
        <v>allowed</v>
      </c>
      <c r="Q1154" s="0" t="str">
        <f aca="false">IF(C1154="success","published",IF(E1154&gt;0,"blocked_at_gate","failed_before_gate"))</f>
        <v>published</v>
      </c>
      <c r="R1154" s="0" t="str">
        <f aca="false">IF(C1154="success","",IF(E1154&gt;0,IF(I1154="freshness_within_target","freshness",IF(I1154="relationships_intact","relationships",IF(I1154="reconciliation_residual_zero","residual",I1154))),IF(H1154="quality_gate","gate_infra",H1154)))</f>
        <v/>
      </c>
    </row>
    <row r="1155" customFormat="false" ht="15" hidden="false" customHeight="false" outlineLevel="0" collapsed="false">
      <c r="A1155" s="4" t="s">
        <v>3831</v>
      </c>
      <c r="B1155" s="10" t="n">
        <v>46292.0104166667</v>
      </c>
      <c r="C1155" s="4" t="s">
        <v>1544</v>
      </c>
      <c r="D1155" s="4" t="n">
        <v>765</v>
      </c>
      <c r="E1155" s="4" t="n">
        <v>7</v>
      </c>
      <c r="F1155" s="4" t="n">
        <v>6</v>
      </c>
      <c r="G1155" s="4" t="n">
        <v>0</v>
      </c>
      <c r="J1155" s="11" t="b">
        <f aca="false">TRUE()</f>
        <v>1</v>
      </c>
      <c r="K1155" s="4" t="s">
        <v>3832</v>
      </c>
      <c r="L1155" s="4" t="n">
        <v>4</v>
      </c>
      <c r="M1155" s="4" t="n">
        <v>4</v>
      </c>
      <c r="N1155" s="4" t="n">
        <v>4</v>
      </c>
      <c r="O1155" s="4" t="n">
        <v>4</v>
      </c>
      <c r="P1155" s="0" t="str">
        <f aca="false">IF(E1155=0,"not_reached",IF(AND(F1155&gt;0,G1155=0),"allowed","blocked"))</f>
        <v>allowed</v>
      </c>
      <c r="Q1155" s="0" t="str">
        <f aca="false">IF(C1155="success","published",IF(E1155&gt;0,"blocked_at_gate","failed_before_gate"))</f>
        <v>published</v>
      </c>
      <c r="R1155" s="0" t="str">
        <f aca="false">IF(C1155="success","",IF(E1155&gt;0,IF(I1155="freshness_within_target","freshness",IF(I1155="relationships_intact","relationships",IF(I1155="reconciliation_residual_zero","residual",I1155))),IF(H1155="quality_gate","gate_infra",H1155)))</f>
        <v/>
      </c>
    </row>
    <row r="1156" customFormat="false" ht="15" hidden="false" customHeight="false" outlineLevel="0" collapsed="false">
      <c r="A1156" s="4" t="s">
        <v>3833</v>
      </c>
      <c r="B1156" s="10" t="n">
        <v>46292.0520833333</v>
      </c>
      <c r="C1156" s="4" t="s">
        <v>1544</v>
      </c>
      <c r="D1156" s="4" t="n">
        <v>922</v>
      </c>
      <c r="E1156" s="4" t="n">
        <v>7</v>
      </c>
      <c r="F1156" s="4" t="n">
        <v>6</v>
      </c>
      <c r="G1156" s="4" t="n">
        <v>0</v>
      </c>
      <c r="J1156" s="11" t="b">
        <f aca="false">TRUE()</f>
        <v>1</v>
      </c>
      <c r="K1156" s="4" t="s">
        <v>3834</v>
      </c>
      <c r="L1156" s="4" t="n">
        <v>4</v>
      </c>
      <c r="M1156" s="4" t="n">
        <v>4</v>
      </c>
      <c r="N1156" s="4" t="n">
        <v>4</v>
      </c>
      <c r="O1156" s="4" t="n">
        <v>4</v>
      </c>
      <c r="P1156" s="0" t="str">
        <f aca="false">IF(E1156=0,"not_reached",IF(AND(F1156&gt;0,G1156=0),"allowed","blocked"))</f>
        <v>allowed</v>
      </c>
      <c r="Q1156" s="0" t="str">
        <f aca="false">IF(C1156="success","published",IF(E1156&gt;0,"blocked_at_gate","failed_before_gate"))</f>
        <v>published</v>
      </c>
      <c r="R1156" s="0" t="str">
        <f aca="false">IF(C1156="success","",IF(E1156&gt;0,IF(I1156="freshness_within_target","freshness",IF(I1156="relationships_intact","relationships",IF(I1156="reconciliation_residual_zero","residual",I1156))),IF(H1156="quality_gate","gate_infra",H1156)))</f>
        <v/>
      </c>
    </row>
    <row r="1157" customFormat="false" ht="15" hidden="false" customHeight="false" outlineLevel="0" collapsed="false">
      <c r="A1157" s="4" t="s">
        <v>3835</v>
      </c>
      <c r="B1157" s="10" t="n">
        <v>46292.09375</v>
      </c>
      <c r="C1157" s="4" t="s">
        <v>1544</v>
      </c>
      <c r="D1157" s="4" t="n">
        <v>798</v>
      </c>
      <c r="E1157" s="4" t="n">
        <v>7</v>
      </c>
      <c r="F1157" s="4" t="n">
        <v>6</v>
      </c>
      <c r="G1157" s="4" t="n">
        <v>0</v>
      </c>
      <c r="J1157" s="11" t="b">
        <f aca="false">TRUE()</f>
        <v>1</v>
      </c>
      <c r="K1157" s="4" t="s">
        <v>3836</v>
      </c>
      <c r="L1157" s="4" t="n">
        <v>4</v>
      </c>
      <c r="M1157" s="4" t="n">
        <v>4</v>
      </c>
      <c r="N1157" s="4" t="n">
        <v>4</v>
      </c>
      <c r="O1157" s="4" t="n">
        <v>4</v>
      </c>
      <c r="P1157" s="0" t="str">
        <f aca="false">IF(E1157=0,"not_reached",IF(AND(F1157&gt;0,G1157=0),"allowed","blocked"))</f>
        <v>allowed</v>
      </c>
      <c r="Q1157" s="0" t="str">
        <f aca="false">IF(C1157="success","published",IF(E1157&gt;0,"blocked_at_gate","failed_before_gate"))</f>
        <v>published</v>
      </c>
      <c r="R1157" s="0" t="str">
        <f aca="false">IF(C1157="success","",IF(E1157&gt;0,IF(I1157="freshness_within_target","freshness",IF(I1157="relationships_intact","relationships",IF(I1157="reconciliation_residual_zero","residual",I1157))),IF(H1157="quality_gate","gate_infra",H1157)))</f>
        <v/>
      </c>
    </row>
    <row r="1158" customFormat="false" ht="15" hidden="false" customHeight="false" outlineLevel="0" collapsed="false">
      <c r="A1158" s="4" t="s">
        <v>3837</v>
      </c>
      <c r="B1158" s="10" t="n">
        <v>46292.1354166667</v>
      </c>
      <c r="C1158" s="4" t="s">
        <v>1544</v>
      </c>
      <c r="D1158" s="4" t="n">
        <v>957</v>
      </c>
      <c r="E1158" s="4" t="n">
        <v>7</v>
      </c>
      <c r="F1158" s="4" t="n">
        <v>6</v>
      </c>
      <c r="G1158" s="4" t="n">
        <v>0</v>
      </c>
      <c r="J1158" s="11" t="b">
        <f aca="false">TRUE()</f>
        <v>1</v>
      </c>
      <c r="K1158" s="4" t="s">
        <v>3838</v>
      </c>
      <c r="L1158" s="4" t="n">
        <v>4</v>
      </c>
      <c r="M1158" s="4" t="n">
        <v>4</v>
      </c>
      <c r="N1158" s="4" t="n">
        <v>4</v>
      </c>
      <c r="O1158" s="4" t="n">
        <v>4</v>
      </c>
      <c r="P1158" s="0" t="str">
        <f aca="false">IF(E1158=0,"not_reached",IF(AND(F1158&gt;0,G1158=0),"allowed","blocked"))</f>
        <v>allowed</v>
      </c>
      <c r="Q1158" s="0" t="str">
        <f aca="false">IF(C1158="success","published",IF(E1158&gt;0,"blocked_at_gate","failed_before_gate"))</f>
        <v>published</v>
      </c>
      <c r="R1158" s="0" t="str">
        <f aca="false">IF(C1158="success","",IF(E1158&gt;0,IF(I1158="freshness_within_target","freshness",IF(I1158="relationships_intact","relationships",IF(I1158="reconciliation_residual_zero","residual",I1158))),IF(H1158="quality_gate","gate_infra",H1158)))</f>
        <v/>
      </c>
    </row>
    <row r="1159" customFormat="false" ht="15" hidden="false" customHeight="false" outlineLevel="0" collapsed="false">
      <c r="A1159" s="4" t="s">
        <v>3839</v>
      </c>
      <c r="B1159" s="10" t="n">
        <v>46292.1770833333</v>
      </c>
      <c r="C1159" s="4" t="s">
        <v>1544</v>
      </c>
      <c r="D1159" s="4" t="n">
        <v>958</v>
      </c>
      <c r="E1159" s="4" t="n">
        <v>7</v>
      </c>
      <c r="F1159" s="4" t="n">
        <v>6</v>
      </c>
      <c r="G1159" s="4" t="n">
        <v>0</v>
      </c>
      <c r="J1159" s="11" t="b">
        <f aca="false">TRUE()</f>
        <v>1</v>
      </c>
      <c r="K1159" s="4" t="s">
        <v>3840</v>
      </c>
      <c r="L1159" s="4" t="n">
        <v>4</v>
      </c>
      <c r="M1159" s="4" t="n">
        <v>4</v>
      </c>
      <c r="N1159" s="4" t="n">
        <v>4</v>
      </c>
      <c r="O1159" s="4" t="n">
        <v>4</v>
      </c>
      <c r="P1159" s="0" t="str">
        <f aca="false">IF(E1159=0,"not_reached",IF(AND(F1159&gt;0,G1159=0),"allowed","blocked"))</f>
        <v>allowed</v>
      </c>
      <c r="Q1159" s="0" t="str">
        <f aca="false">IF(C1159="success","published",IF(E1159&gt;0,"blocked_at_gate","failed_before_gate"))</f>
        <v>published</v>
      </c>
      <c r="R1159" s="0" t="str">
        <f aca="false">IF(C1159="success","",IF(E1159&gt;0,IF(I1159="freshness_within_target","freshness",IF(I1159="relationships_intact","relationships",IF(I1159="reconciliation_residual_zero","residual",I1159))),IF(H1159="quality_gate","gate_infra",H1159)))</f>
        <v/>
      </c>
    </row>
    <row r="1160" customFormat="false" ht="15" hidden="false" customHeight="false" outlineLevel="0" collapsed="false">
      <c r="A1160" s="4" t="s">
        <v>3841</v>
      </c>
      <c r="B1160" s="10" t="n">
        <v>46292.21875</v>
      </c>
      <c r="C1160" s="4" t="s">
        <v>1544</v>
      </c>
      <c r="D1160" s="4" t="n">
        <v>866</v>
      </c>
      <c r="E1160" s="4" t="n">
        <v>7</v>
      </c>
      <c r="F1160" s="4" t="n">
        <v>6</v>
      </c>
      <c r="G1160" s="4" t="n">
        <v>0</v>
      </c>
      <c r="J1160" s="11" t="b">
        <f aca="false">TRUE()</f>
        <v>1</v>
      </c>
      <c r="K1160" s="4" t="s">
        <v>3842</v>
      </c>
      <c r="L1160" s="4" t="n">
        <v>4</v>
      </c>
      <c r="M1160" s="4" t="n">
        <v>4</v>
      </c>
      <c r="N1160" s="4" t="n">
        <v>4</v>
      </c>
      <c r="O1160" s="4" t="n">
        <v>4</v>
      </c>
      <c r="P1160" s="0" t="str">
        <f aca="false">IF(E1160=0,"not_reached",IF(AND(F1160&gt;0,G1160=0),"allowed","blocked"))</f>
        <v>allowed</v>
      </c>
      <c r="Q1160" s="0" t="str">
        <f aca="false">IF(C1160="success","published",IF(E1160&gt;0,"blocked_at_gate","failed_before_gate"))</f>
        <v>published</v>
      </c>
      <c r="R1160" s="0" t="str">
        <f aca="false">IF(C1160="success","",IF(E1160&gt;0,IF(I1160="freshness_within_target","freshness",IF(I1160="relationships_intact","relationships",IF(I1160="reconciliation_residual_zero","residual",I1160))),IF(H1160="quality_gate","gate_infra",H1160)))</f>
        <v/>
      </c>
    </row>
    <row r="1161" customFormat="false" ht="15" hidden="false" customHeight="false" outlineLevel="0" collapsed="false">
      <c r="A1161" s="4" t="s">
        <v>3843</v>
      </c>
      <c r="B1161" s="10" t="n">
        <v>46292.2604166667</v>
      </c>
      <c r="C1161" s="4" t="s">
        <v>1544</v>
      </c>
      <c r="D1161" s="4" t="n">
        <v>902</v>
      </c>
      <c r="E1161" s="4" t="n">
        <v>7</v>
      </c>
      <c r="F1161" s="4" t="n">
        <v>6</v>
      </c>
      <c r="G1161" s="4" t="n">
        <v>0</v>
      </c>
      <c r="J1161" s="11" t="b">
        <f aca="false">TRUE()</f>
        <v>1</v>
      </c>
      <c r="K1161" s="4" t="s">
        <v>3844</v>
      </c>
      <c r="L1161" s="4" t="n">
        <v>4</v>
      </c>
      <c r="M1161" s="4" t="n">
        <v>4</v>
      </c>
      <c r="N1161" s="4" t="n">
        <v>4</v>
      </c>
      <c r="O1161" s="4" t="n">
        <v>4</v>
      </c>
      <c r="P1161" s="0" t="str">
        <f aca="false">IF(E1161=0,"not_reached",IF(AND(F1161&gt;0,G1161=0),"allowed","blocked"))</f>
        <v>allowed</v>
      </c>
      <c r="Q1161" s="0" t="str">
        <f aca="false">IF(C1161="success","published",IF(E1161&gt;0,"blocked_at_gate","failed_before_gate"))</f>
        <v>published</v>
      </c>
      <c r="R1161" s="0" t="str">
        <f aca="false">IF(C1161="success","",IF(E1161&gt;0,IF(I1161="freshness_within_target","freshness",IF(I1161="relationships_intact","relationships",IF(I1161="reconciliation_residual_zero","residual",I1161))),IF(H1161="quality_gate","gate_infra",H1161)))</f>
        <v/>
      </c>
    </row>
    <row r="1162" customFormat="false" ht="15" hidden="false" customHeight="false" outlineLevel="0" collapsed="false">
      <c r="A1162" s="4" t="s">
        <v>3845</v>
      </c>
      <c r="B1162" s="10" t="n">
        <v>46292.3020833333</v>
      </c>
      <c r="C1162" s="4" t="s">
        <v>1901</v>
      </c>
      <c r="D1162" s="4" t="n">
        <v>1325</v>
      </c>
      <c r="E1162" s="4" t="n">
        <v>0</v>
      </c>
      <c r="F1162" s="4" t="n">
        <v>0</v>
      </c>
      <c r="G1162" s="4" t="n">
        <v>0</v>
      </c>
      <c r="H1162" s="4" t="s">
        <v>61</v>
      </c>
      <c r="J1162" s="11" t="b">
        <f aca="false">FALSE()</f>
        <v>0</v>
      </c>
      <c r="L1162" s="4" t="n">
        <v>2</v>
      </c>
      <c r="M1162" s="4" t="n">
        <v>1</v>
      </c>
      <c r="N1162" s="4" t="n">
        <v>4</v>
      </c>
      <c r="O1162" s="4" t="n">
        <v>1</v>
      </c>
      <c r="P1162" s="0" t="str">
        <f aca="false">IF(E1162=0,"not_reached",IF(AND(F1162&gt;0,G1162=0),"allowed","blocked"))</f>
        <v>not_reached</v>
      </c>
      <c r="Q1162" s="0" t="str">
        <f aca="false">IF(C1162="success","published",IF(E1162&gt;0,"blocked_at_gate","failed_before_gate"))</f>
        <v>failed_before_gate</v>
      </c>
      <c r="R1162" s="0" t="str">
        <f aca="false">IF(C1162="success","",IF(E1162&gt;0,IF(I1162="freshness_within_target","freshness",IF(I1162="relationships_intact","relationships",IF(I1162="reconciliation_residual_zero","residual",I1162))),IF(H1162="quality_gate","gate_infra",H1162)))</f>
        <v>transform</v>
      </c>
    </row>
    <row r="1163" customFormat="false" ht="15" hidden="false" customHeight="false" outlineLevel="0" collapsed="false">
      <c r="A1163" s="4" t="s">
        <v>3846</v>
      </c>
      <c r="B1163" s="10" t="n">
        <v>46292.34375</v>
      </c>
      <c r="C1163" s="4" t="s">
        <v>1544</v>
      </c>
      <c r="D1163" s="4" t="n">
        <v>782</v>
      </c>
      <c r="E1163" s="4" t="n">
        <v>7</v>
      </c>
      <c r="F1163" s="4" t="n">
        <v>6</v>
      </c>
      <c r="G1163" s="4" t="n">
        <v>0</v>
      </c>
      <c r="J1163" s="11" t="b">
        <f aca="false">TRUE()</f>
        <v>1</v>
      </c>
      <c r="K1163" s="4" t="s">
        <v>3847</v>
      </c>
      <c r="L1163" s="4" t="n">
        <v>4</v>
      </c>
      <c r="M1163" s="4" t="n">
        <v>4</v>
      </c>
      <c r="N1163" s="4" t="n">
        <v>4</v>
      </c>
      <c r="O1163" s="4" t="n">
        <v>4</v>
      </c>
      <c r="P1163" s="0" t="str">
        <f aca="false">IF(E1163=0,"not_reached",IF(AND(F1163&gt;0,G1163=0),"allowed","blocked"))</f>
        <v>allowed</v>
      </c>
      <c r="Q1163" s="0" t="str">
        <f aca="false">IF(C1163="success","published",IF(E1163&gt;0,"blocked_at_gate","failed_before_gate"))</f>
        <v>published</v>
      </c>
      <c r="R1163" s="0" t="str">
        <f aca="false">IF(C1163="success","",IF(E1163&gt;0,IF(I1163="freshness_within_target","freshness",IF(I1163="relationships_intact","relationships",IF(I1163="reconciliation_residual_zero","residual",I1163))),IF(H1163="quality_gate","gate_infra",H1163)))</f>
        <v/>
      </c>
    </row>
    <row r="1164" customFormat="false" ht="15" hidden="false" customHeight="false" outlineLevel="0" collapsed="false">
      <c r="A1164" s="4" t="s">
        <v>3848</v>
      </c>
      <c r="B1164" s="10" t="n">
        <v>46292.3854166667</v>
      </c>
      <c r="C1164" s="4" t="s">
        <v>1544</v>
      </c>
      <c r="D1164" s="4" t="n">
        <v>678</v>
      </c>
      <c r="E1164" s="4" t="n">
        <v>7</v>
      </c>
      <c r="F1164" s="4" t="n">
        <v>6</v>
      </c>
      <c r="G1164" s="4" t="n">
        <v>0</v>
      </c>
      <c r="J1164" s="11" t="b">
        <f aca="false">TRUE()</f>
        <v>1</v>
      </c>
      <c r="K1164" s="4" t="s">
        <v>3849</v>
      </c>
      <c r="L1164" s="4" t="n">
        <v>4</v>
      </c>
      <c r="M1164" s="4" t="n">
        <v>4</v>
      </c>
      <c r="N1164" s="4" t="n">
        <v>4</v>
      </c>
      <c r="O1164" s="4" t="n">
        <v>4</v>
      </c>
      <c r="P1164" s="0" t="str">
        <f aca="false">IF(E1164=0,"not_reached",IF(AND(F1164&gt;0,G1164=0),"allowed","blocked"))</f>
        <v>allowed</v>
      </c>
      <c r="Q1164" s="0" t="str">
        <f aca="false">IF(C1164="success","published",IF(E1164&gt;0,"blocked_at_gate","failed_before_gate"))</f>
        <v>published</v>
      </c>
      <c r="R1164" s="0" t="str">
        <f aca="false">IF(C1164="success","",IF(E1164&gt;0,IF(I1164="freshness_within_target","freshness",IF(I1164="relationships_intact","relationships",IF(I1164="reconciliation_residual_zero","residual",I1164))),IF(H1164="quality_gate","gate_infra",H1164)))</f>
        <v/>
      </c>
    </row>
    <row r="1165" customFormat="false" ht="15" hidden="false" customHeight="false" outlineLevel="0" collapsed="false">
      <c r="A1165" s="4" t="s">
        <v>3850</v>
      </c>
      <c r="B1165" s="10" t="n">
        <v>46292.4270833333</v>
      </c>
      <c r="C1165" s="4" t="s">
        <v>1544</v>
      </c>
      <c r="D1165" s="4" t="n">
        <v>794</v>
      </c>
      <c r="E1165" s="4" t="n">
        <v>7</v>
      </c>
      <c r="F1165" s="4" t="n">
        <v>6</v>
      </c>
      <c r="G1165" s="4" t="n">
        <v>0</v>
      </c>
      <c r="J1165" s="11" t="b">
        <f aca="false">TRUE()</f>
        <v>1</v>
      </c>
      <c r="K1165" s="4" t="s">
        <v>3851</v>
      </c>
      <c r="L1165" s="4" t="n">
        <v>4</v>
      </c>
      <c r="M1165" s="4" t="n">
        <v>4</v>
      </c>
      <c r="N1165" s="4" t="n">
        <v>4</v>
      </c>
      <c r="O1165" s="4" t="n">
        <v>4</v>
      </c>
      <c r="P1165" s="0" t="str">
        <f aca="false">IF(E1165=0,"not_reached",IF(AND(F1165&gt;0,G1165=0),"allowed","blocked"))</f>
        <v>allowed</v>
      </c>
      <c r="Q1165" s="0" t="str">
        <f aca="false">IF(C1165="success","published",IF(E1165&gt;0,"blocked_at_gate","failed_before_gate"))</f>
        <v>published</v>
      </c>
      <c r="R1165" s="0" t="str">
        <f aca="false">IF(C1165="success","",IF(E1165&gt;0,IF(I1165="freshness_within_target","freshness",IF(I1165="relationships_intact","relationships",IF(I1165="reconciliation_residual_zero","residual",I1165))),IF(H1165="quality_gate","gate_infra",H1165)))</f>
        <v/>
      </c>
    </row>
    <row r="1166" customFormat="false" ht="15" hidden="false" customHeight="false" outlineLevel="0" collapsed="false">
      <c r="A1166" s="4" t="s">
        <v>3852</v>
      </c>
      <c r="B1166" s="10" t="n">
        <v>46292.46875</v>
      </c>
      <c r="C1166" s="4" t="s">
        <v>1544</v>
      </c>
      <c r="D1166" s="4" t="n">
        <v>1130</v>
      </c>
      <c r="E1166" s="4" t="n">
        <v>7</v>
      </c>
      <c r="F1166" s="4" t="n">
        <v>6</v>
      </c>
      <c r="G1166" s="4" t="n">
        <v>0</v>
      </c>
      <c r="J1166" s="11" t="b">
        <f aca="false">TRUE()</f>
        <v>1</v>
      </c>
      <c r="K1166" s="4" t="s">
        <v>3853</v>
      </c>
      <c r="L1166" s="4" t="n">
        <v>4</v>
      </c>
      <c r="M1166" s="4" t="n">
        <v>4</v>
      </c>
      <c r="N1166" s="4" t="n">
        <v>5</v>
      </c>
      <c r="O1166" s="4" t="n">
        <v>4</v>
      </c>
      <c r="P1166" s="0" t="str">
        <f aca="false">IF(E1166=0,"not_reached",IF(AND(F1166&gt;0,G1166=0),"allowed","blocked"))</f>
        <v>allowed</v>
      </c>
      <c r="Q1166" s="0" t="str">
        <f aca="false">IF(C1166="success","published",IF(E1166&gt;0,"blocked_at_gate","failed_before_gate"))</f>
        <v>published</v>
      </c>
      <c r="R1166" s="0" t="str">
        <f aca="false">IF(C1166="success","",IF(E1166&gt;0,IF(I1166="freshness_within_target","freshness",IF(I1166="relationships_intact","relationships",IF(I1166="reconciliation_residual_zero","residual",I1166))),IF(H1166="quality_gate","gate_infra",H1166)))</f>
        <v/>
      </c>
    </row>
    <row r="1167" customFormat="false" ht="15" hidden="false" customHeight="false" outlineLevel="0" collapsed="false">
      <c r="A1167" s="4" t="s">
        <v>3854</v>
      </c>
      <c r="B1167" s="10" t="n">
        <v>46292.5104166667</v>
      </c>
      <c r="C1167" s="4" t="s">
        <v>1544</v>
      </c>
      <c r="D1167" s="4" t="n">
        <v>803</v>
      </c>
      <c r="E1167" s="4" t="n">
        <v>7</v>
      </c>
      <c r="F1167" s="4" t="n">
        <v>6</v>
      </c>
      <c r="G1167" s="4" t="n">
        <v>0</v>
      </c>
      <c r="J1167" s="11" t="b">
        <f aca="false">TRUE()</f>
        <v>1</v>
      </c>
      <c r="K1167" s="4" t="s">
        <v>3855</v>
      </c>
      <c r="L1167" s="4" t="n">
        <v>4</v>
      </c>
      <c r="M1167" s="4" t="n">
        <v>4</v>
      </c>
      <c r="N1167" s="4" t="n">
        <v>4</v>
      </c>
      <c r="O1167" s="4" t="n">
        <v>4</v>
      </c>
      <c r="P1167" s="0" t="str">
        <f aca="false">IF(E1167=0,"not_reached",IF(AND(F1167&gt;0,G1167=0),"allowed","blocked"))</f>
        <v>allowed</v>
      </c>
      <c r="Q1167" s="0" t="str">
        <f aca="false">IF(C1167="success","published",IF(E1167&gt;0,"blocked_at_gate","failed_before_gate"))</f>
        <v>published</v>
      </c>
      <c r="R1167" s="0" t="str">
        <f aca="false">IF(C1167="success","",IF(E1167&gt;0,IF(I1167="freshness_within_target","freshness",IF(I1167="relationships_intact","relationships",IF(I1167="reconciliation_residual_zero","residual",I1167))),IF(H1167="quality_gate","gate_infra",H1167)))</f>
        <v/>
      </c>
    </row>
    <row r="1168" customFormat="false" ht="15" hidden="false" customHeight="false" outlineLevel="0" collapsed="false">
      <c r="A1168" s="4" t="s">
        <v>3856</v>
      </c>
      <c r="B1168" s="10" t="n">
        <v>46292.5520833333</v>
      </c>
      <c r="C1168" s="4" t="s">
        <v>1544</v>
      </c>
      <c r="D1168" s="4" t="n">
        <v>918</v>
      </c>
      <c r="E1168" s="4" t="n">
        <v>7</v>
      </c>
      <c r="F1168" s="4" t="n">
        <v>6</v>
      </c>
      <c r="G1168" s="4" t="n">
        <v>0</v>
      </c>
      <c r="J1168" s="11" t="b">
        <f aca="false">TRUE()</f>
        <v>1</v>
      </c>
      <c r="K1168" s="4" t="s">
        <v>3857</v>
      </c>
      <c r="L1168" s="4" t="n">
        <v>4</v>
      </c>
      <c r="M1168" s="4" t="n">
        <v>4</v>
      </c>
      <c r="N1168" s="4" t="n">
        <v>4</v>
      </c>
      <c r="O1168" s="4" t="n">
        <v>4</v>
      </c>
      <c r="P1168" s="0" t="str">
        <f aca="false">IF(E1168=0,"not_reached",IF(AND(F1168&gt;0,G1168=0),"allowed","blocked"))</f>
        <v>allowed</v>
      </c>
      <c r="Q1168" s="0" t="str">
        <f aca="false">IF(C1168="success","published",IF(E1168&gt;0,"blocked_at_gate","failed_before_gate"))</f>
        <v>published</v>
      </c>
      <c r="R1168" s="0" t="str">
        <f aca="false">IF(C1168="success","",IF(E1168&gt;0,IF(I1168="freshness_within_target","freshness",IF(I1168="relationships_intact","relationships",IF(I1168="reconciliation_residual_zero","residual",I1168))),IF(H1168="quality_gate","gate_infra",H1168)))</f>
        <v/>
      </c>
    </row>
    <row r="1169" customFormat="false" ht="15" hidden="false" customHeight="false" outlineLevel="0" collapsed="false">
      <c r="A1169" s="4" t="s">
        <v>3858</v>
      </c>
      <c r="B1169" s="10" t="n">
        <v>46292.59375</v>
      </c>
      <c r="C1169" s="4" t="s">
        <v>1544</v>
      </c>
      <c r="D1169" s="4" t="n">
        <v>708</v>
      </c>
      <c r="E1169" s="4" t="n">
        <v>7</v>
      </c>
      <c r="F1169" s="4" t="n">
        <v>6</v>
      </c>
      <c r="G1169" s="4" t="n">
        <v>0</v>
      </c>
      <c r="J1169" s="11" t="b">
        <f aca="false">TRUE()</f>
        <v>1</v>
      </c>
      <c r="K1169" s="4" t="s">
        <v>3859</v>
      </c>
      <c r="L1169" s="4" t="n">
        <v>4</v>
      </c>
      <c r="M1169" s="4" t="n">
        <v>4</v>
      </c>
      <c r="N1169" s="4" t="n">
        <v>4</v>
      </c>
      <c r="O1169" s="4" t="n">
        <v>4</v>
      </c>
      <c r="P1169" s="0" t="str">
        <f aca="false">IF(E1169=0,"not_reached",IF(AND(F1169&gt;0,G1169=0),"allowed","blocked"))</f>
        <v>allowed</v>
      </c>
      <c r="Q1169" s="0" t="str">
        <f aca="false">IF(C1169="success","published",IF(E1169&gt;0,"blocked_at_gate","failed_before_gate"))</f>
        <v>published</v>
      </c>
      <c r="R1169" s="0" t="str">
        <f aca="false">IF(C1169="success","",IF(E1169&gt;0,IF(I1169="freshness_within_target","freshness",IF(I1169="relationships_intact","relationships",IF(I1169="reconciliation_residual_zero","residual",I1169))),IF(H1169="quality_gate","gate_infra",H1169)))</f>
        <v/>
      </c>
    </row>
    <row r="1170" customFormat="false" ht="15" hidden="false" customHeight="false" outlineLevel="0" collapsed="false">
      <c r="A1170" s="4" t="s">
        <v>3860</v>
      </c>
      <c r="B1170" s="10" t="n">
        <v>46292.6354166667</v>
      </c>
      <c r="C1170" s="4" t="s">
        <v>1544</v>
      </c>
      <c r="D1170" s="4" t="n">
        <v>1054</v>
      </c>
      <c r="E1170" s="4" t="n">
        <v>7</v>
      </c>
      <c r="F1170" s="4" t="n">
        <v>6</v>
      </c>
      <c r="G1170" s="4" t="n">
        <v>0</v>
      </c>
      <c r="J1170" s="11" t="b">
        <f aca="false">TRUE()</f>
        <v>1</v>
      </c>
      <c r="K1170" s="4" t="s">
        <v>3861</v>
      </c>
      <c r="L1170" s="4" t="n">
        <v>4</v>
      </c>
      <c r="M1170" s="4" t="n">
        <v>4</v>
      </c>
      <c r="N1170" s="4" t="n">
        <v>5</v>
      </c>
      <c r="O1170" s="4" t="n">
        <v>4</v>
      </c>
      <c r="P1170" s="0" t="str">
        <f aca="false">IF(E1170=0,"not_reached",IF(AND(F1170&gt;0,G1170=0),"allowed","blocked"))</f>
        <v>allowed</v>
      </c>
      <c r="Q1170" s="0" t="str">
        <f aca="false">IF(C1170="success","published",IF(E1170&gt;0,"blocked_at_gate","failed_before_gate"))</f>
        <v>published</v>
      </c>
      <c r="R1170" s="0" t="str">
        <f aca="false">IF(C1170="success","",IF(E1170&gt;0,IF(I1170="freshness_within_target","freshness",IF(I1170="relationships_intact","relationships",IF(I1170="reconciliation_residual_zero","residual",I1170))),IF(H1170="quality_gate","gate_infra",H1170)))</f>
        <v/>
      </c>
    </row>
    <row r="1171" customFormat="false" ht="15" hidden="false" customHeight="false" outlineLevel="0" collapsed="false">
      <c r="A1171" s="4" t="s">
        <v>3862</v>
      </c>
      <c r="B1171" s="10" t="n">
        <v>46292.6770833333</v>
      </c>
      <c r="C1171" s="4" t="s">
        <v>1544</v>
      </c>
      <c r="D1171" s="4" t="n">
        <v>898</v>
      </c>
      <c r="E1171" s="4" t="n">
        <v>7</v>
      </c>
      <c r="F1171" s="4" t="n">
        <v>6</v>
      </c>
      <c r="G1171" s="4" t="n">
        <v>0</v>
      </c>
      <c r="J1171" s="11" t="b">
        <f aca="false">TRUE()</f>
        <v>1</v>
      </c>
      <c r="K1171" s="4" t="s">
        <v>3863</v>
      </c>
      <c r="L1171" s="4" t="n">
        <v>4</v>
      </c>
      <c r="M1171" s="4" t="n">
        <v>4</v>
      </c>
      <c r="N1171" s="4" t="n">
        <v>4</v>
      </c>
      <c r="O1171" s="4" t="n">
        <v>4</v>
      </c>
      <c r="P1171" s="0" t="str">
        <f aca="false">IF(E1171=0,"not_reached",IF(AND(F1171&gt;0,G1171=0),"allowed","blocked"))</f>
        <v>allowed</v>
      </c>
      <c r="Q1171" s="0" t="str">
        <f aca="false">IF(C1171="success","published",IF(E1171&gt;0,"blocked_at_gate","failed_before_gate"))</f>
        <v>published</v>
      </c>
      <c r="R1171" s="0" t="str">
        <f aca="false">IF(C1171="success","",IF(E1171&gt;0,IF(I1171="freshness_within_target","freshness",IF(I1171="relationships_intact","relationships",IF(I1171="reconciliation_residual_zero","residual",I1171))),IF(H1171="quality_gate","gate_infra",H1171)))</f>
        <v/>
      </c>
    </row>
    <row r="1172" customFormat="false" ht="15" hidden="false" customHeight="false" outlineLevel="0" collapsed="false">
      <c r="A1172" s="4" t="s">
        <v>3864</v>
      </c>
      <c r="B1172" s="10" t="n">
        <v>46292.71875</v>
      </c>
      <c r="C1172" s="4" t="s">
        <v>1544</v>
      </c>
      <c r="D1172" s="4" t="n">
        <v>778</v>
      </c>
      <c r="E1172" s="4" t="n">
        <v>7</v>
      </c>
      <c r="F1172" s="4" t="n">
        <v>6</v>
      </c>
      <c r="G1172" s="4" t="n">
        <v>0</v>
      </c>
      <c r="J1172" s="11" t="b">
        <f aca="false">TRUE()</f>
        <v>1</v>
      </c>
      <c r="K1172" s="4" t="s">
        <v>3865</v>
      </c>
      <c r="L1172" s="4" t="n">
        <v>4</v>
      </c>
      <c r="M1172" s="4" t="n">
        <v>4</v>
      </c>
      <c r="N1172" s="4" t="n">
        <v>4</v>
      </c>
      <c r="O1172" s="4" t="n">
        <v>4</v>
      </c>
      <c r="P1172" s="0" t="str">
        <f aca="false">IF(E1172=0,"not_reached",IF(AND(F1172&gt;0,G1172=0),"allowed","blocked"))</f>
        <v>allowed</v>
      </c>
      <c r="Q1172" s="0" t="str">
        <f aca="false">IF(C1172="success","published",IF(E1172&gt;0,"blocked_at_gate","failed_before_gate"))</f>
        <v>published</v>
      </c>
      <c r="R1172" s="0" t="str">
        <f aca="false">IF(C1172="success","",IF(E1172&gt;0,IF(I1172="freshness_within_target","freshness",IF(I1172="relationships_intact","relationships",IF(I1172="reconciliation_residual_zero","residual",I1172))),IF(H1172="quality_gate","gate_infra",H1172)))</f>
        <v/>
      </c>
    </row>
    <row r="1173" customFormat="false" ht="15" hidden="false" customHeight="false" outlineLevel="0" collapsed="false">
      <c r="A1173" s="4" t="s">
        <v>3866</v>
      </c>
      <c r="B1173" s="10" t="n">
        <v>46292.7604166667</v>
      </c>
      <c r="C1173" s="4" t="s">
        <v>1544</v>
      </c>
      <c r="D1173" s="4" t="n">
        <v>807</v>
      </c>
      <c r="E1173" s="4" t="n">
        <v>7</v>
      </c>
      <c r="F1173" s="4" t="n">
        <v>6</v>
      </c>
      <c r="G1173" s="4" t="n">
        <v>0</v>
      </c>
      <c r="J1173" s="11" t="b">
        <f aca="false">TRUE()</f>
        <v>1</v>
      </c>
      <c r="K1173" s="4" t="s">
        <v>3867</v>
      </c>
      <c r="L1173" s="4" t="n">
        <v>4</v>
      </c>
      <c r="M1173" s="4" t="n">
        <v>4</v>
      </c>
      <c r="N1173" s="4" t="n">
        <v>4</v>
      </c>
      <c r="O1173" s="4" t="n">
        <v>4</v>
      </c>
      <c r="P1173" s="0" t="str">
        <f aca="false">IF(E1173=0,"not_reached",IF(AND(F1173&gt;0,G1173=0),"allowed","blocked"))</f>
        <v>allowed</v>
      </c>
      <c r="Q1173" s="0" t="str">
        <f aca="false">IF(C1173="success","published",IF(E1173&gt;0,"blocked_at_gate","failed_before_gate"))</f>
        <v>published</v>
      </c>
      <c r="R1173" s="0" t="str">
        <f aca="false">IF(C1173="success","",IF(E1173&gt;0,IF(I1173="freshness_within_target","freshness",IF(I1173="relationships_intact","relationships",IF(I1173="reconciliation_residual_zero","residual",I1173))),IF(H1173="quality_gate","gate_infra",H1173)))</f>
        <v/>
      </c>
    </row>
    <row r="1174" customFormat="false" ht="15" hidden="false" customHeight="false" outlineLevel="0" collapsed="false">
      <c r="A1174" s="4" t="s">
        <v>3868</v>
      </c>
      <c r="B1174" s="10" t="n">
        <v>46292.8020833333</v>
      </c>
      <c r="C1174" s="4" t="s">
        <v>1544</v>
      </c>
      <c r="D1174" s="4" t="n">
        <v>909</v>
      </c>
      <c r="E1174" s="4" t="n">
        <v>7</v>
      </c>
      <c r="F1174" s="4" t="n">
        <v>6</v>
      </c>
      <c r="G1174" s="4" t="n">
        <v>0</v>
      </c>
      <c r="J1174" s="11" t="b">
        <f aca="false">TRUE()</f>
        <v>1</v>
      </c>
      <c r="K1174" s="4" t="s">
        <v>3869</v>
      </c>
      <c r="L1174" s="4" t="n">
        <v>4</v>
      </c>
      <c r="M1174" s="4" t="n">
        <v>4</v>
      </c>
      <c r="N1174" s="4" t="n">
        <v>4</v>
      </c>
      <c r="O1174" s="4" t="n">
        <v>4</v>
      </c>
      <c r="P1174" s="0" t="str">
        <f aca="false">IF(E1174=0,"not_reached",IF(AND(F1174&gt;0,G1174=0),"allowed","blocked"))</f>
        <v>allowed</v>
      </c>
      <c r="Q1174" s="0" t="str">
        <f aca="false">IF(C1174="success","published",IF(E1174&gt;0,"blocked_at_gate","failed_before_gate"))</f>
        <v>published</v>
      </c>
      <c r="R1174" s="0" t="str">
        <f aca="false">IF(C1174="success","",IF(E1174&gt;0,IF(I1174="freshness_within_target","freshness",IF(I1174="relationships_intact","relationships",IF(I1174="reconciliation_residual_zero","residual",I1174))),IF(H1174="quality_gate","gate_infra",H1174)))</f>
        <v/>
      </c>
    </row>
    <row r="1175" customFormat="false" ht="15" hidden="false" customHeight="false" outlineLevel="0" collapsed="false">
      <c r="A1175" s="4" t="s">
        <v>3870</v>
      </c>
      <c r="B1175" s="10" t="n">
        <v>46292.84375</v>
      </c>
      <c r="C1175" s="4" t="s">
        <v>1544</v>
      </c>
      <c r="D1175" s="4" t="n">
        <v>695</v>
      </c>
      <c r="E1175" s="4" t="n">
        <v>7</v>
      </c>
      <c r="F1175" s="4" t="n">
        <v>6</v>
      </c>
      <c r="G1175" s="4" t="n">
        <v>0</v>
      </c>
      <c r="J1175" s="11" t="b">
        <f aca="false">TRUE()</f>
        <v>1</v>
      </c>
      <c r="K1175" s="4" t="s">
        <v>3871</v>
      </c>
      <c r="L1175" s="4" t="n">
        <v>4</v>
      </c>
      <c r="M1175" s="4" t="n">
        <v>4</v>
      </c>
      <c r="N1175" s="4" t="n">
        <v>4</v>
      </c>
      <c r="O1175" s="4" t="n">
        <v>4</v>
      </c>
      <c r="P1175" s="0" t="str">
        <f aca="false">IF(E1175=0,"not_reached",IF(AND(F1175&gt;0,G1175=0),"allowed","blocked"))</f>
        <v>allowed</v>
      </c>
      <c r="Q1175" s="0" t="str">
        <f aca="false">IF(C1175="success","published",IF(E1175&gt;0,"blocked_at_gate","failed_before_gate"))</f>
        <v>published</v>
      </c>
      <c r="R1175" s="0" t="str">
        <f aca="false">IF(C1175="success","",IF(E1175&gt;0,IF(I1175="freshness_within_target","freshness",IF(I1175="relationships_intact","relationships",IF(I1175="reconciliation_residual_zero","residual",I1175))),IF(H1175="quality_gate","gate_infra",H1175)))</f>
        <v/>
      </c>
    </row>
    <row r="1176" customFormat="false" ht="15" hidden="false" customHeight="false" outlineLevel="0" collapsed="false">
      <c r="A1176" s="4" t="s">
        <v>3872</v>
      </c>
      <c r="B1176" s="10" t="n">
        <v>46292.8854166667</v>
      </c>
      <c r="C1176" s="4" t="s">
        <v>1544</v>
      </c>
      <c r="D1176" s="4" t="n">
        <v>806</v>
      </c>
      <c r="E1176" s="4" t="n">
        <v>7</v>
      </c>
      <c r="F1176" s="4" t="n">
        <v>6</v>
      </c>
      <c r="G1176" s="4" t="n">
        <v>0</v>
      </c>
      <c r="J1176" s="11" t="b">
        <f aca="false">TRUE()</f>
        <v>1</v>
      </c>
      <c r="K1176" s="4" t="s">
        <v>3873</v>
      </c>
      <c r="L1176" s="4" t="n">
        <v>4</v>
      </c>
      <c r="M1176" s="4" t="n">
        <v>4</v>
      </c>
      <c r="N1176" s="4" t="n">
        <v>4</v>
      </c>
      <c r="O1176" s="4" t="n">
        <v>4</v>
      </c>
      <c r="P1176" s="0" t="str">
        <f aca="false">IF(E1176=0,"not_reached",IF(AND(F1176&gt;0,G1176=0),"allowed","blocked"))</f>
        <v>allowed</v>
      </c>
      <c r="Q1176" s="0" t="str">
        <f aca="false">IF(C1176="success","published",IF(E1176&gt;0,"blocked_at_gate","failed_before_gate"))</f>
        <v>published</v>
      </c>
      <c r="R1176" s="0" t="str">
        <f aca="false">IF(C1176="success","",IF(E1176&gt;0,IF(I1176="freshness_within_target","freshness",IF(I1176="relationships_intact","relationships",IF(I1176="reconciliation_residual_zero","residual",I1176))),IF(H1176="quality_gate","gate_infra",H1176)))</f>
        <v/>
      </c>
    </row>
    <row r="1177" customFormat="false" ht="15" hidden="false" customHeight="false" outlineLevel="0" collapsed="false">
      <c r="A1177" s="4" t="s">
        <v>3874</v>
      </c>
      <c r="B1177" s="10" t="n">
        <v>46292.9270833333</v>
      </c>
      <c r="C1177" s="4" t="s">
        <v>1544</v>
      </c>
      <c r="D1177" s="4" t="n">
        <v>833</v>
      </c>
      <c r="E1177" s="4" t="n">
        <v>7</v>
      </c>
      <c r="F1177" s="4" t="n">
        <v>6</v>
      </c>
      <c r="G1177" s="4" t="n">
        <v>0</v>
      </c>
      <c r="J1177" s="11" t="b">
        <f aca="false">TRUE()</f>
        <v>1</v>
      </c>
      <c r="K1177" s="4" t="s">
        <v>3875</v>
      </c>
      <c r="L1177" s="4" t="n">
        <v>4</v>
      </c>
      <c r="M1177" s="4" t="n">
        <v>4</v>
      </c>
      <c r="N1177" s="4" t="n">
        <v>4</v>
      </c>
      <c r="O1177" s="4" t="n">
        <v>4</v>
      </c>
      <c r="P1177" s="0" t="str">
        <f aca="false">IF(E1177=0,"not_reached",IF(AND(F1177&gt;0,G1177=0),"allowed","blocked"))</f>
        <v>allowed</v>
      </c>
      <c r="Q1177" s="0" t="str">
        <f aca="false">IF(C1177="success","published",IF(E1177&gt;0,"blocked_at_gate","failed_before_gate"))</f>
        <v>published</v>
      </c>
      <c r="R1177" s="0" t="str">
        <f aca="false">IF(C1177="success","",IF(E1177&gt;0,IF(I1177="freshness_within_target","freshness",IF(I1177="relationships_intact","relationships",IF(I1177="reconciliation_residual_zero","residual",I1177))),IF(H1177="quality_gate","gate_infra",H1177)))</f>
        <v/>
      </c>
    </row>
    <row r="1178" customFormat="false" ht="15" hidden="false" customHeight="false" outlineLevel="0" collapsed="false">
      <c r="A1178" s="4" t="s">
        <v>3876</v>
      </c>
      <c r="B1178" s="10" t="n">
        <v>46292.96875</v>
      </c>
      <c r="C1178" s="4" t="s">
        <v>1544</v>
      </c>
      <c r="D1178" s="4" t="n">
        <v>867</v>
      </c>
      <c r="E1178" s="4" t="n">
        <v>7</v>
      </c>
      <c r="F1178" s="4" t="n">
        <v>6</v>
      </c>
      <c r="G1178" s="4" t="n">
        <v>0</v>
      </c>
      <c r="J1178" s="11" t="b">
        <f aca="false">TRUE()</f>
        <v>1</v>
      </c>
      <c r="K1178" s="4" t="s">
        <v>3877</v>
      </c>
      <c r="L1178" s="4" t="n">
        <v>4</v>
      </c>
      <c r="M1178" s="4" t="n">
        <v>4</v>
      </c>
      <c r="N1178" s="4" t="n">
        <v>4</v>
      </c>
      <c r="O1178" s="4" t="n">
        <v>4</v>
      </c>
      <c r="P1178" s="0" t="str">
        <f aca="false">IF(E1178=0,"not_reached",IF(AND(F1178&gt;0,G1178=0),"allowed","blocked"))</f>
        <v>allowed</v>
      </c>
      <c r="Q1178" s="0" t="str">
        <f aca="false">IF(C1178="success","published",IF(E1178&gt;0,"blocked_at_gate","failed_before_gate"))</f>
        <v>published</v>
      </c>
      <c r="R1178" s="0" t="str">
        <f aca="false">IF(C1178="success","",IF(E1178&gt;0,IF(I1178="freshness_within_target","freshness",IF(I1178="relationships_intact","relationships",IF(I1178="reconciliation_residual_zero","residual",I1178))),IF(H1178="quality_gate","gate_infra",H1178)))</f>
        <v/>
      </c>
    </row>
    <row r="1179" customFormat="false" ht="15" hidden="false" customHeight="false" outlineLevel="0" collapsed="false">
      <c r="A1179" s="4" t="s">
        <v>3878</v>
      </c>
      <c r="B1179" s="10" t="n">
        <v>46293.0104166667</v>
      </c>
      <c r="C1179" s="4" t="s">
        <v>1544</v>
      </c>
      <c r="D1179" s="4" t="n">
        <v>706</v>
      </c>
      <c r="E1179" s="4" t="n">
        <v>7</v>
      </c>
      <c r="F1179" s="4" t="n">
        <v>6</v>
      </c>
      <c r="G1179" s="4" t="n">
        <v>0</v>
      </c>
      <c r="J1179" s="11" t="b">
        <f aca="false">TRUE()</f>
        <v>1</v>
      </c>
      <c r="K1179" s="4" t="s">
        <v>3879</v>
      </c>
      <c r="L1179" s="4" t="n">
        <v>4</v>
      </c>
      <c r="M1179" s="4" t="n">
        <v>4</v>
      </c>
      <c r="N1179" s="4" t="n">
        <v>4</v>
      </c>
      <c r="O1179" s="4" t="n">
        <v>4</v>
      </c>
      <c r="P1179" s="0" t="str">
        <f aca="false">IF(E1179=0,"not_reached",IF(AND(F1179&gt;0,G1179=0),"allowed","blocked"))</f>
        <v>allowed</v>
      </c>
      <c r="Q1179" s="0" t="str">
        <f aca="false">IF(C1179="success","published",IF(E1179&gt;0,"blocked_at_gate","failed_before_gate"))</f>
        <v>published</v>
      </c>
      <c r="R1179" s="0" t="str">
        <f aca="false">IF(C1179="success","",IF(E1179&gt;0,IF(I1179="freshness_within_target","freshness",IF(I1179="relationships_intact","relationships",IF(I1179="reconciliation_residual_zero","residual",I1179))),IF(H1179="quality_gate","gate_infra",H1179)))</f>
        <v/>
      </c>
    </row>
    <row r="1180" customFormat="false" ht="15" hidden="false" customHeight="false" outlineLevel="0" collapsed="false">
      <c r="A1180" s="4" t="s">
        <v>3880</v>
      </c>
      <c r="B1180" s="10" t="n">
        <v>46293.0520833333</v>
      </c>
      <c r="C1180" s="4" t="s">
        <v>1544</v>
      </c>
      <c r="D1180" s="4" t="n">
        <v>842</v>
      </c>
      <c r="E1180" s="4" t="n">
        <v>7</v>
      </c>
      <c r="F1180" s="4" t="n">
        <v>6</v>
      </c>
      <c r="G1180" s="4" t="n">
        <v>0</v>
      </c>
      <c r="J1180" s="11" t="b">
        <f aca="false">TRUE()</f>
        <v>1</v>
      </c>
      <c r="K1180" s="4" t="s">
        <v>3881</v>
      </c>
      <c r="L1180" s="4" t="n">
        <v>4</v>
      </c>
      <c r="M1180" s="4" t="n">
        <v>4</v>
      </c>
      <c r="N1180" s="4" t="n">
        <v>4</v>
      </c>
      <c r="O1180" s="4" t="n">
        <v>4</v>
      </c>
      <c r="P1180" s="0" t="str">
        <f aca="false">IF(E1180=0,"not_reached",IF(AND(F1180&gt;0,G1180=0),"allowed","blocked"))</f>
        <v>allowed</v>
      </c>
      <c r="Q1180" s="0" t="str">
        <f aca="false">IF(C1180="success","published",IF(E1180&gt;0,"blocked_at_gate","failed_before_gate"))</f>
        <v>published</v>
      </c>
      <c r="R1180" s="0" t="str">
        <f aca="false">IF(C1180="success","",IF(E1180&gt;0,IF(I1180="freshness_within_target","freshness",IF(I1180="relationships_intact","relationships",IF(I1180="reconciliation_residual_zero","residual",I1180))),IF(H1180="quality_gate","gate_infra",H1180)))</f>
        <v/>
      </c>
    </row>
    <row r="1181" customFormat="false" ht="15" hidden="false" customHeight="false" outlineLevel="0" collapsed="false">
      <c r="A1181" s="4" t="s">
        <v>3882</v>
      </c>
      <c r="B1181" s="10" t="n">
        <v>46293.09375</v>
      </c>
      <c r="C1181" s="4" t="s">
        <v>1544</v>
      </c>
      <c r="D1181" s="4" t="n">
        <v>791</v>
      </c>
      <c r="E1181" s="4" t="n">
        <v>7</v>
      </c>
      <c r="F1181" s="4" t="n">
        <v>6</v>
      </c>
      <c r="G1181" s="4" t="n">
        <v>0</v>
      </c>
      <c r="J1181" s="11" t="b">
        <f aca="false">TRUE()</f>
        <v>1</v>
      </c>
      <c r="K1181" s="4" t="s">
        <v>3883</v>
      </c>
      <c r="L1181" s="4" t="n">
        <v>4</v>
      </c>
      <c r="M1181" s="4" t="n">
        <v>4</v>
      </c>
      <c r="N1181" s="4" t="n">
        <v>4</v>
      </c>
      <c r="O1181" s="4" t="n">
        <v>4</v>
      </c>
      <c r="P1181" s="0" t="str">
        <f aca="false">IF(E1181=0,"not_reached",IF(AND(F1181&gt;0,G1181=0),"allowed","blocked"))</f>
        <v>allowed</v>
      </c>
      <c r="Q1181" s="0" t="str">
        <f aca="false">IF(C1181="success","published",IF(E1181&gt;0,"blocked_at_gate","failed_before_gate"))</f>
        <v>published</v>
      </c>
      <c r="R1181" s="0" t="str">
        <f aca="false">IF(C1181="success","",IF(E1181&gt;0,IF(I1181="freshness_within_target","freshness",IF(I1181="relationships_intact","relationships",IF(I1181="reconciliation_residual_zero","residual",I1181))),IF(H1181="quality_gate","gate_infra",H1181)))</f>
        <v/>
      </c>
    </row>
    <row r="1182" customFormat="false" ht="15" hidden="false" customHeight="false" outlineLevel="0" collapsed="false">
      <c r="A1182" s="4" t="s">
        <v>3884</v>
      </c>
      <c r="B1182" s="10" t="n">
        <v>46293.1354166667</v>
      </c>
      <c r="C1182" s="4" t="s">
        <v>1544</v>
      </c>
      <c r="D1182" s="4" t="n">
        <v>867</v>
      </c>
      <c r="E1182" s="4" t="n">
        <v>7</v>
      </c>
      <c r="F1182" s="4" t="n">
        <v>6</v>
      </c>
      <c r="G1182" s="4" t="n">
        <v>0</v>
      </c>
      <c r="J1182" s="11" t="b">
        <f aca="false">TRUE()</f>
        <v>1</v>
      </c>
      <c r="K1182" s="4" t="s">
        <v>3885</v>
      </c>
      <c r="L1182" s="4" t="n">
        <v>4</v>
      </c>
      <c r="M1182" s="4" t="n">
        <v>4</v>
      </c>
      <c r="N1182" s="4" t="n">
        <v>4</v>
      </c>
      <c r="O1182" s="4" t="n">
        <v>4</v>
      </c>
      <c r="P1182" s="0" t="str">
        <f aca="false">IF(E1182=0,"not_reached",IF(AND(F1182&gt;0,G1182=0),"allowed","blocked"))</f>
        <v>allowed</v>
      </c>
      <c r="Q1182" s="0" t="str">
        <f aca="false">IF(C1182="success","published",IF(E1182&gt;0,"blocked_at_gate","failed_before_gate"))</f>
        <v>published</v>
      </c>
      <c r="R1182" s="0" t="str">
        <f aca="false">IF(C1182="success","",IF(E1182&gt;0,IF(I1182="freshness_within_target","freshness",IF(I1182="relationships_intact","relationships",IF(I1182="reconciliation_residual_zero","residual",I1182))),IF(H1182="quality_gate","gate_infra",H1182)))</f>
        <v/>
      </c>
    </row>
    <row r="1183" customFormat="false" ht="15" hidden="false" customHeight="false" outlineLevel="0" collapsed="false">
      <c r="A1183" s="4" t="s">
        <v>3886</v>
      </c>
      <c r="B1183" s="10" t="n">
        <v>46293.1770833333</v>
      </c>
      <c r="C1183" s="4" t="s">
        <v>1544</v>
      </c>
      <c r="D1183" s="4" t="n">
        <v>898</v>
      </c>
      <c r="E1183" s="4" t="n">
        <v>7</v>
      </c>
      <c r="F1183" s="4" t="n">
        <v>6</v>
      </c>
      <c r="G1183" s="4" t="n">
        <v>0</v>
      </c>
      <c r="J1183" s="11" t="b">
        <f aca="false">TRUE()</f>
        <v>1</v>
      </c>
      <c r="K1183" s="4" t="s">
        <v>3887</v>
      </c>
      <c r="L1183" s="4" t="n">
        <v>4</v>
      </c>
      <c r="M1183" s="4" t="n">
        <v>4</v>
      </c>
      <c r="N1183" s="4" t="n">
        <v>4</v>
      </c>
      <c r="O1183" s="4" t="n">
        <v>4</v>
      </c>
      <c r="P1183" s="0" t="str">
        <f aca="false">IF(E1183=0,"not_reached",IF(AND(F1183&gt;0,G1183=0),"allowed","blocked"))</f>
        <v>allowed</v>
      </c>
      <c r="Q1183" s="0" t="str">
        <f aca="false">IF(C1183="success","published",IF(E1183&gt;0,"blocked_at_gate","failed_before_gate"))</f>
        <v>published</v>
      </c>
      <c r="R1183" s="0" t="str">
        <f aca="false">IF(C1183="success","",IF(E1183&gt;0,IF(I1183="freshness_within_target","freshness",IF(I1183="relationships_intact","relationships",IF(I1183="reconciliation_residual_zero","residual",I1183))),IF(H1183="quality_gate","gate_infra",H1183)))</f>
        <v/>
      </c>
    </row>
    <row r="1184" customFormat="false" ht="15" hidden="false" customHeight="false" outlineLevel="0" collapsed="false">
      <c r="A1184" s="4" t="s">
        <v>3888</v>
      </c>
      <c r="B1184" s="10" t="n">
        <v>46293.21875</v>
      </c>
      <c r="C1184" s="4" t="s">
        <v>1544</v>
      </c>
      <c r="D1184" s="4" t="n">
        <v>815</v>
      </c>
      <c r="E1184" s="4" t="n">
        <v>7</v>
      </c>
      <c r="F1184" s="4" t="n">
        <v>6</v>
      </c>
      <c r="G1184" s="4" t="n">
        <v>0</v>
      </c>
      <c r="J1184" s="11" t="b">
        <f aca="false">TRUE()</f>
        <v>1</v>
      </c>
      <c r="K1184" s="4" t="s">
        <v>3889</v>
      </c>
      <c r="L1184" s="4" t="n">
        <v>4</v>
      </c>
      <c r="M1184" s="4" t="n">
        <v>4</v>
      </c>
      <c r="N1184" s="4" t="n">
        <v>4</v>
      </c>
      <c r="O1184" s="4" t="n">
        <v>4</v>
      </c>
      <c r="P1184" s="0" t="str">
        <f aca="false">IF(E1184=0,"not_reached",IF(AND(F1184&gt;0,G1184=0),"allowed","blocked"))</f>
        <v>allowed</v>
      </c>
      <c r="Q1184" s="0" t="str">
        <f aca="false">IF(C1184="success","published",IF(E1184&gt;0,"blocked_at_gate","failed_before_gate"))</f>
        <v>published</v>
      </c>
      <c r="R1184" s="0" t="str">
        <f aca="false">IF(C1184="success","",IF(E1184&gt;0,IF(I1184="freshness_within_target","freshness",IF(I1184="relationships_intact","relationships",IF(I1184="reconciliation_residual_zero","residual",I1184))),IF(H1184="quality_gate","gate_infra",H1184)))</f>
        <v/>
      </c>
    </row>
    <row r="1185" customFormat="false" ht="15" hidden="false" customHeight="false" outlineLevel="0" collapsed="false">
      <c r="A1185" s="4" t="s">
        <v>3890</v>
      </c>
      <c r="B1185" s="10" t="n">
        <v>46293.2604166667</v>
      </c>
      <c r="C1185" s="4" t="s">
        <v>1544</v>
      </c>
      <c r="D1185" s="4" t="n">
        <v>685</v>
      </c>
      <c r="E1185" s="4" t="n">
        <v>7</v>
      </c>
      <c r="F1185" s="4" t="n">
        <v>6</v>
      </c>
      <c r="G1185" s="4" t="n">
        <v>0</v>
      </c>
      <c r="J1185" s="11" t="b">
        <f aca="false">TRUE()</f>
        <v>1</v>
      </c>
      <c r="K1185" s="4" t="s">
        <v>3891</v>
      </c>
      <c r="L1185" s="4" t="n">
        <v>4</v>
      </c>
      <c r="M1185" s="4" t="n">
        <v>4</v>
      </c>
      <c r="N1185" s="4" t="n">
        <v>4</v>
      </c>
      <c r="O1185" s="4" t="n">
        <v>4</v>
      </c>
      <c r="P1185" s="0" t="str">
        <f aca="false">IF(E1185=0,"not_reached",IF(AND(F1185&gt;0,G1185=0),"allowed","blocked"))</f>
        <v>allowed</v>
      </c>
      <c r="Q1185" s="0" t="str">
        <f aca="false">IF(C1185="success","published",IF(E1185&gt;0,"blocked_at_gate","failed_before_gate"))</f>
        <v>published</v>
      </c>
      <c r="R1185" s="0" t="str">
        <f aca="false">IF(C1185="success","",IF(E1185&gt;0,IF(I1185="freshness_within_target","freshness",IF(I1185="relationships_intact","relationships",IF(I1185="reconciliation_residual_zero","residual",I1185))),IF(H1185="quality_gate","gate_infra",H1185)))</f>
        <v/>
      </c>
    </row>
    <row r="1186" customFormat="false" ht="15" hidden="false" customHeight="false" outlineLevel="0" collapsed="false">
      <c r="A1186" s="4" t="s">
        <v>3892</v>
      </c>
      <c r="B1186" s="10" t="n">
        <v>46293.3020833333</v>
      </c>
      <c r="C1186" s="4" t="s">
        <v>1544</v>
      </c>
      <c r="D1186" s="4" t="n">
        <v>890</v>
      </c>
      <c r="E1186" s="4" t="n">
        <v>7</v>
      </c>
      <c r="F1186" s="4" t="n">
        <v>6</v>
      </c>
      <c r="G1186" s="4" t="n">
        <v>0</v>
      </c>
      <c r="J1186" s="11" t="b">
        <f aca="false">TRUE()</f>
        <v>1</v>
      </c>
      <c r="K1186" s="4" t="s">
        <v>3893</v>
      </c>
      <c r="L1186" s="4" t="n">
        <v>4</v>
      </c>
      <c r="M1186" s="4" t="n">
        <v>4</v>
      </c>
      <c r="N1186" s="4" t="n">
        <v>4</v>
      </c>
      <c r="O1186" s="4" t="n">
        <v>4</v>
      </c>
      <c r="P1186" s="0" t="str">
        <f aca="false">IF(E1186=0,"not_reached",IF(AND(F1186&gt;0,G1186=0),"allowed","blocked"))</f>
        <v>allowed</v>
      </c>
      <c r="Q1186" s="0" t="str">
        <f aca="false">IF(C1186="success","published",IF(E1186&gt;0,"blocked_at_gate","failed_before_gate"))</f>
        <v>published</v>
      </c>
      <c r="R1186" s="0" t="str">
        <f aca="false">IF(C1186="success","",IF(E1186&gt;0,IF(I1186="freshness_within_target","freshness",IF(I1186="relationships_intact","relationships",IF(I1186="reconciliation_residual_zero","residual",I1186))),IF(H1186="quality_gate","gate_infra",H1186)))</f>
        <v/>
      </c>
    </row>
    <row r="1187" customFormat="false" ht="15" hidden="false" customHeight="false" outlineLevel="0" collapsed="false">
      <c r="A1187" s="4" t="s">
        <v>3894</v>
      </c>
      <c r="B1187" s="10" t="n">
        <v>46293.34375</v>
      </c>
      <c r="C1187" s="4" t="s">
        <v>1544</v>
      </c>
      <c r="D1187" s="4" t="n">
        <v>731</v>
      </c>
      <c r="E1187" s="4" t="n">
        <v>7</v>
      </c>
      <c r="F1187" s="4" t="n">
        <v>6</v>
      </c>
      <c r="G1187" s="4" t="n">
        <v>0</v>
      </c>
      <c r="J1187" s="11" t="b">
        <f aca="false">TRUE()</f>
        <v>1</v>
      </c>
      <c r="K1187" s="4" t="s">
        <v>3895</v>
      </c>
      <c r="L1187" s="4" t="n">
        <v>4</v>
      </c>
      <c r="M1187" s="4" t="n">
        <v>4</v>
      </c>
      <c r="N1187" s="4" t="n">
        <v>4</v>
      </c>
      <c r="O1187" s="4" t="n">
        <v>4</v>
      </c>
      <c r="P1187" s="0" t="str">
        <f aca="false">IF(E1187=0,"not_reached",IF(AND(F1187&gt;0,G1187=0),"allowed","blocked"))</f>
        <v>allowed</v>
      </c>
      <c r="Q1187" s="0" t="str">
        <f aca="false">IF(C1187="success","published",IF(E1187&gt;0,"blocked_at_gate","failed_before_gate"))</f>
        <v>published</v>
      </c>
      <c r="R1187" s="0" t="str">
        <f aca="false">IF(C1187="success","",IF(E1187&gt;0,IF(I1187="freshness_within_target","freshness",IF(I1187="relationships_intact","relationships",IF(I1187="reconciliation_residual_zero","residual",I1187))),IF(H1187="quality_gate","gate_infra",H1187)))</f>
        <v/>
      </c>
    </row>
    <row r="1188" customFormat="false" ht="15" hidden="false" customHeight="false" outlineLevel="0" collapsed="false">
      <c r="A1188" s="4" t="s">
        <v>3896</v>
      </c>
      <c r="B1188" s="10" t="n">
        <v>46293.3854166667</v>
      </c>
      <c r="C1188" s="4" t="s">
        <v>1544</v>
      </c>
      <c r="D1188" s="4" t="n">
        <v>820</v>
      </c>
      <c r="E1188" s="4" t="n">
        <v>7</v>
      </c>
      <c r="F1188" s="4" t="n">
        <v>6</v>
      </c>
      <c r="G1188" s="4" t="n">
        <v>0</v>
      </c>
      <c r="J1188" s="11" t="b">
        <f aca="false">TRUE()</f>
        <v>1</v>
      </c>
      <c r="K1188" s="4" t="s">
        <v>3897</v>
      </c>
      <c r="L1188" s="4" t="n">
        <v>4</v>
      </c>
      <c r="M1188" s="4" t="n">
        <v>4</v>
      </c>
      <c r="N1188" s="4" t="n">
        <v>4</v>
      </c>
      <c r="O1188" s="4" t="n">
        <v>4</v>
      </c>
      <c r="P1188" s="0" t="str">
        <f aca="false">IF(E1188=0,"not_reached",IF(AND(F1188&gt;0,G1188=0),"allowed","blocked"))</f>
        <v>allowed</v>
      </c>
      <c r="Q1188" s="0" t="str">
        <f aca="false">IF(C1188="success","published",IF(E1188&gt;0,"blocked_at_gate","failed_before_gate"))</f>
        <v>published</v>
      </c>
      <c r="R1188" s="0" t="str">
        <f aca="false">IF(C1188="success","",IF(E1188&gt;0,IF(I1188="freshness_within_target","freshness",IF(I1188="relationships_intact","relationships",IF(I1188="reconciliation_residual_zero","residual",I1188))),IF(H1188="quality_gate","gate_infra",H1188)))</f>
        <v/>
      </c>
    </row>
    <row r="1189" customFormat="false" ht="15" hidden="false" customHeight="false" outlineLevel="0" collapsed="false">
      <c r="A1189" s="4" t="s">
        <v>3898</v>
      </c>
      <c r="B1189" s="10" t="n">
        <v>46293.4270833333</v>
      </c>
      <c r="C1189" s="4" t="s">
        <v>1544</v>
      </c>
      <c r="D1189" s="4" t="n">
        <v>723</v>
      </c>
      <c r="E1189" s="4" t="n">
        <v>7</v>
      </c>
      <c r="F1189" s="4" t="n">
        <v>6</v>
      </c>
      <c r="G1189" s="4" t="n">
        <v>0</v>
      </c>
      <c r="J1189" s="11" t="b">
        <f aca="false">TRUE()</f>
        <v>1</v>
      </c>
      <c r="K1189" s="4" t="s">
        <v>3899</v>
      </c>
      <c r="L1189" s="4" t="n">
        <v>4</v>
      </c>
      <c r="M1189" s="4" t="n">
        <v>4</v>
      </c>
      <c r="N1189" s="4" t="n">
        <v>4</v>
      </c>
      <c r="O1189" s="4" t="n">
        <v>4</v>
      </c>
      <c r="P1189" s="0" t="str">
        <f aca="false">IF(E1189=0,"not_reached",IF(AND(F1189&gt;0,G1189=0),"allowed","blocked"))</f>
        <v>allowed</v>
      </c>
      <c r="Q1189" s="0" t="str">
        <f aca="false">IF(C1189="success","published",IF(E1189&gt;0,"blocked_at_gate","failed_before_gate"))</f>
        <v>published</v>
      </c>
      <c r="R1189" s="0" t="str">
        <f aca="false">IF(C1189="success","",IF(E1189&gt;0,IF(I1189="freshness_within_target","freshness",IF(I1189="relationships_intact","relationships",IF(I1189="reconciliation_residual_zero","residual",I1189))),IF(H1189="quality_gate","gate_infra",H1189)))</f>
        <v/>
      </c>
    </row>
    <row r="1190" customFormat="false" ht="15" hidden="false" customHeight="false" outlineLevel="0" collapsed="false">
      <c r="A1190" s="4" t="s">
        <v>3900</v>
      </c>
      <c r="B1190" s="10" t="n">
        <v>46293.46875</v>
      </c>
      <c r="C1190" s="4" t="s">
        <v>1901</v>
      </c>
      <c r="D1190" s="4" t="n">
        <v>582</v>
      </c>
      <c r="E1190" s="4" t="n">
        <v>7</v>
      </c>
      <c r="F1190" s="4" t="n">
        <v>6</v>
      </c>
      <c r="G1190" s="4" t="n">
        <v>1</v>
      </c>
      <c r="H1190" s="4" t="s">
        <v>1954</v>
      </c>
      <c r="I1190" s="4" t="s">
        <v>3092</v>
      </c>
      <c r="J1190" s="11" t="b">
        <f aca="false">FALSE()</f>
        <v>0</v>
      </c>
      <c r="L1190" s="4" t="n">
        <v>3</v>
      </c>
      <c r="M1190" s="4" t="n">
        <v>2</v>
      </c>
      <c r="N1190" s="4" t="n">
        <v>3</v>
      </c>
      <c r="O1190" s="4" t="n">
        <v>2</v>
      </c>
      <c r="P1190" s="0" t="str">
        <f aca="false">IF(E1190=0,"not_reached",IF(AND(F1190&gt;0,G1190=0),"allowed","blocked"))</f>
        <v>blocked</v>
      </c>
      <c r="Q1190" s="0" t="str">
        <f aca="false">IF(C1190="success","published",IF(E1190&gt;0,"blocked_at_gate","failed_before_gate"))</f>
        <v>blocked_at_gate</v>
      </c>
      <c r="R1190" s="0" t="str">
        <f aca="false">IF(C1190="success","",IF(E1190&gt;0,IF(I1190="freshness_within_target","freshness",IF(I1190="relationships_intact","relationships",IF(I1190="reconciliation_residual_zero","residual",I1190))),IF(H1190="quality_gate","gate_infra",H1190)))</f>
        <v>relationships</v>
      </c>
    </row>
    <row r="1191" customFormat="false" ht="15" hidden="false" customHeight="false" outlineLevel="0" collapsed="false">
      <c r="A1191" s="4" t="s">
        <v>3901</v>
      </c>
      <c r="B1191" s="10" t="n">
        <v>46293.5104166667</v>
      </c>
      <c r="C1191" s="4" t="s">
        <v>1544</v>
      </c>
      <c r="D1191" s="4" t="n">
        <v>1055</v>
      </c>
      <c r="E1191" s="4" t="n">
        <v>7</v>
      </c>
      <c r="F1191" s="4" t="n">
        <v>6</v>
      </c>
      <c r="G1191" s="4" t="n">
        <v>0</v>
      </c>
      <c r="J1191" s="11" t="b">
        <f aca="false">TRUE()</f>
        <v>1</v>
      </c>
      <c r="K1191" s="4" t="s">
        <v>3902</v>
      </c>
      <c r="L1191" s="4" t="n">
        <v>4</v>
      </c>
      <c r="M1191" s="4" t="n">
        <v>4</v>
      </c>
      <c r="N1191" s="4" t="n">
        <v>5</v>
      </c>
      <c r="O1191" s="4" t="n">
        <v>4</v>
      </c>
      <c r="P1191" s="0" t="str">
        <f aca="false">IF(E1191=0,"not_reached",IF(AND(F1191&gt;0,G1191=0),"allowed","blocked"))</f>
        <v>allowed</v>
      </c>
      <c r="Q1191" s="0" t="str">
        <f aca="false">IF(C1191="success","published",IF(E1191&gt;0,"blocked_at_gate","failed_before_gate"))</f>
        <v>published</v>
      </c>
      <c r="R1191" s="0" t="str">
        <f aca="false">IF(C1191="success","",IF(E1191&gt;0,IF(I1191="freshness_within_target","freshness",IF(I1191="relationships_intact","relationships",IF(I1191="reconciliation_residual_zero","residual",I1191))),IF(H1191="quality_gate","gate_infra",H1191)))</f>
        <v/>
      </c>
    </row>
    <row r="1192" customFormat="false" ht="15" hidden="false" customHeight="false" outlineLevel="0" collapsed="false">
      <c r="A1192" s="4" t="s">
        <v>3903</v>
      </c>
      <c r="B1192" s="10" t="n">
        <v>46293.5520833333</v>
      </c>
      <c r="C1192" s="4" t="s">
        <v>1544</v>
      </c>
      <c r="D1192" s="4" t="n">
        <v>670</v>
      </c>
      <c r="E1192" s="4" t="n">
        <v>7</v>
      </c>
      <c r="F1192" s="4" t="n">
        <v>6</v>
      </c>
      <c r="G1192" s="4" t="n">
        <v>0</v>
      </c>
      <c r="J1192" s="11" t="b">
        <f aca="false">TRUE()</f>
        <v>1</v>
      </c>
      <c r="K1192" s="4" t="s">
        <v>3904</v>
      </c>
      <c r="L1192" s="4" t="n">
        <v>4</v>
      </c>
      <c r="M1192" s="4" t="n">
        <v>4</v>
      </c>
      <c r="N1192" s="4" t="n">
        <v>4</v>
      </c>
      <c r="O1192" s="4" t="n">
        <v>4</v>
      </c>
      <c r="P1192" s="0" t="str">
        <f aca="false">IF(E1192=0,"not_reached",IF(AND(F1192&gt;0,G1192=0),"allowed","blocked"))</f>
        <v>allowed</v>
      </c>
      <c r="Q1192" s="0" t="str">
        <f aca="false">IF(C1192="success","published",IF(E1192&gt;0,"blocked_at_gate","failed_before_gate"))</f>
        <v>published</v>
      </c>
      <c r="R1192" s="0" t="str">
        <f aca="false">IF(C1192="success","",IF(E1192&gt;0,IF(I1192="freshness_within_target","freshness",IF(I1192="relationships_intact","relationships",IF(I1192="reconciliation_residual_zero","residual",I1192))),IF(H1192="quality_gate","gate_infra",H1192)))</f>
        <v/>
      </c>
    </row>
    <row r="1193" customFormat="false" ht="15" hidden="false" customHeight="false" outlineLevel="0" collapsed="false">
      <c r="A1193" s="4" t="s">
        <v>3905</v>
      </c>
      <c r="B1193" s="10" t="n">
        <v>46293.59375</v>
      </c>
      <c r="C1193" s="4" t="s">
        <v>1544</v>
      </c>
      <c r="D1193" s="4" t="n">
        <v>745</v>
      </c>
      <c r="E1193" s="4" t="n">
        <v>7</v>
      </c>
      <c r="F1193" s="4" t="n">
        <v>6</v>
      </c>
      <c r="G1193" s="4" t="n">
        <v>0</v>
      </c>
      <c r="J1193" s="11" t="b">
        <f aca="false">TRUE()</f>
        <v>1</v>
      </c>
      <c r="K1193" s="4" t="s">
        <v>3906</v>
      </c>
      <c r="L1193" s="4" t="n">
        <v>4</v>
      </c>
      <c r="M1193" s="4" t="n">
        <v>4</v>
      </c>
      <c r="N1193" s="4" t="n">
        <v>4</v>
      </c>
      <c r="O1193" s="4" t="n">
        <v>4</v>
      </c>
      <c r="P1193" s="0" t="str">
        <f aca="false">IF(E1193=0,"not_reached",IF(AND(F1193&gt;0,G1193=0),"allowed","blocked"))</f>
        <v>allowed</v>
      </c>
      <c r="Q1193" s="0" t="str">
        <f aca="false">IF(C1193="success","published",IF(E1193&gt;0,"blocked_at_gate","failed_before_gate"))</f>
        <v>published</v>
      </c>
      <c r="R1193" s="0" t="str">
        <f aca="false">IF(C1193="success","",IF(E1193&gt;0,IF(I1193="freshness_within_target","freshness",IF(I1193="relationships_intact","relationships",IF(I1193="reconciliation_residual_zero","residual",I1193))),IF(H1193="quality_gate","gate_infra",H1193)))</f>
        <v/>
      </c>
    </row>
    <row r="1194" customFormat="false" ht="15" hidden="false" customHeight="false" outlineLevel="0" collapsed="false">
      <c r="A1194" s="4" t="s">
        <v>3907</v>
      </c>
      <c r="B1194" s="10" t="n">
        <v>46293.6354166667</v>
      </c>
      <c r="C1194" s="4" t="s">
        <v>1544</v>
      </c>
      <c r="D1194" s="4" t="n">
        <v>802</v>
      </c>
      <c r="E1194" s="4" t="n">
        <v>7</v>
      </c>
      <c r="F1194" s="4" t="n">
        <v>6</v>
      </c>
      <c r="G1194" s="4" t="n">
        <v>0</v>
      </c>
      <c r="J1194" s="11" t="b">
        <f aca="false">TRUE()</f>
        <v>1</v>
      </c>
      <c r="K1194" s="4" t="s">
        <v>3908</v>
      </c>
      <c r="L1194" s="4" t="n">
        <v>4</v>
      </c>
      <c r="M1194" s="4" t="n">
        <v>4</v>
      </c>
      <c r="N1194" s="4" t="n">
        <v>4</v>
      </c>
      <c r="O1194" s="4" t="n">
        <v>4</v>
      </c>
      <c r="P1194" s="0" t="str">
        <f aca="false">IF(E1194=0,"not_reached",IF(AND(F1194&gt;0,G1194=0),"allowed","blocked"))</f>
        <v>allowed</v>
      </c>
      <c r="Q1194" s="0" t="str">
        <f aca="false">IF(C1194="success","published",IF(E1194&gt;0,"blocked_at_gate","failed_before_gate"))</f>
        <v>published</v>
      </c>
      <c r="R1194" s="0" t="str">
        <f aca="false">IF(C1194="success","",IF(E1194&gt;0,IF(I1194="freshness_within_target","freshness",IF(I1194="relationships_intact","relationships",IF(I1194="reconciliation_residual_zero","residual",I1194))),IF(H1194="quality_gate","gate_infra",H1194)))</f>
        <v/>
      </c>
    </row>
    <row r="1195" customFormat="false" ht="15" hidden="false" customHeight="false" outlineLevel="0" collapsed="false">
      <c r="A1195" s="4" t="s">
        <v>3909</v>
      </c>
      <c r="B1195" s="10" t="n">
        <v>46293.6770833333</v>
      </c>
      <c r="C1195" s="4" t="s">
        <v>1544</v>
      </c>
      <c r="D1195" s="4" t="n">
        <v>861</v>
      </c>
      <c r="E1195" s="4" t="n">
        <v>7</v>
      </c>
      <c r="F1195" s="4" t="n">
        <v>6</v>
      </c>
      <c r="G1195" s="4" t="n">
        <v>0</v>
      </c>
      <c r="J1195" s="11" t="b">
        <f aca="false">TRUE()</f>
        <v>1</v>
      </c>
      <c r="K1195" s="4" t="s">
        <v>3910</v>
      </c>
      <c r="L1195" s="4" t="n">
        <v>4</v>
      </c>
      <c r="M1195" s="4" t="n">
        <v>4</v>
      </c>
      <c r="N1195" s="4" t="n">
        <v>4</v>
      </c>
      <c r="O1195" s="4" t="n">
        <v>4</v>
      </c>
      <c r="P1195" s="0" t="str">
        <f aca="false">IF(E1195=0,"not_reached",IF(AND(F1195&gt;0,G1195=0),"allowed","blocked"))</f>
        <v>allowed</v>
      </c>
      <c r="Q1195" s="0" t="str">
        <f aca="false">IF(C1195="success","published",IF(E1195&gt;0,"blocked_at_gate","failed_before_gate"))</f>
        <v>published</v>
      </c>
      <c r="R1195" s="0" t="str">
        <f aca="false">IF(C1195="success","",IF(E1195&gt;0,IF(I1195="freshness_within_target","freshness",IF(I1195="relationships_intact","relationships",IF(I1195="reconciliation_residual_zero","residual",I1195))),IF(H1195="quality_gate","gate_infra",H1195)))</f>
        <v/>
      </c>
    </row>
    <row r="1196" customFormat="false" ht="15" hidden="false" customHeight="false" outlineLevel="0" collapsed="false">
      <c r="A1196" s="4" t="s">
        <v>3911</v>
      </c>
      <c r="B1196" s="10" t="n">
        <v>46293.71875</v>
      </c>
      <c r="C1196" s="4" t="s">
        <v>1544</v>
      </c>
      <c r="D1196" s="4" t="n">
        <v>930</v>
      </c>
      <c r="E1196" s="4" t="n">
        <v>7</v>
      </c>
      <c r="F1196" s="4" t="n">
        <v>6</v>
      </c>
      <c r="G1196" s="4" t="n">
        <v>0</v>
      </c>
      <c r="J1196" s="11" t="b">
        <f aca="false">TRUE()</f>
        <v>1</v>
      </c>
      <c r="K1196" s="4" t="s">
        <v>3912</v>
      </c>
      <c r="L1196" s="4" t="n">
        <v>4</v>
      </c>
      <c r="M1196" s="4" t="n">
        <v>4</v>
      </c>
      <c r="N1196" s="4" t="n">
        <v>4</v>
      </c>
      <c r="O1196" s="4" t="n">
        <v>4</v>
      </c>
      <c r="P1196" s="0" t="str">
        <f aca="false">IF(E1196=0,"not_reached",IF(AND(F1196&gt;0,G1196=0),"allowed","blocked"))</f>
        <v>allowed</v>
      </c>
      <c r="Q1196" s="0" t="str">
        <f aca="false">IF(C1196="success","published",IF(E1196&gt;0,"blocked_at_gate","failed_before_gate"))</f>
        <v>published</v>
      </c>
      <c r="R1196" s="0" t="str">
        <f aca="false">IF(C1196="success","",IF(E1196&gt;0,IF(I1196="freshness_within_target","freshness",IF(I1196="relationships_intact","relationships",IF(I1196="reconciliation_residual_zero","residual",I1196))),IF(H1196="quality_gate","gate_infra",H1196)))</f>
        <v/>
      </c>
    </row>
    <row r="1197" customFormat="false" ht="15" hidden="false" customHeight="false" outlineLevel="0" collapsed="false">
      <c r="A1197" s="4" t="s">
        <v>3913</v>
      </c>
      <c r="B1197" s="10" t="n">
        <v>46293.7604166667</v>
      </c>
      <c r="C1197" s="4" t="s">
        <v>1544</v>
      </c>
      <c r="D1197" s="4" t="n">
        <v>952</v>
      </c>
      <c r="E1197" s="4" t="n">
        <v>7</v>
      </c>
      <c r="F1197" s="4" t="n">
        <v>6</v>
      </c>
      <c r="G1197" s="4" t="n">
        <v>0</v>
      </c>
      <c r="J1197" s="11" t="b">
        <f aca="false">TRUE()</f>
        <v>1</v>
      </c>
      <c r="K1197" s="4" t="s">
        <v>3914</v>
      </c>
      <c r="L1197" s="4" t="n">
        <v>4</v>
      </c>
      <c r="M1197" s="4" t="n">
        <v>4</v>
      </c>
      <c r="N1197" s="4" t="n">
        <v>4</v>
      </c>
      <c r="O1197" s="4" t="n">
        <v>4</v>
      </c>
      <c r="P1197" s="0" t="str">
        <f aca="false">IF(E1197=0,"not_reached",IF(AND(F1197&gt;0,G1197=0),"allowed","blocked"))</f>
        <v>allowed</v>
      </c>
      <c r="Q1197" s="0" t="str">
        <f aca="false">IF(C1197="success","published",IF(E1197&gt;0,"blocked_at_gate","failed_before_gate"))</f>
        <v>published</v>
      </c>
      <c r="R1197" s="0" t="str">
        <f aca="false">IF(C1197="success","",IF(E1197&gt;0,IF(I1197="freshness_within_target","freshness",IF(I1197="relationships_intact","relationships",IF(I1197="reconciliation_residual_zero","residual",I1197))),IF(H1197="quality_gate","gate_infra",H1197)))</f>
        <v/>
      </c>
    </row>
    <row r="1198" customFormat="false" ht="15" hidden="false" customHeight="false" outlineLevel="0" collapsed="false">
      <c r="A1198" s="4" t="s">
        <v>3915</v>
      </c>
      <c r="B1198" s="10" t="n">
        <v>46293.8020833333</v>
      </c>
      <c r="C1198" s="4" t="s">
        <v>1544</v>
      </c>
      <c r="D1198" s="4" t="n">
        <v>1077</v>
      </c>
      <c r="E1198" s="4" t="n">
        <v>7</v>
      </c>
      <c r="F1198" s="4" t="n">
        <v>6</v>
      </c>
      <c r="G1198" s="4" t="n">
        <v>0</v>
      </c>
      <c r="J1198" s="11" t="b">
        <f aca="false">TRUE()</f>
        <v>1</v>
      </c>
      <c r="K1198" s="4" t="s">
        <v>3916</v>
      </c>
      <c r="L1198" s="4" t="n">
        <v>4</v>
      </c>
      <c r="M1198" s="4" t="n">
        <v>4</v>
      </c>
      <c r="N1198" s="4" t="n">
        <v>5</v>
      </c>
      <c r="O1198" s="4" t="n">
        <v>4</v>
      </c>
      <c r="P1198" s="0" t="str">
        <f aca="false">IF(E1198=0,"not_reached",IF(AND(F1198&gt;0,G1198=0),"allowed","blocked"))</f>
        <v>allowed</v>
      </c>
      <c r="Q1198" s="0" t="str">
        <f aca="false">IF(C1198="success","published",IF(E1198&gt;0,"blocked_at_gate","failed_before_gate"))</f>
        <v>published</v>
      </c>
      <c r="R1198" s="0" t="str">
        <f aca="false">IF(C1198="success","",IF(E1198&gt;0,IF(I1198="freshness_within_target","freshness",IF(I1198="relationships_intact","relationships",IF(I1198="reconciliation_residual_zero","residual",I1198))),IF(H1198="quality_gate","gate_infra",H1198)))</f>
        <v/>
      </c>
    </row>
    <row r="1199" customFormat="false" ht="15" hidden="false" customHeight="false" outlineLevel="0" collapsed="false">
      <c r="A1199" s="4" t="s">
        <v>3917</v>
      </c>
      <c r="B1199" s="10" t="n">
        <v>46293.84375</v>
      </c>
      <c r="C1199" s="4" t="s">
        <v>1544</v>
      </c>
      <c r="D1199" s="4" t="n">
        <v>843</v>
      </c>
      <c r="E1199" s="4" t="n">
        <v>7</v>
      </c>
      <c r="F1199" s="4" t="n">
        <v>6</v>
      </c>
      <c r="G1199" s="4" t="n">
        <v>0</v>
      </c>
      <c r="J1199" s="11" t="b">
        <f aca="false">TRUE()</f>
        <v>1</v>
      </c>
      <c r="K1199" s="4" t="s">
        <v>3918</v>
      </c>
      <c r="L1199" s="4" t="n">
        <v>4</v>
      </c>
      <c r="M1199" s="4" t="n">
        <v>4</v>
      </c>
      <c r="N1199" s="4" t="n">
        <v>4</v>
      </c>
      <c r="O1199" s="4" t="n">
        <v>4</v>
      </c>
      <c r="P1199" s="0" t="str">
        <f aca="false">IF(E1199=0,"not_reached",IF(AND(F1199&gt;0,G1199=0),"allowed","blocked"))</f>
        <v>allowed</v>
      </c>
      <c r="Q1199" s="0" t="str">
        <f aca="false">IF(C1199="success","published",IF(E1199&gt;0,"blocked_at_gate","failed_before_gate"))</f>
        <v>published</v>
      </c>
      <c r="R1199" s="0" t="str">
        <f aca="false">IF(C1199="success","",IF(E1199&gt;0,IF(I1199="freshness_within_target","freshness",IF(I1199="relationships_intact","relationships",IF(I1199="reconciliation_residual_zero","residual",I1199))),IF(H1199="quality_gate","gate_infra",H1199)))</f>
        <v/>
      </c>
    </row>
    <row r="1200" customFormat="false" ht="15" hidden="false" customHeight="false" outlineLevel="0" collapsed="false">
      <c r="A1200" s="4" t="s">
        <v>3919</v>
      </c>
      <c r="B1200" s="10" t="n">
        <v>46293.8854166667</v>
      </c>
      <c r="C1200" s="4" t="s">
        <v>1544</v>
      </c>
      <c r="D1200" s="4" t="n">
        <v>679</v>
      </c>
      <c r="E1200" s="4" t="n">
        <v>7</v>
      </c>
      <c r="F1200" s="4" t="n">
        <v>6</v>
      </c>
      <c r="G1200" s="4" t="n">
        <v>0</v>
      </c>
      <c r="J1200" s="11" t="b">
        <f aca="false">TRUE()</f>
        <v>1</v>
      </c>
      <c r="K1200" s="4" t="s">
        <v>3920</v>
      </c>
      <c r="L1200" s="4" t="n">
        <v>4</v>
      </c>
      <c r="M1200" s="4" t="n">
        <v>4</v>
      </c>
      <c r="N1200" s="4" t="n">
        <v>4</v>
      </c>
      <c r="O1200" s="4" t="n">
        <v>4</v>
      </c>
      <c r="P1200" s="0" t="str">
        <f aca="false">IF(E1200=0,"not_reached",IF(AND(F1200&gt;0,G1200=0),"allowed","blocked"))</f>
        <v>allowed</v>
      </c>
      <c r="Q1200" s="0" t="str">
        <f aca="false">IF(C1200="success","published",IF(E1200&gt;0,"blocked_at_gate","failed_before_gate"))</f>
        <v>published</v>
      </c>
      <c r="R1200" s="0" t="str">
        <f aca="false">IF(C1200="success","",IF(E1200&gt;0,IF(I1200="freshness_within_target","freshness",IF(I1200="relationships_intact","relationships",IF(I1200="reconciliation_residual_zero","residual",I1200))),IF(H1200="quality_gate","gate_infra",H1200)))</f>
        <v/>
      </c>
    </row>
    <row r="1201" customFormat="false" ht="15" hidden="false" customHeight="false" outlineLevel="0" collapsed="false">
      <c r="A1201" s="4" t="s">
        <v>3921</v>
      </c>
      <c r="B1201" s="10" t="n">
        <v>46293.9270833333</v>
      </c>
      <c r="C1201" s="4" t="s">
        <v>1544</v>
      </c>
      <c r="D1201" s="4" t="n">
        <v>900</v>
      </c>
      <c r="E1201" s="4" t="n">
        <v>7</v>
      </c>
      <c r="F1201" s="4" t="n">
        <v>6</v>
      </c>
      <c r="G1201" s="4" t="n">
        <v>0</v>
      </c>
      <c r="J1201" s="11" t="b">
        <f aca="false">TRUE()</f>
        <v>1</v>
      </c>
      <c r="K1201" s="4" t="s">
        <v>3922</v>
      </c>
      <c r="L1201" s="4" t="n">
        <v>4</v>
      </c>
      <c r="M1201" s="4" t="n">
        <v>4</v>
      </c>
      <c r="N1201" s="4" t="n">
        <v>4</v>
      </c>
      <c r="O1201" s="4" t="n">
        <v>4</v>
      </c>
      <c r="P1201" s="0" t="str">
        <f aca="false">IF(E1201=0,"not_reached",IF(AND(F1201&gt;0,G1201=0),"allowed","blocked"))</f>
        <v>allowed</v>
      </c>
      <c r="Q1201" s="0" t="str">
        <f aca="false">IF(C1201="success","published",IF(E1201&gt;0,"blocked_at_gate","failed_before_gate"))</f>
        <v>published</v>
      </c>
      <c r="R1201" s="0" t="str">
        <f aca="false">IF(C1201="success","",IF(E1201&gt;0,IF(I1201="freshness_within_target","freshness",IF(I1201="relationships_intact","relationships",IF(I1201="reconciliation_residual_zero","residual",I1201))),IF(H1201="quality_gate","gate_infra",H1201)))</f>
        <v/>
      </c>
    </row>
    <row r="1202" customFormat="false" ht="15" hidden="false" customHeight="false" outlineLevel="0" collapsed="false">
      <c r="A1202" s="4" t="s">
        <v>3923</v>
      </c>
      <c r="B1202" s="10" t="n">
        <v>46293.96875</v>
      </c>
      <c r="C1202" s="4" t="s">
        <v>1544</v>
      </c>
      <c r="D1202" s="4" t="n">
        <v>710</v>
      </c>
      <c r="E1202" s="4" t="n">
        <v>7</v>
      </c>
      <c r="F1202" s="4" t="n">
        <v>6</v>
      </c>
      <c r="G1202" s="4" t="n">
        <v>0</v>
      </c>
      <c r="J1202" s="11" t="b">
        <f aca="false">TRUE()</f>
        <v>1</v>
      </c>
      <c r="K1202" s="4" t="s">
        <v>3924</v>
      </c>
      <c r="L1202" s="4" t="n">
        <v>4</v>
      </c>
      <c r="M1202" s="4" t="n">
        <v>4</v>
      </c>
      <c r="N1202" s="4" t="n">
        <v>4</v>
      </c>
      <c r="O1202" s="4" t="n">
        <v>4</v>
      </c>
      <c r="P1202" s="0" t="str">
        <f aca="false">IF(E1202=0,"not_reached",IF(AND(F1202&gt;0,G1202=0),"allowed","blocked"))</f>
        <v>allowed</v>
      </c>
      <c r="Q1202" s="0" t="str">
        <f aca="false">IF(C1202="success","published",IF(E1202&gt;0,"blocked_at_gate","failed_before_gate"))</f>
        <v>published</v>
      </c>
      <c r="R1202" s="0" t="str">
        <f aca="false">IF(C1202="success","",IF(E1202&gt;0,IF(I1202="freshness_within_target","freshness",IF(I1202="relationships_intact","relationships",IF(I1202="reconciliation_residual_zero","residual",I1202))),IF(H1202="quality_gate","gate_infra",H1202)))</f>
        <v/>
      </c>
    </row>
    <row r="1203" customFormat="false" ht="15" hidden="false" customHeight="false" outlineLevel="0" collapsed="false">
      <c r="A1203" s="4" t="s">
        <v>3925</v>
      </c>
      <c r="B1203" s="10" t="n">
        <v>46294.0104166667</v>
      </c>
      <c r="C1203" s="4" t="s">
        <v>1544</v>
      </c>
      <c r="D1203" s="4" t="n">
        <v>862</v>
      </c>
      <c r="E1203" s="4" t="n">
        <v>7</v>
      </c>
      <c r="F1203" s="4" t="n">
        <v>6</v>
      </c>
      <c r="G1203" s="4" t="n">
        <v>0</v>
      </c>
      <c r="J1203" s="11" t="b">
        <f aca="false">TRUE()</f>
        <v>1</v>
      </c>
      <c r="K1203" s="4" t="s">
        <v>3926</v>
      </c>
      <c r="L1203" s="4" t="n">
        <v>4</v>
      </c>
      <c r="M1203" s="4" t="n">
        <v>4</v>
      </c>
      <c r="N1203" s="4" t="n">
        <v>4</v>
      </c>
      <c r="O1203" s="4" t="n">
        <v>4</v>
      </c>
      <c r="P1203" s="0" t="str">
        <f aca="false">IF(E1203=0,"not_reached",IF(AND(F1203&gt;0,G1203=0),"allowed","blocked"))</f>
        <v>allowed</v>
      </c>
      <c r="Q1203" s="0" t="str">
        <f aca="false">IF(C1203="success","published",IF(E1203&gt;0,"blocked_at_gate","failed_before_gate"))</f>
        <v>published</v>
      </c>
      <c r="R1203" s="0" t="str">
        <f aca="false">IF(C1203="success","",IF(E1203&gt;0,IF(I1203="freshness_within_target","freshness",IF(I1203="relationships_intact","relationships",IF(I1203="reconciliation_residual_zero","residual",I1203))),IF(H1203="quality_gate","gate_infra",H1203)))</f>
        <v/>
      </c>
    </row>
    <row r="1204" customFormat="false" ht="15" hidden="false" customHeight="false" outlineLevel="0" collapsed="false">
      <c r="A1204" s="4" t="s">
        <v>3927</v>
      </c>
      <c r="B1204" s="10" t="n">
        <v>46294.0520833333</v>
      </c>
      <c r="C1204" s="4" t="s">
        <v>1544</v>
      </c>
      <c r="D1204" s="4" t="n">
        <v>954</v>
      </c>
      <c r="E1204" s="4" t="n">
        <v>7</v>
      </c>
      <c r="F1204" s="4" t="n">
        <v>6</v>
      </c>
      <c r="G1204" s="4" t="n">
        <v>0</v>
      </c>
      <c r="J1204" s="11" t="b">
        <f aca="false">TRUE()</f>
        <v>1</v>
      </c>
      <c r="K1204" s="4" t="s">
        <v>3928</v>
      </c>
      <c r="L1204" s="4" t="n">
        <v>4</v>
      </c>
      <c r="M1204" s="4" t="n">
        <v>4</v>
      </c>
      <c r="N1204" s="4" t="n">
        <v>4</v>
      </c>
      <c r="O1204" s="4" t="n">
        <v>4</v>
      </c>
      <c r="P1204" s="0" t="str">
        <f aca="false">IF(E1204=0,"not_reached",IF(AND(F1204&gt;0,G1204=0),"allowed","blocked"))</f>
        <v>allowed</v>
      </c>
      <c r="Q1204" s="0" t="str">
        <f aca="false">IF(C1204="success","published",IF(E1204&gt;0,"blocked_at_gate","failed_before_gate"))</f>
        <v>published</v>
      </c>
      <c r="R1204" s="0" t="str">
        <f aca="false">IF(C1204="success","",IF(E1204&gt;0,IF(I1204="freshness_within_target","freshness",IF(I1204="relationships_intact","relationships",IF(I1204="reconciliation_residual_zero","residual",I1204))),IF(H1204="quality_gate","gate_infra",H1204)))</f>
        <v/>
      </c>
    </row>
    <row r="1205" customFormat="false" ht="15" hidden="false" customHeight="false" outlineLevel="0" collapsed="false">
      <c r="A1205" s="4" t="s">
        <v>3929</v>
      </c>
      <c r="B1205" s="10" t="n">
        <v>46294.09375</v>
      </c>
      <c r="C1205" s="4" t="s">
        <v>1544</v>
      </c>
      <c r="D1205" s="4" t="n">
        <v>897</v>
      </c>
      <c r="E1205" s="4" t="n">
        <v>7</v>
      </c>
      <c r="F1205" s="4" t="n">
        <v>6</v>
      </c>
      <c r="G1205" s="4" t="n">
        <v>0</v>
      </c>
      <c r="J1205" s="11" t="b">
        <f aca="false">TRUE()</f>
        <v>1</v>
      </c>
      <c r="K1205" s="4" t="s">
        <v>3930</v>
      </c>
      <c r="L1205" s="4" t="n">
        <v>4</v>
      </c>
      <c r="M1205" s="4" t="n">
        <v>4</v>
      </c>
      <c r="N1205" s="4" t="n">
        <v>4</v>
      </c>
      <c r="O1205" s="4" t="n">
        <v>4</v>
      </c>
      <c r="P1205" s="0" t="str">
        <f aca="false">IF(E1205=0,"not_reached",IF(AND(F1205&gt;0,G1205=0),"allowed","blocked"))</f>
        <v>allowed</v>
      </c>
      <c r="Q1205" s="0" t="str">
        <f aca="false">IF(C1205="success","published",IF(E1205&gt;0,"blocked_at_gate","failed_before_gate"))</f>
        <v>published</v>
      </c>
      <c r="R1205" s="0" t="str">
        <f aca="false">IF(C1205="success","",IF(E1205&gt;0,IF(I1205="freshness_within_target","freshness",IF(I1205="relationships_intact","relationships",IF(I1205="reconciliation_residual_zero","residual",I1205))),IF(H1205="quality_gate","gate_infra",H1205)))</f>
        <v/>
      </c>
    </row>
    <row r="1206" customFormat="false" ht="15" hidden="false" customHeight="false" outlineLevel="0" collapsed="false">
      <c r="A1206" s="4" t="s">
        <v>3931</v>
      </c>
      <c r="B1206" s="10" t="n">
        <v>46294.1354166667</v>
      </c>
      <c r="C1206" s="4" t="s">
        <v>1544</v>
      </c>
      <c r="D1206" s="4" t="n">
        <v>843</v>
      </c>
      <c r="E1206" s="4" t="n">
        <v>7</v>
      </c>
      <c r="F1206" s="4" t="n">
        <v>6</v>
      </c>
      <c r="G1206" s="4" t="n">
        <v>0</v>
      </c>
      <c r="J1206" s="11" t="b">
        <f aca="false">TRUE()</f>
        <v>1</v>
      </c>
      <c r="K1206" s="4" t="s">
        <v>3932</v>
      </c>
      <c r="L1206" s="4" t="n">
        <v>4</v>
      </c>
      <c r="M1206" s="4" t="n">
        <v>4</v>
      </c>
      <c r="N1206" s="4" t="n">
        <v>4</v>
      </c>
      <c r="O1206" s="4" t="n">
        <v>4</v>
      </c>
      <c r="P1206" s="0" t="str">
        <f aca="false">IF(E1206=0,"not_reached",IF(AND(F1206&gt;0,G1206=0),"allowed","blocked"))</f>
        <v>allowed</v>
      </c>
      <c r="Q1206" s="0" t="str">
        <f aca="false">IF(C1206="success","published",IF(E1206&gt;0,"blocked_at_gate","failed_before_gate"))</f>
        <v>published</v>
      </c>
      <c r="R1206" s="0" t="str">
        <f aca="false">IF(C1206="success","",IF(E1206&gt;0,IF(I1206="freshness_within_target","freshness",IF(I1206="relationships_intact","relationships",IF(I1206="reconciliation_residual_zero","residual",I1206))),IF(H1206="quality_gate","gate_infra",H1206)))</f>
        <v/>
      </c>
    </row>
    <row r="1207" customFormat="false" ht="15" hidden="false" customHeight="false" outlineLevel="0" collapsed="false">
      <c r="A1207" s="4" t="s">
        <v>3933</v>
      </c>
      <c r="B1207" s="10" t="n">
        <v>46294.1770833333</v>
      </c>
      <c r="C1207" s="4" t="s">
        <v>1544</v>
      </c>
      <c r="D1207" s="4" t="n">
        <v>689</v>
      </c>
      <c r="E1207" s="4" t="n">
        <v>7</v>
      </c>
      <c r="F1207" s="4" t="n">
        <v>6</v>
      </c>
      <c r="G1207" s="4" t="n">
        <v>0</v>
      </c>
      <c r="J1207" s="11" t="b">
        <f aca="false">TRUE()</f>
        <v>1</v>
      </c>
      <c r="K1207" s="4" t="s">
        <v>3934</v>
      </c>
      <c r="L1207" s="4" t="n">
        <v>4</v>
      </c>
      <c r="M1207" s="4" t="n">
        <v>4</v>
      </c>
      <c r="N1207" s="4" t="n">
        <v>4</v>
      </c>
      <c r="O1207" s="4" t="n">
        <v>4</v>
      </c>
      <c r="P1207" s="0" t="str">
        <f aca="false">IF(E1207=0,"not_reached",IF(AND(F1207&gt;0,G1207=0),"allowed","blocked"))</f>
        <v>allowed</v>
      </c>
      <c r="Q1207" s="0" t="str">
        <f aca="false">IF(C1207="success","published",IF(E1207&gt;0,"blocked_at_gate","failed_before_gate"))</f>
        <v>published</v>
      </c>
      <c r="R1207" s="0" t="str">
        <f aca="false">IF(C1207="success","",IF(E1207&gt;0,IF(I1207="freshness_within_target","freshness",IF(I1207="relationships_intact","relationships",IF(I1207="reconciliation_residual_zero","residual",I1207))),IF(H1207="quality_gate","gate_infra",H1207)))</f>
        <v/>
      </c>
    </row>
    <row r="1208" customFormat="false" ht="15" hidden="false" customHeight="false" outlineLevel="0" collapsed="false">
      <c r="A1208" s="4" t="s">
        <v>3935</v>
      </c>
      <c r="B1208" s="10" t="n">
        <v>46294.21875</v>
      </c>
      <c r="C1208" s="4" t="s">
        <v>1544</v>
      </c>
      <c r="D1208" s="4" t="n">
        <v>1088</v>
      </c>
      <c r="E1208" s="4" t="n">
        <v>7</v>
      </c>
      <c r="F1208" s="4" t="n">
        <v>6</v>
      </c>
      <c r="G1208" s="4" t="n">
        <v>0</v>
      </c>
      <c r="J1208" s="11" t="b">
        <f aca="false">TRUE()</f>
        <v>1</v>
      </c>
      <c r="K1208" s="4" t="s">
        <v>3936</v>
      </c>
      <c r="L1208" s="4" t="n">
        <v>4</v>
      </c>
      <c r="M1208" s="4" t="n">
        <v>4</v>
      </c>
      <c r="N1208" s="4" t="n">
        <v>5</v>
      </c>
      <c r="O1208" s="4" t="n">
        <v>4</v>
      </c>
      <c r="P1208" s="0" t="str">
        <f aca="false">IF(E1208=0,"not_reached",IF(AND(F1208&gt;0,G1208=0),"allowed","blocked"))</f>
        <v>allowed</v>
      </c>
      <c r="Q1208" s="0" t="str">
        <f aca="false">IF(C1208="success","published",IF(E1208&gt;0,"blocked_at_gate","failed_before_gate"))</f>
        <v>published</v>
      </c>
      <c r="R1208" s="0" t="str">
        <f aca="false">IF(C1208="success","",IF(E1208&gt;0,IF(I1208="freshness_within_target","freshness",IF(I1208="relationships_intact","relationships",IF(I1208="reconciliation_residual_zero","residual",I1208))),IF(H1208="quality_gate","gate_infra",H1208)))</f>
        <v/>
      </c>
    </row>
    <row r="1209" customFormat="false" ht="15" hidden="false" customHeight="false" outlineLevel="0" collapsed="false">
      <c r="A1209" s="4" t="s">
        <v>3937</v>
      </c>
      <c r="B1209" s="10" t="n">
        <v>46294.2604166667</v>
      </c>
      <c r="C1209" s="4" t="s">
        <v>1901</v>
      </c>
      <c r="D1209" s="4" t="n">
        <v>629</v>
      </c>
      <c r="E1209" s="4" t="n">
        <v>7</v>
      </c>
      <c r="F1209" s="4" t="n">
        <v>6</v>
      </c>
      <c r="G1209" s="4" t="n">
        <v>1</v>
      </c>
      <c r="H1209" s="4" t="s">
        <v>1954</v>
      </c>
      <c r="I1209" s="4" t="s">
        <v>3092</v>
      </c>
      <c r="J1209" s="11" t="b">
        <f aca="false">FALSE()</f>
        <v>0</v>
      </c>
      <c r="L1209" s="4" t="n">
        <v>3</v>
      </c>
      <c r="M1209" s="4" t="n">
        <v>2</v>
      </c>
      <c r="N1209" s="4" t="n">
        <v>3</v>
      </c>
      <c r="O1209" s="4" t="n">
        <v>2</v>
      </c>
      <c r="P1209" s="0" t="str">
        <f aca="false">IF(E1209=0,"not_reached",IF(AND(F1209&gt;0,G1209=0),"allowed","blocked"))</f>
        <v>blocked</v>
      </c>
      <c r="Q1209" s="0" t="str">
        <f aca="false">IF(C1209="success","published",IF(E1209&gt;0,"blocked_at_gate","failed_before_gate"))</f>
        <v>blocked_at_gate</v>
      </c>
      <c r="R1209" s="0" t="str">
        <f aca="false">IF(C1209="success","",IF(E1209&gt;0,IF(I1209="freshness_within_target","freshness",IF(I1209="relationships_intact","relationships",IF(I1209="reconciliation_residual_zero","residual",I1209))),IF(H1209="quality_gate","gate_infra",H1209)))</f>
        <v>relationships</v>
      </c>
    </row>
    <row r="1210" customFormat="false" ht="15" hidden="false" customHeight="false" outlineLevel="0" collapsed="false">
      <c r="A1210" s="4" t="s">
        <v>3938</v>
      </c>
      <c r="B1210" s="10" t="n">
        <v>46294.3020833333</v>
      </c>
      <c r="C1210" s="4" t="s">
        <v>1544</v>
      </c>
      <c r="D1210" s="4" t="n">
        <v>686</v>
      </c>
      <c r="E1210" s="4" t="n">
        <v>7</v>
      </c>
      <c r="F1210" s="4" t="n">
        <v>6</v>
      </c>
      <c r="G1210" s="4" t="n">
        <v>0</v>
      </c>
      <c r="J1210" s="11" t="b">
        <f aca="false">TRUE()</f>
        <v>1</v>
      </c>
      <c r="K1210" s="4" t="s">
        <v>3939</v>
      </c>
      <c r="L1210" s="4" t="n">
        <v>4</v>
      </c>
      <c r="M1210" s="4" t="n">
        <v>4</v>
      </c>
      <c r="N1210" s="4" t="n">
        <v>4</v>
      </c>
      <c r="O1210" s="4" t="n">
        <v>4</v>
      </c>
      <c r="P1210" s="0" t="str">
        <f aca="false">IF(E1210=0,"not_reached",IF(AND(F1210&gt;0,G1210=0),"allowed","blocked"))</f>
        <v>allowed</v>
      </c>
      <c r="Q1210" s="0" t="str">
        <f aca="false">IF(C1210="success","published",IF(E1210&gt;0,"blocked_at_gate","failed_before_gate"))</f>
        <v>published</v>
      </c>
      <c r="R1210" s="0" t="str">
        <f aca="false">IF(C1210="success","",IF(E1210&gt;0,IF(I1210="freshness_within_target","freshness",IF(I1210="relationships_intact","relationships",IF(I1210="reconciliation_residual_zero","residual",I1210))),IF(H1210="quality_gate","gate_infra",H1210)))</f>
        <v/>
      </c>
    </row>
    <row r="1211" customFormat="false" ht="15" hidden="false" customHeight="false" outlineLevel="0" collapsed="false">
      <c r="A1211" s="4" t="s">
        <v>3940</v>
      </c>
      <c r="B1211" s="10" t="n">
        <v>46294.34375</v>
      </c>
      <c r="C1211" s="4" t="s">
        <v>1544</v>
      </c>
      <c r="D1211" s="4" t="n">
        <v>920</v>
      </c>
      <c r="E1211" s="4" t="n">
        <v>7</v>
      </c>
      <c r="F1211" s="4" t="n">
        <v>6</v>
      </c>
      <c r="G1211" s="4" t="n">
        <v>0</v>
      </c>
      <c r="J1211" s="11" t="b">
        <f aca="false">TRUE()</f>
        <v>1</v>
      </c>
      <c r="K1211" s="4" t="s">
        <v>3941</v>
      </c>
      <c r="L1211" s="4" t="n">
        <v>4</v>
      </c>
      <c r="M1211" s="4" t="n">
        <v>4</v>
      </c>
      <c r="N1211" s="4" t="n">
        <v>4</v>
      </c>
      <c r="O1211" s="4" t="n">
        <v>4</v>
      </c>
      <c r="P1211" s="0" t="str">
        <f aca="false">IF(E1211=0,"not_reached",IF(AND(F1211&gt;0,G1211=0),"allowed","blocked"))</f>
        <v>allowed</v>
      </c>
      <c r="Q1211" s="0" t="str">
        <f aca="false">IF(C1211="success","published",IF(E1211&gt;0,"blocked_at_gate","failed_before_gate"))</f>
        <v>published</v>
      </c>
      <c r="R1211" s="0" t="str">
        <f aca="false">IF(C1211="success","",IF(E1211&gt;0,IF(I1211="freshness_within_target","freshness",IF(I1211="relationships_intact","relationships",IF(I1211="reconciliation_residual_zero","residual",I1211))),IF(H1211="quality_gate","gate_infra",H1211)))</f>
        <v/>
      </c>
    </row>
    <row r="1212" customFormat="false" ht="15" hidden="false" customHeight="false" outlineLevel="0" collapsed="false">
      <c r="A1212" s="4" t="s">
        <v>3942</v>
      </c>
      <c r="B1212" s="10" t="n">
        <v>46294.3854166667</v>
      </c>
      <c r="C1212" s="4" t="s">
        <v>1544</v>
      </c>
      <c r="D1212" s="4" t="n">
        <v>935</v>
      </c>
      <c r="E1212" s="4" t="n">
        <v>7</v>
      </c>
      <c r="F1212" s="4" t="n">
        <v>6</v>
      </c>
      <c r="G1212" s="4" t="n">
        <v>0</v>
      </c>
      <c r="J1212" s="11" t="b">
        <f aca="false">TRUE()</f>
        <v>1</v>
      </c>
      <c r="K1212" s="4" t="s">
        <v>3943</v>
      </c>
      <c r="L1212" s="4" t="n">
        <v>4</v>
      </c>
      <c r="M1212" s="4" t="n">
        <v>4</v>
      </c>
      <c r="N1212" s="4" t="n">
        <v>4</v>
      </c>
      <c r="O1212" s="4" t="n">
        <v>4</v>
      </c>
      <c r="P1212" s="0" t="str">
        <f aca="false">IF(E1212=0,"not_reached",IF(AND(F1212&gt;0,G1212=0),"allowed","blocked"))</f>
        <v>allowed</v>
      </c>
      <c r="Q1212" s="0" t="str">
        <f aca="false">IF(C1212="success","published",IF(E1212&gt;0,"blocked_at_gate","failed_before_gate"))</f>
        <v>published</v>
      </c>
      <c r="R1212" s="0" t="str">
        <f aca="false">IF(C1212="success","",IF(E1212&gt;0,IF(I1212="freshness_within_target","freshness",IF(I1212="relationships_intact","relationships",IF(I1212="reconciliation_residual_zero","residual",I1212))),IF(H1212="quality_gate","gate_infra",H1212)))</f>
        <v/>
      </c>
    </row>
    <row r="1213" customFormat="false" ht="15" hidden="false" customHeight="false" outlineLevel="0" collapsed="false">
      <c r="A1213" s="4" t="s">
        <v>3944</v>
      </c>
      <c r="B1213" s="10" t="n">
        <v>46294.4270833333</v>
      </c>
      <c r="C1213" s="4" t="s">
        <v>1544</v>
      </c>
      <c r="D1213" s="4" t="n">
        <v>952</v>
      </c>
      <c r="E1213" s="4" t="n">
        <v>7</v>
      </c>
      <c r="F1213" s="4" t="n">
        <v>6</v>
      </c>
      <c r="G1213" s="4" t="n">
        <v>0</v>
      </c>
      <c r="J1213" s="11" t="b">
        <f aca="false">TRUE()</f>
        <v>1</v>
      </c>
      <c r="K1213" s="4" t="s">
        <v>3945</v>
      </c>
      <c r="L1213" s="4" t="n">
        <v>4</v>
      </c>
      <c r="M1213" s="4" t="n">
        <v>4</v>
      </c>
      <c r="N1213" s="4" t="n">
        <v>4</v>
      </c>
      <c r="O1213" s="4" t="n">
        <v>4</v>
      </c>
      <c r="P1213" s="0" t="str">
        <f aca="false">IF(E1213=0,"not_reached",IF(AND(F1213&gt;0,G1213=0),"allowed","blocked"))</f>
        <v>allowed</v>
      </c>
      <c r="Q1213" s="0" t="str">
        <f aca="false">IF(C1213="success","published",IF(E1213&gt;0,"blocked_at_gate","failed_before_gate"))</f>
        <v>published</v>
      </c>
      <c r="R1213" s="0" t="str">
        <f aca="false">IF(C1213="success","",IF(E1213&gt;0,IF(I1213="freshness_within_target","freshness",IF(I1213="relationships_intact","relationships",IF(I1213="reconciliation_residual_zero","residual",I1213))),IF(H1213="quality_gate","gate_infra",H1213)))</f>
        <v/>
      </c>
    </row>
    <row r="1214" customFormat="false" ht="15" hidden="false" customHeight="false" outlineLevel="0" collapsed="false">
      <c r="A1214" s="4" t="s">
        <v>3946</v>
      </c>
      <c r="B1214" s="10" t="n">
        <v>46294.46875</v>
      </c>
      <c r="C1214" s="4" t="s">
        <v>1544</v>
      </c>
      <c r="D1214" s="4" t="n">
        <v>943</v>
      </c>
      <c r="E1214" s="4" t="n">
        <v>7</v>
      </c>
      <c r="F1214" s="4" t="n">
        <v>6</v>
      </c>
      <c r="G1214" s="4" t="n">
        <v>0</v>
      </c>
      <c r="J1214" s="11" t="b">
        <f aca="false">TRUE()</f>
        <v>1</v>
      </c>
      <c r="K1214" s="4" t="s">
        <v>3947</v>
      </c>
      <c r="L1214" s="4" t="n">
        <v>4</v>
      </c>
      <c r="M1214" s="4" t="n">
        <v>4</v>
      </c>
      <c r="N1214" s="4" t="n">
        <v>4</v>
      </c>
      <c r="O1214" s="4" t="n">
        <v>4</v>
      </c>
      <c r="P1214" s="0" t="str">
        <f aca="false">IF(E1214=0,"not_reached",IF(AND(F1214&gt;0,G1214=0),"allowed","blocked"))</f>
        <v>allowed</v>
      </c>
      <c r="Q1214" s="0" t="str">
        <f aca="false">IF(C1214="success","published",IF(E1214&gt;0,"blocked_at_gate","failed_before_gate"))</f>
        <v>published</v>
      </c>
      <c r="R1214" s="0" t="str">
        <f aca="false">IF(C1214="success","",IF(E1214&gt;0,IF(I1214="freshness_within_target","freshness",IF(I1214="relationships_intact","relationships",IF(I1214="reconciliation_residual_zero","residual",I1214))),IF(H1214="quality_gate","gate_infra",H1214)))</f>
        <v/>
      </c>
    </row>
    <row r="1215" customFormat="false" ht="15" hidden="false" customHeight="false" outlineLevel="0" collapsed="false">
      <c r="A1215" s="4" t="s">
        <v>3948</v>
      </c>
      <c r="B1215" s="10" t="n">
        <v>46294.5104166667</v>
      </c>
      <c r="C1215" s="4" t="s">
        <v>1544</v>
      </c>
      <c r="D1215" s="4" t="n">
        <v>719</v>
      </c>
      <c r="E1215" s="4" t="n">
        <v>7</v>
      </c>
      <c r="F1215" s="4" t="n">
        <v>6</v>
      </c>
      <c r="G1215" s="4" t="n">
        <v>0</v>
      </c>
      <c r="J1215" s="11" t="b">
        <f aca="false">TRUE()</f>
        <v>1</v>
      </c>
      <c r="K1215" s="4" t="s">
        <v>3949</v>
      </c>
      <c r="L1215" s="4" t="n">
        <v>4</v>
      </c>
      <c r="M1215" s="4" t="n">
        <v>4</v>
      </c>
      <c r="N1215" s="4" t="n">
        <v>4</v>
      </c>
      <c r="O1215" s="4" t="n">
        <v>4</v>
      </c>
      <c r="P1215" s="0" t="str">
        <f aca="false">IF(E1215=0,"not_reached",IF(AND(F1215&gt;0,G1215=0),"allowed","blocked"))</f>
        <v>allowed</v>
      </c>
      <c r="Q1215" s="0" t="str">
        <f aca="false">IF(C1215="success","published",IF(E1215&gt;0,"blocked_at_gate","failed_before_gate"))</f>
        <v>published</v>
      </c>
      <c r="R1215" s="0" t="str">
        <f aca="false">IF(C1215="success","",IF(E1215&gt;0,IF(I1215="freshness_within_target","freshness",IF(I1215="relationships_intact","relationships",IF(I1215="reconciliation_residual_zero","residual",I1215))),IF(H1215="quality_gate","gate_infra",H1215)))</f>
        <v/>
      </c>
    </row>
    <row r="1216" customFormat="false" ht="15" hidden="false" customHeight="false" outlineLevel="0" collapsed="false">
      <c r="A1216" s="4" t="s">
        <v>3950</v>
      </c>
      <c r="B1216" s="10" t="n">
        <v>46294.5520833333</v>
      </c>
      <c r="C1216" s="4" t="s">
        <v>1544</v>
      </c>
      <c r="D1216" s="4" t="n">
        <v>891</v>
      </c>
      <c r="E1216" s="4" t="n">
        <v>7</v>
      </c>
      <c r="F1216" s="4" t="n">
        <v>6</v>
      </c>
      <c r="G1216" s="4" t="n">
        <v>0</v>
      </c>
      <c r="J1216" s="11" t="b">
        <f aca="false">TRUE()</f>
        <v>1</v>
      </c>
      <c r="K1216" s="4" t="s">
        <v>3951</v>
      </c>
      <c r="L1216" s="4" t="n">
        <v>4</v>
      </c>
      <c r="M1216" s="4" t="n">
        <v>4</v>
      </c>
      <c r="N1216" s="4" t="n">
        <v>4</v>
      </c>
      <c r="O1216" s="4" t="n">
        <v>4</v>
      </c>
      <c r="P1216" s="0" t="str">
        <f aca="false">IF(E1216=0,"not_reached",IF(AND(F1216&gt;0,G1216=0),"allowed","blocked"))</f>
        <v>allowed</v>
      </c>
      <c r="Q1216" s="0" t="str">
        <f aca="false">IF(C1216="success","published",IF(E1216&gt;0,"blocked_at_gate","failed_before_gate"))</f>
        <v>published</v>
      </c>
      <c r="R1216" s="0" t="str">
        <f aca="false">IF(C1216="success","",IF(E1216&gt;0,IF(I1216="freshness_within_target","freshness",IF(I1216="relationships_intact","relationships",IF(I1216="reconciliation_residual_zero","residual",I1216))),IF(H1216="quality_gate","gate_infra",H1216)))</f>
        <v/>
      </c>
    </row>
    <row r="1217" customFormat="false" ht="15" hidden="false" customHeight="false" outlineLevel="0" collapsed="false">
      <c r="A1217" s="4" t="s">
        <v>3952</v>
      </c>
      <c r="B1217" s="10" t="n">
        <v>46294.59375</v>
      </c>
      <c r="C1217" s="4" t="s">
        <v>1544</v>
      </c>
      <c r="D1217" s="4" t="n">
        <v>747</v>
      </c>
      <c r="E1217" s="4" t="n">
        <v>7</v>
      </c>
      <c r="F1217" s="4" t="n">
        <v>6</v>
      </c>
      <c r="G1217" s="4" t="n">
        <v>0</v>
      </c>
      <c r="J1217" s="11" t="b">
        <f aca="false">TRUE()</f>
        <v>1</v>
      </c>
      <c r="K1217" s="4" t="s">
        <v>3953</v>
      </c>
      <c r="L1217" s="4" t="n">
        <v>4</v>
      </c>
      <c r="M1217" s="4" t="n">
        <v>4</v>
      </c>
      <c r="N1217" s="4" t="n">
        <v>4</v>
      </c>
      <c r="O1217" s="4" t="n">
        <v>4</v>
      </c>
      <c r="P1217" s="0" t="str">
        <f aca="false">IF(E1217=0,"not_reached",IF(AND(F1217&gt;0,G1217=0),"allowed","blocked"))</f>
        <v>allowed</v>
      </c>
      <c r="Q1217" s="0" t="str">
        <f aca="false">IF(C1217="success","published",IF(E1217&gt;0,"blocked_at_gate","failed_before_gate"))</f>
        <v>published</v>
      </c>
      <c r="R1217" s="0" t="str">
        <f aca="false">IF(C1217="success","",IF(E1217&gt;0,IF(I1217="freshness_within_target","freshness",IF(I1217="relationships_intact","relationships",IF(I1217="reconciliation_residual_zero","residual",I1217))),IF(H1217="quality_gate","gate_infra",H1217)))</f>
        <v/>
      </c>
    </row>
    <row r="1218" customFormat="false" ht="15" hidden="false" customHeight="false" outlineLevel="0" collapsed="false">
      <c r="A1218" s="4" t="s">
        <v>3954</v>
      </c>
      <c r="B1218" s="10" t="n">
        <v>46294.6354166667</v>
      </c>
      <c r="C1218" s="4" t="s">
        <v>1544</v>
      </c>
      <c r="D1218" s="4" t="n">
        <v>865</v>
      </c>
      <c r="E1218" s="4" t="n">
        <v>7</v>
      </c>
      <c r="F1218" s="4" t="n">
        <v>6</v>
      </c>
      <c r="G1218" s="4" t="n">
        <v>0</v>
      </c>
      <c r="J1218" s="11" t="b">
        <f aca="false">TRUE()</f>
        <v>1</v>
      </c>
      <c r="K1218" s="4" t="s">
        <v>3955</v>
      </c>
      <c r="L1218" s="4" t="n">
        <v>4</v>
      </c>
      <c r="M1218" s="4" t="n">
        <v>4</v>
      </c>
      <c r="N1218" s="4" t="n">
        <v>4</v>
      </c>
      <c r="O1218" s="4" t="n">
        <v>4</v>
      </c>
      <c r="P1218" s="0" t="str">
        <f aca="false">IF(E1218=0,"not_reached",IF(AND(F1218&gt;0,G1218=0),"allowed","blocked"))</f>
        <v>allowed</v>
      </c>
      <c r="Q1218" s="0" t="str">
        <f aca="false">IF(C1218="success","published",IF(E1218&gt;0,"blocked_at_gate","failed_before_gate"))</f>
        <v>published</v>
      </c>
      <c r="R1218" s="0" t="str">
        <f aca="false">IF(C1218="success","",IF(E1218&gt;0,IF(I1218="freshness_within_target","freshness",IF(I1218="relationships_intact","relationships",IF(I1218="reconciliation_residual_zero","residual",I1218))),IF(H1218="quality_gate","gate_infra",H1218)))</f>
        <v/>
      </c>
    </row>
    <row r="1219" customFormat="false" ht="15" hidden="false" customHeight="false" outlineLevel="0" collapsed="false">
      <c r="A1219" s="4" t="s">
        <v>3956</v>
      </c>
      <c r="B1219" s="10" t="n">
        <v>46294.6770833333</v>
      </c>
      <c r="C1219" s="4" t="s">
        <v>1544</v>
      </c>
      <c r="D1219" s="4" t="n">
        <v>887</v>
      </c>
      <c r="E1219" s="4" t="n">
        <v>7</v>
      </c>
      <c r="F1219" s="4" t="n">
        <v>6</v>
      </c>
      <c r="G1219" s="4" t="n">
        <v>0</v>
      </c>
      <c r="J1219" s="11" t="b">
        <f aca="false">TRUE()</f>
        <v>1</v>
      </c>
      <c r="K1219" s="4" t="s">
        <v>3957</v>
      </c>
      <c r="L1219" s="4" t="n">
        <v>4</v>
      </c>
      <c r="M1219" s="4" t="n">
        <v>4</v>
      </c>
      <c r="N1219" s="4" t="n">
        <v>4</v>
      </c>
      <c r="O1219" s="4" t="n">
        <v>4</v>
      </c>
      <c r="P1219" s="0" t="str">
        <f aca="false">IF(E1219=0,"not_reached",IF(AND(F1219&gt;0,G1219=0),"allowed","blocked"))</f>
        <v>allowed</v>
      </c>
      <c r="Q1219" s="0" t="str">
        <f aca="false">IF(C1219="success","published",IF(E1219&gt;0,"blocked_at_gate","failed_before_gate"))</f>
        <v>published</v>
      </c>
      <c r="R1219" s="0" t="str">
        <f aca="false">IF(C1219="success","",IF(E1219&gt;0,IF(I1219="freshness_within_target","freshness",IF(I1219="relationships_intact","relationships",IF(I1219="reconciliation_residual_zero","residual",I1219))),IF(H1219="quality_gate","gate_infra",H1219)))</f>
        <v/>
      </c>
    </row>
    <row r="1220" customFormat="false" ht="15" hidden="false" customHeight="false" outlineLevel="0" collapsed="false">
      <c r="A1220" s="4" t="s">
        <v>3958</v>
      </c>
      <c r="B1220" s="10" t="n">
        <v>46294.71875</v>
      </c>
      <c r="C1220" s="4" t="s">
        <v>1544</v>
      </c>
      <c r="D1220" s="4" t="n">
        <v>927</v>
      </c>
      <c r="E1220" s="4" t="n">
        <v>7</v>
      </c>
      <c r="F1220" s="4" t="n">
        <v>6</v>
      </c>
      <c r="G1220" s="4" t="n">
        <v>0</v>
      </c>
      <c r="J1220" s="11" t="b">
        <f aca="false">TRUE()</f>
        <v>1</v>
      </c>
      <c r="K1220" s="4" t="s">
        <v>3959</v>
      </c>
      <c r="L1220" s="4" t="n">
        <v>4</v>
      </c>
      <c r="M1220" s="4" t="n">
        <v>4</v>
      </c>
      <c r="N1220" s="4" t="n">
        <v>4</v>
      </c>
      <c r="O1220" s="4" t="n">
        <v>4</v>
      </c>
      <c r="P1220" s="0" t="str">
        <f aca="false">IF(E1220=0,"not_reached",IF(AND(F1220&gt;0,G1220=0),"allowed","blocked"))</f>
        <v>allowed</v>
      </c>
      <c r="Q1220" s="0" t="str">
        <f aca="false">IF(C1220="success","published",IF(E1220&gt;0,"blocked_at_gate","failed_before_gate"))</f>
        <v>published</v>
      </c>
      <c r="R1220" s="0" t="str">
        <f aca="false">IF(C1220="success","",IF(E1220&gt;0,IF(I1220="freshness_within_target","freshness",IF(I1220="relationships_intact","relationships",IF(I1220="reconciliation_residual_zero","residual",I1220))),IF(H1220="quality_gate","gate_infra",H1220)))</f>
        <v/>
      </c>
    </row>
    <row r="1221" customFormat="false" ht="15" hidden="false" customHeight="false" outlineLevel="0" collapsed="false">
      <c r="A1221" s="4" t="s">
        <v>3960</v>
      </c>
      <c r="B1221" s="10" t="n">
        <v>46294.7604166667</v>
      </c>
      <c r="C1221" s="4" t="s">
        <v>1544</v>
      </c>
      <c r="D1221" s="4" t="n">
        <v>819</v>
      </c>
      <c r="E1221" s="4" t="n">
        <v>7</v>
      </c>
      <c r="F1221" s="4" t="n">
        <v>6</v>
      </c>
      <c r="G1221" s="4" t="n">
        <v>0</v>
      </c>
      <c r="J1221" s="11" t="b">
        <f aca="false">TRUE()</f>
        <v>1</v>
      </c>
      <c r="K1221" s="4" t="s">
        <v>3961</v>
      </c>
      <c r="L1221" s="4" t="n">
        <v>4</v>
      </c>
      <c r="M1221" s="4" t="n">
        <v>4</v>
      </c>
      <c r="N1221" s="4" t="n">
        <v>4</v>
      </c>
      <c r="O1221" s="4" t="n">
        <v>4</v>
      </c>
      <c r="P1221" s="0" t="str">
        <f aca="false">IF(E1221=0,"not_reached",IF(AND(F1221&gt;0,G1221=0),"allowed","blocked"))</f>
        <v>allowed</v>
      </c>
      <c r="Q1221" s="0" t="str">
        <f aca="false">IF(C1221="success","published",IF(E1221&gt;0,"blocked_at_gate","failed_before_gate"))</f>
        <v>published</v>
      </c>
      <c r="R1221" s="0" t="str">
        <f aca="false">IF(C1221="success","",IF(E1221&gt;0,IF(I1221="freshness_within_target","freshness",IF(I1221="relationships_intact","relationships",IF(I1221="reconciliation_residual_zero","residual",I1221))),IF(H1221="quality_gate","gate_infra",H1221)))</f>
        <v/>
      </c>
    </row>
    <row r="1222" customFormat="false" ht="15" hidden="false" customHeight="false" outlineLevel="0" collapsed="false">
      <c r="A1222" s="4" t="s">
        <v>3962</v>
      </c>
      <c r="B1222" s="10" t="n">
        <v>46294.8020833333</v>
      </c>
      <c r="C1222" s="4" t="s">
        <v>1544</v>
      </c>
      <c r="D1222" s="4" t="n">
        <v>769</v>
      </c>
      <c r="E1222" s="4" t="n">
        <v>7</v>
      </c>
      <c r="F1222" s="4" t="n">
        <v>6</v>
      </c>
      <c r="G1222" s="4" t="n">
        <v>0</v>
      </c>
      <c r="J1222" s="11" t="b">
        <f aca="false">TRUE()</f>
        <v>1</v>
      </c>
      <c r="K1222" s="4" t="s">
        <v>3963</v>
      </c>
      <c r="L1222" s="4" t="n">
        <v>4</v>
      </c>
      <c r="M1222" s="4" t="n">
        <v>4</v>
      </c>
      <c r="N1222" s="4" t="n">
        <v>4</v>
      </c>
      <c r="O1222" s="4" t="n">
        <v>4</v>
      </c>
      <c r="P1222" s="0" t="str">
        <f aca="false">IF(E1222=0,"not_reached",IF(AND(F1222&gt;0,G1222=0),"allowed","blocked"))</f>
        <v>allowed</v>
      </c>
      <c r="Q1222" s="0" t="str">
        <f aca="false">IF(C1222="success","published",IF(E1222&gt;0,"blocked_at_gate","failed_before_gate"))</f>
        <v>published</v>
      </c>
      <c r="R1222" s="0" t="str">
        <f aca="false">IF(C1222="success","",IF(E1222&gt;0,IF(I1222="freshness_within_target","freshness",IF(I1222="relationships_intact","relationships",IF(I1222="reconciliation_residual_zero","residual",I1222))),IF(H1222="quality_gate","gate_infra",H1222)))</f>
        <v/>
      </c>
    </row>
    <row r="1223" customFormat="false" ht="15" hidden="false" customHeight="false" outlineLevel="0" collapsed="false">
      <c r="A1223" s="4" t="s">
        <v>3964</v>
      </c>
      <c r="B1223" s="10" t="n">
        <v>46294.84375</v>
      </c>
      <c r="C1223" s="4" t="s">
        <v>1544</v>
      </c>
      <c r="D1223" s="4" t="n">
        <v>910</v>
      </c>
      <c r="E1223" s="4" t="n">
        <v>7</v>
      </c>
      <c r="F1223" s="4" t="n">
        <v>6</v>
      </c>
      <c r="G1223" s="4" t="n">
        <v>0</v>
      </c>
      <c r="J1223" s="11" t="b">
        <f aca="false">TRUE()</f>
        <v>1</v>
      </c>
      <c r="K1223" s="4" t="s">
        <v>3965</v>
      </c>
      <c r="L1223" s="4" t="n">
        <v>4</v>
      </c>
      <c r="M1223" s="4" t="n">
        <v>4</v>
      </c>
      <c r="N1223" s="4" t="n">
        <v>4</v>
      </c>
      <c r="O1223" s="4" t="n">
        <v>4</v>
      </c>
      <c r="P1223" s="0" t="str">
        <f aca="false">IF(E1223=0,"not_reached",IF(AND(F1223&gt;0,G1223=0),"allowed","blocked"))</f>
        <v>allowed</v>
      </c>
      <c r="Q1223" s="0" t="str">
        <f aca="false">IF(C1223="success","published",IF(E1223&gt;0,"blocked_at_gate","failed_before_gate"))</f>
        <v>published</v>
      </c>
      <c r="R1223" s="0" t="str">
        <f aca="false">IF(C1223="success","",IF(E1223&gt;0,IF(I1223="freshness_within_target","freshness",IF(I1223="relationships_intact","relationships",IF(I1223="reconciliation_residual_zero","residual",I1223))),IF(H1223="quality_gate","gate_infra",H1223)))</f>
        <v/>
      </c>
    </row>
    <row r="1224" customFormat="false" ht="15" hidden="false" customHeight="false" outlineLevel="0" collapsed="false">
      <c r="A1224" s="4" t="s">
        <v>3966</v>
      </c>
      <c r="B1224" s="10" t="n">
        <v>46294.8854166667</v>
      </c>
      <c r="C1224" s="4" t="s">
        <v>1544</v>
      </c>
      <c r="D1224" s="4" t="n">
        <v>810</v>
      </c>
      <c r="E1224" s="4" t="n">
        <v>7</v>
      </c>
      <c r="F1224" s="4" t="n">
        <v>6</v>
      </c>
      <c r="G1224" s="4" t="n">
        <v>0</v>
      </c>
      <c r="J1224" s="11" t="b">
        <f aca="false">TRUE()</f>
        <v>1</v>
      </c>
      <c r="K1224" s="4" t="s">
        <v>3967</v>
      </c>
      <c r="L1224" s="4" t="n">
        <v>4</v>
      </c>
      <c r="M1224" s="4" t="n">
        <v>4</v>
      </c>
      <c r="N1224" s="4" t="n">
        <v>4</v>
      </c>
      <c r="O1224" s="4" t="n">
        <v>4</v>
      </c>
      <c r="P1224" s="0" t="str">
        <f aca="false">IF(E1224=0,"not_reached",IF(AND(F1224&gt;0,G1224=0),"allowed","blocked"))</f>
        <v>allowed</v>
      </c>
      <c r="Q1224" s="0" t="str">
        <f aca="false">IF(C1224="success","published",IF(E1224&gt;0,"blocked_at_gate","failed_before_gate"))</f>
        <v>published</v>
      </c>
      <c r="R1224" s="0" t="str">
        <f aca="false">IF(C1224="success","",IF(E1224&gt;0,IF(I1224="freshness_within_target","freshness",IF(I1224="relationships_intact","relationships",IF(I1224="reconciliation_residual_zero","residual",I1224))),IF(H1224="quality_gate","gate_infra",H1224)))</f>
        <v/>
      </c>
    </row>
    <row r="1225" customFormat="false" ht="15" hidden="false" customHeight="false" outlineLevel="0" collapsed="false">
      <c r="A1225" s="4" t="s">
        <v>3968</v>
      </c>
      <c r="B1225" s="10" t="n">
        <v>46294.9270833333</v>
      </c>
      <c r="C1225" s="4" t="s">
        <v>1544</v>
      </c>
      <c r="D1225" s="4" t="n">
        <v>922</v>
      </c>
      <c r="E1225" s="4" t="n">
        <v>7</v>
      </c>
      <c r="F1225" s="4" t="n">
        <v>6</v>
      </c>
      <c r="G1225" s="4" t="n">
        <v>0</v>
      </c>
      <c r="J1225" s="11" t="b">
        <f aca="false">TRUE()</f>
        <v>1</v>
      </c>
      <c r="K1225" s="4" t="s">
        <v>3969</v>
      </c>
      <c r="L1225" s="4" t="n">
        <v>4</v>
      </c>
      <c r="M1225" s="4" t="n">
        <v>4</v>
      </c>
      <c r="N1225" s="4" t="n">
        <v>4</v>
      </c>
      <c r="O1225" s="4" t="n">
        <v>4</v>
      </c>
      <c r="P1225" s="0" t="str">
        <f aca="false">IF(E1225=0,"not_reached",IF(AND(F1225&gt;0,G1225=0),"allowed","blocked"))</f>
        <v>allowed</v>
      </c>
      <c r="Q1225" s="0" t="str">
        <f aca="false">IF(C1225="success","published",IF(E1225&gt;0,"blocked_at_gate","failed_before_gate"))</f>
        <v>published</v>
      </c>
      <c r="R1225" s="0" t="str">
        <f aca="false">IF(C1225="success","",IF(E1225&gt;0,IF(I1225="freshness_within_target","freshness",IF(I1225="relationships_intact","relationships",IF(I1225="reconciliation_residual_zero","residual",I1225))),IF(H1225="quality_gate","gate_infra",H1225)))</f>
        <v/>
      </c>
    </row>
    <row r="1226" customFormat="false" ht="15" hidden="false" customHeight="false" outlineLevel="0" collapsed="false">
      <c r="A1226" s="4" t="s">
        <v>3970</v>
      </c>
      <c r="B1226" s="10" t="n">
        <v>46294.96875</v>
      </c>
      <c r="C1226" s="4" t="s">
        <v>1544</v>
      </c>
      <c r="D1226" s="4" t="n">
        <v>721</v>
      </c>
      <c r="E1226" s="4" t="n">
        <v>7</v>
      </c>
      <c r="F1226" s="4" t="n">
        <v>6</v>
      </c>
      <c r="G1226" s="4" t="n">
        <v>0</v>
      </c>
      <c r="J1226" s="11" t="b">
        <f aca="false">TRUE()</f>
        <v>1</v>
      </c>
      <c r="K1226" s="4" t="s">
        <v>3971</v>
      </c>
      <c r="L1226" s="4" t="n">
        <v>4</v>
      </c>
      <c r="M1226" s="4" t="n">
        <v>4</v>
      </c>
      <c r="N1226" s="4" t="n">
        <v>4</v>
      </c>
      <c r="O1226" s="4" t="n">
        <v>4</v>
      </c>
      <c r="P1226" s="0" t="str">
        <f aca="false">IF(E1226=0,"not_reached",IF(AND(F1226&gt;0,G1226=0),"allowed","blocked"))</f>
        <v>allowed</v>
      </c>
      <c r="Q1226" s="0" t="str">
        <f aca="false">IF(C1226="success","published",IF(E1226&gt;0,"blocked_at_gate","failed_before_gate"))</f>
        <v>published</v>
      </c>
      <c r="R1226" s="0" t="str">
        <f aca="false">IF(C1226="success","",IF(E1226&gt;0,IF(I1226="freshness_within_target","freshness",IF(I1226="relationships_intact","relationships",IF(I1226="reconciliation_residual_zero","residual",I1226))),IF(H1226="quality_gate","gate_infra",H1226)))</f>
        <v/>
      </c>
    </row>
    <row r="1227" customFormat="false" ht="15" hidden="false" customHeight="false" outlineLevel="0" collapsed="false">
      <c r="A1227" s="4" t="s">
        <v>3972</v>
      </c>
      <c r="B1227" s="10" t="n">
        <v>46295.0104166667</v>
      </c>
      <c r="C1227" s="4" t="s">
        <v>1544</v>
      </c>
      <c r="D1227" s="4" t="n">
        <v>799</v>
      </c>
      <c r="E1227" s="4" t="n">
        <v>7</v>
      </c>
      <c r="F1227" s="4" t="n">
        <v>6</v>
      </c>
      <c r="G1227" s="4" t="n">
        <v>0</v>
      </c>
      <c r="J1227" s="11" t="b">
        <f aca="false">TRUE()</f>
        <v>1</v>
      </c>
      <c r="K1227" s="4" t="s">
        <v>3973</v>
      </c>
      <c r="L1227" s="4" t="n">
        <v>4</v>
      </c>
      <c r="M1227" s="4" t="n">
        <v>4</v>
      </c>
      <c r="N1227" s="4" t="n">
        <v>4</v>
      </c>
      <c r="O1227" s="4" t="n">
        <v>4</v>
      </c>
      <c r="P1227" s="0" t="str">
        <f aca="false">IF(E1227=0,"not_reached",IF(AND(F1227&gt;0,G1227=0),"allowed","blocked"))</f>
        <v>allowed</v>
      </c>
      <c r="Q1227" s="0" t="str">
        <f aca="false">IF(C1227="success","published",IF(E1227&gt;0,"blocked_at_gate","failed_before_gate"))</f>
        <v>published</v>
      </c>
      <c r="R1227" s="0" t="str">
        <f aca="false">IF(C1227="success","",IF(E1227&gt;0,IF(I1227="freshness_within_target","freshness",IF(I1227="relationships_intact","relationships",IF(I1227="reconciliation_residual_zero","residual",I1227))),IF(H1227="quality_gate","gate_infra",H1227)))</f>
        <v/>
      </c>
    </row>
    <row r="1228" customFormat="false" ht="15" hidden="false" customHeight="false" outlineLevel="0" collapsed="false">
      <c r="A1228" s="4" t="s">
        <v>3974</v>
      </c>
      <c r="B1228" s="10" t="n">
        <v>46295.0520833333</v>
      </c>
      <c r="C1228" s="4" t="s">
        <v>1544</v>
      </c>
      <c r="D1228" s="4" t="n">
        <v>714</v>
      </c>
      <c r="E1228" s="4" t="n">
        <v>7</v>
      </c>
      <c r="F1228" s="4" t="n">
        <v>6</v>
      </c>
      <c r="G1228" s="4" t="n">
        <v>0</v>
      </c>
      <c r="J1228" s="11" t="b">
        <f aca="false">TRUE()</f>
        <v>1</v>
      </c>
      <c r="K1228" s="4" t="s">
        <v>3975</v>
      </c>
      <c r="L1228" s="4" t="n">
        <v>4</v>
      </c>
      <c r="M1228" s="4" t="n">
        <v>4</v>
      </c>
      <c r="N1228" s="4" t="n">
        <v>4</v>
      </c>
      <c r="O1228" s="4" t="n">
        <v>4</v>
      </c>
      <c r="P1228" s="0" t="str">
        <f aca="false">IF(E1228=0,"not_reached",IF(AND(F1228&gt;0,G1228=0),"allowed","blocked"))</f>
        <v>allowed</v>
      </c>
      <c r="Q1228" s="0" t="str">
        <f aca="false">IF(C1228="success","published",IF(E1228&gt;0,"blocked_at_gate","failed_before_gate"))</f>
        <v>published</v>
      </c>
      <c r="R1228" s="0" t="str">
        <f aca="false">IF(C1228="success","",IF(E1228&gt;0,IF(I1228="freshness_within_target","freshness",IF(I1228="relationships_intact","relationships",IF(I1228="reconciliation_residual_zero","residual",I1228))),IF(H1228="quality_gate","gate_infra",H1228)))</f>
        <v/>
      </c>
    </row>
    <row r="1229" customFormat="false" ht="15" hidden="false" customHeight="false" outlineLevel="0" collapsed="false">
      <c r="A1229" s="4" t="s">
        <v>3976</v>
      </c>
      <c r="B1229" s="10" t="n">
        <v>46295.09375</v>
      </c>
      <c r="C1229" s="4" t="s">
        <v>1544</v>
      </c>
      <c r="D1229" s="4" t="n">
        <v>1326</v>
      </c>
      <c r="E1229" s="4" t="n">
        <v>7</v>
      </c>
      <c r="F1229" s="4" t="n">
        <v>6</v>
      </c>
      <c r="G1229" s="4" t="n">
        <v>0</v>
      </c>
      <c r="J1229" s="11" t="b">
        <f aca="false">TRUE()</f>
        <v>1</v>
      </c>
      <c r="K1229" s="4" t="s">
        <v>3977</v>
      </c>
      <c r="L1229" s="4" t="n">
        <v>4</v>
      </c>
      <c r="M1229" s="4" t="n">
        <v>4</v>
      </c>
      <c r="N1229" s="4" t="n">
        <v>5</v>
      </c>
      <c r="O1229" s="4" t="n">
        <v>4</v>
      </c>
      <c r="P1229" s="0" t="str">
        <f aca="false">IF(E1229=0,"not_reached",IF(AND(F1229&gt;0,G1229=0),"allowed","blocked"))</f>
        <v>allowed</v>
      </c>
      <c r="Q1229" s="0" t="str">
        <f aca="false">IF(C1229="success","published",IF(E1229&gt;0,"blocked_at_gate","failed_before_gate"))</f>
        <v>published</v>
      </c>
      <c r="R1229" s="0" t="str">
        <f aca="false">IF(C1229="success","",IF(E1229&gt;0,IF(I1229="freshness_within_target","freshness",IF(I1229="relationships_intact","relationships",IF(I1229="reconciliation_residual_zero","residual",I1229))),IF(H1229="quality_gate","gate_infra",H1229)))</f>
        <v/>
      </c>
    </row>
    <row r="1230" customFormat="false" ht="15" hidden="false" customHeight="false" outlineLevel="0" collapsed="false">
      <c r="A1230" s="4" t="s">
        <v>3978</v>
      </c>
      <c r="B1230" s="10" t="n">
        <v>46295.1354166667</v>
      </c>
      <c r="C1230" s="4" t="s">
        <v>1544</v>
      </c>
      <c r="D1230" s="4" t="n">
        <v>713</v>
      </c>
      <c r="E1230" s="4" t="n">
        <v>7</v>
      </c>
      <c r="F1230" s="4" t="n">
        <v>6</v>
      </c>
      <c r="G1230" s="4" t="n">
        <v>0</v>
      </c>
      <c r="J1230" s="11" t="b">
        <f aca="false">TRUE()</f>
        <v>1</v>
      </c>
      <c r="K1230" s="4" t="s">
        <v>3979</v>
      </c>
      <c r="L1230" s="4" t="n">
        <v>4</v>
      </c>
      <c r="M1230" s="4" t="n">
        <v>4</v>
      </c>
      <c r="N1230" s="4" t="n">
        <v>4</v>
      </c>
      <c r="O1230" s="4" t="n">
        <v>4</v>
      </c>
      <c r="P1230" s="0" t="str">
        <f aca="false">IF(E1230=0,"not_reached",IF(AND(F1230&gt;0,G1230=0),"allowed","blocked"))</f>
        <v>allowed</v>
      </c>
      <c r="Q1230" s="0" t="str">
        <f aca="false">IF(C1230="success","published",IF(E1230&gt;0,"blocked_at_gate","failed_before_gate"))</f>
        <v>published</v>
      </c>
      <c r="R1230" s="0" t="str">
        <f aca="false">IF(C1230="success","",IF(E1230&gt;0,IF(I1230="freshness_within_target","freshness",IF(I1230="relationships_intact","relationships",IF(I1230="reconciliation_residual_zero","residual",I1230))),IF(H1230="quality_gate","gate_infra",H1230)))</f>
        <v/>
      </c>
    </row>
    <row r="1231" customFormat="false" ht="15" hidden="false" customHeight="false" outlineLevel="0" collapsed="false">
      <c r="A1231" s="4" t="s">
        <v>3980</v>
      </c>
      <c r="B1231" s="10" t="n">
        <v>46295.1770833333</v>
      </c>
      <c r="C1231" s="4" t="s">
        <v>1544</v>
      </c>
      <c r="D1231" s="4" t="n">
        <v>706</v>
      </c>
      <c r="E1231" s="4" t="n">
        <v>7</v>
      </c>
      <c r="F1231" s="4" t="n">
        <v>6</v>
      </c>
      <c r="G1231" s="4" t="n">
        <v>0</v>
      </c>
      <c r="J1231" s="11" t="b">
        <f aca="false">TRUE()</f>
        <v>1</v>
      </c>
      <c r="K1231" s="4" t="s">
        <v>3981</v>
      </c>
      <c r="L1231" s="4" t="n">
        <v>4</v>
      </c>
      <c r="M1231" s="4" t="n">
        <v>4</v>
      </c>
      <c r="N1231" s="4" t="n">
        <v>4</v>
      </c>
      <c r="O1231" s="4" t="n">
        <v>4</v>
      </c>
      <c r="P1231" s="0" t="str">
        <f aca="false">IF(E1231=0,"not_reached",IF(AND(F1231&gt;0,G1231=0),"allowed","blocked"))</f>
        <v>allowed</v>
      </c>
      <c r="Q1231" s="0" t="str">
        <f aca="false">IF(C1231="success","published",IF(E1231&gt;0,"blocked_at_gate","failed_before_gate"))</f>
        <v>published</v>
      </c>
      <c r="R1231" s="0" t="str">
        <f aca="false">IF(C1231="success","",IF(E1231&gt;0,IF(I1231="freshness_within_target","freshness",IF(I1231="relationships_intact","relationships",IF(I1231="reconciliation_residual_zero","residual",I1231))),IF(H1231="quality_gate","gate_infra",H1231)))</f>
        <v/>
      </c>
    </row>
    <row r="1232" customFormat="false" ht="15" hidden="false" customHeight="false" outlineLevel="0" collapsed="false">
      <c r="A1232" s="4" t="s">
        <v>3982</v>
      </c>
      <c r="B1232" s="10" t="n">
        <v>46295.21875</v>
      </c>
      <c r="C1232" s="4" t="s">
        <v>1544</v>
      </c>
      <c r="D1232" s="4" t="n">
        <v>700</v>
      </c>
      <c r="E1232" s="4" t="n">
        <v>7</v>
      </c>
      <c r="F1232" s="4" t="n">
        <v>6</v>
      </c>
      <c r="G1232" s="4" t="n">
        <v>0</v>
      </c>
      <c r="J1232" s="11" t="b">
        <f aca="false">TRUE()</f>
        <v>1</v>
      </c>
      <c r="K1232" s="4" t="s">
        <v>3983</v>
      </c>
      <c r="L1232" s="4" t="n">
        <v>4</v>
      </c>
      <c r="M1232" s="4" t="n">
        <v>4</v>
      </c>
      <c r="N1232" s="4" t="n">
        <v>4</v>
      </c>
      <c r="O1232" s="4" t="n">
        <v>4</v>
      </c>
      <c r="P1232" s="0" t="str">
        <f aca="false">IF(E1232=0,"not_reached",IF(AND(F1232&gt;0,G1232=0),"allowed","blocked"))</f>
        <v>allowed</v>
      </c>
      <c r="Q1232" s="0" t="str">
        <f aca="false">IF(C1232="success","published",IF(E1232&gt;0,"blocked_at_gate","failed_before_gate"))</f>
        <v>published</v>
      </c>
      <c r="R1232" s="0" t="str">
        <f aca="false">IF(C1232="success","",IF(E1232&gt;0,IF(I1232="freshness_within_target","freshness",IF(I1232="relationships_intact","relationships",IF(I1232="reconciliation_residual_zero","residual",I1232))),IF(H1232="quality_gate","gate_infra",H1232)))</f>
        <v/>
      </c>
    </row>
    <row r="1233" customFormat="false" ht="15" hidden="false" customHeight="false" outlineLevel="0" collapsed="false">
      <c r="A1233" s="4" t="s">
        <v>3984</v>
      </c>
      <c r="B1233" s="10" t="n">
        <v>46295.2604166667</v>
      </c>
      <c r="C1233" s="4" t="s">
        <v>1544</v>
      </c>
      <c r="D1233" s="4" t="n">
        <v>811</v>
      </c>
      <c r="E1233" s="4" t="n">
        <v>7</v>
      </c>
      <c r="F1233" s="4" t="n">
        <v>6</v>
      </c>
      <c r="G1233" s="4" t="n">
        <v>0</v>
      </c>
      <c r="J1233" s="11" t="b">
        <f aca="false">TRUE()</f>
        <v>1</v>
      </c>
      <c r="K1233" s="4" t="s">
        <v>3985</v>
      </c>
      <c r="L1233" s="4" t="n">
        <v>4</v>
      </c>
      <c r="M1233" s="4" t="n">
        <v>4</v>
      </c>
      <c r="N1233" s="4" t="n">
        <v>4</v>
      </c>
      <c r="O1233" s="4" t="n">
        <v>4</v>
      </c>
      <c r="P1233" s="0" t="str">
        <f aca="false">IF(E1233=0,"not_reached",IF(AND(F1233&gt;0,G1233=0),"allowed","blocked"))</f>
        <v>allowed</v>
      </c>
      <c r="Q1233" s="0" t="str">
        <f aca="false">IF(C1233="success","published",IF(E1233&gt;0,"blocked_at_gate","failed_before_gate"))</f>
        <v>published</v>
      </c>
      <c r="R1233" s="0" t="str">
        <f aca="false">IF(C1233="success","",IF(E1233&gt;0,IF(I1233="freshness_within_target","freshness",IF(I1233="relationships_intact","relationships",IF(I1233="reconciliation_residual_zero","residual",I1233))),IF(H1233="quality_gate","gate_infra",H1233)))</f>
        <v/>
      </c>
    </row>
    <row r="1234" customFormat="false" ht="15" hidden="false" customHeight="false" outlineLevel="0" collapsed="false">
      <c r="A1234" s="4" t="s">
        <v>3986</v>
      </c>
      <c r="B1234" s="10" t="n">
        <v>46295.3020833333</v>
      </c>
      <c r="C1234" s="4" t="s">
        <v>1544</v>
      </c>
      <c r="D1234" s="4" t="n">
        <v>740</v>
      </c>
      <c r="E1234" s="4" t="n">
        <v>7</v>
      </c>
      <c r="F1234" s="4" t="n">
        <v>6</v>
      </c>
      <c r="G1234" s="4" t="n">
        <v>0</v>
      </c>
      <c r="J1234" s="11" t="b">
        <f aca="false">TRUE()</f>
        <v>1</v>
      </c>
      <c r="K1234" s="4" t="s">
        <v>3987</v>
      </c>
      <c r="L1234" s="4" t="n">
        <v>4</v>
      </c>
      <c r="M1234" s="4" t="n">
        <v>4</v>
      </c>
      <c r="N1234" s="4" t="n">
        <v>4</v>
      </c>
      <c r="O1234" s="4" t="n">
        <v>4</v>
      </c>
      <c r="P1234" s="0" t="str">
        <f aca="false">IF(E1234=0,"not_reached",IF(AND(F1234&gt;0,G1234=0),"allowed","blocked"))</f>
        <v>allowed</v>
      </c>
      <c r="Q1234" s="0" t="str">
        <f aca="false">IF(C1234="success","published",IF(E1234&gt;0,"blocked_at_gate","failed_before_gate"))</f>
        <v>published</v>
      </c>
      <c r="R1234" s="0" t="str">
        <f aca="false">IF(C1234="success","",IF(E1234&gt;0,IF(I1234="freshness_within_target","freshness",IF(I1234="relationships_intact","relationships",IF(I1234="reconciliation_residual_zero","residual",I1234))),IF(H1234="quality_gate","gate_infra",H1234)))</f>
        <v/>
      </c>
    </row>
    <row r="1235" customFormat="false" ht="15" hidden="false" customHeight="false" outlineLevel="0" collapsed="false">
      <c r="A1235" s="4" t="s">
        <v>3988</v>
      </c>
      <c r="B1235" s="10" t="n">
        <v>46295.34375</v>
      </c>
      <c r="C1235" s="4" t="s">
        <v>1901</v>
      </c>
      <c r="D1235" s="4" t="n">
        <v>569</v>
      </c>
      <c r="E1235" s="4" t="n">
        <v>7</v>
      </c>
      <c r="F1235" s="4" t="n">
        <v>6</v>
      </c>
      <c r="G1235" s="4" t="n">
        <v>1</v>
      </c>
      <c r="H1235" s="4" t="s">
        <v>1954</v>
      </c>
      <c r="I1235" s="4" t="s">
        <v>3092</v>
      </c>
      <c r="J1235" s="11" t="b">
        <f aca="false">FALSE()</f>
        <v>0</v>
      </c>
      <c r="L1235" s="4" t="n">
        <v>3</v>
      </c>
      <c r="M1235" s="4" t="n">
        <v>2</v>
      </c>
      <c r="N1235" s="4" t="n">
        <v>3</v>
      </c>
      <c r="O1235" s="4" t="n">
        <v>2</v>
      </c>
      <c r="P1235" s="0" t="str">
        <f aca="false">IF(E1235=0,"not_reached",IF(AND(F1235&gt;0,G1235=0),"allowed","blocked"))</f>
        <v>blocked</v>
      </c>
      <c r="Q1235" s="0" t="str">
        <f aca="false">IF(C1235="success","published",IF(E1235&gt;0,"blocked_at_gate","failed_before_gate"))</f>
        <v>blocked_at_gate</v>
      </c>
      <c r="R1235" s="0" t="str">
        <f aca="false">IF(C1235="success","",IF(E1235&gt;0,IF(I1235="freshness_within_target","freshness",IF(I1235="relationships_intact","relationships",IF(I1235="reconciliation_residual_zero","residual",I1235))),IF(H1235="quality_gate","gate_infra",H1235)))</f>
        <v>relationships</v>
      </c>
    </row>
    <row r="1236" customFormat="false" ht="15" hidden="false" customHeight="false" outlineLevel="0" collapsed="false">
      <c r="A1236" s="4" t="s">
        <v>3989</v>
      </c>
      <c r="B1236" s="10" t="n">
        <v>46295.3854166667</v>
      </c>
      <c r="C1236" s="4" t="s">
        <v>1544</v>
      </c>
      <c r="D1236" s="4" t="n">
        <v>699</v>
      </c>
      <c r="E1236" s="4" t="n">
        <v>7</v>
      </c>
      <c r="F1236" s="4" t="n">
        <v>6</v>
      </c>
      <c r="G1236" s="4" t="n">
        <v>0</v>
      </c>
      <c r="J1236" s="11" t="b">
        <f aca="false">TRUE()</f>
        <v>1</v>
      </c>
      <c r="K1236" s="4" t="s">
        <v>3990</v>
      </c>
      <c r="L1236" s="4" t="n">
        <v>4</v>
      </c>
      <c r="M1236" s="4" t="n">
        <v>4</v>
      </c>
      <c r="N1236" s="4" t="n">
        <v>4</v>
      </c>
      <c r="O1236" s="4" t="n">
        <v>4</v>
      </c>
      <c r="P1236" s="0" t="str">
        <f aca="false">IF(E1236=0,"not_reached",IF(AND(F1236&gt;0,G1236=0),"allowed","blocked"))</f>
        <v>allowed</v>
      </c>
      <c r="Q1236" s="0" t="str">
        <f aca="false">IF(C1236="success","published",IF(E1236&gt;0,"blocked_at_gate","failed_before_gate"))</f>
        <v>published</v>
      </c>
      <c r="R1236" s="0" t="str">
        <f aca="false">IF(C1236="success","",IF(E1236&gt;0,IF(I1236="freshness_within_target","freshness",IF(I1236="relationships_intact","relationships",IF(I1236="reconciliation_residual_zero","residual",I1236))),IF(H1236="quality_gate","gate_infra",H1236)))</f>
        <v/>
      </c>
    </row>
    <row r="1237" customFormat="false" ht="15" hidden="false" customHeight="false" outlineLevel="0" collapsed="false">
      <c r="A1237" s="4" t="s">
        <v>3991</v>
      </c>
      <c r="B1237" s="10" t="n">
        <v>46295.4270833333</v>
      </c>
      <c r="C1237" s="4" t="s">
        <v>1544</v>
      </c>
      <c r="D1237" s="4" t="n">
        <v>691</v>
      </c>
      <c r="E1237" s="4" t="n">
        <v>7</v>
      </c>
      <c r="F1237" s="4" t="n">
        <v>6</v>
      </c>
      <c r="G1237" s="4" t="n">
        <v>0</v>
      </c>
      <c r="J1237" s="11" t="b">
        <f aca="false">TRUE()</f>
        <v>1</v>
      </c>
      <c r="K1237" s="4" t="s">
        <v>3992</v>
      </c>
      <c r="L1237" s="4" t="n">
        <v>4</v>
      </c>
      <c r="M1237" s="4" t="n">
        <v>4</v>
      </c>
      <c r="N1237" s="4" t="n">
        <v>4</v>
      </c>
      <c r="O1237" s="4" t="n">
        <v>4</v>
      </c>
      <c r="P1237" s="0" t="str">
        <f aca="false">IF(E1237=0,"not_reached",IF(AND(F1237&gt;0,G1237=0),"allowed","blocked"))</f>
        <v>allowed</v>
      </c>
      <c r="Q1237" s="0" t="str">
        <f aca="false">IF(C1237="success","published",IF(E1237&gt;0,"blocked_at_gate","failed_before_gate"))</f>
        <v>published</v>
      </c>
      <c r="R1237" s="0" t="str">
        <f aca="false">IF(C1237="success","",IF(E1237&gt;0,IF(I1237="freshness_within_target","freshness",IF(I1237="relationships_intact","relationships",IF(I1237="reconciliation_residual_zero","residual",I1237))),IF(H1237="quality_gate","gate_infra",H1237)))</f>
        <v/>
      </c>
    </row>
    <row r="1238" customFormat="false" ht="15" hidden="false" customHeight="false" outlineLevel="0" collapsed="false">
      <c r="A1238" s="4" t="s">
        <v>3993</v>
      </c>
      <c r="B1238" s="10" t="n">
        <v>46295.46875</v>
      </c>
      <c r="C1238" s="4" t="s">
        <v>1544</v>
      </c>
      <c r="D1238" s="4" t="n">
        <v>851</v>
      </c>
      <c r="E1238" s="4" t="n">
        <v>7</v>
      </c>
      <c r="F1238" s="4" t="n">
        <v>6</v>
      </c>
      <c r="G1238" s="4" t="n">
        <v>0</v>
      </c>
      <c r="J1238" s="11" t="b">
        <f aca="false">TRUE()</f>
        <v>1</v>
      </c>
      <c r="K1238" s="4" t="s">
        <v>3994</v>
      </c>
      <c r="L1238" s="4" t="n">
        <v>4</v>
      </c>
      <c r="M1238" s="4" t="n">
        <v>4</v>
      </c>
      <c r="N1238" s="4" t="n">
        <v>4</v>
      </c>
      <c r="O1238" s="4" t="n">
        <v>4</v>
      </c>
      <c r="P1238" s="0" t="str">
        <f aca="false">IF(E1238=0,"not_reached",IF(AND(F1238&gt;0,G1238=0),"allowed","blocked"))</f>
        <v>allowed</v>
      </c>
      <c r="Q1238" s="0" t="str">
        <f aca="false">IF(C1238="success","published",IF(E1238&gt;0,"blocked_at_gate","failed_before_gate"))</f>
        <v>published</v>
      </c>
      <c r="R1238" s="0" t="str">
        <f aca="false">IF(C1238="success","",IF(E1238&gt;0,IF(I1238="freshness_within_target","freshness",IF(I1238="relationships_intact","relationships",IF(I1238="reconciliation_residual_zero","residual",I1238))),IF(H1238="quality_gate","gate_infra",H1238)))</f>
        <v/>
      </c>
    </row>
    <row r="1239" customFormat="false" ht="15" hidden="false" customHeight="false" outlineLevel="0" collapsed="false">
      <c r="A1239" s="4" t="s">
        <v>3995</v>
      </c>
      <c r="B1239" s="10" t="n">
        <v>46295.5104166667</v>
      </c>
      <c r="C1239" s="4" t="s">
        <v>1544</v>
      </c>
      <c r="D1239" s="4" t="n">
        <v>786</v>
      </c>
      <c r="E1239" s="4" t="n">
        <v>7</v>
      </c>
      <c r="F1239" s="4" t="n">
        <v>6</v>
      </c>
      <c r="G1239" s="4" t="n">
        <v>0</v>
      </c>
      <c r="J1239" s="11" t="b">
        <f aca="false">TRUE()</f>
        <v>1</v>
      </c>
      <c r="K1239" s="4" t="s">
        <v>3996</v>
      </c>
      <c r="L1239" s="4" t="n">
        <v>4</v>
      </c>
      <c r="M1239" s="4" t="n">
        <v>4</v>
      </c>
      <c r="N1239" s="4" t="n">
        <v>4</v>
      </c>
      <c r="O1239" s="4" t="n">
        <v>4</v>
      </c>
      <c r="P1239" s="0" t="str">
        <f aca="false">IF(E1239=0,"not_reached",IF(AND(F1239&gt;0,G1239=0),"allowed","blocked"))</f>
        <v>allowed</v>
      </c>
      <c r="Q1239" s="0" t="str">
        <f aca="false">IF(C1239="success","published",IF(E1239&gt;0,"blocked_at_gate","failed_before_gate"))</f>
        <v>published</v>
      </c>
      <c r="R1239" s="0" t="str">
        <f aca="false">IF(C1239="success","",IF(E1239&gt;0,IF(I1239="freshness_within_target","freshness",IF(I1239="relationships_intact","relationships",IF(I1239="reconciliation_residual_zero","residual",I1239))),IF(H1239="quality_gate","gate_infra",H1239)))</f>
        <v/>
      </c>
    </row>
    <row r="1240" customFormat="false" ht="15" hidden="false" customHeight="false" outlineLevel="0" collapsed="false">
      <c r="A1240" s="4" t="s">
        <v>3997</v>
      </c>
      <c r="B1240" s="10" t="n">
        <v>46295.5520833333</v>
      </c>
      <c r="C1240" s="4" t="s">
        <v>1544</v>
      </c>
      <c r="D1240" s="4" t="n">
        <v>909</v>
      </c>
      <c r="E1240" s="4" t="n">
        <v>7</v>
      </c>
      <c r="F1240" s="4" t="n">
        <v>6</v>
      </c>
      <c r="G1240" s="4" t="n">
        <v>0</v>
      </c>
      <c r="J1240" s="11" t="b">
        <f aca="false">TRUE()</f>
        <v>1</v>
      </c>
      <c r="K1240" s="4" t="s">
        <v>3998</v>
      </c>
      <c r="L1240" s="4" t="n">
        <v>4</v>
      </c>
      <c r="M1240" s="4" t="n">
        <v>4</v>
      </c>
      <c r="N1240" s="4" t="n">
        <v>4</v>
      </c>
      <c r="O1240" s="4" t="n">
        <v>4</v>
      </c>
      <c r="P1240" s="0" t="str">
        <f aca="false">IF(E1240=0,"not_reached",IF(AND(F1240&gt;0,G1240=0),"allowed","blocked"))</f>
        <v>allowed</v>
      </c>
      <c r="Q1240" s="0" t="str">
        <f aca="false">IF(C1240="success","published",IF(E1240&gt;0,"blocked_at_gate","failed_before_gate"))</f>
        <v>published</v>
      </c>
      <c r="R1240" s="0" t="str">
        <f aca="false">IF(C1240="success","",IF(E1240&gt;0,IF(I1240="freshness_within_target","freshness",IF(I1240="relationships_intact","relationships",IF(I1240="reconciliation_residual_zero","residual",I1240))),IF(H1240="quality_gate","gate_infra",H1240)))</f>
        <v/>
      </c>
    </row>
    <row r="1241" customFormat="false" ht="15" hidden="false" customHeight="false" outlineLevel="0" collapsed="false">
      <c r="A1241" s="4" t="s">
        <v>3999</v>
      </c>
      <c r="B1241" s="10" t="n">
        <v>46295.59375</v>
      </c>
      <c r="C1241" s="4" t="s">
        <v>1544</v>
      </c>
      <c r="D1241" s="4" t="n">
        <v>846</v>
      </c>
      <c r="E1241" s="4" t="n">
        <v>7</v>
      </c>
      <c r="F1241" s="4" t="n">
        <v>6</v>
      </c>
      <c r="G1241" s="4" t="n">
        <v>0</v>
      </c>
      <c r="J1241" s="11" t="b">
        <f aca="false">TRUE()</f>
        <v>1</v>
      </c>
      <c r="K1241" s="4" t="s">
        <v>4000</v>
      </c>
      <c r="L1241" s="4" t="n">
        <v>4</v>
      </c>
      <c r="M1241" s="4" t="n">
        <v>4</v>
      </c>
      <c r="N1241" s="4" t="n">
        <v>4</v>
      </c>
      <c r="O1241" s="4" t="n">
        <v>4</v>
      </c>
      <c r="P1241" s="0" t="str">
        <f aca="false">IF(E1241=0,"not_reached",IF(AND(F1241&gt;0,G1241=0),"allowed","blocked"))</f>
        <v>allowed</v>
      </c>
      <c r="Q1241" s="0" t="str">
        <f aca="false">IF(C1241="success","published",IF(E1241&gt;0,"blocked_at_gate","failed_before_gate"))</f>
        <v>published</v>
      </c>
      <c r="R1241" s="0" t="str">
        <f aca="false">IF(C1241="success","",IF(E1241&gt;0,IF(I1241="freshness_within_target","freshness",IF(I1241="relationships_intact","relationships",IF(I1241="reconciliation_residual_zero","residual",I1241))),IF(H1241="quality_gate","gate_infra",H1241)))</f>
        <v/>
      </c>
    </row>
    <row r="1242" customFormat="false" ht="15" hidden="false" customHeight="false" outlineLevel="0" collapsed="false">
      <c r="A1242" s="4" t="s">
        <v>4001</v>
      </c>
      <c r="B1242" s="10" t="n">
        <v>46295.6354166667</v>
      </c>
      <c r="C1242" s="4" t="s">
        <v>1544</v>
      </c>
      <c r="D1242" s="4" t="n">
        <v>929</v>
      </c>
      <c r="E1242" s="4" t="n">
        <v>7</v>
      </c>
      <c r="F1242" s="4" t="n">
        <v>6</v>
      </c>
      <c r="G1242" s="4" t="n">
        <v>0</v>
      </c>
      <c r="J1242" s="11" t="b">
        <f aca="false">TRUE()</f>
        <v>1</v>
      </c>
      <c r="K1242" s="4" t="s">
        <v>4002</v>
      </c>
      <c r="L1242" s="4" t="n">
        <v>4</v>
      </c>
      <c r="M1242" s="4" t="n">
        <v>4</v>
      </c>
      <c r="N1242" s="4" t="n">
        <v>4</v>
      </c>
      <c r="O1242" s="4" t="n">
        <v>4</v>
      </c>
      <c r="P1242" s="0" t="str">
        <f aca="false">IF(E1242=0,"not_reached",IF(AND(F1242&gt;0,G1242=0),"allowed","blocked"))</f>
        <v>allowed</v>
      </c>
      <c r="Q1242" s="0" t="str">
        <f aca="false">IF(C1242="success","published",IF(E1242&gt;0,"blocked_at_gate","failed_before_gate"))</f>
        <v>published</v>
      </c>
      <c r="R1242" s="0" t="str">
        <f aca="false">IF(C1242="success","",IF(E1242&gt;0,IF(I1242="freshness_within_target","freshness",IF(I1242="relationships_intact","relationships",IF(I1242="reconciliation_residual_zero","residual",I1242))),IF(H1242="quality_gate","gate_infra",H1242)))</f>
        <v/>
      </c>
    </row>
    <row r="1243" customFormat="false" ht="15" hidden="false" customHeight="false" outlineLevel="0" collapsed="false">
      <c r="A1243" s="4" t="s">
        <v>4003</v>
      </c>
      <c r="B1243" s="10" t="n">
        <v>46295.6770833333</v>
      </c>
      <c r="C1243" s="4" t="s">
        <v>1544</v>
      </c>
      <c r="D1243" s="4" t="n">
        <v>760</v>
      </c>
      <c r="E1243" s="4" t="n">
        <v>7</v>
      </c>
      <c r="F1243" s="4" t="n">
        <v>6</v>
      </c>
      <c r="G1243" s="4" t="n">
        <v>0</v>
      </c>
      <c r="J1243" s="11" t="b">
        <f aca="false">TRUE()</f>
        <v>1</v>
      </c>
      <c r="K1243" s="4" t="s">
        <v>4004</v>
      </c>
      <c r="L1243" s="4" t="n">
        <v>4</v>
      </c>
      <c r="M1243" s="4" t="n">
        <v>4</v>
      </c>
      <c r="N1243" s="4" t="n">
        <v>4</v>
      </c>
      <c r="O1243" s="4" t="n">
        <v>4</v>
      </c>
      <c r="P1243" s="0" t="str">
        <f aca="false">IF(E1243=0,"not_reached",IF(AND(F1243&gt;0,G1243=0),"allowed","blocked"))</f>
        <v>allowed</v>
      </c>
      <c r="Q1243" s="0" t="str">
        <f aca="false">IF(C1243="success","published",IF(E1243&gt;0,"blocked_at_gate","failed_before_gate"))</f>
        <v>published</v>
      </c>
      <c r="R1243" s="0" t="str">
        <f aca="false">IF(C1243="success","",IF(E1243&gt;0,IF(I1243="freshness_within_target","freshness",IF(I1243="relationships_intact","relationships",IF(I1243="reconciliation_residual_zero","residual",I1243))),IF(H1243="quality_gate","gate_infra",H1243)))</f>
        <v/>
      </c>
    </row>
    <row r="1244" customFormat="false" ht="15" hidden="false" customHeight="false" outlineLevel="0" collapsed="false">
      <c r="A1244" s="4" t="s">
        <v>4005</v>
      </c>
      <c r="B1244" s="10" t="n">
        <v>46295.71875</v>
      </c>
      <c r="C1244" s="4" t="s">
        <v>1544</v>
      </c>
      <c r="D1244" s="4" t="n">
        <v>825</v>
      </c>
      <c r="E1244" s="4" t="n">
        <v>7</v>
      </c>
      <c r="F1244" s="4" t="n">
        <v>6</v>
      </c>
      <c r="G1244" s="4" t="n">
        <v>0</v>
      </c>
      <c r="J1244" s="11" t="b">
        <f aca="false">TRUE()</f>
        <v>1</v>
      </c>
      <c r="K1244" s="4" t="s">
        <v>4006</v>
      </c>
      <c r="L1244" s="4" t="n">
        <v>4</v>
      </c>
      <c r="M1244" s="4" t="n">
        <v>4</v>
      </c>
      <c r="N1244" s="4" t="n">
        <v>4</v>
      </c>
      <c r="O1244" s="4" t="n">
        <v>4</v>
      </c>
      <c r="P1244" s="0" t="str">
        <f aca="false">IF(E1244=0,"not_reached",IF(AND(F1244&gt;0,G1244=0),"allowed","blocked"))</f>
        <v>allowed</v>
      </c>
      <c r="Q1244" s="0" t="str">
        <f aca="false">IF(C1244="success","published",IF(E1244&gt;0,"blocked_at_gate","failed_before_gate"))</f>
        <v>published</v>
      </c>
      <c r="R1244" s="0" t="str">
        <f aca="false">IF(C1244="success","",IF(E1244&gt;0,IF(I1244="freshness_within_target","freshness",IF(I1244="relationships_intact","relationships",IF(I1244="reconciliation_residual_zero","residual",I1244))),IF(H1244="quality_gate","gate_infra",H1244)))</f>
        <v/>
      </c>
    </row>
    <row r="1245" customFormat="false" ht="15" hidden="false" customHeight="false" outlineLevel="0" collapsed="false">
      <c r="A1245" s="4" t="s">
        <v>4007</v>
      </c>
      <c r="B1245" s="10" t="n">
        <v>46295.7604166667</v>
      </c>
      <c r="C1245" s="4" t="s">
        <v>1544</v>
      </c>
      <c r="D1245" s="4" t="n">
        <v>856</v>
      </c>
      <c r="E1245" s="4" t="n">
        <v>7</v>
      </c>
      <c r="F1245" s="4" t="n">
        <v>6</v>
      </c>
      <c r="G1245" s="4" t="n">
        <v>0</v>
      </c>
      <c r="J1245" s="11" t="b">
        <f aca="false">TRUE()</f>
        <v>1</v>
      </c>
      <c r="K1245" s="4" t="s">
        <v>4008</v>
      </c>
      <c r="L1245" s="4" t="n">
        <v>4</v>
      </c>
      <c r="M1245" s="4" t="n">
        <v>4</v>
      </c>
      <c r="N1245" s="4" t="n">
        <v>4</v>
      </c>
      <c r="O1245" s="4" t="n">
        <v>4</v>
      </c>
      <c r="P1245" s="0" t="str">
        <f aca="false">IF(E1245=0,"not_reached",IF(AND(F1245&gt;0,G1245=0),"allowed","blocked"))</f>
        <v>allowed</v>
      </c>
      <c r="Q1245" s="0" t="str">
        <f aca="false">IF(C1245="success","published",IF(E1245&gt;0,"blocked_at_gate","failed_before_gate"))</f>
        <v>published</v>
      </c>
      <c r="R1245" s="0" t="str">
        <f aca="false">IF(C1245="success","",IF(E1245&gt;0,IF(I1245="freshness_within_target","freshness",IF(I1245="relationships_intact","relationships",IF(I1245="reconciliation_residual_zero","residual",I1245))),IF(H1245="quality_gate","gate_infra",H1245)))</f>
        <v/>
      </c>
    </row>
    <row r="1246" customFormat="false" ht="15" hidden="false" customHeight="false" outlineLevel="0" collapsed="false">
      <c r="A1246" s="4" t="s">
        <v>4009</v>
      </c>
      <c r="B1246" s="10" t="n">
        <v>46295.8020833333</v>
      </c>
      <c r="C1246" s="4" t="s">
        <v>1544</v>
      </c>
      <c r="D1246" s="4" t="n">
        <v>909</v>
      </c>
      <c r="E1246" s="4" t="n">
        <v>7</v>
      </c>
      <c r="F1246" s="4" t="n">
        <v>6</v>
      </c>
      <c r="G1246" s="4" t="n">
        <v>0</v>
      </c>
      <c r="J1246" s="11" t="b">
        <f aca="false">TRUE()</f>
        <v>1</v>
      </c>
      <c r="K1246" s="4" t="s">
        <v>4010</v>
      </c>
      <c r="L1246" s="4" t="n">
        <v>4</v>
      </c>
      <c r="M1246" s="4" t="n">
        <v>4</v>
      </c>
      <c r="N1246" s="4" t="n">
        <v>4</v>
      </c>
      <c r="O1246" s="4" t="n">
        <v>4</v>
      </c>
      <c r="P1246" s="0" t="str">
        <f aca="false">IF(E1246=0,"not_reached",IF(AND(F1246&gt;0,G1246=0),"allowed","blocked"))</f>
        <v>allowed</v>
      </c>
      <c r="Q1246" s="0" t="str">
        <f aca="false">IF(C1246="success","published",IF(E1246&gt;0,"blocked_at_gate","failed_before_gate"))</f>
        <v>published</v>
      </c>
      <c r="R1246" s="0" t="str">
        <f aca="false">IF(C1246="success","",IF(E1246&gt;0,IF(I1246="freshness_within_target","freshness",IF(I1246="relationships_intact","relationships",IF(I1246="reconciliation_residual_zero","residual",I1246))),IF(H1246="quality_gate","gate_infra",H1246)))</f>
        <v/>
      </c>
    </row>
    <row r="1247" customFormat="false" ht="15" hidden="false" customHeight="false" outlineLevel="0" collapsed="false">
      <c r="A1247" s="4" t="s">
        <v>4011</v>
      </c>
      <c r="B1247" s="10" t="n">
        <v>46295.84375</v>
      </c>
      <c r="C1247" s="4" t="s">
        <v>1901</v>
      </c>
      <c r="D1247" s="4" t="n">
        <v>1271</v>
      </c>
      <c r="E1247" s="4" t="n">
        <v>0</v>
      </c>
      <c r="F1247" s="4" t="n">
        <v>0</v>
      </c>
      <c r="G1247" s="4" t="n">
        <v>0</v>
      </c>
      <c r="H1247" s="4" t="s">
        <v>61</v>
      </c>
      <c r="J1247" s="11" t="b">
        <f aca="false">FALSE()</f>
        <v>0</v>
      </c>
      <c r="L1247" s="4" t="n">
        <v>2</v>
      </c>
      <c r="M1247" s="4" t="n">
        <v>1</v>
      </c>
      <c r="N1247" s="4" t="n">
        <v>4</v>
      </c>
      <c r="O1247" s="4" t="n">
        <v>1</v>
      </c>
      <c r="P1247" s="0" t="str">
        <f aca="false">IF(E1247=0,"not_reached",IF(AND(F1247&gt;0,G1247=0),"allowed","blocked"))</f>
        <v>not_reached</v>
      </c>
      <c r="Q1247" s="0" t="str">
        <f aca="false">IF(C1247="success","published",IF(E1247&gt;0,"blocked_at_gate","failed_before_gate"))</f>
        <v>failed_before_gate</v>
      </c>
      <c r="R1247" s="0" t="str">
        <f aca="false">IF(C1247="success","",IF(E1247&gt;0,IF(I1247="freshness_within_target","freshness",IF(I1247="relationships_intact","relationships",IF(I1247="reconciliation_residual_zero","residual",I1247))),IF(H1247="quality_gate","gate_infra",H1247)))</f>
        <v>transform</v>
      </c>
    </row>
    <row r="1248" customFormat="false" ht="15" hidden="false" customHeight="false" outlineLevel="0" collapsed="false">
      <c r="A1248" s="4" t="s">
        <v>4012</v>
      </c>
      <c r="B1248" s="10" t="n">
        <v>46295.8854166667</v>
      </c>
      <c r="C1248" s="4" t="s">
        <v>1544</v>
      </c>
      <c r="D1248" s="4" t="n">
        <v>716</v>
      </c>
      <c r="E1248" s="4" t="n">
        <v>7</v>
      </c>
      <c r="F1248" s="4" t="n">
        <v>6</v>
      </c>
      <c r="G1248" s="4" t="n">
        <v>0</v>
      </c>
      <c r="J1248" s="11" t="b">
        <f aca="false">TRUE()</f>
        <v>1</v>
      </c>
      <c r="K1248" s="4" t="s">
        <v>4013</v>
      </c>
      <c r="L1248" s="4" t="n">
        <v>4</v>
      </c>
      <c r="M1248" s="4" t="n">
        <v>4</v>
      </c>
      <c r="N1248" s="4" t="n">
        <v>4</v>
      </c>
      <c r="O1248" s="4" t="n">
        <v>4</v>
      </c>
      <c r="P1248" s="0" t="str">
        <f aca="false">IF(E1248=0,"not_reached",IF(AND(F1248&gt;0,G1248=0),"allowed","blocked"))</f>
        <v>allowed</v>
      </c>
      <c r="Q1248" s="0" t="str">
        <f aca="false">IF(C1248="success","published",IF(E1248&gt;0,"blocked_at_gate","failed_before_gate"))</f>
        <v>published</v>
      </c>
      <c r="R1248" s="0" t="str">
        <f aca="false">IF(C1248="success","",IF(E1248&gt;0,IF(I1248="freshness_within_target","freshness",IF(I1248="relationships_intact","relationships",IF(I1248="reconciliation_residual_zero","residual",I1248))),IF(H1248="quality_gate","gate_infra",H1248)))</f>
        <v/>
      </c>
    </row>
    <row r="1249" customFormat="false" ht="15" hidden="false" customHeight="false" outlineLevel="0" collapsed="false">
      <c r="A1249" s="4" t="s">
        <v>4014</v>
      </c>
      <c r="B1249" s="10" t="n">
        <v>46295.9270833333</v>
      </c>
      <c r="C1249" s="4" t="s">
        <v>1544</v>
      </c>
      <c r="D1249" s="4" t="n">
        <v>935</v>
      </c>
      <c r="E1249" s="4" t="n">
        <v>7</v>
      </c>
      <c r="F1249" s="4" t="n">
        <v>6</v>
      </c>
      <c r="G1249" s="4" t="n">
        <v>0</v>
      </c>
      <c r="J1249" s="11" t="b">
        <f aca="false">TRUE()</f>
        <v>1</v>
      </c>
      <c r="K1249" s="4" t="s">
        <v>4015</v>
      </c>
      <c r="L1249" s="4" t="n">
        <v>4</v>
      </c>
      <c r="M1249" s="4" t="n">
        <v>4</v>
      </c>
      <c r="N1249" s="4" t="n">
        <v>4</v>
      </c>
      <c r="O1249" s="4" t="n">
        <v>4</v>
      </c>
      <c r="P1249" s="0" t="str">
        <f aca="false">IF(E1249=0,"not_reached",IF(AND(F1249&gt;0,G1249=0),"allowed","blocked"))</f>
        <v>allowed</v>
      </c>
      <c r="Q1249" s="0" t="str">
        <f aca="false">IF(C1249="success","published",IF(E1249&gt;0,"blocked_at_gate","failed_before_gate"))</f>
        <v>published</v>
      </c>
      <c r="R1249" s="0" t="str">
        <f aca="false">IF(C1249="success","",IF(E1249&gt;0,IF(I1249="freshness_within_target","freshness",IF(I1249="relationships_intact","relationships",IF(I1249="reconciliation_residual_zero","residual",I1249))),IF(H1249="quality_gate","gate_infra",H1249)))</f>
        <v/>
      </c>
    </row>
    <row r="1250" customFormat="false" ht="15" hidden="false" customHeight="false" outlineLevel="0" collapsed="false">
      <c r="A1250" s="4" t="s">
        <v>4016</v>
      </c>
      <c r="B1250" s="10" t="n">
        <v>46295.96875</v>
      </c>
      <c r="C1250" s="4" t="s">
        <v>1544</v>
      </c>
      <c r="D1250" s="4" t="n">
        <v>698</v>
      </c>
      <c r="E1250" s="4" t="n">
        <v>7</v>
      </c>
      <c r="F1250" s="4" t="n">
        <v>6</v>
      </c>
      <c r="G1250" s="4" t="n">
        <v>0</v>
      </c>
      <c r="J1250" s="11" t="b">
        <f aca="false">TRUE()</f>
        <v>1</v>
      </c>
      <c r="K1250" s="4" t="s">
        <v>4017</v>
      </c>
      <c r="L1250" s="4" t="n">
        <v>4</v>
      </c>
      <c r="M1250" s="4" t="n">
        <v>4</v>
      </c>
      <c r="N1250" s="4" t="n">
        <v>4</v>
      </c>
      <c r="O1250" s="4" t="n">
        <v>4</v>
      </c>
      <c r="P1250" s="0" t="str">
        <f aca="false">IF(E1250=0,"not_reached",IF(AND(F1250&gt;0,G1250=0),"allowed","blocked"))</f>
        <v>allowed</v>
      </c>
      <c r="Q1250" s="0" t="str">
        <f aca="false">IF(C1250="success","published",IF(E1250&gt;0,"blocked_at_gate","failed_before_gate"))</f>
        <v>published</v>
      </c>
      <c r="R1250" s="0" t="str">
        <f aca="false">IF(C1250="success","",IF(E1250&gt;0,IF(I1250="freshness_within_target","freshness",IF(I1250="relationships_intact","relationships",IF(I1250="reconciliation_residual_zero","residual",I1250))),IF(H1250="quality_gate","gate_infra",H1250)))</f>
        <v/>
      </c>
    </row>
    <row r="1251" customFormat="false" ht="15" hidden="false" customHeight="false" outlineLevel="0" collapsed="false">
      <c r="A1251" s="4" t="s">
        <v>4018</v>
      </c>
      <c r="B1251" s="10" t="n">
        <v>46296.0104166667</v>
      </c>
      <c r="C1251" s="4" t="s">
        <v>1544</v>
      </c>
      <c r="D1251" s="4" t="n">
        <v>1019</v>
      </c>
      <c r="E1251" s="4" t="n">
        <v>7</v>
      </c>
      <c r="F1251" s="4" t="n">
        <v>6</v>
      </c>
      <c r="G1251" s="4" t="n">
        <v>0</v>
      </c>
      <c r="J1251" s="11" t="b">
        <f aca="false">TRUE()</f>
        <v>1</v>
      </c>
      <c r="K1251" s="4" t="s">
        <v>4019</v>
      </c>
      <c r="L1251" s="4" t="n">
        <v>4</v>
      </c>
      <c r="M1251" s="4" t="n">
        <v>4</v>
      </c>
      <c r="N1251" s="4" t="n">
        <v>5</v>
      </c>
      <c r="O1251" s="4" t="n">
        <v>4</v>
      </c>
      <c r="P1251" s="0" t="str">
        <f aca="false">IF(E1251=0,"not_reached",IF(AND(F1251&gt;0,G1251=0),"allowed","blocked"))</f>
        <v>allowed</v>
      </c>
      <c r="Q1251" s="0" t="str">
        <f aca="false">IF(C1251="success","published",IF(E1251&gt;0,"blocked_at_gate","failed_before_gate"))</f>
        <v>published</v>
      </c>
      <c r="R1251" s="0" t="str">
        <f aca="false">IF(C1251="success","",IF(E1251&gt;0,IF(I1251="freshness_within_target","freshness",IF(I1251="relationships_intact","relationships",IF(I1251="reconciliation_residual_zero","residual",I1251))),IF(H1251="quality_gate","gate_infra",H1251)))</f>
        <v/>
      </c>
    </row>
    <row r="1252" customFormat="false" ht="15" hidden="false" customHeight="false" outlineLevel="0" collapsed="false">
      <c r="A1252" s="4" t="s">
        <v>4020</v>
      </c>
      <c r="B1252" s="10" t="n">
        <v>46296.0520833333</v>
      </c>
      <c r="C1252" s="4" t="s">
        <v>1544</v>
      </c>
      <c r="D1252" s="4" t="n">
        <v>840</v>
      </c>
      <c r="E1252" s="4" t="n">
        <v>7</v>
      </c>
      <c r="F1252" s="4" t="n">
        <v>6</v>
      </c>
      <c r="G1252" s="4" t="n">
        <v>0</v>
      </c>
      <c r="J1252" s="11" t="b">
        <f aca="false">TRUE()</f>
        <v>1</v>
      </c>
      <c r="K1252" s="4" t="s">
        <v>4021</v>
      </c>
      <c r="L1252" s="4" t="n">
        <v>4</v>
      </c>
      <c r="M1252" s="4" t="n">
        <v>4</v>
      </c>
      <c r="N1252" s="4" t="n">
        <v>4</v>
      </c>
      <c r="O1252" s="4" t="n">
        <v>4</v>
      </c>
      <c r="P1252" s="0" t="str">
        <f aca="false">IF(E1252=0,"not_reached",IF(AND(F1252&gt;0,G1252=0),"allowed","blocked"))</f>
        <v>allowed</v>
      </c>
      <c r="Q1252" s="0" t="str">
        <f aca="false">IF(C1252="success","published",IF(E1252&gt;0,"blocked_at_gate","failed_before_gate"))</f>
        <v>published</v>
      </c>
      <c r="R1252" s="0" t="str">
        <f aca="false">IF(C1252="success","",IF(E1252&gt;0,IF(I1252="freshness_within_target","freshness",IF(I1252="relationships_intact","relationships",IF(I1252="reconciliation_residual_zero","residual",I1252))),IF(H1252="quality_gate","gate_infra",H1252)))</f>
        <v/>
      </c>
    </row>
    <row r="1253" customFormat="false" ht="15" hidden="false" customHeight="false" outlineLevel="0" collapsed="false">
      <c r="A1253" s="4" t="s">
        <v>4022</v>
      </c>
      <c r="B1253" s="10" t="n">
        <v>46296.09375</v>
      </c>
      <c r="C1253" s="4" t="s">
        <v>1544</v>
      </c>
      <c r="D1253" s="4" t="n">
        <v>700</v>
      </c>
      <c r="E1253" s="4" t="n">
        <v>7</v>
      </c>
      <c r="F1253" s="4" t="n">
        <v>6</v>
      </c>
      <c r="G1253" s="4" t="n">
        <v>0</v>
      </c>
      <c r="J1253" s="11" t="b">
        <f aca="false">TRUE()</f>
        <v>1</v>
      </c>
      <c r="K1253" s="4" t="s">
        <v>4023</v>
      </c>
      <c r="L1253" s="4" t="n">
        <v>4</v>
      </c>
      <c r="M1253" s="4" t="n">
        <v>4</v>
      </c>
      <c r="N1253" s="4" t="n">
        <v>4</v>
      </c>
      <c r="O1253" s="4" t="n">
        <v>4</v>
      </c>
      <c r="P1253" s="0" t="str">
        <f aca="false">IF(E1253=0,"not_reached",IF(AND(F1253&gt;0,G1253=0),"allowed","blocked"))</f>
        <v>allowed</v>
      </c>
      <c r="Q1253" s="0" t="str">
        <f aca="false">IF(C1253="success","published",IF(E1253&gt;0,"blocked_at_gate","failed_before_gate"))</f>
        <v>published</v>
      </c>
      <c r="R1253" s="0" t="str">
        <f aca="false">IF(C1253="success","",IF(E1253&gt;0,IF(I1253="freshness_within_target","freshness",IF(I1253="relationships_intact","relationships",IF(I1253="reconciliation_residual_zero","residual",I1253))),IF(H1253="quality_gate","gate_infra",H1253)))</f>
        <v/>
      </c>
    </row>
    <row r="1254" customFormat="false" ht="15" hidden="false" customHeight="false" outlineLevel="0" collapsed="false">
      <c r="A1254" s="4" t="s">
        <v>4024</v>
      </c>
      <c r="B1254" s="10" t="n">
        <v>46296.1354166667</v>
      </c>
      <c r="C1254" s="4" t="s">
        <v>1544</v>
      </c>
      <c r="D1254" s="4" t="n">
        <v>832</v>
      </c>
      <c r="E1254" s="4" t="n">
        <v>7</v>
      </c>
      <c r="F1254" s="4" t="n">
        <v>6</v>
      </c>
      <c r="G1254" s="4" t="n">
        <v>0</v>
      </c>
      <c r="J1254" s="11" t="b">
        <f aca="false">TRUE()</f>
        <v>1</v>
      </c>
      <c r="K1254" s="4" t="s">
        <v>4025</v>
      </c>
      <c r="L1254" s="4" t="n">
        <v>4</v>
      </c>
      <c r="M1254" s="4" t="n">
        <v>4</v>
      </c>
      <c r="N1254" s="4" t="n">
        <v>4</v>
      </c>
      <c r="O1254" s="4" t="n">
        <v>4</v>
      </c>
      <c r="P1254" s="0" t="str">
        <f aca="false">IF(E1254=0,"not_reached",IF(AND(F1254&gt;0,G1254=0),"allowed","blocked"))</f>
        <v>allowed</v>
      </c>
      <c r="Q1254" s="0" t="str">
        <f aca="false">IF(C1254="success","published",IF(E1254&gt;0,"blocked_at_gate","failed_before_gate"))</f>
        <v>published</v>
      </c>
      <c r="R1254" s="0" t="str">
        <f aca="false">IF(C1254="success","",IF(E1254&gt;0,IF(I1254="freshness_within_target","freshness",IF(I1254="relationships_intact","relationships",IF(I1254="reconciliation_residual_zero","residual",I1254))),IF(H1254="quality_gate","gate_infra",H1254)))</f>
        <v/>
      </c>
    </row>
    <row r="1255" customFormat="false" ht="15" hidden="false" customHeight="false" outlineLevel="0" collapsed="false">
      <c r="A1255" s="4" t="s">
        <v>4026</v>
      </c>
      <c r="B1255" s="10" t="n">
        <v>46296.1770833333</v>
      </c>
      <c r="C1255" s="4" t="s">
        <v>1544</v>
      </c>
      <c r="D1255" s="4" t="n">
        <v>701</v>
      </c>
      <c r="E1255" s="4" t="n">
        <v>7</v>
      </c>
      <c r="F1255" s="4" t="n">
        <v>6</v>
      </c>
      <c r="G1255" s="4" t="n">
        <v>0</v>
      </c>
      <c r="J1255" s="11" t="b">
        <f aca="false">TRUE()</f>
        <v>1</v>
      </c>
      <c r="K1255" s="4" t="s">
        <v>4027</v>
      </c>
      <c r="L1255" s="4" t="n">
        <v>4</v>
      </c>
      <c r="M1255" s="4" t="n">
        <v>4</v>
      </c>
      <c r="N1255" s="4" t="n">
        <v>4</v>
      </c>
      <c r="O1255" s="4" t="n">
        <v>4</v>
      </c>
      <c r="P1255" s="0" t="str">
        <f aca="false">IF(E1255=0,"not_reached",IF(AND(F1255&gt;0,G1255=0),"allowed","blocked"))</f>
        <v>allowed</v>
      </c>
      <c r="Q1255" s="0" t="str">
        <f aca="false">IF(C1255="success","published",IF(E1255&gt;0,"blocked_at_gate","failed_before_gate"))</f>
        <v>published</v>
      </c>
      <c r="R1255" s="0" t="str">
        <f aca="false">IF(C1255="success","",IF(E1255&gt;0,IF(I1255="freshness_within_target","freshness",IF(I1255="relationships_intact","relationships",IF(I1255="reconciliation_residual_zero","residual",I1255))),IF(H1255="quality_gate","gate_infra",H1255)))</f>
        <v/>
      </c>
    </row>
    <row r="1256" customFormat="false" ht="15" hidden="false" customHeight="false" outlineLevel="0" collapsed="false">
      <c r="A1256" s="4" t="s">
        <v>4028</v>
      </c>
      <c r="B1256" s="10" t="n">
        <v>46296.21875</v>
      </c>
      <c r="C1256" s="4" t="s">
        <v>1544</v>
      </c>
      <c r="D1256" s="4" t="n">
        <v>677</v>
      </c>
      <c r="E1256" s="4" t="n">
        <v>7</v>
      </c>
      <c r="F1256" s="4" t="n">
        <v>6</v>
      </c>
      <c r="G1256" s="4" t="n">
        <v>0</v>
      </c>
      <c r="J1256" s="11" t="b">
        <f aca="false">TRUE()</f>
        <v>1</v>
      </c>
      <c r="K1256" s="4" t="s">
        <v>4029</v>
      </c>
      <c r="L1256" s="4" t="n">
        <v>4</v>
      </c>
      <c r="M1256" s="4" t="n">
        <v>4</v>
      </c>
      <c r="N1256" s="4" t="n">
        <v>4</v>
      </c>
      <c r="O1256" s="4" t="n">
        <v>4</v>
      </c>
      <c r="P1256" s="0" t="str">
        <f aca="false">IF(E1256=0,"not_reached",IF(AND(F1256&gt;0,G1256=0),"allowed","blocked"))</f>
        <v>allowed</v>
      </c>
      <c r="Q1256" s="0" t="str">
        <f aca="false">IF(C1256="success","published",IF(E1256&gt;0,"blocked_at_gate","failed_before_gate"))</f>
        <v>published</v>
      </c>
      <c r="R1256" s="0" t="str">
        <f aca="false">IF(C1256="success","",IF(E1256&gt;0,IF(I1256="freshness_within_target","freshness",IF(I1256="relationships_intact","relationships",IF(I1256="reconciliation_residual_zero","residual",I1256))),IF(H1256="quality_gate","gate_infra",H1256)))</f>
        <v/>
      </c>
    </row>
    <row r="1257" customFormat="false" ht="15" hidden="false" customHeight="false" outlineLevel="0" collapsed="false">
      <c r="A1257" s="4" t="s">
        <v>4030</v>
      </c>
      <c r="B1257" s="10" t="n">
        <v>46296.2604166667</v>
      </c>
      <c r="C1257" s="4" t="s">
        <v>1544</v>
      </c>
      <c r="D1257" s="4" t="n">
        <v>769</v>
      </c>
      <c r="E1257" s="4" t="n">
        <v>7</v>
      </c>
      <c r="F1257" s="4" t="n">
        <v>6</v>
      </c>
      <c r="G1257" s="4" t="n">
        <v>0</v>
      </c>
      <c r="J1257" s="11" t="b">
        <f aca="false">TRUE()</f>
        <v>1</v>
      </c>
      <c r="K1257" s="4" t="s">
        <v>4031</v>
      </c>
      <c r="L1257" s="4" t="n">
        <v>4</v>
      </c>
      <c r="M1257" s="4" t="n">
        <v>4</v>
      </c>
      <c r="N1257" s="4" t="n">
        <v>4</v>
      </c>
      <c r="O1257" s="4" t="n">
        <v>4</v>
      </c>
      <c r="P1257" s="0" t="str">
        <f aca="false">IF(E1257=0,"not_reached",IF(AND(F1257&gt;0,G1257=0),"allowed","blocked"))</f>
        <v>allowed</v>
      </c>
      <c r="Q1257" s="0" t="str">
        <f aca="false">IF(C1257="success","published",IF(E1257&gt;0,"blocked_at_gate","failed_before_gate"))</f>
        <v>published</v>
      </c>
      <c r="R1257" s="0" t="str">
        <f aca="false">IF(C1257="success","",IF(E1257&gt;0,IF(I1257="freshness_within_target","freshness",IF(I1257="relationships_intact","relationships",IF(I1257="reconciliation_residual_zero","residual",I1257))),IF(H1257="quality_gate","gate_infra",H1257)))</f>
        <v/>
      </c>
    </row>
    <row r="1258" customFormat="false" ht="15" hidden="false" customHeight="false" outlineLevel="0" collapsed="false">
      <c r="A1258" s="4" t="s">
        <v>4032</v>
      </c>
      <c r="B1258" s="10" t="n">
        <v>46296.3020833333</v>
      </c>
      <c r="C1258" s="4" t="s">
        <v>1544</v>
      </c>
      <c r="D1258" s="4" t="n">
        <v>948</v>
      </c>
      <c r="E1258" s="4" t="n">
        <v>7</v>
      </c>
      <c r="F1258" s="4" t="n">
        <v>6</v>
      </c>
      <c r="G1258" s="4" t="n">
        <v>0</v>
      </c>
      <c r="J1258" s="11" t="b">
        <f aca="false">TRUE()</f>
        <v>1</v>
      </c>
      <c r="K1258" s="4" t="s">
        <v>4033</v>
      </c>
      <c r="L1258" s="4" t="n">
        <v>4</v>
      </c>
      <c r="M1258" s="4" t="n">
        <v>4</v>
      </c>
      <c r="N1258" s="4" t="n">
        <v>4</v>
      </c>
      <c r="O1258" s="4" t="n">
        <v>4</v>
      </c>
      <c r="P1258" s="0" t="str">
        <f aca="false">IF(E1258=0,"not_reached",IF(AND(F1258&gt;0,G1258=0),"allowed","blocked"))</f>
        <v>allowed</v>
      </c>
      <c r="Q1258" s="0" t="str">
        <f aca="false">IF(C1258="success","published",IF(E1258&gt;0,"blocked_at_gate","failed_before_gate"))</f>
        <v>published</v>
      </c>
      <c r="R1258" s="0" t="str">
        <f aca="false">IF(C1258="success","",IF(E1258&gt;0,IF(I1258="freshness_within_target","freshness",IF(I1258="relationships_intact","relationships",IF(I1258="reconciliation_residual_zero","residual",I1258))),IF(H1258="quality_gate","gate_infra",H1258)))</f>
        <v/>
      </c>
    </row>
    <row r="1259" customFormat="false" ht="15" hidden="false" customHeight="false" outlineLevel="0" collapsed="false">
      <c r="A1259" s="4" t="s">
        <v>4034</v>
      </c>
      <c r="B1259" s="10" t="n">
        <v>46296.34375</v>
      </c>
      <c r="C1259" s="4" t="s">
        <v>1544</v>
      </c>
      <c r="D1259" s="4" t="n">
        <v>878</v>
      </c>
      <c r="E1259" s="4" t="n">
        <v>7</v>
      </c>
      <c r="F1259" s="4" t="n">
        <v>6</v>
      </c>
      <c r="G1259" s="4" t="n">
        <v>0</v>
      </c>
      <c r="J1259" s="11" t="b">
        <f aca="false">TRUE()</f>
        <v>1</v>
      </c>
      <c r="K1259" s="4" t="s">
        <v>4035</v>
      </c>
      <c r="L1259" s="4" t="n">
        <v>4</v>
      </c>
      <c r="M1259" s="4" t="n">
        <v>4</v>
      </c>
      <c r="N1259" s="4" t="n">
        <v>4</v>
      </c>
      <c r="O1259" s="4" t="n">
        <v>4</v>
      </c>
      <c r="P1259" s="0" t="str">
        <f aca="false">IF(E1259=0,"not_reached",IF(AND(F1259&gt;0,G1259=0),"allowed","blocked"))</f>
        <v>allowed</v>
      </c>
      <c r="Q1259" s="0" t="str">
        <f aca="false">IF(C1259="success","published",IF(E1259&gt;0,"blocked_at_gate","failed_before_gate"))</f>
        <v>published</v>
      </c>
      <c r="R1259" s="0" t="str">
        <f aca="false">IF(C1259="success","",IF(E1259&gt;0,IF(I1259="freshness_within_target","freshness",IF(I1259="relationships_intact","relationships",IF(I1259="reconciliation_residual_zero","residual",I1259))),IF(H1259="quality_gate","gate_infra",H1259)))</f>
        <v/>
      </c>
    </row>
    <row r="1260" customFormat="false" ht="15" hidden="false" customHeight="false" outlineLevel="0" collapsed="false">
      <c r="A1260" s="4" t="s">
        <v>4036</v>
      </c>
      <c r="B1260" s="10" t="n">
        <v>46296.3854166667</v>
      </c>
      <c r="C1260" s="4" t="s">
        <v>1544</v>
      </c>
      <c r="D1260" s="4" t="n">
        <v>868</v>
      </c>
      <c r="E1260" s="4" t="n">
        <v>7</v>
      </c>
      <c r="F1260" s="4" t="n">
        <v>6</v>
      </c>
      <c r="G1260" s="4" t="n">
        <v>0</v>
      </c>
      <c r="J1260" s="11" t="b">
        <f aca="false">TRUE()</f>
        <v>1</v>
      </c>
      <c r="K1260" s="4" t="s">
        <v>4037</v>
      </c>
      <c r="L1260" s="4" t="n">
        <v>4</v>
      </c>
      <c r="M1260" s="4" t="n">
        <v>4</v>
      </c>
      <c r="N1260" s="4" t="n">
        <v>4</v>
      </c>
      <c r="O1260" s="4" t="n">
        <v>4</v>
      </c>
      <c r="P1260" s="0" t="str">
        <f aca="false">IF(E1260=0,"not_reached",IF(AND(F1260&gt;0,G1260=0),"allowed","blocked"))</f>
        <v>allowed</v>
      </c>
      <c r="Q1260" s="0" t="str">
        <f aca="false">IF(C1260="success","published",IF(E1260&gt;0,"blocked_at_gate","failed_before_gate"))</f>
        <v>published</v>
      </c>
      <c r="R1260" s="0" t="str">
        <f aca="false">IF(C1260="success","",IF(E1260&gt;0,IF(I1260="freshness_within_target","freshness",IF(I1260="relationships_intact","relationships",IF(I1260="reconciliation_residual_zero","residual",I1260))),IF(H1260="quality_gate","gate_infra",H1260)))</f>
        <v/>
      </c>
    </row>
    <row r="1261" customFormat="false" ht="15" hidden="false" customHeight="false" outlineLevel="0" collapsed="false">
      <c r="A1261" s="4" t="s">
        <v>4038</v>
      </c>
      <c r="B1261" s="10" t="n">
        <v>46296.4270833333</v>
      </c>
      <c r="C1261" s="4" t="s">
        <v>1544</v>
      </c>
      <c r="D1261" s="4" t="n">
        <v>749</v>
      </c>
      <c r="E1261" s="4" t="n">
        <v>7</v>
      </c>
      <c r="F1261" s="4" t="n">
        <v>6</v>
      </c>
      <c r="G1261" s="4" t="n">
        <v>0</v>
      </c>
      <c r="J1261" s="11" t="b">
        <f aca="false">TRUE()</f>
        <v>1</v>
      </c>
      <c r="K1261" s="4" t="s">
        <v>4039</v>
      </c>
      <c r="L1261" s="4" t="n">
        <v>4</v>
      </c>
      <c r="M1261" s="4" t="n">
        <v>4</v>
      </c>
      <c r="N1261" s="4" t="n">
        <v>4</v>
      </c>
      <c r="O1261" s="4" t="n">
        <v>4</v>
      </c>
      <c r="P1261" s="0" t="str">
        <f aca="false">IF(E1261=0,"not_reached",IF(AND(F1261&gt;0,G1261=0),"allowed","blocked"))</f>
        <v>allowed</v>
      </c>
      <c r="Q1261" s="0" t="str">
        <f aca="false">IF(C1261="success","published",IF(E1261&gt;0,"blocked_at_gate","failed_before_gate"))</f>
        <v>published</v>
      </c>
      <c r="R1261" s="0" t="str">
        <f aca="false">IF(C1261="success","",IF(E1261&gt;0,IF(I1261="freshness_within_target","freshness",IF(I1261="relationships_intact","relationships",IF(I1261="reconciliation_residual_zero","residual",I1261))),IF(H1261="quality_gate","gate_infra",H1261)))</f>
        <v/>
      </c>
    </row>
    <row r="1262" customFormat="false" ht="15" hidden="false" customHeight="false" outlineLevel="0" collapsed="false">
      <c r="A1262" s="4" t="s">
        <v>4040</v>
      </c>
      <c r="B1262" s="10" t="n">
        <v>46296.46875</v>
      </c>
      <c r="C1262" s="4" t="s">
        <v>1544</v>
      </c>
      <c r="D1262" s="4" t="n">
        <v>832</v>
      </c>
      <c r="E1262" s="4" t="n">
        <v>7</v>
      </c>
      <c r="F1262" s="4" t="n">
        <v>6</v>
      </c>
      <c r="G1262" s="4" t="n">
        <v>0</v>
      </c>
      <c r="J1262" s="11" t="b">
        <f aca="false">TRUE()</f>
        <v>1</v>
      </c>
      <c r="K1262" s="4" t="s">
        <v>4041</v>
      </c>
      <c r="L1262" s="4" t="n">
        <v>4</v>
      </c>
      <c r="M1262" s="4" t="n">
        <v>4</v>
      </c>
      <c r="N1262" s="4" t="n">
        <v>4</v>
      </c>
      <c r="O1262" s="4" t="n">
        <v>4</v>
      </c>
      <c r="P1262" s="0" t="str">
        <f aca="false">IF(E1262=0,"not_reached",IF(AND(F1262&gt;0,G1262=0),"allowed","blocked"))</f>
        <v>allowed</v>
      </c>
      <c r="Q1262" s="0" t="str">
        <f aca="false">IF(C1262="success","published",IF(E1262&gt;0,"blocked_at_gate","failed_before_gate"))</f>
        <v>published</v>
      </c>
      <c r="R1262" s="0" t="str">
        <f aca="false">IF(C1262="success","",IF(E1262&gt;0,IF(I1262="freshness_within_target","freshness",IF(I1262="relationships_intact","relationships",IF(I1262="reconciliation_residual_zero","residual",I1262))),IF(H1262="quality_gate","gate_infra",H1262)))</f>
        <v/>
      </c>
    </row>
    <row r="1263" customFormat="false" ht="15" hidden="false" customHeight="false" outlineLevel="0" collapsed="false">
      <c r="A1263" s="4" t="s">
        <v>4042</v>
      </c>
      <c r="B1263" s="10" t="n">
        <v>46296.5104166667</v>
      </c>
      <c r="C1263" s="4" t="s">
        <v>1544</v>
      </c>
      <c r="D1263" s="4" t="n">
        <v>693</v>
      </c>
      <c r="E1263" s="4" t="n">
        <v>7</v>
      </c>
      <c r="F1263" s="4" t="n">
        <v>6</v>
      </c>
      <c r="G1263" s="4" t="n">
        <v>0</v>
      </c>
      <c r="J1263" s="11" t="b">
        <f aca="false">TRUE()</f>
        <v>1</v>
      </c>
      <c r="K1263" s="4" t="s">
        <v>4043</v>
      </c>
      <c r="L1263" s="4" t="n">
        <v>4</v>
      </c>
      <c r="M1263" s="4" t="n">
        <v>4</v>
      </c>
      <c r="N1263" s="4" t="n">
        <v>4</v>
      </c>
      <c r="O1263" s="4" t="n">
        <v>4</v>
      </c>
      <c r="P1263" s="0" t="str">
        <f aca="false">IF(E1263=0,"not_reached",IF(AND(F1263&gt;0,G1263=0),"allowed","blocked"))</f>
        <v>allowed</v>
      </c>
      <c r="Q1263" s="0" t="str">
        <f aca="false">IF(C1263="success","published",IF(E1263&gt;0,"blocked_at_gate","failed_before_gate"))</f>
        <v>published</v>
      </c>
      <c r="R1263" s="0" t="str">
        <f aca="false">IF(C1263="success","",IF(E1263&gt;0,IF(I1263="freshness_within_target","freshness",IF(I1263="relationships_intact","relationships",IF(I1263="reconciliation_residual_zero","residual",I1263))),IF(H1263="quality_gate","gate_infra",H1263)))</f>
        <v/>
      </c>
    </row>
    <row r="1264" customFormat="false" ht="15" hidden="false" customHeight="false" outlineLevel="0" collapsed="false">
      <c r="A1264" s="4" t="s">
        <v>4044</v>
      </c>
      <c r="B1264" s="10" t="n">
        <v>46296.5520833333</v>
      </c>
      <c r="C1264" s="4" t="s">
        <v>1544</v>
      </c>
      <c r="D1264" s="4" t="n">
        <v>885</v>
      </c>
      <c r="E1264" s="4" t="n">
        <v>7</v>
      </c>
      <c r="F1264" s="4" t="n">
        <v>6</v>
      </c>
      <c r="G1264" s="4" t="n">
        <v>0</v>
      </c>
      <c r="J1264" s="11" t="b">
        <f aca="false">TRUE()</f>
        <v>1</v>
      </c>
      <c r="K1264" s="4" t="s">
        <v>4045</v>
      </c>
      <c r="L1264" s="4" t="n">
        <v>4</v>
      </c>
      <c r="M1264" s="4" t="n">
        <v>4</v>
      </c>
      <c r="N1264" s="4" t="n">
        <v>4</v>
      </c>
      <c r="O1264" s="4" t="n">
        <v>4</v>
      </c>
      <c r="P1264" s="0" t="str">
        <f aca="false">IF(E1264=0,"not_reached",IF(AND(F1264&gt;0,G1264=0),"allowed","blocked"))</f>
        <v>allowed</v>
      </c>
      <c r="Q1264" s="0" t="str">
        <f aca="false">IF(C1264="success","published",IF(E1264&gt;0,"blocked_at_gate","failed_before_gate"))</f>
        <v>published</v>
      </c>
      <c r="R1264" s="0" t="str">
        <f aca="false">IF(C1264="success","",IF(E1264&gt;0,IF(I1264="freshness_within_target","freshness",IF(I1264="relationships_intact","relationships",IF(I1264="reconciliation_residual_zero","residual",I1264))),IF(H1264="quality_gate","gate_infra",H1264)))</f>
        <v/>
      </c>
    </row>
    <row r="1265" customFormat="false" ht="15" hidden="false" customHeight="false" outlineLevel="0" collapsed="false">
      <c r="A1265" s="4" t="s">
        <v>4046</v>
      </c>
      <c r="B1265" s="10" t="n">
        <v>46296.59375</v>
      </c>
      <c r="C1265" s="4" t="s">
        <v>1544</v>
      </c>
      <c r="D1265" s="4" t="n">
        <v>760</v>
      </c>
      <c r="E1265" s="4" t="n">
        <v>7</v>
      </c>
      <c r="F1265" s="4" t="n">
        <v>6</v>
      </c>
      <c r="G1265" s="4" t="n">
        <v>0</v>
      </c>
      <c r="J1265" s="11" t="b">
        <f aca="false">TRUE()</f>
        <v>1</v>
      </c>
      <c r="K1265" s="4" t="s">
        <v>4047</v>
      </c>
      <c r="L1265" s="4" t="n">
        <v>4</v>
      </c>
      <c r="M1265" s="4" t="n">
        <v>4</v>
      </c>
      <c r="N1265" s="4" t="n">
        <v>4</v>
      </c>
      <c r="O1265" s="4" t="n">
        <v>4</v>
      </c>
      <c r="P1265" s="0" t="str">
        <f aca="false">IF(E1265=0,"not_reached",IF(AND(F1265&gt;0,G1265=0),"allowed","blocked"))</f>
        <v>allowed</v>
      </c>
      <c r="Q1265" s="0" t="str">
        <f aca="false">IF(C1265="success","published",IF(E1265&gt;0,"blocked_at_gate","failed_before_gate"))</f>
        <v>published</v>
      </c>
      <c r="R1265" s="0" t="str">
        <f aca="false">IF(C1265="success","",IF(E1265&gt;0,IF(I1265="freshness_within_target","freshness",IF(I1265="relationships_intact","relationships",IF(I1265="reconciliation_residual_zero","residual",I1265))),IF(H1265="quality_gate","gate_infra",H1265)))</f>
        <v/>
      </c>
    </row>
    <row r="1266" customFormat="false" ht="15" hidden="false" customHeight="false" outlineLevel="0" collapsed="false">
      <c r="A1266" s="4" t="s">
        <v>4048</v>
      </c>
      <c r="B1266" s="10" t="n">
        <v>46296.6354166667</v>
      </c>
      <c r="C1266" s="4" t="s">
        <v>1544</v>
      </c>
      <c r="D1266" s="4" t="n">
        <v>802</v>
      </c>
      <c r="E1266" s="4" t="n">
        <v>7</v>
      </c>
      <c r="F1266" s="4" t="n">
        <v>6</v>
      </c>
      <c r="G1266" s="4" t="n">
        <v>0</v>
      </c>
      <c r="J1266" s="11" t="b">
        <f aca="false">TRUE()</f>
        <v>1</v>
      </c>
      <c r="K1266" s="4" t="s">
        <v>4049</v>
      </c>
      <c r="L1266" s="4" t="n">
        <v>4</v>
      </c>
      <c r="M1266" s="4" t="n">
        <v>4</v>
      </c>
      <c r="N1266" s="4" t="n">
        <v>4</v>
      </c>
      <c r="O1266" s="4" t="n">
        <v>4</v>
      </c>
      <c r="P1266" s="0" t="str">
        <f aca="false">IF(E1266=0,"not_reached",IF(AND(F1266&gt;0,G1266=0),"allowed","blocked"))</f>
        <v>allowed</v>
      </c>
      <c r="Q1266" s="0" t="str">
        <f aca="false">IF(C1266="success","published",IF(E1266&gt;0,"blocked_at_gate","failed_before_gate"))</f>
        <v>published</v>
      </c>
      <c r="R1266" s="0" t="str">
        <f aca="false">IF(C1266="success","",IF(E1266&gt;0,IF(I1266="freshness_within_target","freshness",IF(I1266="relationships_intact","relationships",IF(I1266="reconciliation_residual_zero","residual",I1266))),IF(H1266="quality_gate","gate_infra",H1266)))</f>
        <v/>
      </c>
    </row>
    <row r="1267" customFormat="false" ht="15" hidden="false" customHeight="false" outlineLevel="0" collapsed="false">
      <c r="A1267" s="4" t="s">
        <v>4050</v>
      </c>
      <c r="B1267" s="10" t="n">
        <v>46296.6770833333</v>
      </c>
      <c r="C1267" s="4" t="s">
        <v>1544</v>
      </c>
      <c r="D1267" s="4" t="n">
        <v>727</v>
      </c>
      <c r="E1267" s="4" t="n">
        <v>7</v>
      </c>
      <c r="F1267" s="4" t="n">
        <v>6</v>
      </c>
      <c r="G1267" s="4" t="n">
        <v>0</v>
      </c>
      <c r="J1267" s="11" t="b">
        <f aca="false">TRUE()</f>
        <v>1</v>
      </c>
      <c r="K1267" s="4" t="s">
        <v>4051</v>
      </c>
      <c r="L1267" s="4" t="n">
        <v>4</v>
      </c>
      <c r="M1267" s="4" t="n">
        <v>4</v>
      </c>
      <c r="N1267" s="4" t="n">
        <v>4</v>
      </c>
      <c r="O1267" s="4" t="n">
        <v>4</v>
      </c>
      <c r="P1267" s="0" t="str">
        <f aca="false">IF(E1267=0,"not_reached",IF(AND(F1267&gt;0,G1267=0),"allowed","blocked"))</f>
        <v>allowed</v>
      </c>
      <c r="Q1267" s="0" t="str">
        <f aca="false">IF(C1267="success","published",IF(E1267&gt;0,"blocked_at_gate","failed_before_gate"))</f>
        <v>published</v>
      </c>
      <c r="R1267" s="0" t="str">
        <f aca="false">IF(C1267="success","",IF(E1267&gt;0,IF(I1267="freshness_within_target","freshness",IF(I1267="relationships_intact","relationships",IF(I1267="reconciliation_residual_zero","residual",I1267))),IF(H1267="quality_gate","gate_infra",H1267)))</f>
        <v/>
      </c>
    </row>
    <row r="1268" customFormat="false" ht="15" hidden="false" customHeight="false" outlineLevel="0" collapsed="false">
      <c r="A1268" s="4" t="s">
        <v>4052</v>
      </c>
      <c r="B1268" s="10" t="n">
        <v>46296.71875</v>
      </c>
      <c r="C1268" s="4" t="s">
        <v>1544</v>
      </c>
      <c r="D1268" s="4" t="n">
        <v>824</v>
      </c>
      <c r="E1268" s="4" t="n">
        <v>7</v>
      </c>
      <c r="F1268" s="4" t="n">
        <v>6</v>
      </c>
      <c r="G1268" s="4" t="n">
        <v>0</v>
      </c>
      <c r="J1268" s="11" t="b">
        <f aca="false">TRUE()</f>
        <v>1</v>
      </c>
      <c r="K1268" s="4" t="s">
        <v>4053</v>
      </c>
      <c r="L1268" s="4" t="n">
        <v>4</v>
      </c>
      <c r="M1268" s="4" t="n">
        <v>4</v>
      </c>
      <c r="N1268" s="4" t="n">
        <v>4</v>
      </c>
      <c r="O1268" s="4" t="n">
        <v>4</v>
      </c>
      <c r="P1268" s="0" t="str">
        <f aca="false">IF(E1268=0,"not_reached",IF(AND(F1268&gt;0,G1268=0),"allowed","blocked"))</f>
        <v>allowed</v>
      </c>
      <c r="Q1268" s="0" t="str">
        <f aca="false">IF(C1268="success","published",IF(E1268&gt;0,"blocked_at_gate","failed_before_gate"))</f>
        <v>published</v>
      </c>
      <c r="R1268" s="0" t="str">
        <f aca="false">IF(C1268="success","",IF(E1268&gt;0,IF(I1268="freshness_within_target","freshness",IF(I1268="relationships_intact","relationships",IF(I1268="reconciliation_residual_zero","residual",I1268))),IF(H1268="quality_gate","gate_infra",H1268)))</f>
        <v/>
      </c>
    </row>
    <row r="1269" customFormat="false" ht="15" hidden="false" customHeight="false" outlineLevel="0" collapsed="false">
      <c r="A1269" s="4" t="s">
        <v>4054</v>
      </c>
      <c r="B1269" s="10" t="n">
        <v>46296.7604166667</v>
      </c>
      <c r="C1269" s="4" t="s">
        <v>1544</v>
      </c>
      <c r="D1269" s="4" t="n">
        <v>815</v>
      </c>
      <c r="E1269" s="4" t="n">
        <v>7</v>
      </c>
      <c r="F1269" s="4" t="n">
        <v>6</v>
      </c>
      <c r="G1269" s="4" t="n">
        <v>0</v>
      </c>
      <c r="J1269" s="11" t="b">
        <f aca="false">TRUE()</f>
        <v>1</v>
      </c>
      <c r="K1269" s="4" t="s">
        <v>4055</v>
      </c>
      <c r="L1269" s="4" t="n">
        <v>4</v>
      </c>
      <c r="M1269" s="4" t="n">
        <v>4</v>
      </c>
      <c r="N1269" s="4" t="n">
        <v>4</v>
      </c>
      <c r="O1269" s="4" t="n">
        <v>4</v>
      </c>
      <c r="P1269" s="0" t="str">
        <f aca="false">IF(E1269=0,"not_reached",IF(AND(F1269&gt;0,G1269=0),"allowed","blocked"))</f>
        <v>allowed</v>
      </c>
      <c r="Q1269" s="0" t="str">
        <f aca="false">IF(C1269="success","published",IF(E1269&gt;0,"blocked_at_gate","failed_before_gate"))</f>
        <v>published</v>
      </c>
      <c r="R1269" s="0" t="str">
        <f aca="false">IF(C1269="success","",IF(E1269&gt;0,IF(I1269="freshness_within_target","freshness",IF(I1269="relationships_intact","relationships",IF(I1269="reconciliation_residual_zero","residual",I1269))),IF(H1269="quality_gate","gate_infra",H1269)))</f>
        <v/>
      </c>
    </row>
    <row r="1270" customFormat="false" ht="15" hidden="false" customHeight="false" outlineLevel="0" collapsed="false">
      <c r="A1270" s="4" t="s">
        <v>4056</v>
      </c>
      <c r="B1270" s="10" t="n">
        <v>46296.8020833333</v>
      </c>
      <c r="C1270" s="4" t="s">
        <v>1544</v>
      </c>
      <c r="D1270" s="4" t="n">
        <v>875</v>
      </c>
      <c r="E1270" s="4" t="n">
        <v>7</v>
      </c>
      <c r="F1270" s="4" t="n">
        <v>6</v>
      </c>
      <c r="G1270" s="4" t="n">
        <v>0</v>
      </c>
      <c r="J1270" s="11" t="b">
        <f aca="false">TRUE()</f>
        <v>1</v>
      </c>
      <c r="K1270" s="4" t="s">
        <v>4057</v>
      </c>
      <c r="L1270" s="4" t="n">
        <v>4</v>
      </c>
      <c r="M1270" s="4" t="n">
        <v>4</v>
      </c>
      <c r="N1270" s="4" t="n">
        <v>4</v>
      </c>
      <c r="O1270" s="4" t="n">
        <v>4</v>
      </c>
      <c r="P1270" s="0" t="str">
        <f aca="false">IF(E1270=0,"not_reached",IF(AND(F1270&gt;0,G1270=0),"allowed","blocked"))</f>
        <v>allowed</v>
      </c>
      <c r="Q1270" s="0" t="str">
        <f aca="false">IF(C1270="success","published",IF(E1270&gt;0,"blocked_at_gate","failed_before_gate"))</f>
        <v>published</v>
      </c>
      <c r="R1270" s="0" t="str">
        <f aca="false">IF(C1270="success","",IF(E1270&gt;0,IF(I1270="freshness_within_target","freshness",IF(I1270="relationships_intact","relationships",IF(I1270="reconciliation_residual_zero","residual",I1270))),IF(H1270="quality_gate","gate_infra",H1270)))</f>
        <v/>
      </c>
    </row>
    <row r="1271" customFormat="false" ht="15" hidden="false" customHeight="false" outlineLevel="0" collapsed="false">
      <c r="A1271" s="4" t="s">
        <v>4058</v>
      </c>
      <c r="B1271" s="10" t="n">
        <v>46296.84375</v>
      </c>
      <c r="C1271" s="4" t="s">
        <v>1544</v>
      </c>
      <c r="D1271" s="4" t="n">
        <v>913</v>
      </c>
      <c r="E1271" s="4" t="n">
        <v>7</v>
      </c>
      <c r="F1271" s="4" t="n">
        <v>6</v>
      </c>
      <c r="G1271" s="4" t="n">
        <v>0</v>
      </c>
      <c r="J1271" s="11" t="b">
        <f aca="false">TRUE()</f>
        <v>1</v>
      </c>
      <c r="K1271" s="4" t="s">
        <v>4059</v>
      </c>
      <c r="L1271" s="4" t="n">
        <v>4</v>
      </c>
      <c r="M1271" s="4" t="n">
        <v>4</v>
      </c>
      <c r="N1271" s="4" t="n">
        <v>4</v>
      </c>
      <c r="O1271" s="4" t="n">
        <v>4</v>
      </c>
      <c r="P1271" s="0" t="str">
        <f aca="false">IF(E1271=0,"not_reached",IF(AND(F1271&gt;0,G1271=0),"allowed","blocked"))</f>
        <v>allowed</v>
      </c>
      <c r="Q1271" s="0" t="str">
        <f aca="false">IF(C1271="success","published",IF(E1271&gt;0,"blocked_at_gate","failed_before_gate"))</f>
        <v>published</v>
      </c>
      <c r="R1271" s="0" t="str">
        <f aca="false">IF(C1271="success","",IF(E1271&gt;0,IF(I1271="freshness_within_target","freshness",IF(I1271="relationships_intact","relationships",IF(I1271="reconciliation_residual_zero","residual",I1271))),IF(H1271="quality_gate","gate_infra",H1271)))</f>
        <v/>
      </c>
    </row>
    <row r="1272" customFormat="false" ht="15" hidden="false" customHeight="false" outlineLevel="0" collapsed="false">
      <c r="A1272" s="4" t="s">
        <v>4060</v>
      </c>
      <c r="B1272" s="10" t="n">
        <v>46296.8854166667</v>
      </c>
      <c r="C1272" s="4" t="s">
        <v>1544</v>
      </c>
      <c r="D1272" s="4" t="n">
        <v>727</v>
      </c>
      <c r="E1272" s="4" t="n">
        <v>7</v>
      </c>
      <c r="F1272" s="4" t="n">
        <v>6</v>
      </c>
      <c r="G1272" s="4" t="n">
        <v>0</v>
      </c>
      <c r="J1272" s="11" t="b">
        <f aca="false">TRUE()</f>
        <v>1</v>
      </c>
      <c r="K1272" s="4" t="s">
        <v>4061</v>
      </c>
      <c r="L1272" s="4" t="n">
        <v>4</v>
      </c>
      <c r="M1272" s="4" t="n">
        <v>4</v>
      </c>
      <c r="N1272" s="4" t="n">
        <v>4</v>
      </c>
      <c r="O1272" s="4" t="n">
        <v>4</v>
      </c>
      <c r="P1272" s="0" t="str">
        <f aca="false">IF(E1272=0,"not_reached",IF(AND(F1272&gt;0,G1272=0),"allowed","blocked"))</f>
        <v>allowed</v>
      </c>
      <c r="Q1272" s="0" t="str">
        <f aca="false">IF(C1272="success","published",IF(E1272&gt;0,"blocked_at_gate","failed_before_gate"))</f>
        <v>published</v>
      </c>
      <c r="R1272" s="0" t="str">
        <f aca="false">IF(C1272="success","",IF(E1272&gt;0,IF(I1272="freshness_within_target","freshness",IF(I1272="relationships_intact","relationships",IF(I1272="reconciliation_residual_zero","residual",I1272))),IF(H1272="quality_gate","gate_infra",H1272)))</f>
        <v/>
      </c>
    </row>
    <row r="1273" customFormat="false" ht="15" hidden="false" customHeight="false" outlineLevel="0" collapsed="false">
      <c r="A1273" s="4" t="s">
        <v>4062</v>
      </c>
      <c r="B1273" s="10" t="n">
        <v>46296.9270833333</v>
      </c>
      <c r="C1273" s="4" t="s">
        <v>1544</v>
      </c>
      <c r="D1273" s="4" t="n">
        <v>930</v>
      </c>
      <c r="E1273" s="4" t="n">
        <v>7</v>
      </c>
      <c r="F1273" s="4" t="n">
        <v>6</v>
      </c>
      <c r="G1273" s="4" t="n">
        <v>0</v>
      </c>
      <c r="J1273" s="11" t="b">
        <f aca="false">TRUE()</f>
        <v>1</v>
      </c>
      <c r="K1273" s="4" t="s">
        <v>4063</v>
      </c>
      <c r="L1273" s="4" t="n">
        <v>4</v>
      </c>
      <c r="M1273" s="4" t="n">
        <v>4</v>
      </c>
      <c r="N1273" s="4" t="n">
        <v>4</v>
      </c>
      <c r="O1273" s="4" t="n">
        <v>4</v>
      </c>
      <c r="P1273" s="0" t="str">
        <f aca="false">IF(E1273=0,"not_reached",IF(AND(F1273&gt;0,G1273=0),"allowed","blocked"))</f>
        <v>allowed</v>
      </c>
      <c r="Q1273" s="0" t="str">
        <f aca="false">IF(C1273="success","published",IF(E1273&gt;0,"blocked_at_gate","failed_before_gate"))</f>
        <v>published</v>
      </c>
      <c r="R1273" s="0" t="str">
        <f aca="false">IF(C1273="success","",IF(E1273&gt;0,IF(I1273="freshness_within_target","freshness",IF(I1273="relationships_intact","relationships",IF(I1273="reconciliation_residual_zero","residual",I1273))),IF(H1273="quality_gate","gate_infra",H1273)))</f>
        <v/>
      </c>
    </row>
    <row r="1274" customFormat="false" ht="15" hidden="false" customHeight="false" outlineLevel="0" collapsed="false">
      <c r="A1274" s="4" t="s">
        <v>4064</v>
      </c>
      <c r="B1274" s="10" t="n">
        <v>46296.96875</v>
      </c>
      <c r="C1274" s="4" t="s">
        <v>1544</v>
      </c>
      <c r="D1274" s="4" t="n">
        <v>830</v>
      </c>
      <c r="E1274" s="4" t="n">
        <v>7</v>
      </c>
      <c r="F1274" s="4" t="n">
        <v>6</v>
      </c>
      <c r="G1274" s="4" t="n">
        <v>0</v>
      </c>
      <c r="J1274" s="11" t="b">
        <f aca="false">TRUE()</f>
        <v>1</v>
      </c>
      <c r="K1274" s="4" t="s">
        <v>4065</v>
      </c>
      <c r="L1274" s="4" t="n">
        <v>4</v>
      </c>
      <c r="M1274" s="4" t="n">
        <v>4</v>
      </c>
      <c r="N1274" s="4" t="n">
        <v>4</v>
      </c>
      <c r="O1274" s="4" t="n">
        <v>4</v>
      </c>
      <c r="P1274" s="0" t="str">
        <f aca="false">IF(E1274=0,"not_reached",IF(AND(F1274&gt;0,G1274=0),"allowed","blocked"))</f>
        <v>allowed</v>
      </c>
      <c r="Q1274" s="0" t="str">
        <f aca="false">IF(C1274="success","published",IF(E1274&gt;0,"blocked_at_gate","failed_before_gate"))</f>
        <v>published</v>
      </c>
      <c r="R1274" s="0" t="str">
        <f aca="false">IF(C1274="success","",IF(E1274&gt;0,IF(I1274="freshness_within_target","freshness",IF(I1274="relationships_intact","relationships",IF(I1274="reconciliation_residual_zero","residual",I1274))),IF(H1274="quality_gate","gate_infra",H1274)))</f>
        <v/>
      </c>
    </row>
    <row r="1275" customFormat="false" ht="15" hidden="false" customHeight="false" outlineLevel="0" collapsed="false">
      <c r="A1275" s="4" t="s">
        <v>4066</v>
      </c>
      <c r="B1275" s="10" t="n">
        <v>46297.0104166667</v>
      </c>
      <c r="C1275" s="4" t="s">
        <v>1544</v>
      </c>
      <c r="D1275" s="4" t="n">
        <v>1161</v>
      </c>
      <c r="E1275" s="4" t="n">
        <v>7</v>
      </c>
      <c r="F1275" s="4" t="n">
        <v>6</v>
      </c>
      <c r="G1275" s="4" t="n">
        <v>0</v>
      </c>
      <c r="J1275" s="11" t="b">
        <f aca="false">TRUE()</f>
        <v>1</v>
      </c>
      <c r="K1275" s="4" t="s">
        <v>4067</v>
      </c>
      <c r="L1275" s="4" t="n">
        <v>4</v>
      </c>
      <c r="M1275" s="4" t="n">
        <v>4</v>
      </c>
      <c r="N1275" s="4" t="n">
        <v>5</v>
      </c>
      <c r="O1275" s="4" t="n">
        <v>4</v>
      </c>
      <c r="P1275" s="0" t="str">
        <f aca="false">IF(E1275=0,"not_reached",IF(AND(F1275&gt;0,G1275=0),"allowed","blocked"))</f>
        <v>allowed</v>
      </c>
      <c r="Q1275" s="0" t="str">
        <f aca="false">IF(C1275="success","published",IF(E1275&gt;0,"blocked_at_gate","failed_before_gate"))</f>
        <v>published</v>
      </c>
      <c r="R1275" s="0" t="str">
        <f aca="false">IF(C1275="success","",IF(E1275&gt;0,IF(I1275="freshness_within_target","freshness",IF(I1275="relationships_intact","relationships",IF(I1275="reconciliation_residual_zero","residual",I1275))),IF(H1275="quality_gate","gate_infra",H1275)))</f>
        <v/>
      </c>
    </row>
    <row r="1276" customFormat="false" ht="15" hidden="false" customHeight="false" outlineLevel="0" collapsed="false">
      <c r="A1276" s="4" t="s">
        <v>4068</v>
      </c>
      <c r="B1276" s="10" t="n">
        <v>46297.0520833333</v>
      </c>
      <c r="C1276" s="4" t="s">
        <v>1544</v>
      </c>
      <c r="D1276" s="4" t="n">
        <v>884</v>
      </c>
      <c r="E1276" s="4" t="n">
        <v>7</v>
      </c>
      <c r="F1276" s="4" t="n">
        <v>6</v>
      </c>
      <c r="G1276" s="4" t="n">
        <v>0</v>
      </c>
      <c r="J1276" s="11" t="b">
        <f aca="false">TRUE()</f>
        <v>1</v>
      </c>
      <c r="K1276" s="4" t="s">
        <v>4069</v>
      </c>
      <c r="L1276" s="4" t="n">
        <v>4</v>
      </c>
      <c r="M1276" s="4" t="n">
        <v>4</v>
      </c>
      <c r="N1276" s="4" t="n">
        <v>4</v>
      </c>
      <c r="O1276" s="4" t="n">
        <v>4</v>
      </c>
      <c r="P1276" s="0" t="str">
        <f aca="false">IF(E1276=0,"not_reached",IF(AND(F1276&gt;0,G1276=0),"allowed","blocked"))</f>
        <v>allowed</v>
      </c>
      <c r="Q1276" s="0" t="str">
        <f aca="false">IF(C1276="success","published",IF(E1276&gt;0,"blocked_at_gate","failed_before_gate"))</f>
        <v>published</v>
      </c>
      <c r="R1276" s="0" t="str">
        <f aca="false">IF(C1276="success","",IF(E1276&gt;0,IF(I1276="freshness_within_target","freshness",IF(I1276="relationships_intact","relationships",IF(I1276="reconciliation_residual_zero","residual",I1276))),IF(H1276="quality_gate","gate_infra",H1276)))</f>
        <v/>
      </c>
    </row>
    <row r="1277" customFormat="false" ht="15" hidden="false" customHeight="false" outlineLevel="0" collapsed="false">
      <c r="A1277" s="4" t="s">
        <v>4070</v>
      </c>
      <c r="B1277" s="10" t="n">
        <v>46297.09375</v>
      </c>
      <c r="C1277" s="4" t="s">
        <v>1544</v>
      </c>
      <c r="D1277" s="4" t="n">
        <v>728</v>
      </c>
      <c r="E1277" s="4" t="n">
        <v>7</v>
      </c>
      <c r="F1277" s="4" t="n">
        <v>6</v>
      </c>
      <c r="G1277" s="4" t="n">
        <v>0</v>
      </c>
      <c r="J1277" s="11" t="b">
        <f aca="false">TRUE()</f>
        <v>1</v>
      </c>
      <c r="K1277" s="4" t="s">
        <v>4071</v>
      </c>
      <c r="L1277" s="4" t="n">
        <v>4</v>
      </c>
      <c r="M1277" s="4" t="n">
        <v>4</v>
      </c>
      <c r="N1277" s="4" t="n">
        <v>4</v>
      </c>
      <c r="O1277" s="4" t="n">
        <v>4</v>
      </c>
      <c r="P1277" s="0" t="str">
        <f aca="false">IF(E1277=0,"not_reached",IF(AND(F1277&gt;0,G1277=0),"allowed","blocked"))</f>
        <v>allowed</v>
      </c>
      <c r="Q1277" s="0" t="str">
        <f aca="false">IF(C1277="success","published",IF(E1277&gt;0,"blocked_at_gate","failed_before_gate"))</f>
        <v>published</v>
      </c>
      <c r="R1277" s="0" t="str">
        <f aca="false">IF(C1277="success","",IF(E1277&gt;0,IF(I1277="freshness_within_target","freshness",IF(I1277="relationships_intact","relationships",IF(I1277="reconciliation_residual_zero","residual",I1277))),IF(H1277="quality_gate","gate_infra",H1277)))</f>
        <v/>
      </c>
    </row>
    <row r="1278" customFormat="false" ht="15" hidden="false" customHeight="false" outlineLevel="0" collapsed="false">
      <c r="A1278" s="4" t="s">
        <v>4072</v>
      </c>
      <c r="B1278" s="10" t="n">
        <v>46297.1354166667</v>
      </c>
      <c r="C1278" s="4" t="s">
        <v>1544</v>
      </c>
      <c r="D1278" s="4" t="n">
        <v>870</v>
      </c>
      <c r="E1278" s="4" t="n">
        <v>7</v>
      </c>
      <c r="F1278" s="4" t="n">
        <v>6</v>
      </c>
      <c r="G1278" s="4" t="n">
        <v>0</v>
      </c>
      <c r="J1278" s="11" t="b">
        <f aca="false">TRUE()</f>
        <v>1</v>
      </c>
      <c r="K1278" s="4" t="s">
        <v>4073</v>
      </c>
      <c r="L1278" s="4" t="n">
        <v>4</v>
      </c>
      <c r="M1278" s="4" t="n">
        <v>4</v>
      </c>
      <c r="N1278" s="4" t="n">
        <v>4</v>
      </c>
      <c r="O1278" s="4" t="n">
        <v>4</v>
      </c>
      <c r="P1278" s="0" t="str">
        <f aca="false">IF(E1278=0,"not_reached",IF(AND(F1278&gt;0,G1278=0),"allowed","blocked"))</f>
        <v>allowed</v>
      </c>
      <c r="Q1278" s="0" t="str">
        <f aca="false">IF(C1278="success","published",IF(E1278&gt;0,"blocked_at_gate","failed_before_gate"))</f>
        <v>published</v>
      </c>
      <c r="R1278" s="0" t="str">
        <f aca="false">IF(C1278="success","",IF(E1278&gt;0,IF(I1278="freshness_within_target","freshness",IF(I1278="relationships_intact","relationships",IF(I1278="reconciliation_residual_zero","residual",I1278))),IF(H1278="quality_gate","gate_infra",H1278)))</f>
        <v/>
      </c>
    </row>
    <row r="1279" customFormat="false" ht="15" hidden="false" customHeight="false" outlineLevel="0" collapsed="false">
      <c r="A1279" s="4" t="s">
        <v>4074</v>
      </c>
      <c r="B1279" s="10" t="n">
        <v>46297.1770833333</v>
      </c>
      <c r="C1279" s="4" t="s">
        <v>1544</v>
      </c>
      <c r="D1279" s="4" t="n">
        <v>676</v>
      </c>
      <c r="E1279" s="4" t="n">
        <v>7</v>
      </c>
      <c r="F1279" s="4" t="n">
        <v>6</v>
      </c>
      <c r="G1279" s="4" t="n">
        <v>0</v>
      </c>
      <c r="J1279" s="11" t="b">
        <f aca="false">TRUE()</f>
        <v>1</v>
      </c>
      <c r="K1279" s="4" t="s">
        <v>4075</v>
      </c>
      <c r="L1279" s="4" t="n">
        <v>4</v>
      </c>
      <c r="M1279" s="4" t="n">
        <v>4</v>
      </c>
      <c r="N1279" s="4" t="n">
        <v>4</v>
      </c>
      <c r="O1279" s="4" t="n">
        <v>4</v>
      </c>
      <c r="P1279" s="0" t="str">
        <f aca="false">IF(E1279=0,"not_reached",IF(AND(F1279&gt;0,G1279=0),"allowed","blocked"))</f>
        <v>allowed</v>
      </c>
      <c r="Q1279" s="0" t="str">
        <f aca="false">IF(C1279="success","published",IF(E1279&gt;0,"blocked_at_gate","failed_before_gate"))</f>
        <v>published</v>
      </c>
      <c r="R1279" s="0" t="str">
        <f aca="false">IF(C1279="success","",IF(E1279&gt;0,IF(I1279="freshness_within_target","freshness",IF(I1279="relationships_intact","relationships",IF(I1279="reconciliation_residual_zero","residual",I1279))),IF(H1279="quality_gate","gate_infra",H1279)))</f>
        <v/>
      </c>
    </row>
    <row r="1280" customFormat="false" ht="15" hidden="false" customHeight="false" outlineLevel="0" collapsed="false">
      <c r="A1280" s="4" t="s">
        <v>4076</v>
      </c>
      <c r="B1280" s="10" t="n">
        <v>46297.21875</v>
      </c>
      <c r="C1280" s="4" t="s">
        <v>1544</v>
      </c>
      <c r="D1280" s="4" t="n">
        <v>675</v>
      </c>
      <c r="E1280" s="4" t="n">
        <v>7</v>
      </c>
      <c r="F1280" s="4" t="n">
        <v>6</v>
      </c>
      <c r="G1280" s="4" t="n">
        <v>0</v>
      </c>
      <c r="J1280" s="11" t="b">
        <f aca="false">TRUE()</f>
        <v>1</v>
      </c>
      <c r="K1280" s="4" t="s">
        <v>4077</v>
      </c>
      <c r="L1280" s="4" t="n">
        <v>4</v>
      </c>
      <c r="M1280" s="4" t="n">
        <v>4</v>
      </c>
      <c r="N1280" s="4" t="n">
        <v>4</v>
      </c>
      <c r="O1280" s="4" t="n">
        <v>4</v>
      </c>
      <c r="P1280" s="0" t="str">
        <f aca="false">IF(E1280=0,"not_reached",IF(AND(F1280&gt;0,G1280=0),"allowed","blocked"))</f>
        <v>allowed</v>
      </c>
      <c r="Q1280" s="0" t="str">
        <f aca="false">IF(C1280="success","published",IF(E1280&gt;0,"blocked_at_gate","failed_before_gate"))</f>
        <v>published</v>
      </c>
      <c r="R1280" s="0" t="str">
        <f aca="false">IF(C1280="success","",IF(E1280&gt;0,IF(I1280="freshness_within_target","freshness",IF(I1280="relationships_intact","relationships",IF(I1280="reconciliation_residual_zero","residual",I1280))),IF(H1280="quality_gate","gate_infra",H1280)))</f>
        <v/>
      </c>
    </row>
    <row r="1281" customFormat="false" ht="15" hidden="false" customHeight="false" outlineLevel="0" collapsed="false">
      <c r="A1281" s="4" t="s">
        <v>4078</v>
      </c>
      <c r="B1281" s="10" t="n">
        <v>46297.2604166667</v>
      </c>
      <c r="C1281" s="4" t="s">
        <v>1544</v>
      </c>
      <c r="D1281" s="4" t="n">
        <v>847</v>
      </c>
      <c r="E1281" s="4" t="n">
        <v>7</v>
      </c>
      <c r="F1281" s="4" t="n">
        <v>6</v>
      </c>
      <c r="G1281" s="4" t="n">
        <v>0</v>
      </c>
      <c r="J1281" s="11" t="b">
        <f aca="false">TRUE()</f>
        <v>1</v>
      </c>
      <c r="K1281" s="4" t="s">
        <v>4079</v>
      </c>
      <c r="L1281" s="4" t="n">
        <v>4</v>
      </c>
      <c r="M1281" s="4" t="n">
        <v>4</v>
      </c>
      <c r="N1281" s="4" t="n">
        <v>4</v>
      </c>
      <c r="O1281" s="4" t="n">
        <v>4</v>
      </c>
      <c r="P1281" s="0" t="str">
        <f aca="false">IF(E1281=0,"not_reached",IF(AND(F1281&gt;0,G1281=0),"allowed","blocked"))</f>
        <v>allowed</v>
      </c>
      <c r="Q1281" s="0" t="str">
        <f aca="false">IF(C1281="success","published",IF(E1281&gt;0,"blocked_at_gate","failed_before_gate"))</f>
        <v>published</v>
      </c>
      <c r="R1281" s="0" t="str">
        <f aca="false">IF(C1281="success","",IF(E1281&gt;0,IF(I1281="freshness_within_target","freshness",IF(I1281="relationships_intact","relationships",IF(I1281="reconciliation_residual_zero","residual",I1281))),IF(H1281="quality_gate","gate_infra",H1281)))</f>
        <v/>
      </c>
    </row>
    <row r="1282" customFormat="false" ht="15" hidden="false" customHeight="false" outlineLevel="0" collapsed="false">
      <c r="A1282" s="4" t="s">
        <v>4080</v>
      </c>
      <c r="B1282" s="10" t="n">
        <v>46297.3020833333</v>
      </c>
      <c r="C1282" s="4" t="s">
        <v>1544</v>
      </c>
      <c r="D1282" s="4" t="n">
        <v>690</v>
      </c>
      <c r="E1282" s="4" t="n">
        <v>7</v>
      </c>
      <c r="F1282" s="4" t="n">
        <v>6</v>
      </c>
      <c r="G1282" s="4" t="n">
        <v>0</v>
      </c>
      <c r="J1282" s="11" t="b">
        <f aca="false">TRUE()</f>
        <v>1</v>
      </c>
      <c r="K1282" s="4" t="s">
        <v>4081</v>
      </c>
      <c r="L1282" s="4" t="n">
        <v>4</v>
      </c>
      <c r="M1282" s="4" t="n">
        <v>4</v>
      </c>
      <c r="N1282" s="4" t="n">
        <v>4</v>
      </c>
      <c r="O1282" s="4" t="n">
        <v>4</v>
      </c>
      <c r="P1282" s="0" t="str">
        <f aca="false">IF(E1282=0,"not_reached",IF(AND(F1282&gt;0,G1282=0),"allowed","blocked"))</f>
        <v>allowed</v>
      </c>
      <c r="Q1282" s="0" t="str">
        <f aca="false">IF(C1282="success","published",IF(E1282&gt;0,"blocked_at_gate","failed_before_gate"))</f>
        <v>published</v>
      </c>
      <c r="R1282" s="0" t="str">
        <f aca="false">IF(C1282="success","",IF(E1282&gt;0,IF(I1282="freshness_within_target","freshness",IF(I1282="relationships_intact","relationships",IF(I1282="reconciliation_residual_zero","residual",I1282))),IF(H1282="quality_gate","gate_infra",H1282)))</f>
        <v/>
      </c>
    </row>
    <row r="1283" customFormat="false" ht="15" hidden="false" customHeight="false" outlineLevel="0" collapsed="false">
      <c r="A1283" s="4" t="s">
        <v>4082</v>
      </c>
      <c r="B1283" s="10" t="n">
        <v>46297.34375</v>
      </c>
      <c r="C1283" s="4" t="s">
        <v>1544</v>
      </c>
      <c r="D1283" s="4" t="n">
        <v>805</v>
      </c>
      <c r="E1283" s="4" t="n">
        <v>7</v>
      </c>
      <c r="F1283" s="4" t="n">
        <v>6</v>
      </c>
      <c r="G1283" s="4" t="n">
        <v>0</v>
      </c>
      <c r="J1283" s="11" t="b">
        <f aca="false">TRUE()</f>
        <v>1</v>
      </c>
      <c r="K1283" s="4" t="s">
        <v>4083</v>
      </c>
      <c r="L1283" s="4" t="n">
        <v>4</v>
      </c>
      <c r="M1283" s="4" t="n">
        <v>4</v>
      </c>
      <c r="N1283" s="4" t="n">
        <v>4</v>
      </c>
      <c r="O1283" s="4" t="n">
        <v>4</v>
      </c>
      <c r="P1283" s="0" t="str">
        <f aca="false">IF(E1283=0,"not_reached",IF(AND(F1283&gt;0,G1283=0),"allowed","blocked"))</f>
        <v>allowed</v>
      </c>
      <c r="Q1283" s="0" t="str">
        <f aca="false">IF(C1283="success","published",IF(E1283&gt;0,"blocked_at_gate","failed_before_gate"))</f>
        <v>published</v>
      </c>
      <c r="R1283" s="0" t="str">
        <f aca="false">IF(C1283="success","",IF(E1283&gt;0,IF(I1283="freshness_within_target","freshness",IF(I1283="relationships_intact","relationships",IF(I1283="reconciliation_residual_zero","residual",I1283))),IF(H1283="quality_gate","gate_infra",H1283)))</f>
        <v/>
      </c>
    </row>
    <row r="1284" customFormat="false" ht="15" hidden="false" customHeight="false" outlineLevel="0" collapsed="false">
      <c r="A1284" s="4" t="s">
        <v>4084</v>
      </c>
      <c r="B1284" s="10" t="n">
        <v>46297.3854166667</v>
      </c>
      <c r="C1284" s="4" t="s">
        <v>1544</v>
      </c>
      <c r="D1284" s="4" t="n">
        <v>944</v>
      </c>
      <c r="E1284" s="4" t="n">
        <v>7</v>
      </c>
      <c r="F1284" s="4" t="n">
        <v>6</v>
      </c>
      <c r="G1284" s="4" t="n">
        <v>0</v>
      </c>
      <c r="J1284" s="11" t="b">
        <f aca="false">TRUE()</f>
        <v>1</v>
      </c>
      <c r="K1284" s="4" t="s">
        <v>4085</v>
      </c>
      <c r="L1284" s="4" t="n">
        <v>4</v>
      </c>
      <c r="M1284" s="4" t="n">
        <v>4</v>
      </c>
      <c r="N1284" s="4" t="n">
        <v>4</v>
      </c>
      <c r="O1284" s="4" t="n">
        <v>4</v>
      </c>
      <c r="P1284" s="0" t="str">
        <f aca="false">IF(E1284=0,"not_reached",IF(AND(F1284&gt;0,G1284=0),"allowed","blocked"))</f>
        <v>allowed</v>
      </c>
      <c r="Q1284" s="0" t="str">
        <f aca="false">IF(C1284="success","published",IF(E1284&gt;0,"blocked_at_gate","failed_before_gate"))</f>
        <v>published</v>
      </c>
      <c r="R1284" s="0" t="str">
        <f aca="false">IF(C1284="success","",IF(E1284&gt;0,IF(I1284="freshness_within_target","freshness",IF(I1284="relationships_intact","relationships",IF(I1284="reconciliation_residual_zero","residual",I1284))),IF(H1284="quality_gate","gate_infra",H1284)))</f>
        <v/>
      </c>
    </row>
    <row r="1285" customFormat="false" ht="15" hidden="false" customHeight="false" outlineLevel="0" collapsed="false">
      <c r="A1285" s="4" t="s">
        <v>4086</v>
      </c>
      <c r="B1285" s="10" t="n">
        <v>46297.4270833333</v>
      </c>
      <c r="C1285" s="4" t="s">
        <v>1544</v>
      </c>
      <c r="D1285" s="4" t="n">
        <v>814</v>
      </c>
      <c r="E1285" s="4" t="n">
        <v>7</v>
      </c>
      <c r="F1285" s="4" t="n">
        <v>6</v>
      </c>
      <c r="G1285" s="4" t="n">
        <v>0</v>
      </c>
      <c r="J1285" s="11" t="b">
        <f aca="false">TRUE()</f>
        <v>1</v>
      </c>
      <c r="K1285" s="4" t="s">
        <v>4087</v>
      </c>
      <c r="L1285" s="4" t="n">
        <v>4</v>
      </c>
      <c r="M1285" s="4" t="n">
        <v>4</v>
      </c>
      <c r="N1285" s="4" t="n">
        <v>4</v>
      </c>
      <c r="O1285" s="4" t="n">
        <v>4</v>
      </c>
      <c r="P1285" s="0" t="str">
        <f aca="false">IF(E1285=0,"not_reached",IF(AND(F1285&gt;0,G1285=0),"allowed","blocked"))</f>
        <v>allowed</v>
      </c>
      <c r="Q1285" s="0" t="str">
        <f aca="false">IF(C1285="success","published",IF(E1285&gt;0,"blocked_at_gate","failed_before_gate"))</f>
        <v>published</v>
      </c>
      <c r="R1285" s="0" t="str">
        <f aca="false">IF(C1285="success","",IF(E1285&gt;0,IF(I1285="freshness_within_target","freshness",IF(I1285="relationships_intact","relationships",IF(I1285="reconciliation_residual_zero","residual",I1285))),IF(H1285="quality_gate","gate_infra",H1285)))</f>
        <v/>
      </c>
    </row>
    <row r="1286" customFormat="false" ht="15" hidden="false" customHeight="false" outlineLevel="0" collapsed="false">
      <c r="A1286" s="4" t="s">
        <v>4088</v>
      </c>
      <c r="B1286" s="10" t="n">
        <v>46297.46875</v>
      </c>
      <c r="C1286" s="4" t="s">
        <v>1544</v>
      </c>
      <c r="D1286" s="4" t="n">
        <v>909</v>
      </c>
      <c r="E1286" s="4" t="n">
        <v>7</v>
      </c>
      <c r="F1286" s="4" t="n">
        <v>6</v>
      </c>
      <c r="G1286" s="4" t="n">
        <v>0</v>
      </c>
      <c r="J1286" s="11" t="b">
        <f aca="false">TRUE()</f>
        <v>1</v>
      </c>
      <c r="K1286" s="4" t="s">
        <v>4089</v>
      </c>
      <c r="L1286" s="4" t="n">
        <v>4</v>
      </c>
      <c r="M1286" s="4" t="n">
        <v>4</v>
      </c>
      <c r="N1286" s="4" t="n">
        <v>4</v>
      </c>
      <c r="O1286" s="4" t="n">
        <v>4</v>
      </c>
      <c r="P1286" s="0" t="str">
        <f aca="false">IF(E1286=0,"not_reached",IF(AND(F1286&gt;0,G1286=0),"allowed","blocked"))</f>
        <v>allowed</v>
      </c>
      <c r="Q1286" s="0" t="str">
        <f aca="false">IF(C1286="success","published",IF(E1286&gt;0,"blocked_at_gate","failed_before_gate"))</f>
        <v>published</v>
      </c>
      <c r="R1286" s="0" t="str">
        <f aca="false">IF(C1286="success","",IF(E1286&gt;0,IF(I1286="freshness_within_target","freshness",IF(I1286="relationships_intact","relationships",IF(I1286="reconciliation_residual_zero","residual",I1286))),IF(H1286="quality_gate","gate_infra",H1286)))</f>
        <v/>
      </c>
    </row>
    <row r="1287" customFormat="false" ht="15" hidden="false" customHeight="false" outlineLevel="0" collapsed="false">
      <c r="A1287" s="4" t="s">
        <v>4090</v>
      </c>
      <c r="B1287" s="10" t="n">
        <v>46297.5104166667</v>
      </c>
      <c r="C1287" s="4" t="s">
        <v>1544</v>
      </c>
      <c r="D1287" s="4" t="n">
        <v>893</v>
      </c>
      <c r="E1287" s="4" t="n">
        <v>7</v>
      </c>
      <c r="F1287" s="4" t="n">
        <v>6</v>
      </c>
      <c r="G1287" s="4" t="n">
        <v>0</v>
      </c>
      <c r="J1287" s="11" t="b">
        <f aca="false">TRUE()</f>
        <v>1</v>
      </c>
      <c r="K1287" s="4" t="s">
        <v>4091</v>
      </c>
      <c r="L1287" s="4" t="n">
        <v>4</v>
      </c>
      <c r="M1287" s="4" t="n">
        <v>4</v>
      </c>
      <c r="N1287" s="4" t="n">
        <v>4</v>
      </c>
      <c r="O1287" s="4" t="n">
        <v>4</v>
      </c>
      <c r="P1287" s="0" t="str">
        <f aca="false">IF(E1287=0,"not_reached",IF(AND(F1287&gt;0,G1287=0),"allowed","blocked"))</f>
        <v>allowed</v>
      </c>
      <c r="Q1287" s="0" t="str">
        <f aca="false">IF(C1287="success","published",IF(E1287&gt;0,"blocked_at_gate","failed_before_gate"))</f>
        <v>published</v>
      </c>
      <c r="R1287" s="0" t="str">
        <f aca="false">IF(C1287="success","",IF(E1287&gt;0,IF(I1287="freshness_within_target","freshness",IF(I1287="relationships_intact","relationships",IF(I1287="reconciliation_residual_zero","residual",I1287))),IF(H1287="quality_gate","gate_infra",H1287)))</f>
        <v/>
      </c>
    </row>
    <row r="1288" customFormat="false" ht="15" hidden="false" customHeight="false" outlineLevel="0" collapsed="false">
      <c r="A1288" s="4" t="s">
        <v>4092</v>
      </c>
      <c r="B1288" s="10" t="n">
        <v>46297.5520833333</v>
      </c>
      <c r="C1288" s="4" t="s">
        <v>1544</v>
      </c>
      <c r="D1288" s="4" t="n">
        <v>732</v>
      </c>
      <c r="E1288" s="4" t="n">
        <v>7</v>
      </c>
      <c r="F1288" s="4" t="n">
        <v>6</v>
      </c>
      <c r="G1288" s="4" t="n">
        <v>0</v>
      </c>
      <c r="J1288" s="11" t="b">
        <f aca="false">TRUE()</f>
        <v>1</v>
      </c>
      <c r="K1288" s="4" t="s">
        <v>4093</v>
      </c>
      <c r="L1288" s="4" t="n">
        <v>4</v>
      </c>
      <c r="M1288" s="4" t="n">
        <v>4</v>
      </c>
      <c r="N1288" s="4" t="n">
        <v>4</v>
      </c>
      <c r="O1288" s="4" t="n">
        <v>4</v>
      </c>
      <c r="P1288" s="0" t="str">
        <f aca="false">IF(E1288=0,"not_reached",IF(AND(F1288&gt;0,G1288=0),"allowed","blocked"))</f>
        <v>allowed</v>
      </c>
      <c r="Q1288" s="0" t="str">
        <f aca="false">IF(C1288="success","published",IF(E1288&gt;0,"blocked_at_gate","failed_before_gate"))</f>
        <v>published</v>
      </c>
      <c r="R1288" s="0" t="str">
        <f aca="false">IF(C1288="success","",IF(E1288&gt;0,IF(I1288="freshness_within_target","freshness",IF(I1288="relationships_intact","relationships",IF(I1288="reconciliation_residual_zero","residual",I1288))),IF(H1288="quality_gate","gate_infra",H1288)))</f>
        <v/>
      </c>
    </row>
    <row r="1289" customFormat="false" ht="15" hidden="false" customHeight="false" outlineLevel="0" collapsed="false">
      <c r="A1289" s="4" t="s">
        <v>4094</v>
      </c>
      <c r="B1289" s="10" t="n">
        <v>46297.59375</v>
      </c>
      <c r="C1289" s="4" t="s">
        <v>1544</v>
      </c>
      <c r="D1289" s="4" t="n">
        <v>880</v>
      </c>
      <c r="E1289" s="4" t="n">
        <v>7</v>
      </c>
      <c r="F1289" s="4" t="n">
        <v>6</v>
      </c>
      <c r="G1289" s="4" t="n">
        <v>0</v>
      </c>
      <c r="J1289" s="11" t="b">
        <f aca="false">TRUE()</f>
        <v>1</v>
      </c>
      <c r="K1289" s="4" t="s">
        <v>4095</v>
      </c>
      <c r="L1289" s="4" t="n">
        <v>4</v>
      </c>
      <c r="M1289" s="4" t="n">
        <v>4</v>
      </c>
      <c r="N1289" s="4" t="n">
        <v>4</v>
      </c>
      <c r="O1289" s="4" t="n">
        <v>4</v>
      </c>
      <c r="P1289" s="0" t="str">
        <f aca="false">IF(E1289=0,"not_reached",IF(AND(F1289&gt;0,G1289=0),"allowed","blocked"))</f>
        <v>allowed</v>
      </c>
      <c r="Q1289" s="0" t="str">
        <f aca="false">IF(C1289="success","published",IF(E1289&gt;0,"blocked_at_gate","failed_before_gate"))</f>
        <v>published</v>
      </c>
      <c r="R1289" s="0" t="str">
        <f aca="false">IF(C1289="success","",IF(E1289&gt;0,IF(I1289="freshness_within_target","freshness",IF(I1289="relationships_intact","relationships",IF(I1289="reconciliation_residual_zero","residual",I1289))),IF(H1289="quality_gate","gate_infra",H1289)))</f>
        <v/>
      </c>
    </row>
    <row r="1290" customFormat="false" ht="15" hidden="false" customHeight="false" outlineLevel="0" collapsed="false">
      <c r="A1290" s="4" t="s">
        <v>4096</v>
      </c>
      <c r="B1290" s="10" t="n">
        <v>46297.6354166667</v>
      </c>
      <c r="C1290" s="4" t="s">
        <v>1544</v>
      </c>
      <c r="D1290" s="4" t="n">
        <v>718</v>
      </c>
      <c r="E1290" s="4" t="n">
        <v>7</v>
      </c>
      <c r="F1290" s="4" t="n">
        <v>6</v>
      </c>
      <c r="G1290" s="4" t="n">
        <v>0</v>
      </c>
      <c r="J1290" s="11" t="b">
        <f aca="false">TRUE()</f>
        <v>1</v>
      </c>
      <c r="K1290" s="4" t="s">
        <v>4097</v>
      </c>
      <c r="L1290" s="4" t="n">
        <v>4</v>
      </c>
      <c r="M1290" s="4" t="n">
        <v>4</v>
      </c>
      <c r="N1290" s="4" t="n">
        <v>4</v>
      </c>
      <c r="O1290" s="4" t="n">
        <v>4</v>
      </c>
      <c r="P1290" s="0" t="str">
        <f aca="false">IF(E1290=0,"not_reached",IF(AND(F1290&gt;0,G1290=0),"allowed","blocked"))</f>
        <v>allowed</v>
      </c>
      <c r="Q1290" s="0" t="str">
        <f aca="false">IF(C1290="success","published",IF(E1290&gt;0,"blocked_at_gate","failed_before_gate"))</f>
        <v>published</v>
      </c>
      <c r="R1290" s="0" t="str">
        <f aca="false">IF(C1290="success","",IF(E1290&gt;0,IF(I1290="freshness_within_target","freshness",IF(I1290="relationships_intact","relationships",IF(I1290="reconciliation_residual_zero","residual",I1290))),IF(H1290="quality_gate","gate_infra",H1290)))</f>
        <v/>
      </c>
    </row>
    <row r="1291" customFormat="false" ht="15" hidden="false" customHeight="false" outlineLevel="0" collapsed="false">
      <c r="A1291" s="4" t="s">
        <v>4098</v>
      </c>
      <c r="B1291" s="10" t="n">
        <v>46297.6770833333</v>
      </c>
      <c r="C1291" s="4" t="s">
        <v>1544</v>
      </c>
      <c r="D1291" s="4" t="n">
        <v>1255</v>
      </c>
      <c r="E1291" s="4" t="n">
        <v>7</v>
      </c>
      <c r="F1291" s="4" t="n">
        <v>6</v>
      </c>
      <c r="G1291" s="4" t="n">
        <v>0</v>
      </c>
      <c r="J1291" s="11" t="b">
        <f aca="false">TRUE()</f>
        <v>1</v>
      </c>
      <c r="K1291" s="4" t="s">
        <v>4099</v>
      </c>
      <c r="L1291" s="4" t="n">
        <v>4</v>
      </c>
      <c r="M1291" s="4" t="n">
        <v>4</v>
      </c>
      <c r="N1291" s="4" t="n">
        <v>5</v>
      </c>
      <c r="O1291" s="4" t="n">
        <v>4</v>
      </c>
      <c r="P1291" s="0" t="str">
        <f aca="false">IF(E1291=0,"not_reached",IF(AND(F1291&gt;0,G1291=0),"allowed","blocked"))</f>
        <v>allowed</v>
      </c>
      <c r="Q1291" s="0" t="str">
        <f aca="false">IF(C1291="success","published",IF(E1291&gt;0,"blocked_at_gate","failed_before_gate"))</f>
        <v>published</v>
      </c>
      <c r="R1291" s="0" t="str">
        <f aca="false">IF(C1291="success","",IF(E1291&gt;0,IF(I1291="freshness_within_target","freshness",IF(I1291="relationships_intact","relationships",IF(I1291="reconciliation_residual_zero","residual",I1291))),IF(H1291="quality_gate","gate_infra",H1291)))</f>
        <v/>
      </c>
    </row>
    <row r="1292" customFormat="false" ht="15" hidden="false" customHeight="false" outlineLevel="0" collapsed="false">
      <c r="A1292" s="4" t="s">
        <v>4100</v>
      </c>
      <c r="B1292" s="10" t="n">
        <v>46297.71875</v>
      </c>
      <c r="C1292" s="4" t="s">
        <v>1544</v>
      </c>
      <c r="D1292" s="4" t="n">
        <v>804</v>
      </c>
      <c r="E1292" s="4" t="n">
        <v>7</v>
      </c>
      <c r="F1292" s="4" t="n">
        <v>6</v>
      </c>
      <c r="G1292" s="4" t="n">
        <v>0</v>
      </c>
      <c r="J1292" s="11" t="b">
        <f aca="false">TRUE()</f>
        <v>1</v>
      </c>
      <c r="K1292" s="4" t="s">
        <v>4101</v>
      </c>
      <c r="L1292" s="4" t="n">
        <v>4</v>
      </c>
      <c r="M1292" s="4" t="n">
        <v>4</v>
      </c>
      <c r="N1292" s="4" t="n">
        <v>4</v>
      </c>
      <c r="O1292" s="4" t="n">
        <v>4</v>
      </c>
      <c r="P1292" s="0" t="str">
        <f aca="false">IF(E1292=0,"not_reached",IF(AND(F1292&gt;0,G1292=0),"allowed","blocked"))</f>
        <v>allowed</v>
      </c>
      <c r="Q1292" s="0" t="str">
        <f aca="false">IF(C1292="success","published",IF(E1292&gt;0,"blocked_at_gate","failed_before_gate"))</f>
        <v>published</v>
      </c>
      <c r="R1292" s="0" t="str">
        <f aca="false">IF(C1292="success","",IF(E1292&gt;0,IF(I1292="freshness_within_target","freshness",IF(I1292="relationships_intact","relationships",IF(I1292="reconciliation_residual_zero","residual",I1292))),IF(H1292="quality_gate","gate_infra",H1292)))</f>
        <v/>
      </c>
    </row>
    <row r="1293" customFormat="false" ht="15" hidden="false" customHeight="false" outlineLevel="0" collapsed="false">
      <c r="A1293" s="4" t="s">
        <v>4102</v>
      </c>
      <c r="B1293" s="10" t="n">
        <v>46297.7604166667</v>
      </c>
      <c r="C1293" s="4" t="s">
        <v>1544</v>
      </c>
      <c r="D1293" s="4" t="n">
        <v>794</v>
      </c>
      <c r="E1293" s="4" t="n">
        <v>7</v>
      </c>
      <c r="F1293" s="4" t="n">
        <v>6</v>
      </c>
      <c r="G1293" s="4" t="n">
        <v>0</v>
      </c>
      <c r="J1293" s="11" t="b">
        <f aca="false">TRUE()</f>
        <v>1</v>
      </c>
      <c r="K1293" s="4" t="s">
        <v>4103</v>
      </c>
      <c r="L1293" s="4" t="n">
        <v>4</v>
      </c>
      <c r="M1293" s="4" t="n">
        <v>4</v>
      </c>
      <c r="N1293" s="4" t="n">
        <v>4</v>
      </c>
      <c r="O1293" s="4" t="n">
        <v>4</v>
      </c>
      <c r="P1293" s="0" t="str">
        <f aca="false">IF(E1293=0,"not_reached",IF(AND(F1293&gt;0,G1293=0),"allowed","blocked"))</f>
        <v>allowed</v>
      </c>
      <c r="Q1293" s="0" t="str">
        <f aca="false">IF(C1293="success","published",IF(E1293&gt;0,"blocked_at_gate","failed_before_gate"))</f>
        <v>published</v>
      </c>
      <c r="R1293" s="0" t="str">
        <f aca="false">IF(C1293="success","",IF(E1293&gt;0,IF(I1293="freshness_within_target","freshness",IF(I1293="relationships_intact","relationships",IF(I1293="reconciliation_residual_zero","residual",I1293))),IF(H1293="quality_gate","gate_infra",H1293)))</f>
        <v/>
      </c>
    </row>
    <row r="1294" customFormat="false" ht="15" hidden="false" customHeight="false" outlineLevel="0" collapsed="false">
      <c r="A1294" s="4" t="s">
        <v>4104</v>
      </c>
      <c r="B1294" s="10" t="n">
        <v>46297.8020833333</v>
      </c>
      <c r="C1294" s="4" t="s">
        <v>1544</v>
      </c>
      <c r="D1294" s="4" t="n">
        <v>882</v>
      </c>
      <c r="E1294" s="4" t="n">
        <v>7</v>
      </c>
      <c r="F1294" s="4" t="n">
        <v>6</v>
      </c>
      <c r="G1294" s="4" t="n">
        <v>0</v>
      </c>
      <c r="J1294" s="11" t="b">
        <f aca="false">TRUE()</f>
        <v>1</v>
      </c>
      <c r="K1294" s="4" t="s">
        <v>4105</v>
      </c>
      <c r="L1294" s="4" t="n">
        <v>4</v>
      </c>
      <c r="M1294" s="4" t="n">
        <v>4</v>
      </c>
      <c r="N1294" s="4" t="n">
        <v>4</v>
      </c>
      <c r="O1294" s="4" t="n">
        <v>4</v>
      </c>
      <c r="P1294" s="0" t="str">
        <f aca="false">IF(E1294=0,"not_reached",IF(AND(F1294&gt;0,G1294=0),"allowed","blocked"))</f>
        <v>allowed</v>
      </c>
      <c r="Q1294" s="0" t="str">
        <f aca="false">IF(C1294="success","published",IF(E1294&gt;0,"blocked_at_gate","failed_before_gate"))</f>
        <v>published</v>
      </c>
      <c r="R1294" s="0" t="str">
        <f aca="false">IF(C1294="success","",IF(E1294&gt;0,IF(I1294="freshness_within_target","freshness",IF(I1294="relationships_intact","relationships",IF(I1294="reconciliation_residual_zero","residual",I1294))),IF(H1294="quality_gate","gate_infra",H1294)))</f>
        <v/>
      </c>
    </row>
    <row r="1295" customFormat="false" ht="15" hidden="false" customHeight="false" outlineLevel="0" collapsed="false">
      <c r="A1295" s="4" t="s">
        <v>4106</v>
      </c>
      <c r="B1295" s="10" t="n">
        <v>46297.84375</v>
      </c>
      <c r="C1295" s="4" t="s">
        <v>1544</v>
      </c>
      <c r="D1295" s="4" t="n">
        <v>692</v>
      </c>
      <c r="E1295" s="4" t="n">
        <v>7</v>
      </c>
      <c r="F1295" s="4" t="n">
        <v>6</v>
      </c>
      <c r="G1295" s="4" t="n">
        <v>0</v>
      </c>
      <c r="J1295" s="11" t="b">
        <f aca="false">TRUE()</f>
        <v>1</v>
      </c>
      <c r="K1295" s="4" t="s">
        <v>4107</v>
      </c>
      <c r="L1295" s="4" t="n">
        <v>4</v>
      </c>
      <c r="M1295" s="4" t="n">
        <v>4</v>
      </c>
      <c r="N1295" s="4" t="n">
        <v>4</v>
      </c>
      <c r="O1295" s="4" t="n">
        <v>4</v>
      </c>
      <c r="P1295" s="0" t="str">
        <f aca="false">IF(E1295=0,"not_reached",IF(AND(F1295&gt;0,G1295=0),"allowed","blocked"))</f>
        <v>allowed</v>
      </c>
      <c r="Q1295" s="0" t="str">
        <f aca="false">IF(C1295="success","published",IF(E1295&gt;0,"blocked_at_gate","failed_before_gate"))</f>
        <v>published</v>
      </c>
      <c r="R1295" s="0" t="str">
        <f aca="false">IF(C1295="success","",IF(E1295&gt;0,IF(I1295="freshness_within_target","freshness",IF(I1295="relationships_intact","relationships",IF(I1295="reconciliation_residual_zero","residual",I1295))),IF(H1295="quality_gate","gate_infra",H1295)))</f>
        <v/>
      </c>
    </row>
    <row r="1296" customFormat="false" ht="15" hidden="false" customHeight="false" outlineLevel="0" collapsed="false">
      <c r="A1296" s="4" t="s">
        <v>4108</v>
      </c>
      <c r="B1296" s="10" t="n">
        <v>46297.8854166667</v>
      </c>
      <c r="C1296" s="4" t="s">
        <v>1544</v>
      </c>
      <c r="D1296" s="4" t="n">
        <v>706</v>
      </c>
      <c r="E1296" s="4" t="n">
        <v>7</v>
      </c>
      <c r="F1296" s="4" t="n">
        <v>6</v>
      </c>
      <c r="G1296" s="4" t="n">
        <v>0</v>
      </c>
      <c r="J1296" s="11" t="b">
        <f aca="false">TRUE()</f>
        <v>1</v>
      </c>
      <c r="K1296" s="4" t="s">
        <v>4109</v>
      </c>
      <c r="L1296" s="4" t="n">
        <v>4</v>
      </c>
      <c r="M1296" s="4" t="n">
        <v>4</v>
      </c>
      <c r="N1296" s="4" t="n">
        <v>4</v>
      </c>
      <c r="O1296" s="4" t="n">
        <v>4</v>
      </c>
      <c r="P1296" s="0" t="str">
        <f aca="false">IF(E1296=0,"not_reached",IF(AND(F1296&gt;0,G1296=0),"allowed","blocked"))</f>
        <v>allowed</v>
      </c>
      <c r="Q1296" s="0" t="str">
        <f aca="false">IF(C1296="success","published",IF(E1296&gt;0,"blocked_at_gate","failed_before_gate"))</f>
        <v>published</v>
      </c>
      <c r="R1296" s="0" t="str">
        <f aca="false">IF(C1296="success","",IF(E1296&gt;0,IF(I1296="freshness_within_target","freshness",IF(I1296="relationships_intact","relationships",IF(I1296="reconciliation_residual_zero","residual",I1296))),IF(H1296="quality_gate","gate_infra",H1296)))</f>
        <v/>
      </c>
    </row>
    <row r="1297" customFormat="false" ht="15" hidden="false" customHeight="false" outlineLevel="0" collapsed="false">
      <c r="A1297" s="4" t="s">
        <v>4110</v>
      </c>
      <c r="B1297" s="10" t="n">
        <v>46297.9270833333</v>
      </c>
      <c r="C1297" s="4" t="s">
        <v>1544</v>
      </c>
      <c r="D1297" s="4" t="n">
        <v>683</v>
      </c>
      <c r="E1297" s="4" t="n">
        <v>7</v>
      </c>
      <c r="F1297" s="4" t="n">
        <v>6</v>
      </c>
      <c r="G1297" s="4" t="n">
        <v>0</v>
      </c>
      <c r="J1297" s="11" t="b">
        <f aca="false">TRUE()</f>
        <v>1</v>
      </c>
      <c r="K1297" s="4" t="s">
        <v>4111</v>
      </c>
      <c r="L1297" s="4" t="n">
        <v>4</v>
      </c>
      <c r="M1297" s="4" t="n">
        <v>4</v>
      </c>
      <c r="N1297" s="4" t="n">
        <v>4</v>
      </c>
      <c r="O1297" s="4" t="n">
        <v>4</v>
      </c>
      <c r="P1297" s="0" t="str">
        <f aca="false">IF(E1297=0,"not_reached",IF(AND(F1297&gt;0,G1297=0),"allowed","blocked"))</f>
        <v>allowed</v>
      </c>
      <c r="Q1297" s="0" t="str">
        <f aca="false">IF(C1297="success","published",IF(E1297&gt;0,"blocked_at_gate","failed_before_gate"))</f>
        <v>published</v>
      </c>
      <c r="R1297" s="0" t="str">
        <f aca="false">IF(C1297="success","",IF(E1297&gt;0,IF(I1297="freshness_within_target","freshness",IF(I1297="relationships_intact","relationships",IF(I1297="reconciliation_residual_zero","residual",I1297))),IF(H1297="quality_gate","gate_infra",H1297)))</f>
        <v/>
      </c>
    </row>
    <row r="1298" customFormat="false" ht="15" hidden="false" customHeight="false" outlineLevel="0" collapsed="false">
      <c r="A1298" s="4" t="s">
        <v>4112</v>
      </c>
      <c r="B1298" s="10" t="n">
        <v>46297.96875</v>
      </c>
      <c r="C1298" s="4" t="s">
        <v>1544</v>
      </c>
      <c r="D1298" s="4" t="n">
        <v>892</v>
      </c>
      <c r="E1298" s="4" t="n">
        <v>7</v>
      </c>
      <c r="F1298" s="4" t="n">
        <v>6</v>
      </c>
      <c r="G1298" s="4" t="n">
        <v>0</v>
      </c>
      <c r="J1298" s="11" t="b">
        <f aca="false">TRUE()</f>
        <v>1</v>
      </c>
      <c r="K1298" s="4" t="s">
        <v>4113</v>
      </c>
      <c r="L1298" s="4" t="n">
        <v>4</v>
      </c>
      <c r="M1298" s="4" t="n">
        <v>4</v>
      </c>
      <c r="N1298" s="4" t="n">
        <v>4</v>
      </c>
      <c r="O1298" s="4" t="n">
        <v>4</v>
      </c>
      <c r="P1298" s="0" t="str">
        <f aca="false">IF(E1298=0,"not_reached",IF(AND(F1298&gt;0,G1298=0),"allowed","blocked"))</f>
        <v>allowed</v>
      </c>
      <c r="Q1298" s="0" t="str">
        <f aca="false">IF(C1298="success","published",IF(E1298&gt;0,"blocked_at_gate","failed_before_gate"))</f>
        <v>published</v>
      </c>
      <c r="R1298" s="0" t="str">
        <f aca="false">IF(C1298="success","",IF(E1298&gt;0,IF(I1298="freshness_within_target","freshness",IF(I1298="relationships_intact","relationships",IF(I1298="reconciliation_residual_zero","residual",I1298))),IF(H1298="quality_gate","gate_infra",H1298)))</f>
        <v/>
      </c>
    </row>
    <row r="1299" customFormat="false" ht="15" hidden="false" customHeight="false" outlineLevel="0" collapsed="false">
      <c r="A1299" s="4" t="s">
        <v>4114</v>
      </c>
      <c r="B1299" s="10" t="n">
        <v>46298.0104166667</v>
      </c>
      <c r="C1299" s="4" t="s">
        <v>1544</v>
      </c>
      <c r="D1299" s="4" t="n">
        <v>958</v>
      </c>
      <c r="E1299" s="4" t="n">
        <v>7</v>
      </c>
      <c r="F1299" s="4" t="n">
        <v>6</v>
      </c>
      <c r="G1299" s="4" t="n">
        <v>0</v>
      </c>
      <c r="J1299" s="11" t="b">
        <f aca="false">TRUE()</f>
        <v>1</v>
      </c>
      <c r="K1299" s="4" t="s">
        <v>4115</v>
      </c>
      <c r="L1299" s="4" t="n">
        <v>4</v>
      </c>
      <c r="M1299" s="4" t="n">
        <v>4</v>
      </c>
      <c r="N1299" s="4" t="n">
        <v>4</v>
      </c>
      <c r="O1299" s="4" t="n">
        <v>4</v>
      </c>
      <c r="P1299" s="0" t="str">
        <f aca="false">IF(E1299=0,"not_reached",IF(AND(F1299&gt;0,G1299=0),"allowed","blocked"))</f>
        <v>allowed</v>
      </c>
      <c r="Q1299" s="0" t="str">
        <f aca="false">IF(C1299="success","published",IF(E1299&gt;0,"blocked_at_gate","failed_before_gate"))</f>
        <v>published</v>
      </c>
      <c r="R1299" s="0" t="str">
        <f aca="false">IF(C1299="success","",IF(E1299&gt;0,IF(I1299="freshness_within_target","freshness",IF(I1299="relationships_intact","relationships",IF(I1299="reconciliation_residual_zero","residual",I1299))),IF(H1299="quality_gate","gate_infra",H1299)))</f>
        <v/>
      </c>
    </row>
    <row r="1300" customFormat="false" ht="15" hidden="false" customHeight="false" outlineLevel="0" collapsed="false">
      <c r="A1300" s="4" t="s">
        <v>4116</v>
      </c>
      <c r="B1300" s="10" t="n">
        <v>46298.0520833333</v>
      </c>
      <c r="C1300" s="4" t="s">
        <v>1544</v>
      </c>
      <c r="D1300" s="4" t="n">
        <v>1104</v>
      </c>
      <c r="E1300" s="4" t="n">
        <v>7</v>
      </c>
      <c r="F1300" s="4" t="n">
        <v>6</v>
      </c>
      <c r="G1300" s="4" t="n">
        <v>0</v>
      </c>
      <c r="J1300" s="11" t="b">
        <f aca="false">TRUE()</f>
        <v>1</v>
      </c>
      <c r="K1300" s="4" t="s">
        <v>4117</v>
      </c>
      <c r="L1300" s="4" t="n">
        <v>4</v>
      </c>
      <c r="M1300" s="4" t="n">
        <v>4</v>
      </c>
      <c r="N1300" s="4" t="n">
        <v>5</v>
      </c>
      <c r="O1300" s="4" t="n">
        <v>4</v>
      </c>
      <c r="P1300" s="0" t="str">
        <f aca="false">IF(E1300=0,"not_reached",IF(AND(F1300&gt;0,G1300=0),"allowed","blocked"))</f>
        <v>allowed</v>
      </c>
      <c r="Q1300" s="0" t="str">
        <f aca="false">IF(C1300="success","published",IF(E1300&gt;0,"blocked_at_gate","failed_before_gate"))</f>
        <v>published</v>
      </c>
      <c r="R1300" s="0" t="str">
        <f aca="false">IF(C1300="success","",IF(E1300&gt;0,IF(I1300="freshness_within_target","freshness",IF(I1300="relationships_intact","relationships",IF(I1300="reconciliation_residual_zero","residual",I1300))),IF(H1300="quality_gate","gate_infra",H1300)))</f>
        <v/>
      </c>
    </row>
    <row r="1301" customFormat="false" ht="15" hidden="false" customHeight="false" outlineLevel="0" collapsed="false">
      <c r="A1301" s="4" t="s">
        <v>4118</v>
      </c>
      <c r="B1301" s="10" t="n">
        <v>46298.09375</v>
      </c>
      <c r="C1301" s="4" t="s">
        <v>1544</v>
      </c>
      <c r="D1301" s="4" t="n">
        <v>957</v>
      </c>
      <c r="E1301" s="4" t="n">
        <v>7</v>
      </c>
      <c r="F1301" s="4" t="n">
        <v>6</v>
      </c>
      <c r="G1301" s="4" t="n">
        <v>0</v>
      </c>
      <c r="J1301" s="11" t="b">
        <f aca="false">TRUE()</f>
        <v>1</v>
      </c>
      <c r="K1301" s="4" t="s">
        <v>4119</v>
      </c>
      <c r="L1301" s="4" t="n">
        <v>4</v>
      </c>
      <c r="M1301" s="4" t="n">
        <v>4</v>
      </c>
      <c r="N1301" s="4" t="n">
        <v>4</v>
      </c>
      <c r="O1301" s="4" t="n">
        <v>4</v>
      </c>
      <c r="P1301" s="0" t="str">
        <f aca="false">IF(E1301=0,"not_reached",IF(AND(F1301&gt;0,G1301=0),"allowed","blocked"))</f>
        <v>allowed</v>
      </c>
      <c r="Q1301" s="0" t="str">
        <f aca="false">IF(C1301="success","published",IF(E1301&gt;0,"blocked_at_gate","failed_before_gate"))</f>
        <v>published</v>
      </c>
      <c r="R1301" s="0" t="str">
        <f aca="false">IF(C1301="success","",IF(E1301&gt;0,IF(I1301="freshness_within_target","freshness",IF(I1301="relationships_intact","relationships",IF(I1301="reconciliation_residual_zero","residual",I1301))),IF(H1301="quality_gate","gate_infra",H1301)))</f>
        <v/>
      </c>
    </row>
    <row r="1302" customFormat="false" ht="15" hidden="false" customHeight="false" outlineLevel="0" collapsed="false">
      <c r="A1302" s="4" t="s">
        <v>4120</v>
      </c>
      <c r="B1302" s="10" t="n">
        <v>46298.1354166667</v>
      </c>
      <c r="C1302" s="4" t="s">
        <v>1544</v>
      </c>
      <c r="D1302" s="4" t="n">
        <v>956</v>
      </c>
      <c r="E1302" s="4" t="n">
        <v>7</v>
      </c>
      <c r="F1302" s="4" t="n">
        <v>6</v>
      </c>
      <c r="G1302" s="4" t="n">
        <v>0</v>
      </c>
      <c r="J1302" s="11" t="b">
        <f aca="false">TRUE()</f>
        <v>1</v>
      </c>
      <c r="K1302" s="4" t="s">
        <v>4121</v>
      </c>
      <c r="L1302" s="4" t="n">
        <v>4</v>
      </c>
      <c r="M1302" s="4" t="n">
        <v>4</v>
      </c>
      <c r="N1302" s="4" t="n">
        <v>4</v>
      </c>
      <c r="O1302" s="4" t="n">
        <v>4</v>
      </c>
      <c r="P1302" s="0" t="str">
        <f aca="false">IF(E1302=0,"not_reached",IF(AND(F1302&gt;0,G1302=0),"allowed","blocked"))</f>
        <v>allowed</v>
      </c>
      <c r="Q1302" s="0" t="str">
        <f aca="false">IF(C1302="success","published",IF(E1302&gt;0,"blocked_at_gate","failed_before_gate"))</f>
        <v>published</v>
      </c>
      <c r="R1302" s="0" t="str">
        <f aca="false">IF(C1302="success","",IF(E1302&gt;0,IF(I1302="freshness_within_target","freshness",IF(I1302="relationships_intact","relationships",IF(I1302="reconciliation_residual_zero","residual",I1302))),IF(H1302="quality_gate","gate_infra",H1302)))</f>
        <v/>
      </c>
    </row>
    <row r="1303" customFormat="false" ht="15" hidden="false" customHeight="false" outlineLevel="0" collapsed="false">
      <c r="A1303" s="4" t="s">
        <v>4122</v>
      </c>
      <c r="B1303" s="10" t="n">
        <v>46298.1770833333</v>
      </c>
      <c r="C1303" s="4" t="s">
        <v>1544</v>
      </c>
      <c r="D1303" s="4" t="n">
        <v>694</v>
      </c>
      <c r="E1303" s="4" t="n">
        <v>7</v>
      </c>
      <c r="F1303" s="4" t="n">
        <v>6</v>
      </c>
      <c r="G1303" s="4" t="n">
        <v>0</v>
      </c>
      <c r="J1303" s="11" t="b">
        <f aca="false">TRUE()</f>
        <v>1</v>
      </c>
      <c r="K1303" s="4" t="s">
        <v>4123</v>
      </c>
      <c r="L1303" s="4" t="n">
        <v>4</v>
      </c>
      <c r="M1303" s="4" t="n">
        <v>4</v>
      </c>
      <c r="N1303" s="4" t="n">
        <v>4</v>
      </c>
      <c r="O1303" s="4" t="n">
        <v>4</v>
      </c>
      <c r="P1303" s="0" t="str">
        <f aca="false">IF(E1303=0,"not_reached",IF(AND(F1303&gt;0,G1303=0),"allowed","blocked"))</f>
        <v>allowed</v>
      </c>
      <c r="Q1303" s="0" t="str">
        <f aca="false">IF(C1303="success","published",IF(E1303&gt;0,"blocked_at_gate","failed_before_gate"))</f>
        <v>published</v>
      </c>
      <c r="R1303" s="0" t="str">
        <f aca="false">IF(C1303="success","",IF(E1303&gt;0,IF(I1303="freshness_within_target","freshness",IF(I1303="relationships_intact","relationships",IF(I1303="reconciliation_residual_zero","residual",I1303))),IF(H1303="quality_gate","gate_infra",H1303)))</f>
        <v/>
      </c>
    </row>
    <row r="1304" customFormat="false" ht="15" hidden="false" customHeight="false" outlineLevel="0" collapsed="false">
      <c r="A1304" s="4" t="s">
        <v>4124</v>
      </c>
      <c r="B1304" s="10" t="n">
        <v>46298.21875</v>
      </c>
      <c r="C1304" s="4" t="s">
        <v>1544</v>
      </c>
      <c r="D1304" s="4" t="n">
        <v>786</v>
      </c>
      <c r="E1304" s="4" t="n">
        <v>7</v>
      </c>
      <c r="F1304" s="4" t="n">
        <v>6</v>
      </c>
      <c r="G1304" s="4" t="n">
        <v>0</v>
      </c>
      <c r="J1304" s="11" t="b">
        <f aca="false">TRUE()</f>
        <v>1</v>
      </c>
      <c r="K1304" s="4" t="s">
        <v>4125</v>
      </c>
      <c r="L1304" s="4" t="n">
        <v>4</v>
      </c>
      <c r="M1304" s="4" t="n">
        <v>4</v>
      </c>
      <c r="N1304" s="4" t="n">
        <v>4</v>
      </c>
      <c r="O1304" s="4" t="n">
        <v>4</v>
      </c>
      <c r="P1304" s="0" t="str">
        <f aca="false">IF(E1304=0,"not_reached",IF(AND(F1304&gt;0,G1304=0),"allowed","blocked"))</f>
        <v>allowed</v>
      </c>
      <c r="Q1304" s="0" t="str">
        <f aca="false">IF(C1304="success","published",IF(E1304&gt;0,"blocked_at_gate","failed_before_gate"))</f>
        <v>published</v>
      </c>
      <c r="R1304" s="0" t="str">
        <f aca="false">IF(C1304="success","",IF(E1304&gt;0,IF(I1304="freshness_within_target","freshness",IF(I1304="relationships_intact","relationships",IF(I1304="reconciliation_residual_zero","residual",I1304))),IF(H1304="quality_gate","gate_infra",H1304)))</f>
        <v/>
      </c>
    </row>
    <row r="1305" customFormat="false" ht="15" hidden="false" customHeight="false" outlineLevel="0" collapsed="false">
      <c r="A1305" s="4" t="s">
        <v>4126</v>
      </c>
      <c r="B1305" s="10" t="n">
        <v>46298.2604166667</v>
      </c>
      <c r="C1305" s="4" t="s">
        <v>1544</v>
      </c>
      <c r="D1305" s="4" t="n">
        <v>785</v>
      </c>
      <c r="E1305" s="4" t="n">
        <v>7</v>
      </c>
      <c r="F1305" s="4" t="n">
        <v>6</v>
      </c>
      <c r="G1305" s="4" t="n">
        <v>0</v>
      </c>
      <c r="J1305" s="11" t="b">
        <f aca="false">TRUE()</f>
        <v>1</v>
      </c>
      <c r="K1305" s="4" t="s">
        <v>4127</v>
      </c>
      <c r="L1305" s="4" t="n">
        <v>4</v>
      </c>
      <c r="M1305" s="4" t="n">
        <v>4</v>
      </c>
      <c r="N1305" s="4" t="n">
        <v>4</v>
      </c>
      <c r="O1305" s="4" t="n">
        <v>4</v>
      </c>
      <c r="P1305" s="0" t="str">
        <f aca="false">IF(E1305=0,"not_reached",IF(AND(F1305&gt;0,G1305=0),"allowed","blocked"))</f>
        <v>allowed</v>
      </c>
      <c r="Q1305" s="0" t="str">
        <f aca="false">IF(C1305="success","published",IF(E1305&gt;0,"blocked_at_gate","failed_before_gate"))</f>
        <v>published</v>
      </c>
      <c r="R1305" s="0" t="str">
        <f aca="false">IF(C1305="success","",IF(E1305&gt;0,IF(I1305="freshness_within_target","freshness",IF(I1305="relationships_intact","relationships",IF(I1305="reconciliation_residual_zero","residual",I1305))),IF(H1305="quality_gate","gate_infra",H1305)))</f>
        <v/>
      </c>
    </row>
    <row r="1306" customFormat="false" ht="15" hidden="false" customHeight="false" outlineLevel="0" collapsed="false">
      <c r="A1306" s="4" t="s">
        <v>4128</v>
      </c>
      <c r="B1306" s="10" t="n">
        <v>46298.3020833333</v>
      </c>
      <c r="C1306" s="4" t="s">
        <v>1544</v>
      </c>
      <c r="D1306" s="4" t="n">
        <v>812</v>
      </c>
      <c r="E1306" s="4" t="n">
        <v>7</v>
      </c>
      <c r="F1306" s="4" t="n">
        <v>6</v>
      </c>
      <c r="G1306" s="4" t="n">
        <v>0</v>
      </c>
      <c r="J1306" s="11" t="b">
        <f aca="false">TRUE()</f>
        <v>1</v>
      </c>
      <c r="K1306" s="4" t="s">
        <v>4129</v>
      </c>
      <c r="L1306" s="4" t="n">
        <v>4</v>
      </c>
      <c r="M1306" s="4" t="n">
        <v>4</v>
      </c>
      <c r="N1306" s="4" t="n">
        <v>4</v>
      </c>
      <c r="O1306" s="4" t="n">
        <v>4</v>
      </c>
      <c r="P1306" s="0" t="str">
        <f aca="false">IF(E1306=0,"not_reached",IF(AND(F1306&gt;0,G1306=0),"allowed","blocked"))</f>
        <v>allowed</v>
      </c>
      <c r="Q1306" s="0" t="str">
        <f aca="false">IF(C1306="success","published",IF(E1306&gt;0,"blocked_at_gate","failed_before_gate"))</f>
        <v>published</v>
      </c>
      <c r="R1306" s="0" t="str">
        <f aca="false">IF(C1306="success","",IF(E1306&gt;0,IF(I1306="freshness_within_target","freshness",IF(I1306="relationships_intact","relationships",IF(I1306="reconciliation_residual_zero","residual",I1306))),IF(H1306="quality_gate","gate_infra",H1306)))</f>
        <v/>
      </c>
    </row>
    <row r="1307" customFormat="false" ht="15" hidden="false" customHeight="false" outlineLevel="0" collapsed="false">
      <c r="A1307" s="4" t="s">
        <v>4130</v>
      </c>
      <c r="B1307" s="10" t="n">
        <v>46298.34375</v>
      </c>
      <c r="C1307" s="4" t="s">
        <v>1544</v>
      </c>
      <c r="D1307" s="4" t="n">
        <v>855</v>
      </c>
      <c r="E1307" s="4" t="n">
        <v>7</v>
      </c>
      <c r="F1307" s="4" t="n">
        <v>6</v>
      </c>
      <c r="G1307" s="4" t="n">
        <v>0</v>
      </c>
      <c r="J1307" s="11" t="b">
        <f aca="false">TRUE()</f>
        <v>1</v>
      </c>
      <c r="K1307" s="4" t="s">
        <v>4131</v>
      </c>
      <c r="L1307" s="4" t="n">
        <v>4</v>
      </c>
      <c r="M1307" s="4" t="n">
        <v>4</v>
      </c>
      <c r="N1307" s="4" t="n">
        <v>4</v>
      </c>
      <c r="O1307" s="4" t="n">
        <v>4</v>
      </c>
      <c r="P1307" s="0" t="str">
        <f aca="false">IF(E1307=0,"not_reached",IF(AND(F1307&gt;0,G1307=0),"allowed","blocked"))</f>
        <v>allowed</v>
      </c>
      <c r="Q1307" s="0" t="str">
        <f aca="false">IF(C1307="success","published",IF(E1307&gt;0,"blocked_at_gate","failed_before_gate"))</f>
        <v>published</v>
      </c>
      <c r="R1307" s="0" t="str">
        <f aca="false">IF(C1307="success","",IF(E1307&gt;0,IF(I1307="freshness_within_target","freshness",IF(I1307="relationships_intact","relationships",IF(I1307="reconciliation_residual_zero","residual",I1307))),IF(H1307="quality_gate","gate_infra",H1307)))</f>
        <v/>
      </c>
    </row>
    <row r="1308" customFormat="false" ht="15" hidden="false" customHeight="false" outlineLevel="0" collapsed="false">
      <c r="A1308" s="4" t="s">
        <v>4132</v>
      </c>
      <c r="B1308" s="10" t="n">
        <v>46298.3854166667</v>
      </c>
      <c r="C1308" s="4" t="s">
        <v>1544</v>
      </c>
      <c r="D1308" s="4" t="n">
        <v>825</v>
      </c>
      <c r="E1308" s="4" t="n">
        <v>7</v>
      </c>
      <c r="F1308" s="4" t="n">
        <v>6</v>
      </c>
      <c r="G1308" s="4" t="n">
        <v>0</v>
      </c>
      <c r="J1308" s="11" t="b">
        <f aca="false">TRUE()</f>
        <v>1</v>
      </c>
      <c r="K1308" s="4" t="s">
        <v>4133</v>
      </c>
      <c r="L1308" s="4" t="n">
        <v>4</v>
      </c>
      <c r="M1308" s="4" t="n">
        <v>4</v>
      </c>
      <c r="N1308" s="4" t="n">
        <v>4</v>
      </c>
      <c r="O1308" s="4" t="n">
        <v>4</v>
      </c>
      <c r="P1308" s="0" t="str">
        <f aca="false">IF(E1308=0,"not_reached",IF(AND(F1308&gt;0,G1308=0),"allowed","blocked"))</f>
        <v>allowed</v>
      </c>
      <c r="Q1308" s="0" t="str">
        <f aca="false">IF(C1308="success","published",IF(E1308&gt;0,"blocked_at_gate","failed_before_gate"))</f>
        <v>published</v>
      </c>
      <c r="R1308" s="0" t="str">
        <f aca="false">IF(C1308="success","",IF(E1308&gt;0,IF(I1308="freshness_within_target","freshness",IF(I1308="relationships_intact","relationships",IF(I1308="reconciliation_residual_zero","residual",I1308))),IF(H1308="quality_gate","gate_infra",H1308)))</f>
        <v/>
      </c>
    </row>
    <row r="1309" customFormat="false" ht="15" hidden="false" customHeight="false" outlineLevel="0" collapsed="false">
      <c r="A1309" s="4" t="s">
        <v>4134</v>
      </c>
      <c r="B1309" s="10" t="n">
        <v>46298.4270833333</v>
      </c>
      <c r="C1309" s="4" t="s">
        <v>1544</v>
      </c>
      <c r="D1309" s="4" t="n">
        <v>948</v>
      </c>
      <c r="E1309" s="4" t="n">
        <v>7</v>
      </c>
      <c r="F1309" s="4" t="n">
        <v>6</v>
      </c>
      <c r="G1309" s="4" t="n">
        <v>0</v>
      </c>
      <c r="J1309" s="11" t="b">
        <f aca="false">TRUE()</f>
        <v>1</v>
      </c>
      <c r="K1309" s="4" t="s">
        <v>4135</v>
      </c>
      <c r="L1309" s="4" t="n">
        <v>4</v>
      </c>
      <c r="M1309" s="4" t="n">
        <v>4</v>
      </c>
      <c r="N1309" s="4" t="n">
        <v>4</v>
      </c>
      <c r="O1309" s="4" t="n">
        <v>4</v>
      </c>
      <c r="P1309" s="0" t="str">
        <f aca="false">IF(E1309=0,"not_reached",IF(AND(F1309&gt;0,G1309=0),"allowed","blocked"))</f>
        <v>allowed</v>
      </c>
      <c r="Q1309" s="0" t="str">
        <f aca="false">IF(C1309="success","published",IF(E1309&gt;0,"blocked_at_gate","failed_before_gate"))</f>
        <v>published</v>
      </c>
      <c r="R1309" s="0" t="str">
        <f aca="false">IF(C1309="success","",IF(E1309&gt;0,IF(I1309="freshness_within_target","freshness",IF(I1309="relationships_intact","relationships",IF(I1309="reconciliation_residual_zero","residual",I1309))),IF(H1309="quality_gate","gate_infra",H1309)))</f>
        <v/>
      </c>
    </row>
    <row r="1310" customFormat="false" ht="15" hidden="false" customHeight="false" outlineLevel="0" collapsed="false">
      <c r="A1310" s="4" t="s">
        <v>4136</v>
      </c>
      <c r="B1310" s="10" t="n">
        <v>46298.46875</v>
      </c>
      <c r="C1310" s="4" t="s">
        <v>1544</v>
      </c>
      <c r="D1310" s="4" t="n">
        <v>824</v>
      </c>
      <c r="E1310" s="4" t="n">
        <v>7</v>
      </c>
      <c r="F1310" s="4" t="n">
        <v>6</v>
      </c>
      <c r="G1310" s="4" t="n">
        <v>0</v>
      </c>
      <c r="J1310" s="11" t="b">
        <f aca="false">TRUE()</f>
        <v>1</v>
      </c>
      <c r="K1310" s="4" t="s">
        <v>4137</v>
      </c>
      <c r="L1310" s="4" t="n">
        <v>4</v>
      </c>
      <c r="M1310" s="4" t="n">
        <v>4</v>
      </c>
      <c r="N1310" s="4" t="n">
        <v>4</v>
      </c>
      <c r="O1310" s="4" t="n">
        <v>4</v>
      </c>
      <c r="P1310" s="0" t="str">
        <f aca="false">IF(E1310=0,"not_reached",IF(AND(F1310&gt;0,G1310=0),"allowed","blocked"))</f>
        <v>allowed</v>
      </c>
      <c r="Q1310" s="0" t="str">
        <f aca="false">IF(C1310="success","published",IF(E1310&gt;0,"blocked_at_gate","failed_before_gate"))</f>
        <v>published</v>
      </c>
      <c r="R1310" s="0" t="str">
        <f aca="false">IF(C1310="success","",IF(E1310&gt;0,IF(I1310="freshness_within_target","freshness",IF(I1310="relationships_intact","relationships",IF(I1310="reconciliation_residual_zero","residual",I1310))),IF(H1310="quality_gate","gate_infra",H1310)))</f>
        <v/>
      </c>
    </row>
    <row r="1311" customFormat="false" ht="15" hidden="false" customHeight="false" outlineLevel="0" collapsed="false">
      <c r="A1311" s="4" t="s">
        <v>4138</v>
      </c>
      <c r="B1311" s="10" t="n">
        <v>46298.5104166667</v>
      </c>
      <c r="C1311" s="4" t="s">
        <v>1544</v>
      </c>
      <c r="D1311" s="4" t="n">
        <v>910</v>
      </c>
      <c r="E1311" s="4" t="n">
        <v>7</v>
      </c>
      <c r="F1311" s="4" t="n">
        <v>6</v>
      </c>
      <c r="G1311" s="4" t="n">
        <v>0</v>
      </c>
      <c r="J1311" s="11" t="b">
        <f aca="false">TRUE()</f>
        <v>1</v>
      </c>
      <c r="K1311" s="4" t="s">
        <v>4139</v>
      </c>
      <c r="L1311" s="4" t="n">
        <v>4</v>
      </c>
      <c r="M1311" s="4" t="n">
        <v>4</v>
      </c>
      <c r="N1311" s="4" t="n">
        <v>4</v>
      </c>
      <c r="O1311" s="4" t="n">
        <v>4</v>
      </c>
      <c r="P1311" s="0" t="str">
        <f aca="false">IF(E1311=0,"not_reached",IF(AND(F1311&gt;0,G1311=0),"allowed","blocked"))</f>
        <v>allowed</v>
      </c>
      <c r="Q1311" s="0" t="str">
        <f aca="false">IF(C1311="success","published",IF(E1311&gt;0,"blocked_at_gate","failed_before_gate"))</f>
        <v>published</v>
      </c>
      <c r="R1311" s="0" t="str">
        <f aca="false">IF(C1311="success","",IF(E1311&gt;0,IF(I1311="freshness_within_target","freshness",IF(I1311="relationships_intact","relationships",IF(I1311="reconciliation_residual_zero","residual",I1311))),IF(H1311="quality_gate","gate_infra",H1311)))</f>
        <v/>
      </c>
    </row>
    <row r="1312" customFormat="false" ht="15" hidden="false" customHeight="false" outlineLevel="0" collapsed="false">
      <c r="A1312" s="4" t="s">
        <v>4140</v>
      </c>
      <c r="B1312" s="10" t="n">
        <v>46298.5520833333</v>
      </c>
      <c r="C1312" s="4" t="s">
        <v>1544</v>
      </c>
      <c r="D1312" s="4" t="n">
        <v>671</v>
      </c>
      <c r="E1312" s="4" t="n">
        <v>7</v>
      </c>
      <c r="F1312" s="4" t="n">
        <v>6</v>
      </c>
      <c r="G1312" s="4" t="n">
        <v>0</v>
      </c>
      <c r="J1312" s="11" t="b">
        <f aca="false">TRUE()</f>
        <v>1</v>
      </c>
      <c r="K1312" s="4" t="s">
        <v>4141</v>
      </c>
      <c r="L1312" s="4" t="n">
        <v>4</v>
      </c>
      <c r="M1312" s="4" t="n">
        <v>4</v>
      </c>
      <c r="N1312" s="4" t="n">
        <v>4</v>
      </c>
      <c r="O1312" s="4" t="n">
        <v>4</v>
      </c>
      <c r="P1312" s="0" t="str">
        <f aca="false">IF(E1312=0,"not_reached",IF(AND(F1312&gt;0,G1312=0),"allowed","blocked"))</f>
        <v>allowed</v>
      </c>
      <c r="Q1312" s="0" t="str">
        <f aca="false">IF(C1312="success","published",IF(E1312&gt;0,"blocked_at_gate","failed_before_gate"))</f>
        <v>published</v>
      </c>
      <c r="R1312" s="0" t="str">
        <f aca="false">IF(C1312="success","",IF(E1312&gt;0,IF(I1312="freshness_within_target","freshness",IF(I1312="relationships_intact","relationships",IF(I1312="reconciliation_residual_zero","residual",I1312))),IF(H1312="quality_gate","gate_infra",H1312)))</f>
        <v/>
      </c>
    </row>
    <row r="1313" customFormat="false" ht="15" hidden="false" customHeight="false" outlineLevel="0" collapsed="false">
      <c r="A1313" s="4" t="s">
        <v>4142</v>
      </c>
      <c r="B1313" s="10" t="n">
        <v>46298.59375</v>
      </c>
      <c r="C1313" s="4" t="s">
        <v>1544</v>
      </c>
      <c r="D1313" s="4" t="n">
        <v>757</v>
      </c>
      <c r="E1313" s="4" t="n">
        <v>7</v>
      </c>
      <c r="F1313" s="4" t="n">
        <v>6</v>
      </c>
      <c r="G1313" s="4" t="n">
        <v>0</v>
      </c>
      <c r="J1313" s="11" t="b">
        <f aca="false">TRUE()</f>
        <v>1</v>
      </c>
      <c r="K1313" s="4" t="s">
        <v>4143</v>
      </c>
      <c r="L1313" s="4" t="n">
        <v>4</v>
      </c>
      <c r="M1313" s="4" t="n">
        <v>4</v>
      </c>
      <c r="N1313" s="4" t="n">
        <v>4</v>
      </c>
      <c r="O1313" s="4" t="n">
        <v>4</v>
      </c>
      <c r="P1313" s="0" t="str">
        <f aca="false">IF(E1313=0,"not_reached",IF(AND(F1313&gt;0,G1313=0),"allowed","blocked"))</f>
        <v>allowed</v>
      </c>
      <c r="Q1313" s="0" t="str">
        <f aca="false">IF(C1313="success","published",IF(E1313&gt;0,"blocked_at_gate","failed_before_gate"))</f>
        <v>published</v>
      </c>
      <c r="R1313" s="0" t="str">
        <f aca="false">IF(C1313="success","",IF(E1313&gt;0,IF(I1313="freshness_within_target","freshness",IF(I1313="relationships_intact","relationships",IF(I1313="reconciliation_residual_zero","residual",I1313))),IF(H1313="quality_gate","gate_infra",H1313)))</f>
        <v/>
      </c>
    </row>
    <row r="1314" customFormat="false" ht="15" hidden="false" customHeight="false" outlineLevel="0" collapsed="false">
      <c r="A1314" s="4" t="s">
        <v>4144</v>
      </c>
      <c r="B1314" s="10" t="n">
        <v>46298.6354166667</v>
      </c>
      <c r="C1314" s="4" t="s">
        <v>1544</v>
      </c>
      <c r="D1314" s="4" t="n">
        <v>693</v>
      </c>
      <c r="E1314" s="4" t="n">
        <v>7</v>
      </c>
      <c r="F1314" s="4" t="n">
        <v>6</v>
      </c>
      <c r="G1314" s="4" t="n">
        <v>0</v>
      </c>
      <c r="J1314" s="11" t="b">
        <f aca="false">TRUE()</f>
        <v>1</v>
      </c>
      <c r="K1314" s="4" t="s">
        <v>4145</v>
      </c>
      <c r="L1314" s="4" t="n">
        <v>4</v>
      </c>
      <c r="M1314" s="4" t="n">
        <v>4</v>
      </c>
      <c r="N1314" s="4" t="n">
        <v>4</v>
      </c>
      <c r="O1314" s="4" t="n">
        <v>4</v>
      </c>
      <c r="P1314" s="0" t="str">
        <f aca="false">IF(E1314=0,"not_reached",IF(AND(F1314&gt;0,G1314=0),"allowed","blocked"))</f>
        <v>allowed</v>
      </c>
      <c r="Q1314" s="0" t="str">
        <f aca="false">IF(C1314="success","published",IF(E1314&gt;0,"blocked_at_gate","failed_before_gate"))</f>
        <v>published</v>
      </c>
      <c r="R1314" s="0" t="str">
        <f aca="false">IF(C1314="success","",IF(E1314&gt;0,IF(I1314="freshness_within_target","freshness",IF(I1314="relationships_intact","relationships",IF(I1314="reconciliation_residual_zero","residual",I1314))),IF(H1314="quality_gate","gate_infra",H1314)))</f>
        <v/>
      </c>
    </row>
    <row r="1315" customFormat="false" ht="15" hidden="false" customHeight="false" outlineLevel="0" collapsed="false">
      <c r="A1315" s="4" t="s">
        <v>4146</v>
      </c>
      <c r="B1315" s="10" t="n">
        <v>46298.6770833333</v>
      </c>
      <c r="C1315" s="4" t="s">
        <v>1544</v>
      </c>
      <c r="D1315" s="4" t="n">
        <v>761</v>
      </c>
      <c r="E1315" s="4" t="n">
        <v>7</v>
      </c>
      <c r="F1315" s="4" t="n">
        <v>6</v>
      </c>
      <c r="G1315" s="4" t="n">
        <v>0</v>
      </c>
      <c r="J1315" s="11" t="b">
        <f aca="false">TRUE()</f>
        <v>1</v>
      </c>
      <c r="K1315" s="4" t="s">
        <v>4147</v>
      </c>
      <c r="L1315" s="4" t="n">
        <v>4</v>
      </c>
      <c r="M1315" s="4" t="n">
        <v>4</v>
      </c>
      <c r="N1315" s="4" t="n">
        <v>4</v>
      </c>
      <c r="O1315" s="4" t="n">
        <v>4</v>
      </c>
      <c r="P1315" s="0" t="str">
        <f aca="false">IF(E1315=0,"not_reached",IF(AND(F1315&gt;0,G1315=0),"allowed","blocked"))</f>
        <v>allowed</v>
      </c>
      <c r="Q1315" s="0" t="str">
        <f aca="false">IF(C1315="success","published",IF(E1315&gt;0,"blocked_at_gate","failed_before_gate"))</f>
        <v>published</v>
      </c>
      <c r="R1315" s="0" t="str">
        <f aca="false">IF(C1315="success","",IF(E1315&gt;0,IF(I1315="freshness_within_target","freshness",IF(I1315="relationships_intact","relationships",IF(I1315="reconciliation_residual_zero","residual",I1315))),IF(H1315="quality_gate","gate_infra",H1315)))</f>
        <v/>
      </c>
    </row>
    <row r="1316" customFormat="false" ht="15" hidden="false" customHeight="false" outlineLevel="0" collapsed="false">
      <c r="A1316" s="4" t="s">
        <v>4148</v>
      </c>
      <c r="B1316" s="10" t="n">
        <v>46298.71875</v>
      </c>
      <c r="C1316" s="4" t="s">
        <v>1544</v>
      </c>
      <c r="D1316" s="4" t="n">
        <v>823</v>
      </c>
      <c r="E1316" s="4" t="n">
        <v>7</v>
      </c>
      <c r="F1316" s="4" t="n">
        <v>6</v>
      </c>
      <c r="G1316" s="4" t="n">
        <v>0</v>
      </c>
      <c r="J1316" s="11" t="b">
        <f aca="false">TRUE()</f>
        <v>1</v>
      </c>
      <c r="K1316" s="4" t="s">
        <v>4149</v>
      </c>
      <c r="L1316" s="4" t="n">
        <v>4</v>
      </c>
      <c r="M1316" s="4" t="n">
        <v>4</v>
      </c>
      <c r="N1316" s="4" t="n">
        <v>4</v>
      </c>
      <c r="O1316" s="4" t="n">
        <v>4</v>
      </c>
      <c r="P1316" s="0" t="str">
        <f aca="false">IF(E1316=0,"not_reached",IF(AND(F1316&gt;0,G1316=0),"allowed","blocked"))</f>
        <v>allowed</v>
      </c>
      <c r="Q1316" s="0" t="str">
        <f aca="false">IF(C1316="success","published",IF(E1316&gt;0,"blocked_at_gate","failed_before_gate"))</f>
        <v>published</v>
      </c>
      <c r="R1316" s="0" t="str">
        <f aca="false">IF(C1316="success","",IF(E1316&gt;0,IF(I1316="freshness_within_target","freshness",IF(I1316="relationships_intact","relationships",IF(I1316="reconciliation_residual_zero","residual",I1316))),IF(H1316="quality_gate","gate_infra",H1316)))</f>
        <v/>
      </c>
    </row>
    <row r="1317" customFormat="false" ht="15" hidden="false" customHeight="false" outlineLevel="0" collapsed="false">
      <c r="A1317" s="4" t="s">
        <v>4150</v>
      </c>
      <c r="B1317" s="10" t="n">
        <v>46298.7604166667</v>
      </c>
      <c r="C1317" s="4" t="s">
        <v>1544</v>
      </c>
      <c r="D1317" s="4" t="n">
        <v>956</v>
      </c>
      <c r="E1317" s="4" t="n">
        <v>7</v>
      </c>
      <c r="F1317" s="4" t="n">
        <v>6</v>
      </c>
      <c r="G1317" s="4" t="n">
        <v>0</v>
      </c>
      <c r="J1317" s="11" t="b">
        <f aca="false">TRUE()</f>
        <v>1</v>
      </c>
      <c r="K1317" s="4" t="s">
        <v>4151</v>
      </c>
      <c r="L1317" s="4" t="n">
        <v>4</v>
      </c>
      <c r="M1317" s="4" t="n">
        <v>4</v>
      </c>
      <c r="N1317" s="4" t="n">
        <v>4</v>
      </c>
      <c r="O1317" s="4" t="n">
        <v>4</v>
      </c>
      <c r="P1317" s="0" t="str">
        <f aca="false">IF(E1317=0,"not_reached",IF(AND(F1317&gt;0,G1317=0),"allowed","blocked"))</f>
        <v>allowed</v>
      </c>
      <c r="Q1317" s="0" t="str">
        <f aca="false">IF(C1317="success","published",IF(E1317&gt;0,"blocked_at_gate","failed_before_gate"))</f>
        <v>published</v>
      </c>
      <c r="R1317" s="0" t="str">
        <f aca="false">IF(C1317="success","",IF(E1317&gt;0,IF(I1317="freshness_within_target","freshness",IF(I1317="relationships_intact","relationships",IF(I1317="reconciliation_residual_zero","residual",I1317))),IF(H1317="quality_gate","gate_infra",H1317)))</f>
        <v/>
      </c>
    </row>
    <row r="1318" customFormat="false" ht="15" hidden="false" customHeight="false" outlineLevel="0" collapsed="false">
      <c r="A1318" s="4" t="s">
        <v>4152</v>
      </c>
      <c r="B1318" s="10" t="n">
        <v>46298.8020833333</v>
      </c>
      <c r="C1318" s="4" t="s">
        <v>1544</v>
      </c>
      <c r="D1318" s="4" t="n">
        <v>787</v>
      </c>
      <c r="E1318" s="4" t="n">
        <v>7</v>
      </c>
      <c r="F1318" s="4" t="n">
        <v>6</v>
      </c>
      <c r="G1318" s="4" t="n">
        <v>0</v>
      </c>
      <c r="J1318" s="11" t="b">
        <f aca="false">TRUE()</f>
        <v>1</v>
      </c>
      <c r="K1318" s="4" t="s">
        <v>4153</v>
      </c>
      <c r="L1318" s="4" t="n">
        <v>4</v>
      </c>
      <c r="M1318" s="4" t="n">
        <v>4</v>
      </c>
      <c r="N1318" s="4" t="n">
        <v>4</v>
      </c>
      <c r="O1318" s="4" t="n">
        <v>4</v>
      </c>
      <c r="P1318" s="0" t="str">
        <f aca="false">IF(E1318=0,"not_reached",IF(AND(F1318&gt;0,G1318=0),"allowed","blocked"))</f>
        <v>allowed</v>
      </c>
      <c r="Q1318" s="0" t="str">
        <f aca="false">IF(C1318="success","published",IF(E1318&gt;0,"blocked_at_gate","failed_before_gate"))</f>
        <v>published</v>
      </c>
      <c r="R1318" s="0" t="str">
        <f aca="false">IF(C1318="success","",IF(E1318&gt;0,IF(I1318="freshness_within_target","freshness",IF(I1318="relationships_intact","relationships",IF(I1318="reconciliation_residual_zero","residual",I1318))),IF(H1318="quality_gate","gate_infra",H1318)))</f>
        <v/>
      </c>
    </row>
    <row r="1319" customFormat="false" ht="15" hidden="false" customHeight="false" outlineLevel="0" collapsed="false">
      <c r="A1319" s="4" t="s">
        <v>4154</v>
      </c>
      <c r="B1319" s="10" t="n">
        <v>46298.84375</v>
      </c>
      <c r="C1319" s="4" t="s">
        <v>1544</v>
      </c>
      <c r="D1319" s="4" t="n">
        <v>712</v>
      </c>
      <c r="E1319" s="4" t="n">
        <v>7</v>
      </c>
      <c r="F1319" s="4" t="n">
        <v>6</v>
      </c>
      <c r="G1319" s="4" t="n">
        <v>0</v>
      </c>
      <c r="J1319" s="11" t="b">
        <f aca="false">TRUE()</f>
        <v>1</v>
      </c>
      <c r="K1319" s="4" t="s">
        <v>4155</v>
      </c>
      <c r="L1319" s="4" t="n">
        <v>4</v>
      </c>
      <c r="M1319" s="4" t="n">
        <v>4</v>
      </c>
      <c r="N1319" s="4" t="n">
        <v>4</v>
      </c>
      <c r="O1319" s="4" t="n">
        <v>4</v>
      </c>
      <c r="P1319" s="0" t="str">
        <f aca="false">IF(E1319=0,"not_reached",IF(AND(F1319&gt;0,G1319=0),"allowed","blocked"))</f>
        <v>allowed</v>
      </c>
      <c r="Q1319" s="0" t="str">
        <f aca="false">IF(C1319="success","published",IF(E1319&gt;0,"blocked_at_gate","failed_before_gate"))</f>
        <v>published</v>
      </c>
      <c r="R1319" s="0" t="str">
        <f aca="false">IF(C1319="success","",IF(E1319&gt;0,IF(I1319="freshness_within_target","freshness",IF(I1319="relationships_intact","relationships",IF(I1319="reconciliation_residual_zero","residual",I1319))),IF(H1319="quality_gate","gate_infra",H1319)))</f>
        <v/>
      </c>
    </row>
    <row r="1320" customFormat="false" ht="15" hidden="false" customHeight="false" outlineLevel="0" collapsed="false">
      <c r="A1320" s="4" t="s">
        <v>4156</v>
      </c>
      <c r="B1320" s="10" t="n">
        <v>46298.8854166667</v>
      </c>
      <c r="C1320" s="4" t="s">
        <v>1544</v>
      </c>
      <c r="D1320" s="4" t="n">
        <v>859</v>
      </c>
      <c r="E1320" s="4" t="n">
        <v>7</v>
      </c>
      <c r="F1320" s="4" t="n">
        <v>6</v>
      </c>
      <c r="G1320" s="4" t="n">
        <v>0</v>
      </c>
      <c r="J1320" s="11" t="b">
        <f aca="false">TRUE()</f>
        <v>1</v>
      </c>
      <c r="K1320" s="4" t="s">
        <v>4157</v>
      </c>
      <c r="L1320" s="4" t="n">
        <v>4</v>
      </c>
      <c r="M1320" s="4" t="n">
        <v>4</v>
      </c>
      <c r="N1320" s="4" t="n">
        <v>4</v>
      </c>
      <c r="O1320" s="4" t="n">
        <v>4</v>
      </c>
      <c r="P1320" s="0" t="str">
        <f aca="false">IF(E1320=0,"not_reached",IF(AND(F1320&gt;0,G1320=0),"allowed","blocked"))</f>
        <v>allowed</v>
      </c>
      <c r="Q1320" s="0" t="str">
        <f aca="false">IF(C1320="success","published",IF(E1320&gt;0,"blocked_at_gate","failed_before_gate"))</f>
        <v>published</v>
      </c>
      <c r="R1320" s="0" t="str">
        <f aca="false">IF(C1320="success","",IF(E1320&gt;0,IF(I1320="freshness_within_target","freshness",IF(I1320="relationships_intact","relationships",IF(I1320="reconciliation_residual_zero","residual",I1320))),IF(H1320="quality_gate","gate_infra",H1320)))</f>
        <v/>
      </c>
    </row>
    <row r="1321" customFormat="false" ht="15" hidden="false" customHeight="false" outlineLevel="0" collapsed="false">
      <c r="A1321" s="4" t="s">
        <v>4158</v>
      </c>
      <c r="B1321" s="10" t="n">
        <v>46298.9270833333</v>
      </c>
      <c r="C1321" s="4" t="s">
        <v>1544</v>
      </c>
      <c r="D1321" s="4" t="n">
        <v>1098</v>
      </c>
      <c r="E1321" s="4" t="n">
        <v>7</v>
      </c>
      <c r="F1321" s="4" t="n">
        <v>6</v>
      </c>
      <c r="G1321" s="4" t="n">
        <v>0</v>
      </c>
      <c r="J1321" s="11" t="b">
        <f aca="false">TRUE()</f>
        <v>1</v>
      </c>
      <c r="K1321" s="4" t="s">
        <v>4159</v>
      </c>
      <c r="L1321" s="4" t="n">
        <v>4</v>
      </c>
      <c r="M1321" s="4" t="n">
        <v>4</v>
      </c>
      <c r="N1321" s="4" t="n">
        <v>5</v>
      </c>
      <c r="O1321" s="4" t="n">
        <v>4</v>
      </c>
      <c r="P1321" s="0" t="str">
        <f aca="false">IF(E1321=0,"not_reached",IF(AND(F1321&gt;0,G1321=0),"allowed","blocked"))</f>
        <v>allowed</v>
      </c>
      <c r="Q1321" s="0" t="str">
        <f aca="false">IF(C1321="success","published",IF(E1321&gt;0,"blocked_at_gate","failed_before_gate"))</f>
        <v>published</v>
      </c>
      <c r="R1321" s="0" t="str">
        <f aca="false">IF(C1321="success","",IF(E1321&gt;0,IF(I1321="freshness_within_target","freshness",IF(I1321="relationships_intact","relationships",IF(I1321="reconciliation_residual_zero","residual",I1321))),IF(H1321="quality_gate","gate_infra",H1321)))</f>
        <v/>
      </c>
    </row>
    <row r="1322" customFormat="false" ht="15" hidden="false" customHeight="false" outlineLevel="0" collapsed="false">
      <c r="A1322" s="4" t="s">
        <v>4160</v>
      </c>
      <c r="B1322" s="10" t="n">
        <v>46298.96875</v>
      </c>
      <c r="C1322" s="4" t="s">
        <v>1544</v>
      </c>
      <c r="D1322" s="4" t="n">
        <v>858</v>
      </c>
      <c r="E1322" s="4" t="n">
        <v>7</v>
      </c>
      <c r="F1322" s="4" t="n">
        <v>6</v>
      </c>
      <c r="G1322" s="4" t="n">
        <v>0</v>
      </c>
      <c r="J1322" s="11" t="b">
        <f aca="false">TRUE()</f>
        <v>1</v>
      </c>
      <c r="K1322" s="4" t="s">
        <v>4161</v>
      </c>
      <c r="L1322" s="4" t="n">
        <v>4</v>
      </c>
      <c r="M1322" s="4" t="n">
        <v>4</v>
      </c>
      <c r="N1322" s="4" t="n">
        <v>4</v>
      </c>
      <c r="O1322" s="4" t="n">
        <v>4</v>
      </c>
      <c r="P1322" s="0" t="str">
        <f aca="false">IF(E1322=0,"not_reached",IF(AND(F1322&gt;0,G1322=0),"allowed","blocked"))</f>
        <v>allowed</v>
      </c>
      <c r="Q1322" s="0" t="str">
        <f aca="false">IF(C1322="success","published",IF(E1322&gt;0,"blocked_at_gate","failed_before_gate"))</f>
        <v>published</v>
      </c>
      <c r="R1322" s="0" t="str">
        <f aca="false">IF(C1322="success","",IF(E1322&gt;0,IF(I1322="freshness_within_target","freshness",IF(I1322="relationships_intact","relationships",IF(I1322="reconciliation_residual_zero","residual",I1322))),IF(H1322="quality_gate","gate_infra",H1322)))</f>
        <v/>
      </c>
    </row>
    <row r="1323" customFormat="false" ht="15" hidden="false" customHeight="false" outlineLevel="0" collapsed="false">
      <c r="A1323" s="4" t="s">
        <v>4162</v>
      </c>
      <c r="B1323" s="10" t="n">
        <v>46299.0104166667</v>
      </c>
      <c r="C1323" s="4" t="s">
        <v>1544</v>
      </c>
      <c r="D1323" s="4" t="n">
        <v>746</v>
      </c>
      <c r="E1323" s="4" t="n">
        <v>7</v>
      </c>
      <c r="F1323" s="4" t="n">
        <v>6</v>
      </c>
      <c r="G1323" s="4" t="n">
        <v>0</v>
      </c>
      <c r="J1323" s="11" t="b">
        <f aca="false">TRUE()</f>
        <v>1</v>
      </c>
      <c r="K1323" s="4" t="s">
        <v>4163</v>
      </c>
      <c r="L1323" s="4" t="n">
        <v>4</v>
      </c>
      <c r="M1323" s="4" t="n">
        <v>4</v>
      </c>
      <c r="N1323" s="4" t="n">
        <v>4</v>
      </c>
      <c r="O1323" s="4" t="n">
        <v>4</v>
      </c>
      <c r="P1323" s="0" t="str">
        <f aca="false">IF(E1323=0,"not_reached",IF(AND(F1323&gt;0,G1323=0),"allowed","blocked"))</f>
        <v>allowed</v>
      </c>
      <c r="Q1323" s="0" t="str">
        <f aca="false">IF(C1323="success","published",IF(E1323&gt;0,"blocked_at_gate","failed_before_gate"))</f>
        <v>published</v>
      </c>
      <c r="R1323" s="0" t="str">
        <f aca="false">IF(C1323="success","",IF(E1323&gt;0,IF(I1323="freshness_within_target","freshness",IF(I1323="relationships_intact","relationships",IF(I1323="reconciliation_residual_zero","residual",I1323))),IF(H1323="quality_gate","gate_infra",H1323)))</f>
        <v/>
      </c>
    </row>
    <row r="1324" customFormat="false" ht="15" hidden="false" customHeight="false" outlineLevel="0" collapsed="false">
      <c r="A1324" s="4" t="s">
        <v>4164</v>
      </c>
      <c r="B1324" s="10" t="n">
        <v>46299.0520833333</v>
      </c>
      <c r="C1324" s="4" t="s">
        <v>1544</v>
      </c>
      <c r="D1324" s="4" t="n">
        <v>899</v>
      </c>
      <c r="E1324" s="4" t="n">
        <v>7</v>
      </c>
      <c r="F1324" s="4" t="n">
        <v>6</v>
      </c>
      <c r="G1324" s="4" t="n">
        <v>0</v>
      </c>
      <c r="J1324" s="11" t="b">
        <f aca="false">TRUE()</f>
        <v>1</v>
      </c>
      <c r="K1324" s="4" t="s">
        <v>4165</v>
      </c>
      <c r="L1324" s="4" t="n">
        <v>4</v>
      </c>
      <c r="M1324" s="4" t="n">
        <v>4</v>
      </c>
      <c r="N1324" s="4" t="n">
        <v>4</v>
      </c>
      <c r="O1324" s="4" t="n">
        <v>4</v>
      </c>
      <c r="P1324" s="0" t="str">
        <f aca="false">IF(E1324=0,"not_reached",IF(AND(F1324&gt;0,G1324=0),"allowed","blocked"))</f>
        <v>allowed</v>
      </c>
      <c r="Q1324" s="0" t="str">
        <f aca="false">IF(C1324="success","published",IF(E1324&gt;0,"blocked_at_gate","failed_before_gate"))</f>
        <v>published</v>
      </c>
      <c r="R1324" s="0" t="str">
        <f aca="false">IF(C1324="success","",IF(E1324&gt;0,IF(I1324="freshness_within_target","freshness",IF(I1324="relationships_intact","relationships",IF(I1324="reconciliation_residual_zero","residual",I1324))),IF(H1324="quality_gate","gate_infra",H1324)))</f>
        <v/>
      </c>
    </row>
    <row r="1325" customFormat="false" ht="15" hidden="false" customHeight="false" outlineLevel="0" collapsed="false">
      <c r="A1325" s="4" t="s">
        <v>4166</v>
      </c>
      <c r="B1325" s="10" t="n">
        <v>46299.09375</v>
      </c>
      <c r="C1325" s="4" t="s">
        <v>1544</v>
      </c>
      <c r="D1325" s="4" t="n">
        <v>759</v>
      </c>
      <c r="E1325" s="4" t="n">
        <v>7</v>
      </c>
      <c r="F1325" s="4" t="n">
        <v>6</v>
      </c>
      <c r="G1325" s="4" t="n">
        <v>0</v>
      </c>
      <c r="J1325" s="11" t="b">
        <f aca="false">TRUE()</f>
        <v>1</v>
      </c>
      <c r="K1325" s="4" t="s">
        <v>4167</v>
      </c>
      <c r="L1325" s="4" t="n">
        <v>4</v>
      </c>
      <c r="M1325" s="4" t="n">
        <v>4</v>
      </c>
      <c r="N1325" s="4" t="n">
        <v>4</v>
      </c>
      <c r="O1325" s="4" t="n">
        <v>4</v>
      </c>
      <c r="P1325" s="0" t="str">
        <f aca="false">IF(E1325=0,"not_reached",IF(AND(F1325&gt;0,G1325=0),"allowed","blocked"))</f>
        <v>allowed</v>
      </c>
      <c r="Q1325" s="0" t="str">
        <f aca="false">IF(C1325="success","published",IF(E1325&gt;0,"blocked_at_gate","failed_before_gate"))</f>
        <v>published</v>
      </c>
      <c r="R1325" s="0" t="str">
        <f aca="false">IF(C1325="success","",IF(E1325&gt;0,IF(I1325="freshness_within_target","freshness",IF(I1325="relationships_intact","relationships",IF(I1325="reconciliation_residual_zero","residual",I1325))),IF(H1325="quality_gate","gate_infra",H1325)))</f>
        <v/>
      </c>
    </row>
    <row r="1326" customFormat="false" ht="15" hidden="false" customHeight="false" outlineLevel="0" collapsed="false">
      <c r="A1326" s="4" t="s">
        <v>4168</v>
      </c>
      <c r="B1326" s="10" t="n">
        <v>46299.1354166667</v>
      </c>
      <c r="C1326" s="4" t="s">
        <v>1544</v>
      </c>
      <c r="D1326" s="4" t="n">
        <v>863</v>
      </c>
      <c r="E1326" s="4" t="n">
        <v>7</v>
      </c>
      <c r="F1326" s="4" t="n">
        <v>6</v>
      </c>
      <c r="G1326" s="4" t="n">
        <v>0</v>
      </c>
      <c r="J1326" s="11" t="b">
        <f aca="false">TRUE()</f>
        <v>1</v>
      </c>
      <c r="K1326" s="4" t="s">
        <v>4169</v>
      </c>
      <c r="L1326" s="4" t="n">
        <v>4</v>
      </c>
      <c r="M1326" s="4" t="n">
        <v>4</v>
      </c>
      <c r="N1326" s="4" t="n">
        <v>4</v>
      </c>
      <c r="O1326" s="4" t="n">
        <v>4</v>
      </c>
      <c r="P1326" s="0" t="str">
        <f aca="false">IF(E1326=0,"not_reached",IF(AND(F1326&gt;0,G1326=0),"allowed","blocked"))</f>
        <v>allowed</v>
      </c>
      <c r="Q1326" s="0" t="str">
        <f aca="false">IF(C1326="success","published",IF(E1326&gt;0,"blocked_at_gate","failed_before_gate"))</f>
        <v>published</v>
      </c>
      <c r="R1326" s="0" t="str">
        <f aca="false">IF(C1326="success","",IF(E1326&gt;0,IF(I1326="freshness_within_target","freshness",IF(I1326="relationships_intact","relationships",IF(I1326="reconciliation_residual_zero","residual",I1326))),IF(H1326="quality_gate","gate_infra",H1326)))</f>
        <v/>
      </c>
    </row>
    <row r="1327" customFormat="false" ht="15" hidden="false" customHeight="false" outlineLevel="0" collapsed="false">
      <c r="A1327" s="4" t="s">
        <v>4170</v>
      </c>
      <c r="B1327" s="10" t="n">
        <v>46299.1770833333</v>
      </c>
      <c r="C1327" s="4" t="s">
        <v>1544</v>
      </c>
      <c r="D1327" s="4" t="n">
        <v>684</v>
      </c>
      <c r="E1327" s="4" t="n">
        <v>7</v>
      </c>
      <c r="F1327" s="4" t="n">
        <v>6</v>
      </c>
      <c r="G1327" s="4" t="n">
        <v>0</v>
      </c>
      <c r="J1327" s="11" t="b">
        <f aca="false">TRUE()</f>
        <v>1</v>
      </c>
      <c r="K1327" s="4" t="s">
        <v>4171</v>
      </c>
      <c r="L1327" s="4" t="n">
        <v>4</v>
      </c>
      <c r="M1327" s="4" t="n">
        <v>4</v>
      </c>
      <c r="N1327" s="4" t="n">
        <v>4</v>
      </c>
      <c r="O1327" s="4" t="n">
        <v>4</v>
      </c>
      <c r="P1327" s="0" t="str">
        <f aca="false">IF(E1327=0,"not_reached",IF(AND(F1327&gt;0,G1327=0),"allowed","blocked"))</f>
        <v>allowed</v>
      </c>
      <c r="Q1327" s="0" t="str">
        <f aca="false">IF(C1327="success","published",IF(E1327&gt;0,"blocked_at_gate","failed_before_gate"))</f>
        <v>published</v>
      </c>
      <c r="R1327" s="0" t="str">
        <f aca="false">IF(C1327="success","",IF(E1327&gt;0,IF(I1327="freshness_within_target","freshness",IF(I1327="relationships_intact","relationships",IF(I1327="reconciliation_residual_zero","residual",I1327))),IF(H1327="quality_gate","gate_infra",H1327)))</f>
        <v/>
      </c>
    </row>
    <row r="1328" customFormat="false" ht="15" hidden="false" customHeight="false" outlineLevel="0" collapsed="false">
      <c r="A1328" s="4" t="s">
        <v>4172</v>
      </c>
      <c r="B1328" s="10" t="n">
        <v>46299.21875</v>
      </c>
      <c r="C1328" s="4" t="s">
        <v>1544</v>
      </c>
      <c r="D1328" s="4" t="n">
        <v>900</v>
      </c>
      <c r="E1328" s="4" t="n">
        <v>7</v>
      </c>
      <c r="F1328" s="4" t="n">
        <v>6</v>
      </c>
      <c r="G1328" s="4" t="n">
        <v>0</v>
      </c>
      <c r="J1328" s="11" t="b">
        <f aca="false">TRUE()</f>
        <v>1</v>
      </c>
      <c r="K1328" s="4" t="s">
        <v>4173</v>
      </c>
      <c r="L1328" s="4" t="n">
        <v>4</v>
      </c>
      <c r="M1328" s="4" t="n">
        <v>4</v>
      </c>
      <c r="N1328" s="4" t="n">
        <v>4</v>
      </c>
      <c r="O1328" s="4" t="n">
        <v>4</v>
      </c>
      <c r="P1328" s="0" t="str">
        <f aca="false">IF(E1328=0,"not_reached",IF(AND(F1328&gt;0,G1328=0),"allowed","blocked"))</f>
        <v>allowed</v>
      </c>
      <c r="Q1328" s="0" t="str">
        <f aca="false">IF(C1328="success","published",IF(E1328&gt;0,"blocked_at_gate","failed_before_gate"))</f>
        <v>published</v>
      </c>
      <c r="R1328" s="0" t="str">
        <f aca="false">IF(C1328="success","",IF(E1328&gt;0,IF(I1328="freshness_within_target","freshness",IF(I1328="relationships_intact","relationships",IF(I1328="reconciliation_residual_zero","residual",I1328))),IF(H1328="quality_gate","gate_infra",H1328)))</f>
        <v/>
      </c>
    </row>
    <row r="1329" customFormat="false" ht="15" hidden="false" customHeight="false" outlineLevel="0" collapsed="false">
      <c r="A1329" s="4" t="s">
        <v>4174</v>
      </c>
      <c r="B1329" s="10" t="n">
        <v>46299.2604166667</v>
      </c>
      <c r="C1329" s="4" t="s">
        <v>1544</v>
      </c>
      <c r="D1329" s="4" t="n">
        <v>929</v>
      </c>
      <c r="E1329" s="4" t="n">
        <v>7</v>
      </c>
      <c r="F1329" s="4" t="n">
        <v>6</v>
      </c>
      <c r="G1329" s="4" t="n">
        <v>0</v>
      </c>
      <c r="J1329" s="11" t="b">
        <f aca="false">TRUE()</f>
        <v>1</v>
      </c>
      <c r="K1329" s="4" t="s">
        <v>4175</v>
      </c>
      <c r="L1329" s="4" t="n">
        <v>4</v>
      </c>
      <c r="M1329" s="4" t="n">
        <v>4</v>
      </c>
      <c r="N1329" s="4" t="n">
        <v>4</v>
      </c>
      <c r="O1329" s="4" t="n">
        <v>4</v>
      </c>
      <c r="P1329" s="0" t="str">
        <f aca="false">IF(E1329=0,"not_reached",IF(AND(F1329&gt;0,G1329=0),"allowed","blocked"))</f>
        <v>allowed</v>
      </c>
      <c r="Q1329" s="0" t="str">
        <f aca="false">IF(C1329="success","published",IF(E1329&gt;0,"blocked_at_gate","failed_before_gate"))</f>
        <v>published</v>
      </c>
      <c r="R1329" s="0" t="str">
        <f aca="false">IF(C1329="success","",IF(E1329&gt;0,IF(I1329="freshness_within_target","freshness",IF(I1329="relationships_intact","relationships",IF(I1329="reconciliation_residual_zero","residual",I1329))),IF(H1329="quality_gate","gate_infra",H1329)))</f>
        <v/>
      </c>
    </row>
    <row r="1330" customFormat="false" ht="15" hidden="false" customHeight="false" outlineLevel="0" collapsed="false">
      <c r="A1330" s="4" t="s">
        <v>4176</v>
      </c>
      <c r="B1330" s="10" t="n">
        <v>46299.3020833333</v>
      </c>
      <c r="C1330" s="4" t="s">
        <v>1544</v>
      </c>
      <c r="D1330" s="4" t="n">
        <v>705</v>
      </c>
      <c r="E1330" s="4" t="n">
        <v>7</v>
      </c>
      <c r="F1330" s="4" t="n">
        <v>6</v>
      </c>
      <c r="G1330" s="4" t="n">
        <v>0</v>
      </c>
      <c r="J1330" s="11" t="b">
        <f aca="false">TRUE()</f>
        <v>1</v>
      </c>
      <c r="K1330" s="4" t="s">
        <v>4177</v>
      </c>
      <c r="L1330" s="4" t="n">
        <v>4</v>
      </c>
      <c r="M1330" s="4" t="n">
        <v>4</v>
      </c>
      <c r="N1330" s="4" t="n">
        <v>4</v>
      </c>
      <c r="O1330" s="4" t="n">
        <v>4</v>
      </c>
      <c r="P1330" s="0" t="str">
        <f aca="false">IF(E1330=0,"not_reached",IF(AND(F1330&gt;0,G1330=0),"allowed","blocked"))</f>
        <v>allowed</v>
      </c>
      <c r="Q1330" s="0" t="str">
        <f aca="false">IF(C1330="success","published",IF(E1330&gt;0,"blocked_at_gate","failed_before_gate"))</f>
        <v>published</v>
      </c>
      <c r="R1330" s="0" t="str">
        <f aca="false">IF(C1330="success","",IF(E1330&gt;0,IF(I1330="freshness_within_target","freshness",IF(I1330="relationships_intact","relationships",IF(I1330="reconciliation_residual_zero","residual",I1330))),IF(H1330="quality_gate","gate_infra",H1330)))</f>
        <v/>
      </c>
    </row>
    <row r="1331" customFormat="false" ht="15" hidden="false" customHeight="false" outlineLevel="0" collapsed="false">
      <c r="A1331" s="4" t="s">
        <v>4178</v>
      </c>
      <c r="B1331" s="10" t="n">
        <v>46299.34375</v>
      </c>
      <c r="C1331" s="4" t="s">
        <v>1544</v>
      </c>
      <c r="D1331" s="4" t="n">
        <v>910</v>
      </c>
      <c r="E1331" s="4" t="n">
        <v>7</v>
      </c>
      <c r="F1331" s="4" t="n">
        <v>6</v>
      </c>
      <c r="G1331" s="4" t="n">
        <v>0</v>
      </c>
      <c r="J1331" s="11" t="b">
        <f aca="false">TRUE()</f>
        <v>1</v>
      </c>
      <c r="K1331" s="4" t="s">
        <v>4179</v>
      </c>
      <c r="L1331" s="4" t="n">
        <v>4</v>
      </c>
      <c r="M1331" s="4" t="n">
        <v>4</v>
      </c>
      <c r="N1331" s="4" t="n">
        <v>4</v>
      </c>
      <c r="O1331" s="4" t="n">
        <v>4</v>
      </c>
      <c r="P1331" s="0" t="str">
        <f aca="false">IF(E1331=0,"not_reached",IF(AND(F1331&gt;0,G1331=0),"allowed","blocked"))</f>
        <v>allowed</v>
      </c>
      <c r="Q1331" s="0" t="str">
        <f aca="false">IF(C1331="success","published",IF(E1331&gt;0,"blocked_at_gate","failed_before_gate"))</f>
        <v>published</v>
      </c>
      <c r="R1331" s="0" t="str">
        <f aca="false">IF(C1331="success","",IF(E1331&gt;0,IF(I1331="freshness_within_target","freshness",IF(I1331="relationships_intact","relationships",IF(I1331="reconciliation_residual_zero","residual",I1331))),IF(H1331="quality_gate","gate_infra",H1331)))</f>
        <v/>
      </c>
    </row>
    <row r="1332" customFormat="false" ht="15" hidden="false" customHeight="false" outlineLevel="0" collapsed="false">
      <c r="A1332" s="4" t="s">
        <v>4180</v>
      </c>
      <c r="B1332" s="10" t="n">
        <v>46299.3854166667</v>
      </c>
      <c r="C1332" s="4" t="s">
        <v>1544</v>
      </c>
      <c r="D1332" s="4" t="n">
        <v>747</v>
      </c>
      <c r="E1332" s="4" t="n">
        <v>7</v>
      </c>
      <c r="F1332" s="4" t="n">
        <v>6</v>
      </c>
      <c r="G1332" s="4" t="n">
        <v>0</v>
      </c>
      <c r="J1332" s="11" t="b">
        <f aca="false">TRUE()</f>
        <v>1</v>
      </c>
      <c r="K1332" s="4" t="s">
        <v>4181</v>
      </c>
      <c r="L1332" s="4" t="n">
        <v>4</v>
      </c>
      <c r="M1332" s="4" t="n">
        <v>4</v>
      </c>
      <c r="N1332" s="4" t="n">
        <v>4</v>
      </c>
      <c r="O1332" s="4" t="n">
        <v>4</v>
      </c>
      <c r="P1332" s="0" t="str">
        <f aca="false">IF(E1332=0,"not_reached",IF(AND(F1332&gt;0,G1332=0),"allowed","blocked"))</f>
        <v>allowed</v>
      </c>
      <c r="Q1332" s="0" t="str">
        <f aca="false">IF(C1332="success","published",IF(E1332&gt;0,"blocked_at_gate","failed_before_gate"))</f>
        <v>published</v>
      </c>
      <c r="R1332" s="0" t="str">
        <f aca="false">IF(C1332="success","",IF(E1332&gt;0,IF(I1332="freshness_within_target","freshness",IF(I1332="relationships_intact","relationships",IF(I1332="reconciliation_residual_zero","residual",I1332))),IF(H1332="quality_gate","gate_infra",H1332)))</f>
        <v/>
      </c>
    </row>
    <row r="1333" customFormat="false" ht="15" hidden="false" customHeight="false" outlineLevel="0" collapsed="false">
      <c r="A1333" s="4" t="s">
        <v>4182</v>
      </c>
      <c r="B1333" s="10" t="n">
        <v>46299.4270833333</v>
      </c>
      <c r="C1333" s="4" t="s">
        <v>1544</v>
      </c>
      <c r="D1333" s="4" t="n">
        <v>915</v>
      </c>
      <c r="E1333" s="4" t="n">
        <v>7</v>
      </c>
      <c r="F1333" s="4" t="n">
        <v>6</v>
      </c>
      <c r="G1333" s="4" t="n">
        <v>0</v>
      </c>
      <c r="J1333" s="11" t="b">
        <f aca="false">TRUE()</f>
        <v>1</v>
      </c>
      <c r="K1333" s="4" t="s">
        <v>4183</v>
      </c>
      <c r="L1333" s="4" t="n">
        <v>4</v>
      </c>
      <c r="M1333" s="4" t="n">
        <v>4</v>
      </c>
      <c r="N1333" s="4" t="n">
        <v>4</v>
      </c>
      <c r="O1333" s="4" t="n">
        <v>4</v>
      </c>
      <c r="P1333" s="0" t="str">
        <f aca="false">IF(E1333=0,"not_reached",IF(AND(F1333&gt;0,G1333=0),"allowed","blocked"))</f>
        <v>allowed</v>
      </c>
      <c r="Q1333" s="0" t="str">
        <f aca="false">IF(C1333="success","published",IF(E1333&gt;0,"blocked_at_gate","failed_before_gate"))</f>
        <v>published</v>
      </c>
      <c r="R1333" s="0" t="str">
        <f aca="false">IF(C1333="success","",IF(E1333&gt;0,IF(I1333="freshness_within_target","freshness",IF(I1333="relationships_intact","relationships",IF(I1333="reconciliation_residual_zero","residual",I1333))),IF(H1333="quality_gate","gate_infra",H1333)))</f>
        <v/>
      </c>
    </row>
    <row r="1334" customFormat="false" ht="15" hidden="false" customHeight="false" outlineLevel="0" collapsed="false">
      <c r="A1334" s="4" t="s">
        <v>4184</v>
      </c>
      <c r="B1334" s="10" t="n">
        <v>46299.46875</v>
      </c>
      <c r="C1334" s="4" t="s">
        <v>1544</v>
      </c>
      <c r="D1334" s="4" t="n">
        <v>925</v>
      </c>
      <c r="E1334" s="4" t="n">
        <v>7</v>
      </c>
      <c r="F1334" s="4" t="n">
        <v>6</v>
      </c>
      <c r="G1334" s="4" t="n">
        <v>0</v>
      </c>
      <c r="J1334" s="11" t="b">
        <f aca="false">TRUE()</f>
        <v>1</v>
      </c>
      <c r="K1334" s="4" t="s">
        <v>4185</v>
      </c>
      <c r="L1334" s="4" t="n">
        <v>4</v>
      </c>
      <c r="M1334" s="4" t="n">
        <v>4</v>
      </c>
      <c r="N1334" s="4" t="n">
        <v>4</v>
      </c>
      <c r="O1334" s="4" t="n">
        <v>4</v>
      </c>
      <c r="P1334" s="0" t="str">
        <f aca="false">IF(E1334=0,"not_reached",IF(AND(F1334&gt;0,G1334=0),"allowed","blocked"))</f>
        <v>allowed</v>
      </c>
      <c r="Q1334" s="0" t="str">
        <f aca="false">IF(C1334="success","published",IF(E1334&gt;0,"blocked_at_gate","failed_before_gate"))</f>
        <v>published</v>
      </c>
      <c r="R1334" s="0" t="str">
        <f aca="false">IF(C1334="success","",IF(E1334&gt;0,IF(I1334="freshness_within_target","freshness",IF(I1334="relationships_intact","relationships",IF(I1334="reconciliation_residual_zero","residual",I1334))),IF(H1334="quality_gate","gate_infra",H1334)))</f>
        <v/>
      </c>
    </row>
    <row r="1335" customFormat="false" ht="15" hidden="false" customHeight="false" outlineLevel="0" collapsed="false">
      <c r="A1335" s="4" t="s">
        <v>4186</v>
      </c>
      <c r="B1335" s="10" t="n">
        <v>46299.5104166667</v>
      </c>
      <c r="C1335" s="4" t="s">
        <v>1544</v>
      </c>
      <c r="D1335" s="4" t="n">
        <v>795</v>
      </c>
      <c r="E1335" s="4" t="n">
        <v>7</v>
      </c>
      <c r="F1335" s="4" t="n">
        <v>6</v>
      </c>
      <c r="G1335" s="4" t="n">
        <v>0</v>
      </c>
      <c r="J1335" s="11" t="b">
        <f aca="false">TRUE()</f>
        <v>1</v>
      </c>
      <c r="K1335" s="4" t="s">
        <v>4187</v>
      </c>
      <c r="L1335" s="4" t="n">
        <v>4</v>
      </c>
      <c r="M1335" s="4" t="n">
        <v>4</v>
      </c>
      <c r="N1335" s="4" t="n">
        <v>4</v>
      </c>
      <c r="O1335" s="4" t="n">
        <v>4</v>
      </c>
      <c r="P1335" s="0" t="str">
        <f aca="false">IF(E1335=0,"not_reached",IF(AND(F1335&gt;0,G1335=0),"allowed","blocked"))</f>
        <v>allowed</v>
      </c>
      <c r="Q1335" s="0" t="str">
        <f aca="false">IF(C1335="success","published",IF(E1335&gt;0,"blocked_at_gate","failed_before_gate"))</f>
        <v>published</v>
      </c>
      <c r="R1335" s="0" t="str">
        <f aca="false">IF(C1335="success","",IF(E1335&gt;0,IF(I1335="freshness_within_target","freshness",IF(I1335="relationships_intact","relationships",IF(I1335="reconciliation_residual_zero","residual",I1335))),IF(H1335="quality_gate","gate_infra",H1335)))</f>
        <v/>
      </c>
    </row>
    <row r="1336" customFormat="false" ht="15" hidden="false" customHeight="false" outlineLevel="0" collapsed="false">
      <c r="A1336" s="4" t="s">
        <v>4188</v>
      </c>
      <c r="B1336" s="10" t="n">
        <v>46299.5520833333</v>
      </c>
      <c r="C1336" s="4" t="s">
        <v>1544</v>
      </c>
      <c r="D1336" s="4" t="n">
        <v>948</v>
      </c>
      <c r="E1336" s="4" t="n">
        <v>7</v>
      </c>
      <c r="F1336" s="4" t="n">
        <v>6</v>
      </c>
      <c r="G1336" s="4" t="n">
        <v>0</v>
      </c>
      <c r="J1336" s="11" t="b">
        <f aca="false">TRUE()</f>
        <v>1</v>
      </c>
      <c r="K1336" s="4" t="s">
        <v>4189</v>
      </c>
      <c r="L1336" s="4" t="n">
        <v>4</v>
      </c>
      <c r="M1336" s="4" t="n">
        <v>4</v>
      </c>
      <c r="N1336" s="4" t="n">
        <v>4</v>
      </c>
      <c r="O1336" s="4" t="n">
        <v>4</v>
      </c>
      <c r="P1336" s="0" t="str">
        <f aca="false">IF(E1336=0,"not_reached",IF(AND(F1336&gt;0,G1336=0),"allowed","blocked"))</f>
        <v>allowed</v>
      </c>
      <c r="Q1336" s="0" t="str">
        <f aca="false">IF(C1336="success","published",IF(E1336&gt;0,"blocked_at_gate","failed_before_gate"))</f>
        <v>published</v>
      </c>
      <c r="R1336" s="0" t="str">
        <f aca="false">IF(C1336="success","",IF(E1336&gt;0,IF(I1336="freshness_within_target","freshness",IF(I1336="relationships_intact","relationships",IF(I1336="reconciliation_residual_zero","residual",I1336))),IF(H1336="quality_gate","gate_infra",H1336)))</f>
        <v/>
      </c>
    </row>
    <row r="1337" customFormat="false" ht="15" hidden="false" customHeight="false" outlineLevel="0" collapsed="false">
      <c r="A1337" s="4" t="s">
        <v>4190</v>
      </c>
      <c r="B1337" s="10" t="n">
        <v>46299.59375</v>
      </c>
      <c r="C1337" s="4" t="s">
        <v>1544</v>
      </c>
      <c r="D1337" s="4" t="n">
        <v>886</v>
      </c>
      <c r="E1337" s="4" t="n">
        <v>7</v>
      </c>
      <c r="F1337" s="4" t="n">
        <v>6</v>
      </c>
      <c r="G1337" s="4" t="n">
        <v>0</v>
      </c>
      <c r="J1337" s="11" t="b">
        <f aca="false">TRUE()</f>
        <v>1</v>
      </c>
      <c r="K1337" s="4" t="s">
        <v>4191</v>
      </c>
      <c r="L1337" s="4" t="n">
        <v>4</v>
      </c>
      <c r="M1337" s="4" t="n">
        <v>4</v>
      </c>
      <c r="N1337" s="4" t="n">
        <v>4</v>
      </c>
      <c r="O1337" s="4" t="n">
        <v>4</v>
      </c>
      <c r="P1337" s="0" t="str">
        <f aca="false">IF(E1337=0,"not_reached",IF(AND(F1337&gt;0,G1337=0),"allowed","blocked"))</f>
        <v>allowed</v>
      </c>
      <c r="Q1337" s="0" t="str">
        <f aca="false">IF(C1337="success","published",IF(E1337&gt;0,"blocked_at_gate","failed_before_gate"))</f>
        <v>published</v>
      </c>
      <c r="R1337" s="0" t="str">
        <f aca="false">IF(C1337="success","",IF(E1337&gt;0,IF(I1337="freshness_within_target","freshness",IF(I1337="relationships_intact","relationships",IF(I1337="reconciliation_residual_zero","residual",I1337))),IF(H1337="quality_gate","gate_infra",H1337)))</f>
        <v/>
      </c>
    </row>
    <row r="1338" customFormat="false" ht="15" hidden="false" customHeight="false" outlineLevel="0" collapsed="false">
      <c r="A1338" s="4" t="s">
        <v>4192</v>
      </c>
      <c r="B1338" s="10" t="n">
        <v>46299.6354166667</v>
      </c>
      <c r="C1338" s="4" t="s">
        <v>1544</v>
      </c>
      <c r="D1338" s="4" t="n">
        <v>938</v>
      </c>
      <c r="E1338" s="4" t="n">
        <v>7</v>
      </c>
      <c r="F1338" s="4" t="n">
        <v>6</v>
      </c>
      <c r="G1338" s="4" t="n">
        <v>0</v>
      </c>
      <c r="J1338" s="11" t="b">
        <f aca="false">TRUE()</f>
        <v>1</v>
      </c>
      <c r="K1338" s="4" t="s">
        <v>4193</v>
      </c>
      <c r="L1338" s="4" t="n">
        <v>4</v>
      </c>
      <c r="M1338" s="4" t="n">
        <v>4</v>
      </c>
      <c r="N1338" s="4" t="n">
        <v>4</v>
      </c>
      <c r="O1338" s="4" t="n">
        <v>4</v>
      </c>
      <c r="P1338" s="0" t="str">
        <f aca="false">IF(E1338=0,"not_reached",IF(AND(F1338&gt;0,G1338=0),"allowed","blocked"))</f>
        <v>allowed</v>
      </c>
      <c r="Q1338" s="0" t="str">
        <f aca="false">IF(C1338="success","published",IF(E1338&gt;0,"blocked_at_gate","failed_before_gate"))</f>
        <v>published</v>
      </c>
      <c r="R1338" s="0" t="str">
        <f aca="false">IF(C1338="success","",IF(E1338&gt;0,IF(I1338="freshness_within_target","freshness",IF(I1338="relationships_intact","relationships",IF(I1338="reconciliation_residual_zero","residual",I1338))),IF(H1338="quality_gate","gate_infra",H1338)))</f>
        <v/>
      </c>
    </row>
    <row r="1339" customFormat="false" ht="15" hidden="false" customHeight="false" outlineLevel="0" collapsed="false">
      <c r="A1339" s="4" t="s">
        <v>4194</v>
      </c>
      <c r="B1339" s="10" t="n">
        <v>46299.6770833333</v>
      </c>
      <c r="C1339" s="4" t="s">
        <v>1544</v>
      </c>
      <c r="D1339" s="4" t="n">
        <v>880</v>
      </c>
      <c r="E1339" s="4" t="n">
        <v>7</v>
      </c>
      <c r="F1339" s="4" t="n">
        <v>6</v>
      </c>
      <c r="G1339" s="4" t="n">
        <v>0</v>
      </c>
      <c r="J1339" s="11" t="b">
        <f aca="false">TRUE()</f>
        <v>1</v>
      </c>
      <c r="K1339" s="4" t="s">
        <v>4195</v>
      </c>
      <c r="L1339" s="4" t="n">
        <v>4</v>
      </c>
      <c r="M1339" s="4" t="n">
        <v>4</v>
      </c>
      <c r="N1339" s="4" t="n">
        <v>4</v>
      </c>
      <c r="O1339" s="4" t="n">
        <v>4</v>
      </c>
      <c r="P1339" s="0" t="str">
        <f aca="false">IF(E1339=0,"not_reached",IF(AND(F1339&gt;0,G1339=0),"allowed","blocked"))</f>
        <v>allowed</v>
      </c>
      <c r="Q1339" s="0" t="str">
        <f aca="false">IF(C1339="success","published",IF(E1339&gt;0,"blocked_at_gate","failed_before_gate"))</f>
        <v>published</v>
      </c>
      <c r="R1339" s="0" t="str">
        <f aca="false">IF(C1339="success","",IF(E1339&gt;0,IF(I1339="freshness_within_target","freshness",IF(I1339="relationships_intact","relationships",IF(I1339="reconciliation_residual_zero","residual",I1339))),IF(H1339="quality_gate","gate_infra",H1339)))</f>
        <v/>
      </c>
    </row>
    <row r="1340" customFormat="false" ht="15" hidden="false" customHeight="false" outlineLevel="0" collapsed="false">
      <c r="A1340" s="4" t="s">
        <v>4196</v>
      </c>
      <c r="B1340" s="10" t="n">
        <v>46299.71875</v>
      </c>
      <c r="C1340" s="4" t="s">
        <v>1544</v>
      </c>
      <c r="D1340" s="4" t="n">
        <v>778</v>
      </c>
      <c r="E1340" s="4" t="n">
        <v>7</v>
      </c>
      <c r="F1340" s="4" t="n">
        <v>6</v>
      </c>
      <c r="G1340" s="4" t="n">
        <v>0</v>
      </c>
      <c r="J1340" s="11" t="b">
        <f aca="false">TRUE()</f>
        <v>1</v>
      </c>
      <c r="K1340" s="4" t="s">
        <v>4197</v>
      </c>
      <c r="L1340" s="4" t="n">
        <v>4</v>
      </c>
      <c r="M1340" s="4" t="n">
        <v>4</v>
      </c>
      <c r="N1340" s="4" t="n">
        <v>4</v>
      </c>
      <c r="O1340" s="4" t="n">
        <v>4</v>
      </c>
      <c r="P1340" s="0" t="str">
        <f aca="false">IF(E1340=0,"not_reached",IF(AND(F1340&gt;0,G1340=0),"allowed","blocked"))</f>
        <v>allowed</v>
      </c>
      <c r="Q1340" s="0" t="str">
        <f aca="false">IF(C1340="success","published",IF(E1340&gt;0,"blocked_at_gate","failed_before_gate"))</f>
        <v>published</v>
      </c>
      <c r="R1340" s="0" t="str">
        <f aca="false">IF(C1340="success","",IF(E1340&gt;0,IF(I1340="freshness_within_target","freshness",IF(I1340="relationships_intact","relationships",IF(I1340="reconciliation_residual_zero","residual",I1340))),IF(H1340="quality_gate","gate_infra",H1340)))</f>
        <v/>
      </c>
    </row>
    <row r="1341" customFormat="false" ht="15" hidden="false" customHeight="false" outlineLevel="0" collapsed="false">
      <c r="A1341" s="4" t="s">
        <v>4198</v>
      </c>
      <c r="B1341" s="10" t="n">
        <v>46299.7604166667</v>
      </c>
      <c r="C1341" s="4" t="s">
        <v>1544</v>
      </c>
      <c r="D1341" s="4" t="n">
        <v>954</v>
      </c>
      <c r="E1341" s="4" t="n">
        <v>7</v>
      </c>
      <c r="F1341" s="4" t="n">
        <v>6</v>
      </c>
      <c r="G1341" s="4" t="n">
        <v>0</v>
      </c>
      <c r="J1341" s="11" t="b">
        <f aca="false">TRUE()</f>
        <v>1</v>
      </c>
      <c r="K1341" s="4" t="s">
        <v>4199</v>
      </c>
      <c r="L1341" s="4" t="n">
        <v>4</v>
      </c>
      <c r="M1341" s="4" t="n">
        <v>4</v>
      </c>
      <c r="N1341" s="4" t="n">
        <v>4</v>
      </c>
      <c r="O1341" s="4" t="n">
        <v>4</v>
      </c>
      <c r="P1341" s="0" t="str">
        <f aca="false">IF(E1341=0,"not_reached",IF(AND(F1341&gt;0,G1341=0),"allowed","blocked"))</f>
        <v>allowed</v>
      </c>
      <c r="Q1341" s="0" t="str">
        <f aca="false">IF(C1341="success","published",IF(E1341&gt;0,"blocked_at_gate","failed_before_gate"))</f>
        <v>published</v>
      </c>
      <c r="R1341" s="0" t="str">
        <f aca="false">IF(C1341="success","",IF(E1341&gt;0,IF(I1341="freshness_within_target","freshness",IF(I1341="relationships_intact","relationships",IF(I1341="reconciliation_residual_zero","residual",I1341))),IF(H1341="quality_gate","gate_infra",H1341)))</f>
        <v/>
      </c>
    </row>
    <row r="1342" customFormat="false" ht="15" hidden="false" customHeight="false" outlineLevel="0" collapsed="false">
      <c r="A1342" s="4" t="s">
        <v>4200</v>
      </c>
      <c r="B1342" s="10" t="n">
        <v>46299.8020833333</v>
      </c>
      <c r="C1342" s="4" t="s">
        <v>1544</v>
      </c>
      <c r="D1342" s="4" t="n">
        <v>861</v>
      </c>
      <c r="E1342" s="4" t="n">
        <v>7</v>
      </c>
      <c r="F1342" s="4" t="n">
        <v>6</v>
      </c>
      <c r="G1342" s="4" t="n">
        <v>0</v>
      </c>
      <c r="J1342" s="11" t="b">
        <f aca="false">TRUE()</f>
        <v>1</v>
      </c>
      <c r="K1342" s="4" t="s">
        <v>4201</v>
      </c>
      <c r="L1342" s="4" t="n">
        <v>4</v>
      </c>
      <c r="M1342" s="4" t="n">
        <v>4</v>
      </c>
      <c r="N1342" s="4" t="n">
        <v>4</v>
      </c>
      <c r="O1342" s="4" t="n">
        <v>4</v>
      </c>
      <c r="P1342" s="0" t="str">
        <f aca="false">IF(E1342=0,"not_reached",IF(AND(F1342&gt;0,G1342=0),"allowed","blocked"))</f>
        <v>allowed</v>
      </c>
      <c r="Q1342" s="0" t="str">
        <f aca="false">IF(C1342="success","published",IF(E1342&gt;0,"blocked_at_gate","failed_before_gate"))</f>
        <v>published</v>
      </c>
      <c r="R1342" s="0" t="str">
        <f aca="false">IF(C1342="success","",IF(E1342&gt;0,IF(I1342="freshness_within_target","freshness",IF(I1342="relationships_intact","relationships",IF(I1342="reconciliation_residual_zero","residual",I1342))),IF(H1342="quality_gate","gate_infra",H1342)))</f>
        <v/>
      </c>
    </row>
    <row r="1343" customFormat="false" ht="15" hidden="false" customHeight="false" outlineLevel="0" collapsed="false">
      <c r="A1343" s="4" t="s">
        <v>4202</v>
      </c>
      <c r="B1343" s="10" t="n">
        <v>46299.84375</v>
      </c>
      <c r="C1343" s="4" t="s">
        <v>1544</v>
      </c>
      <c r="D1343" s="4" t="n">
        <v>827</v>
      </c>
      <c r="E1343" s="4" t="n">
        <v>7</v>
      </c>
      <c r="F1343" s="4" t="n">
        <v>6</v>
      </c>
      <c r="G1343" s="4" t="n">
        <v>0</v>
      </c>
      <c r="J1343" s="11" t="b">
        <f aca="false">TRUE()</f>
        <v>1</v>
      </c>
      <c r="K1343" s="4" t="s">
        <v>4203</v>
      </c>
      <c r="L1343" s="4" t="n">
        <v>4</v>
      </c>
      <c r="M1343" s="4" t="n">
        <v>4</v>
      </c>
      <c r="N1343" s="4" t="n">
        <v>4</v>
      </c>
      <c r="O1343" s="4" t="n">
        <v>4</v>
      </c>
      <c r="P1343" s="0" t="str">
        <f aca="false">IF(E1343=0,"not_reached",IF(AND(F1343&gt;0,G1343=0),"allowed","blocked"))</f>
        <v>allowed</v>
      </c>
      <c r="Q1343" s="0" t="str">
        <f aca="false">IF(C1343="success","published",IF(E1343&gt;0,"blocked_at_gate","failed_before_gate"))</f>
        <v>published</v>
      </c>
      <c r="R1343" s="0" t="str">
        <f aca="false">IF(C1343="success","",IF(E1343&gt;0,IF(I1343="freshness_within_target","freshness",IF(I1343="relationships_intact","relationships",IF(I1343="reconciliation_residual_zero","residual",I1343))),IF(H1343="quality_gate","gate_infra",H1343)))</f>
        <v/>
      </c>
    </row>
    <row r="1344" customFormat="false" ht="15" hidden="false" customHeight="false" outlineLevel="0" collapsed="false">
      <c r="A1344" s="4" t="s">
        <v>4204</v>
      </c>
      <c r="B1344" s="10" t="n">
        <v>46299.8854166667</v>
      </c>
      <c r="C1344" s="4" t="s">
        <v>1544</v>
      </c>
      <c r="D1344" s="4" t="n">
        <v>824</v>
      </c>
      <c r="E1344" s="4" t="n">
        <v>7</v>
      </c>
      <c r="F1344" s="4" t="n">
        <v>6</v>
      </c>
      <c r="G1344" s="4" t="n">
        <v>0</v>
      </c>
      <c r="J1344" s="11" t="b">
        <f aca="false">TRUE()</f>
        <v>1</v>
      </c>
      <c r="K1344" s="4" t="s">
        <v>4205</v>
      </c>
      <c r="L1344" s="4" t="n">
        <v>4</v>
      </c>
      <c r="M1344" s="4" t="n">
        <v>4</v>
      </c>
      <c r="N1344" s="4" t="n">
        <v>4</v>
      </c>
      <c r="O1344" s="4" t="n">
        <v>4</v>
      </c>
      <c r="P1344" s="0" t="str">
        <f aca="false">IF(E1344=0,"not_reached",IF(AND(F1344&gt;0,G1344=0),"allowed","blocked"))</f>
        <v>allowed</v>
      </c>
      <c r="Q1344" s="0" t="str">
        <f aca="false">IF(C1344="success","published",IF(E1344&gt;0,"blocked_at_gate","failed_before_gate"))</f>
        <v>published</v>
      </c>
      <c r="R1344" s="0" t="str">
        <f aca="false">IF(C1344="success","",IF(E1344&gt;0,IF(I1344="freshness_within_target","freshness",IF(I1344="relationships_intact","relationships",IF(I1344="reconciliation_residual_zero","residual",I1344))),IF(H1344="quality_gate","gate_infra",H1344)))</f>
        <v/>
      </c>
    </row>
    <row r="1345" customFormat="false" ht="15" hidden="false" customHeight="false" outlineLevel="0" collapsed="false">
      <c r="A1345" s="4" t="s">
        <v>4206</v>
      </c>
      <c r="B1345" s="10" t="n">
        <v>46299.9270833333</v>
      </c>
      <c r="C1345" s="4" t="s">
        <v>1544</v>
      </c>
      <c r="D1345" s="4" t="n">
        <v>853</v>
      </c>
      <c r="E1345" s="4" t="n">
        <v>7</v>
      </c>
      <c r="F1345" s="4" t="n">
        <v>6</v>
      </c>
      <c r="G1345" s="4" t="n">
        <v>0</v>
      </c>
      <c r="J1345" s="11" t="b">
        <f aca="false">TRUE()</f>
        <v>1</v>
      </c>
      <c r="K1345" s="4" t="s">
        <v>4207</v>
      </c>
      <c r="L1345" s="4" t="n">
        <v>4</v>
      </c>
      <c r="M1345" s="4" t="n">
        <v>4</v>
      </c>
      <c r="N1345" s="4" t="n">
        <v>4</v>
      </c>
      <c r="O1345" s="4" t="n">
        <v>4</v>
      </c>
      <c r="P1345" s="0" t="str">
        <f aca="false">IF(E1345=0,"not_reached",IF(AND(F1345&gt;0,G1345=0),"allowed","blocked"))</f>
        <v>allowed</v>
      </c>
      <c r="Q1345" s="0" t="str">
        <f aca="false">IF(C1345="success","published",IF(E1345&gt;0,"blocked_at_gate","failed_before_gate"))</f>
        <v>published</v>
      </c>
      <c r="R1345" s="0" t="str">
        <f aca="false">IF(C1345="success","",IF(E1345&gt;0,IF(I1345="freshness_within_target","freshness",IF(I1345="relationships_intact","relationships",IF(I1345="reconciliation_residual_zero","residual",I1345))),IF(H1345="quality_gate","gate_infra",H1345)))</f>
        <v/>
      </c>
    </row>
    <row r="1346" customFormat="false" ht="15" hidden="false" customHeight="false" outlineLevel="0" collapsed="false">
      <c r="A1346" s="4" t="s">
        <v>4208</v>
      </c>
      <c r="B1346" s="10" t="n">
        <v>46299.96875</v>
      </c>
      <c r="C1346" s="4" t="s">
        <v>1544</v>
      </c>
      <c r="D1346" s="4" t="n">
        <v>1154</v>
      </c>
      <c r="E1346" s="4" t="n">
        <v>7</v>
      </c>
      <c r="F1346" s="4" t="n">
        <v>6</v>
      </c>
      <c r="G1346" s="4" t="n">
        <v>0</v>
      </c>
      <c r="J1346" s="11" t="b">
        <f aca="false">TRUE()</f>
        <v>1</v>
      </c>
      <c r="K1346" s="4" t="s">
        <v>4209</v>
      </c>
      <c r="L1346" s="4" t="n">
        <v>4</v>
      </c>
      <c r="M1346" s="4" t="n">
        <v>4</v>
      </c>
      <c r="N1346" s="4" t="n">
        <v>5</v>
      </c>
      <c r="O1346" s="4" t="n">
        <v>4</v>
      </c>
      <c r="P1346" s="0" t="str">
        <f aca="false">IF(E1346=0,"not_reached",IF(AND(F1346&gt;0,G1346=0),"allowed","blocked"))</f>
        <v>allowed</v>
      </c>
      <c r="Q1346" s="0" t="str">
        <f aca="false">IF(C1346="success","published",IF(E1346&gt;0,"blocked_at_gate","failed_before_gate"))</f>
        <v>published</v>
      </c>
      <c r="R1346" s="0" t="str">
        <f aca="false">IF(C1346="success","",IF(E1346&gt;0,IF(I1346="freshness_within_target","freshness",IF(I1346="relationships_intact","relationships",IF(I1346="reconciliation_residual_zero","residual",I1346))),IF(H1346="quality_gate","gate_infra",H1346)))</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4" min="3" style="0" width="20"/>
    <col collapsed="false" customWidth="true" hidden="false" outlineLevel="0" max="7" min="7" style="0" width="16"/>
  </cols>
  <sheetData>
    <row r="1" customFormat="false" ht="17.35" hidden="false" customHeight="false" outlineLevel="0" collapsed="false">
      <c r="A1" s="1" t="s">
        <v>4210</v>
      </c>
    </row>
    <row r="2" customFormat="false" ht="15" hidden="false" customHeight="false" outlineLevel="0" collapsed="false">
      <c r="A2" s="0" t="s">
        <v>4211</v>
      </c>
    </row>
    <row r="3" customFormat="false" ht="41.75" hidden="false" customHeight="false" outlineLevel="0" collapsed="false">
      <c r="A3" s="9" t="s">
        <v>4212</v>
      </c>
      <c r="B3" s="9" t="s">
        <v>1528</v>
      </c>
      <c r="C3" s="9" t="s">
        <v>4213</v>
      </c>
      <c r="D3" s="9" t="s">
        <v>4214</v>
      </c>
      <c r="E3" s="9" t="s">
        <v>4215</v>
      </c>
      <c r="F3" s="9" t="s">
        <v>4216</v>
      </c>
      <c r="G3" s="9" t="s">
        <v>1542</v>
      </c>
    </row>
    <row r="4" customFormat="false" ht="15" hidden="false" customHeight="false" outlineLevel="0" collapsed="false">
      <c r="A4" s="4" t="s">
        <v>4217</v>
      </c>
      <c r="B4" s="4" t="s">
        <v>1900</v>
      </c>
      <c r="C4" s="10" t="n">
        <v>46251.4737037037</v>
      </c>
      <c r="D4" s="10" t="n">
        <v>46251.5205324074</v>
      </c>
      <c r="E4" s="8" t="n">
        <f aca="false">ROUND((D4-C4)*86400,0)</f>
        <v>4046</v>
      </c>
      <c r="F4" s="8" t="n">
        <f aca="false">ROUND(E4/60,4)</f>
        <v>67.4333</v>
      </c>
      <c r="G4" s="0" t="str">
        <f aca="false">INDEX(Runs!$R$4:$R$1346,MATCH(B4,Runs!$A$4:$A$1346,0))</f>
        <v>ingest</v>
      </c>
    </row>
    <row r="5" customFormat="false" ht="15" hidden="false" customHeight="false" outlineLevel="0" collapsed="false">
      <c r="A5" s="4" t="s">
        <v>4218</v>
      </c>
      <c r="B5" s="4" t="s">
        <v>1912</v>
      </c>
      <c r="C5" s="10" t="n">
        <v>46251.7296412037</v>
      </c>
      <c r="D5" s="10" t="n">
        <v>46251.7708564815</v>
      </c>
      <c r="E5" s="8" t="n">
        <f aca="false">ROUND((D5-C5)*86400,0)</f>
        <v>3561</v>
      </c>
      <c r="F5" s="8" t="n">
        <f aca="false">ROUND(E5/60,4)</f>
        <v>59.35</v>
      </c>
      <c r="G5" s="0" t="str">
        <f aca="false">INDEX(Runs!$R$4:$R$1346,MATCH(B5,Runs!$A$4:$A$1346,0))</f>
        <v>transform</v>
      </c>
    </row>
    <row r="6" customFormat="false" ht="15" hidden="false" customHeight="false" outlineLevel="0" collapsed="false">
      <c r="A6" s="4" t="s">
        <v>4219</v>
      </c>
      <c r="B6" s="4" t="s">
        <v>1953</v>
      </c>
      <c r="C6" s="10" t="n">
        <v>46252.6060763889</v>
      </c>
      <c r="D6" s="10" t="n">
        <v>46252.6452777778</v>
      </c>
      <c r="E6" s="8" t="n">
        <f aca="false">ROUND((D6-C6)*86400,0)</f>
        <v>3387</v>
      </c>
      <c r="F6" s="8" t="n">
        <f aca="false">ROUND(E6/60,4)</f>
        <v>56.45</v>
      </c>
      <c r="G6" s="0" t="str">
        <f aca="false">INDEX(Runs!$R$4:$R$1346,MATCH(B6,Runs!$A$4:$A$1346,0))</f>
        <v>gate_infra</v>
      </c>
    </row>
    <row r="7" customFormat="false" ht="15" hidden="false" customHeight="false" outlineLevel="0" collapsed="false">
      <c r="A7" s="4" t="s">
        <v>4220</v>
      </c>
      <c r="B7" s="4" t="s">
        <v>1991</v>
      </c>
      <c r="C7" s="10" t="n">
        <v>46253.3919675926</v>
      </c>
      <c r="D7" s="10" t="n">
        <v>46253.4360532407</v>
      </c>
      <c r="E7" s="8" t="n">
        <f aca="false">ROUND((D7-C7)*86400,0)</f>
        <v>3809</v>
      </c>
      <c r="F7" s="8" t="n">
        <f aca="false">ROUND(E7/60,4)</f>
        <v>63.4833</v>
      </c>
      <c r="G7" s="0" t="str">
        <f aca="false">INDEX(Runs!$R$4:$R$1346,MATCH(B7,Runs!$A$4:$A$1346,0))</f>
        <v>freshness</v>
      </c>
    </row>
    <row r="8" customFormat="false" ht="15" hidden="false" customHeight="false" outlineLevel="0" collapsed="false">
      <c r="A8" s="4" t="s">
        <v>4221</v>
      </c>
      <c r="B8" s="4" t="s">
        <v>2041</v>
      </c>
      <c r="C8" s="10" t="n">
        <v>46254.4411805556</v>
      </c>
      <c r="D8" s="10" t="n">
        <v>46254.4798611111</v>
      </c>
      <c r="E8" s="8" t="n">
        <f aca="false">ROUND((D8-C8)*86400,0)</f>
        <v>3342</v>
      </c>
      <c r="F8" s="8" t="n">
        <f aca="false">ROUND(E8/60,4)</f>
        <v>55.7</v>
      </c>
      <c r="G8" s="0" t="str">
        <f aca="false">INDEX(Runs!$R$4:$R$1346,MATCH(B8,Runs!$A$4:$A$1346,0))</f>
        <v>transform</v>
      </c>
    </row>
    <row r="9" customFormat="false" ht="15" hidden="false" customHeight="false" outlineLevel="0" collapsed="false">
      <c r="A9" s="4" t="s">
        <v>4222</v>
      </c>
      <c r="B9" s="4" t="s">
        <v>2144</v>
      </c>
      <c r="C9" s="10" t="n">
        <v>46256.6000810185</v>
      </c>
      <c r="D9" s="10" t="n">
        <v>46256.6463310185</v>
      </c>
      <c r="E9" s="8" t="n">
        <f aca="false">ROUND((D9-C9)*86400,0)</f>
        <v>3996</v>
      </c>
      <c r="F9" s="8" t="n">
        <f aca="false">ROUND(E9/60,4)</f>
        <v>66.6</v>
      </c>
      <c r="G9" s="0" t="str">
        <f aca="false">INDEX(Runs!$R$4:$R$1346,MATCH(B9,Runs!$A$4:$A$1346,0))</f>
        <v>freshness</v>
      </c>
    </row>
    <row r="10" customFormat="false" ht="15" hidden="false" customHeight="false" outlineLevel="0" collapsed="false">
      <c r="A10" s="4" t="s">
        <v>4223</v>
      </c>
      <c r="B10" s="4" t="s">
        <v>2231</v>
      </c>
      <c r="C10" s="10" t="n">
        <v>46258.4398726852</v>
      </c>
      <c r="D10" s="10" t="n">
        <v>46258.4823842593</v>
      </c>
      <c r="E10" s="8" t="n">
        <f aca="false">ROUND((D10-C10)*86400,0)</f>
        <v>3673</v>
      </c>
      <c r="F10" s="8" t="n">
        <f aca="false">ROUND(E10/60,4)</f>
        <v>61.2167</v>
      </c>
      <c r="G10" s="0" t="str">
        <f aca="false">INDEX(Runs!$R$4:$R$1346,MATCH(B10,Runs!$A$4:$A$1346,0))</f>
        <v>transform</v>
      </c>
    </row>
    <row r="11" customFormat="false" ht="15" hidden="false" customHeight="false" outlineLevel="0" collapsed="false">
      <c r="A11" s="4" t="s">
        <v>4224</v>
      </c>
      <c r="B11" s="4" t="s">
        <v>2414</v>
      </c>
      <c r="C11" s="10" t="n">
        <v>46262.2667939815</v>
      </c>
      <c r="D11" s="10" t="n">
        <v>46262.3124884259</v>
      </c>
      <c r="E11" s="8" t="n">
        <f aca="false">ROUND((D11-C11)*86400,0)</f>
        <v>3948</v>
      </c>
      <c r="F11" s="8" t="n">
        <f aca="false">ROUND(E11/60,4)</f>
        <v>65.8</v>
      </c>
      <c r="G11" s="0" t="str">
        <f aca="false">INDEX(Runs!$R$4:$R$1346,MATCH(B11,Runs!$A$4:$A$1346,0))</f>
        <v>ingest</v>
      </c>
    </row>
    <row r="12" customFormat="false" ht="15" hidden="false" customHeight="false" outlineLevel="0" collapsed="false">
      <c r="A12" s="4" t="s">
        <v>4225</v>
      </c>
      <c r="B12" s="4" t="s">
        <v>2557</v>
      </c>
      <c r="C12" s="10" t="n">
        <v>46265.2671412037</v>
      </c>
      <c r="D12" s="10" t="n">
        <v>46265.3106134259</v>
      </c>
      <c r="E12" s="8" t="n">
        <f aca="false">ROUND((D12-C12)*86400,0)</f>
        <v>3756</v>
      </c>
      <c r="F12" s="8" t="n">
        <f aca="false">ROUND(E12/60,4)</f>
        <v>62.6</v>
      </c>
      <c r="G12" s="0" t="str">
        <f aca="false">INDEX(Runs!$R$4:$R$1346,MATCH(B12,Runs!$A$4:$A$1346,0))</f>
        <v>ingest</v>
      </c>
    </row>
    <row r="13" customFormat="false" ht="15" hidden="false" customHeight="false" outlineLevel="0" collapsed="false">
      <c r="A13" s="4" t="s">
        <v>4226</v>
      </c>
      <c r="B13" s="4" t="s">
        <v>2576</v>
      </c>
      <c r="C13" s="10" t="n">
        <v>46265.6838541667</v>
      </c>
      <c r="D13" s="10" t="n">
        <v>46265.7293171296</v>
      </c>
      <c r="E13" s="8" t="n">
        <f aca="false">ROUND((D13-C13)*86400,0)</f>
        <v>3928</v>
      </c>
      <c r="F13" s="8" t="n">
        <f aca="false">ROUND(E13/60,4)</f>
        <v>65.4667</v>
      </c>
      <c r="G13" s="0" t="str">
        <f aca="false">INDEX(Runs!$R$4:$R$1346,MATCH(B13,Runs!$A$4:$A$1346,0))</f>
        <v>freshness</v>
      </c>
    </row>
    <row r="14" customFormat="false" ht="15" hidden="false" customHeight="false" outlineLevel="0" collapsed="false">
      <c r="A14" s="4" t="s">
        <v>4227</v>
      </c>
      <c r="B14" s="4" t="s">
        <v>2621</v>
      </c>
      <c r="C14" s="10" t="n">
        <v>46266.6478819445</v>
      </c>
      <c r="D14" s="10" t="n">
        <v>46266.6877199074</v>
      </c>
      <c r="E14" s="8" t="n">
        <f aca="false">ROUND((D14-C14)*86400,0)</f>
        <v>3442</v>
      </c>
      <c r="F14" s="8" t="n">
        <f aca="false">ROUND(E14/60,4)</f>
        <v>57.3667</v>
      </c>
      <c r="G14" s="0" t="str">
        <f aca="false">INDEX(Runs!$R$4:$R$1346,MATCH(B14,Runs!$A$4:$A$1346,0))</f>
        <v>transform</v>
      </c>
    </row>
    <row r="15" customFormat="false" ht="15" hidden="false" customHeight="false" outlineLevel="0" collapsed="false">
      <c r="A15" s="4" t="s">
        <v>4228</v>
      </c>
      <c r="B15" s="4" t="s">
        <v>2680</v>
      </c>
      <c r="C15" s="10" t="n">
        <v>46267.8961111111</v>
      </c>
      <c r="D15" s="10" t="n">
        <v>46267.9360069444</v>
      </c>
      <c r="E15" s="8" t="n">
        <f aca="false">ROUND((D15-C15)*86400,0)</f>
        <v>3447</v>
      </c>
      <c r="F15" s="8" t="n">
        <f aca="false">ROUND(E15/60,4)</f>
        <v>57.45</v>
      </c>
      <c r="G15" s="0" t="str">
        <f aca="false">INDEX(Runs!$R$4:$R$1346,MATCH(B15,Runs!$A$4:$A$1346,0))</f>
        <v>gate_infra</v>
      </c>
    </row>
    <row r="16" customFormat="false" ht="15" hidden="false" customHeight="false" outlineLevel="0" collapsed="false">
      <c r="A16" s="4" t="s">
        <v>4229</v>
      </c>
      <c r="B16" s="4" t="s">
        <v>2843</v>
      </c>
      <c r="C16" s="10" t="n">
        <v>46271.3134375</v>
      </c>
      <c r="D16" s="10" t="n">
        <v>46271.3521064815</v>
      </c>
      <c r="E16" s="8" t="n">
        <f aca="false">ROUND((D16-C16)*86400,0)</f>
        <v>3341</v>
      </c>
      <c r="F16" s="8" t="n">
        <f aca="false">ROUND(E16/60,4)</f>
        <v>55.6833</v>
      </c>
      <c r="G16" s="0" t="str">
        <f aca="false">INDEX(Runs!$R$4:$R$1346,MATCH(B16,Runs!$A$4:$A$1346,0))</f>
        <v>gate_infra</v>
      </c>
    </row>
    <row r="17" customFormat="false" ht="15" hidden="false" customHeight="false" outlineLevel="0" collapsed="false">
      <c r="A17" s="4" t="s">
        <v>4230</v>
      </c>
      <c r="B17" s="4" t="s">
        <v>2906</v>
      </c>
      <c r="C17" s="10" t="n">
        <v>46272.6466782407</v>
      </c>
      <c r="D17" s="10" t="n">
        <v>46272.6876273148</v>
      </c>
      <c r="E17" s="8" t="n">
        <f aca="false">ROUND((D17-C17)*86400,0)</f>
        <v>3538</v>
      </c>
      <c r="F17" s="8" t="n">
        <f aca="false">ROUND(E17/60,4)</f>
        <v>58.9667</v>
      </c>
      <c r="G17" s="0" t="str">
        <f aca="false">INDEX(Runs!$R$4:$R$1346,MATCH(B17,Runs!$A$4:$A$1346,0))</f>
        <v>transform</v>
      </c>
    </row>
    <row r="18" customFormat="false" ht="15" hidden="false" customHeight="false" outlineLevel="0" collapsed="false">
      <c r="A18" s="4" t="s">
        <v>4231</v>
      </c>
      <c r="B18" s="4" t="s">
        <v>2993</v>
      </c>
      <c r="C18" s="10" t="n">
        <v>46274.4751273148</v>
      </c>
      <c r="D18" s="10" t="n">
        <v>46274.5189467593</v>
      </c>
      <c r="E18" s="8" t="n">
        <f aca="false">ROUND((D18-C18)*86400,0)</f>
        <v>3786</v>
      </c>
      <c r="F18" s="8" t="n">
        <f aca="false">ROUND(E18/60,4)</f>
        <v>63.1</v>
      </c>
      <c r="G18" s="0" t="str">
        <f aca="false">INDEX(Runs!$R$4:$R$1346,MATCH(B18,Runs!$A$4:$A$1346,0))</f>
        <v>residual</v>
      </c>
    </row>
    <row r="19" customFormat="false" ht="15" hidden="false" customHeight="false" outlineLevel="0" collapsed="false">
      <c r="A19" s="4" t="s">
        <v>4232</v>
      </c>
      <c r="B19" s="4" t="s">
        <v>3091</v>
      </c>
      <c r="C19" s="10" t="n">
        <v>46276.5165740741</v>
      </c>
      <c r="D19" s="10" t="n">
        <v>46276.5619907407</v>
      </c>
      <c r="E19" s="8" t="n">
        <f aca="false">ROUND((D19-C19)*86400,0)</f>
        <v>3924</v>
      </c>
      <c r="F19" s="8" t="n">
        <f aca="false">ROUND(E19/60,4)</f>
        <v>65.4</v>
      </c>
      <c r="G19" s="0" t="str">
        <f aca="false">INDEX(Runs!$R$4:$R$1346,MATCH(B19,Runs!$A$4:$A$1346,0))</f>
        <v>relationships</v>
      </c>
    </row>
    <row r="20" customFormat="false" ht="15" hidden="false" customHeight="false" outlineLevel="0" collapsed="false">
      <c r="A20" s="4" t="s">
        <v>4233</v>
      </c>
      <c r="B20" s="4" t="s">
        <v>3195</v>
      </c>
      <c r="C20" s="10" t="n">
        <v>46278.6836342593</v>
      </c>
      <c r="D20" s="10" t="n">
        <v>46278.7294328704</v>
      </c>
      <c r="E20" s="8" t="n">
        <f aca="false">ROUND((D20-C20)*86400,0)</f>
        <v>3957</v>
      </c>
      <c r="F20" s="8" t="n">
        <f aca="false">ROUND(E20/60,4)</f>
        <v>65.95</v>
      </c>
      <c r="G20" s="0" t="str">
        <f aca="false">INDEX(Runs!$R$4:$R$1346,MATCH(B20,Runs!$A$4:$A$1346,0))</f>
        <v>freshness</v>
      </c>
    </row>
    <row r="21" customFormat="false" ht="15" hidden="false" customHeight="false" outlineLevel="0" collapsed="false">
      <c r="A21" s="4" t="s">
        <v>4234</v>
      </c>
      <c r="B21" s="4" t="s">
        <v>3524</v>
      </c>
      <c r="C21" s="10" t="n">
        <v>46285.566724537</v>
      </c>
      <c r="D21" s="10" t="n">
        <v>46285.602037037</v>
      </c>
      <c r="E21" s="8" t="n">
        <f aca="false">ROUND((D21-C21)*86400,0)</f>
        <v>3051</v>
      </c>
      <c r="F21" s="8" t="n">
        <f aca="false">ROUND(E21/60,4)</f>
        <v>50.85</v>
      </c>
      <c r="G21" s="0" t="str">
        <f aca="false">INDEX(Runs!$R$4:$R$1346,MATCH(B21,Runs!$A$4:$A$1346,0))</f>
        <v>transform</v>
      </c>
    </row>
    <row r="22" customFormat="false" ht="15" hidden="false" customHeight="false" outlineLevel="0" collapsed="false">
      <c r="A22" s="4" t="s">
        <v>4235</v>
      </c>
      <c r="B22" s="4" t="s">
        <v>3807</v>
      </c>
      <c r="C22" s="10" t="n">
        <v>46291.4829282407</v>
      </c>
      <c r="D22" s="10" t="n">
        <v>46291.5198032407</v>
      </c>
      <c r="E22" s="8" t="n">
        <f aca="false">ROUND((D22-C22)*86400,0)</f>
        <v>3186</v>
      </c>
      <c r="F22" s="8" t="n">
        <f aca="false">ROUND(E22/60,4)</f>
        <v>53.1</v>
      </c>
      <c r="G22" s="0" t="str">
        <f aca="false">INDEX(Runs!$R$4:$R$1346,MATCH(B22,Runs!$A$4:$A$1346,0))</f>
        <v>transform</v>
      </c>
    </row>
    <row r="23" customFormat="false" ht="15" hidden="false" customHeight="false" outlineLevel="0" collapsed="false">
      <c r="A23" s="4" t="s">
        <v>4236</v>
      </c>
      <c r="B23" s="4" t="s">
        <v>3820</v>
      </c>
      <c r="C23" s="10" t="n">
        <v>46291.7665162037</v>
      </c>
      <c r="D23" s="10" t="n">
        <v>46291.8167939815</v>
      </c>
      <c r="E23" s="8" t="n">
        <f aca="false">ROUND((D23-C23)*86400,0)</f>
        <v>4344</v>
      </c>
      <c r="F23" s="8" t="n">
        <f aca="false">ROUND(E23/60,4)</f>
        <v>72.4</v>
      </c>
      <c r="G23" s="0" t="str">
        <f aca="false">INDEX(Runs!$R$4:$R$1346,MATCH(B23,Runs!$A$4:$A$1346,0))</f>
        <v>freshness</v>
      </c>
    </row>
    <row r="24" customFormat="false" ht="15" hidden="false" customHeight="false" outlineLevel="0" collapsed="false">
      <c r="A24" s="4" t="s">
        <v>4237</v>
      </c>
      <c r="B24" s="4" t="s">
        <v>3845</v>
      </c>
      <c r="C24" s="10" t="n">
        <v>46292.3174189815</v>
      </c>
      <c r="D24" s="10" t="n">
        <v>46292.3528009259</v>
      </c>
      <c r="E24" s="8" t="n">
        <f aca="false">ROUND((D24-C24)*86400,0)</f>
        <v>3057</v>
      </c>
      <c r="F24" s="8" t="n">
        <f aca="false">ROUND(E24/60,4)</f>
        <v>50.95</v>
      </c>
      <c r="G24" s="0" t="str">
        <f aca="false">INDEX(Runs!$R$4:$R$1346,MATCH(B24,Runs!$A$4:$A$1346,0))</f>
        <v>transform</v>
      </c>
    </row>
    <row r="25" customFormat="false" ht="15" hidden="false" customHeight="false" outlineLevel="0" collapsed="false">
      <c r="A25" s="4" t="s">
        <v>4238</v>
      </c>
      <c r="B25" s="4" t="s">
        <v>3900</v>
      </c>
      <c r="C25" s="10" t="n">
        <v>46293.4754861111</v>
      </c>
      <c r="D25" s="10" t="n">
        <v>46293.5226273148</v>
      </c>
      <c r="E25" s="8" t="n">
        <f aca="false">ROUND((D25-C25)*86400,0)</f>
        <v>4073</v>
      </c>
      <c r="F25" s="8" t="n">
        <f aca="false">ROUND(E25/60,4)</f>
        <v>67.8833</v>
      </c>
      <c r="G25" s="0" t="str">
        <f aca="false">INDEX(Runs!$R$4:$R$1346,MATCH(B25,Runs!$A$4:$A$1346,0))</f>
        <v>relationships</v>
      </c>
    </row>
    <row r="26" customFormat="false" ht="15" hidden="false" customHeight="false" outlineLevel="0" collapsed="false">
      <c r="A26" s="4" t="s">
        <v>4239</v>
      </c>
      <c r="B26" s="4" t="s">
        <v>3937</v>
      </c>
      <c r="C26" s="10" t="n">
        <v>46294.2676967593</v>
      </c>
      <c r="D26" s="10" t="n">
        <v>46294.3100231482</v>
      </c>
      <c r="E26" s="8" t="n">
        <f aca="false">ROUND((D26-C26)*86400,0)</f>
        <v>3657</v>
      </c>
      <c r="F26" s="8" t="n">
        <f aca="false">ROUND(E26/60,4)</f>
        <v>60.95</v>
      </c>
      <c r="G26" s="0" t="str">
        <f aca="false">INDEX(Runs!$R$4:$R$1346,MATCH(B26,Runs!$A$4:$A$1346,0))</f>
        <v>relationships</v>
      </c>
    </row>
    <row r="27" customFormat="false" ht="15" hidden="false" customHeight="false" outlineLevel="0" collapsed="false">
      <c r="A27" s="4" t="s">
        <v>4240</v>
      </c>
      <c r="B27" s="4" t="s">
        <v>3988</v>
      </c>
      <c r="C27" s="10" t="n">
        <v>46295.3503356482</v>
      </c>
      <c r="D27" s="10" t="n">
        <v>46295.3935069444</v>
      </c>
      <c r="E27" s="8" t="n">
        <f aca="false">ROUND((D27-C27)*86400,0)</f>
        <v>3730</v>
      </c>
      <c r="F27" s="8" t="n">
        <f aca="false">ROUND(E27/60,4)</f>
        <v>62.1667</v>
      </c>
      <c r="G27" s="0" t="str">
        <f aca="false">INDEX(Runs!$R$4:$R$1346,MATCH(B27,Runs!$A$4:$A$1346,0))</f>
        <v>relationships</v>
      </c>
    </row>
    <row r="28" customFormat="false" ht="15" hidden="false" customHeight="false" outlineLevel="0" collapsed="false">
      <c r="A28" s="4" t="s">
        <v>4241</v>
      </c>
      <c r="B28" s="4" t="s">
        <v>4011</v>
      </c>
      <c r="C28" s="10" t="n">
        <v>46295.8584606482</v>
      </c>
      <c r="D28" s="10" t="n">
        <v>46295.8937037037</v>
      </c>
      <c r="E28" s="8" t="n">
        <f aca="false">ROUND((D28-C28)*86400,0)</f>
        <v>3045</v>
      </c>
      <c r="F28" s="8" t="n">
        <f aca="false">ROUND(E28/60,4)</f>
        <v>50.75</v>
      </c>
      <c r="G28" s="0" t="str">
        <f aca="false">INDEX(Runs!$R$4:$R$1346,MATCH(B28,Runs!$A$4:$A$1346,0))</f>
        <v>transform</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0"/>
    <col collapsed="false" customWidth="true" hidden="false" outlineLevel="0" max="4" min="4" style="0" width="12"/>
  </cols>
  <sheetData>
    <row r="1" customFormat="false" ht="17.35" hidden="false" customHeight="false" outlineLevel="0" collapsed="false">
      <c r="A1" s="1" t="s">
        <v>4242</v>
      </c>
    </row>
    <row r="2" customFormat="false" ht="15" hidden="false" customHeight="false" outlineLevel="0" collapsed="false">
      <c r="A2" s="0" t="s">
        <v>4243</v>
      </c>
    </row>
    <row r="3" customFormat="false" ht="15" hidden="false" customHeight="false" outlineLevel="0" collapsed="false">
      <c r="A3" s="9" t="s">
        <v>4244</v>
      </c>
      <c r="B3" s="9" t="s">
        <v>80</v>
      </c>
      <c r="C3" s="9" t="s">
        <v>4245</v>
      </c>
      <c r="D3" s="9" t="s">
        <v>4246</v>
      </c>
      <c r="E3" s="9" t="s">
        <v>4247</v>
      </c>
    </row>
    <row r="4" customFormat="false" ht="15" hidden="false" customHeight="false" outlineLevel="0" collapsed="false">
      <c r="A4" s="4" t="s">
        <v>4248</v>
      </c>
      <c r="B4" s="4" t="s">
        <v>103</v>
      </c>
      <c r="C4" s="4" t="s">
        <v>4249</v>
      </c>
      <c r="D4" s="4" t="s">
        <v>4250</v>
      </c>
      <c r="E4" s="11" t="b">
        <f aca="false">TRUE()</f>
        <v>1</v>
      </c>
    </row>
    <row r="5" customFormat="false" ht="15" hidden="false" customHeight="false" outlineLevel="0" collapsed="false">
      <c r="A5" s="4" t="s">
        <v>4251</v>
      </c>
      <c r="B5" s="4" t="s">
        <v>104</v>
      </c>
      <c r="C5" s="4" t="s">
        <v>4249</v>
      </c>
      <c r="D5" s="4" t="s">
        <v>4252</v>
      </c>
      <c r="E5" s="11" t="b">
        <f aca="false">FALSE()</f>
        <v>0</v>
      </c>
    </row>
    <row r="6" customFormat="false" ht="15" hidden="false" customHeight="false" outlineLevel="0" collapsed="false">
      <c r="A6" s="4" t="s">
        <v>4253</v>
      </c>
      <c r="B6" s="4" t="s">
        <v>99</v>
      </c>
      <c r="C6" s="4" t="s">
        <v>4249</v>
      </c>
      <c r="D6" s="4" t="s">
        <v>4254</v>
      </c>
      <c r="E6" s="11" t="b">
        <f aca="false">TRUE()</f>
        <v>1</v>
      </c>
    </row>
    <row r="7" customFormat="false" ht="15" hidden="false" customHeight="false" outlineLevel="0" collapsed="false">
      <c r="A7" s="4" t="s">
        <v>4255</v>
      </c>
      <c r="B7" s="4" t="s">
        <v>99</v>
      </c>
      <c r="C7" s="4" t="s">
        <v>4249</v>
      </c>
      <c r="D7" s="4" t="s">
        <v>4256</v>
      </c>
      <c r="E7" s="11" t="b">
        <f aca="false">FALSE()</f>
        <v>0</v>
      </c>
    </row>
    <row r="8" customFormat="false" ht="15" hidden="false" customHeight="false" outlineLevel="0" collapsed="false">
      <c r="A8" s="4" t="s">
        <v>4257</v>
      </c>
      <c r="B8" s="4" t="s">
        <v>102</v>
      </c>
      <c r="C8" s="4" t="s">
        <v>4249</v>
      </c>
      <c r="D8" s="4" t="s">
        <v>4258</v>
      </c>
      <c r="E8" s="11" t="b">
        <f aca="false">TRUE()</f>
        <v>1</v>
      </c>
    </row>
    <row r="9" customFormat="false" ht="15" hidden="false" customHeight="false" outlineLevel="0" collapsed="false">
      <c r="A9" s="4" t="s">
        <v>4257</v>
      </c>
      <c r="B9" s="4" t="s">
        <v>102</v>
      </c>
      <c r="C9" s="4" t="s">
        <v>4249</v>
      </c>
      <c r="D9" s="4" t="s">
        <v>4259</v>
      </c>
      <c r="E9" s="11" t="b">
        <f aca="false">TRUE()</f>
        <v>1</v>
      </c>
    </row>
    <row r="10" customFormat="false" ht="15" hidden="false" customHeight="false" outlineLevel="0" collapsed="false">
      <c r="A10" s="4" t="s">
        <v>4260</v>
      </c>
      <c r="B10" s="4" t="s">
        <v>99</v>
      </c>
      <c r="C10" s="4" t="s">
        <v>4261</v>
      </c>
      <c r="D10" s="4" t="s">
        <v>4256</v>
      </c>
      <c r="E10" s="11" t="b">
        <f aca="false">FALSE()</f>
        <v>0</v>
      </c>
    </row>
    <row r="11" customFormat="false" ht="15" hidden="false" customHeight="false" outlineLevel="0" collapsed="false">
      <c r="A11" s="4" t="s">
        <v>4260</v>
      </c>
      <c r="B11" s="4" t="s">
        <v>99</v>
      </c>
      <c r="C11" s="4" t="s">
        <v>4261</v>
      </c>
      <c r="D11" s="4" t="s">
        <v>4262</v>
      </c>
      <c r="E11" s="11" t="b">
        <f aca="false">FALSE()</f>
        <v>0</v>
      </c>
    </row>
    <row r="12" customFormat="false" ht="15" hidden="false" customHeight="false" outlineLevel="0" collapsed="false">
      <c r="A12" s="4" t="s">
        <v>4263</v>
      </c>
      <c r="B12" s="4" t="s">
        <v>99</v>
      </c>
      <c r="C12" s="4" t="s">
        <v>4249</v>
      </c>
      <c r="D12" s="4" t="s">
        <v>4264</v>
      </c>
      <c r="E12" s="11" t="b">
        <f aca="false">TRUE()</f>
        <v>1</v>
      </c>
    </row>
    <row r="13" customFormat="false" ht="15" hidden="false" customHeight="false" outlineLevel="0" collapsed="false">
      <c r="A13" s="4" t="s">
        <v>4265</v>
      </c>
      <c r="B13" s="4" t="s">
        <v>99</v>
      </c>
      <c r="C13" s="4" t="s">
        <v>4249</v>
      </c>
      <c r="D13" s="4" t="s">
        <v>4266</v>
      </c>
      <c r="E13" s="11" t="b">
        <f aca="false">TRUE()</f>
        <v>1</v>
      </c>
    </row>
    <row r="14" customFormat="false" ht="15" hidden="false" customHeight="false" outlineLevel="0" collapsed="false">
      <c r="A14" s="4" t="s">
        <v>4267</v>
      </c>
      <c r="B14" s="4" t="s">
        <v>104</v>
      </c>
      <c r="C14" s="4" t="s">
        <v>4249</v>
      </c>
      <c r="D14" s="4" t="s">
        <v>4268</v>
      </c>
      <c r="E14" s="11" t="b">
        <f aca="false">TRUE()</f>
        <v>1</v>
      </c>
    </row>
    <row r="15" customFormat="false" ht="15" hidden="false" customHeight="false" outlineLevel="0" collapsed="false">
      <c r="A15" s="4" t="s">
        <v>4269</v>
      </c>
      <c r="B15" s="4" t="s">
        <v>104</v>
      </c>
      <c r="C15" s="4" t="s">
        <v>4249</v>
      </c>
      <c r="D15" s="4" t="s">
        <v>4270</v>
      </c>
      <c r="E15" s="11" t="b">
        <f aca="false">TRUE()</f>
        <v>1</v>
      </c>
    </row>
    <row r="16" customFormat="false" ht="15" hidden="false" customHeight="false" outlineLevel="0" collapsed="false">
      <c r="A16" s="4" t="s">
        <v>4271</v>
      </c>
      <c r="B16" s="4" t="s">
        <v>104</v>
      </c>
      <c r="C16" s="4" t="s">
        <v>4249</v>
      </c>
      <c r="D16" s="4" t="s">
        <v>4272</v>
      </c>
      <c r="E16" s="11" t="b">
        <f aca="false">FALSE()</f>
        <v>0</v>
      </c>
    </row>
    <row r="17" customFormat="false" ht="15" hidden="false" customHeight="false" outlineLevel="0" collapsed="false">
      <c r="A17" s="4" t="s">
        <v>4273</v>
      </c>
      <c r="B17" s="4" t="s">
        <v>104</v>
      </c>
      <c r="C17" s="4" t="s">
        <v>4261</v>
      </c>
      <c r="D17" s="4" t="s">
        <v>4270</v>
      </c>
      <c r="E17" s="11" t="b">
        <f aca="false">FALSE()</f>
        <v>0</v>
      </c>
    </row>
    <row r="18" customFormat="false" ht="15" hidden="false" customHeight="false" outlineLevel="0" collapsed="false">
      <c r="A18" s="4" t="s">
        <v>4273</v>
      </c>
      <c r="B18" s="4" t="s">
        <v>104</v>
      </c>
      <c r="C18" s="4" t="s">
        <v>4261</v>
      </c>
      <c r="D18" s="4" t="s">
        <v>4274</v>
      </c>
      <c r="E18" s="11" t="b">
        <f aca="false">FALSE()</f>
        <v>0</v>
      </c>
    </row>
    <row r="19" customFormat="false" ht="15" hidden="false" customHeight="false" outlineLevel="0" collapsed="false">
      <c r="A19" s="4" t="s">
        <v>4275</v>
      </c>
      <c r="B19" s="4" t="s">
        <v>99</v>
      </c>
      <c r="C19" s="4" t="s">
        <v>4249</v>
      </c>
      <c r="D19" s="4" t="s">
        <v>4276</v>
      </c>
      <c r="E19" s="11" t="b">
        <f aca="false">FALSE()</f>
        <v>0</v>
      </c>
    </row>
    <row r="20" customFormat="false" ht="15" hidden="false" customHeight="false" outlineLevel="0" collapsed="false">
      <c r="A20" s="4" t="s">
        <v>4277</v>
      </c>
      <c r="B20" s="4" t="s">
        <v>103</v>
      </c>
      <c r="C20" s="4" t="s">
        <v>4249</v>
      </c>
      <c r="D20" s="4" t="s">
        <v>4278</v>
      </c>
      <c r="E20" s="11" t="b">
        <f aca="false">TRUE()</f>
        <v>1</v>
      </c>
    </row>
    <row r="21" customFormat="false" ht="15" hidden="false" customHeight="false" outlineLevel="0" collapsed="false">
      <c r="A21" s="4" t="s">
        <v>4279</v>
      </c>
      <c r="B21" s="4" t="s">
        <v>102</v>
      </c>
      <c r="C21" s="4" t="s">
        <v>4249</v>
      </c>
      <c r="D21" s="4" t="s">
        <v>4280</v>
      </c>
      <c r="E21" s="11" t="b">
        <f aca="false">TRUE()</f>
        <v>1</v>
      </c>
    </row>
    <row r="22" customFormat="false" ht="15" hidden="false" customHeight="false" outlineLevel="0" collapsed="false">
      <c r="A22" s="4" t="s">
        <v>4279</v>
      </c>
      <c r="B22" s="4" t="s">
        <v>102</v>
      </c>
      <c r="C22" s="4" t="s">
        <v>4249</v>
      </c>
      <c r="D22" s="4" t="s">
        <v>4281</v>
      </c>
      <c r="E22" s="11" t="b">
        <f aca="false">TRUE()</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4" style="0" width="22"/>
  </cols>
  <sheetData>
    <row r="1" customFormat="false" ht="17.35" hidden="false" customHeight="false" outlineLevel="0" collapsed="false">
      <c r="A1" s="1" t="s">
        <v>4282</v>
      </c>
    </row>
    <row r="2" customFormat="false" ht="15" hidden="false" customHeight="false" outlineLevel="0" collapsed="false">
      <c r="A2" s="0" t="s">
        <v>4283</v>
      </c>
    </row>
    <row r="3" customFormat="false" ht="41.75" hidden="false" customHeight="false" outlineLevel="0" collapsed="false">
      <c r="A3" s="9" t="s">
        <v>4284</v>
      </c>
      <c r="B3" s="9" t="s">
        <v>80</v>
      </c>
      <c r="C3" s="9" t="s">
        <v>4285</v>
      </c>
      <c r="D3" s="9" t="s">
        <v>4286</v>
      </c>
      <c r="E3" s="9" t="s">
        <v>4287</v>
      </c>
      <c r="F3" s="9" t="s">
        <v>4288</v>
      </c>
      <c r="G3" s="9" t="s">
        <v>4289</v>
      </c>
      <c r="H3" s="9" t="s">
        <v>4290</v>
      </c>
    </row>
    <row r="4" customFormat="false" ht="15" hidden="false" customHeight="false" outlineLevel="0" collapsed="false">
      <c r="A4" s="4" t="n">
        <v>61</v>
      </c>
      <c r="B4" s="4" t="s">
        <v>103</v>
      </c>
      <c r="C4" s="4" t="n">
        <v>120</v>
      </c>
      <c r="D4" s="10" t="n">
        <v>46246.6294444444</v>
      </c>
      <c r="E4" s="10" t="n">
        <v>46246.6310300926</v>
      </c>
      <c r="F4" s="8" t="n">
        <f aca="false">ROUND((E4-D4)*86400,0)</f>
        <v>137</v>
      </c>
      <c r="G4" s="8" t="n">
        <f aca="false">F4-C4</f>
        <v>17</v>
      </c>
      <c r="H4" s="6" t="b">
        <f aca="false">F4&gt;=C4</f>
        <v>1</v>
      </c>
    </row>
    <row r="5" customFormat="false" ht="15" hidden="false" customHeight="false" outlineLevel="0" collapsed="false">
      <c r="A5" s="4" t="n">
        <v>62</v>
      </c>
      <c r="B5" s="4" t="s">
        <v>103</v>
      </c>
      <c r="C5" s="4" t="n">
        <v>30</v>
      </c>
      <c r="D5" s="10" t="n">
        <v>46246.6310300926</v>
      </c>
      <c r="E5" s="10" t="n">
        <v>46246.631400463</v>
      </c>
      <c r="F5" s="8" t="n">
        <f aca="false">ROUND((E5-D5)*86400,0)</f>
        <v>32</v>
      </c>
      <c r="G5" s="8" t="n">
        <f aca="false">F5-C5</f>
        <v>2</v>
      </c>
      <c r="H5" s="6" t="b">
        <f aca="false">F5&gt;=C5</f>
        <v>1</v>
      </c>
    </row>
    <row r="6" customFormat="false" ht="15" hidden="false" customHeight="false" outlineLevel="0" collapsed="false">
      <c r="A6" s="4" t="n">
        <v>74</v>
      </c>
      <c r="B6" s="4" t="s">
        <v>103</v>
      </c>
      <c r="C6" s="4" t="n">
        <v>60</v>
      </c>
      <c r="D6" s="10" t="n">
        <v>46247.1293171296</v>
      </c>
      <c r="E6" s="10" t="n">
        <v>46247.1300925926</v>
      </c>
      <c r="F6" s="8" t="n">
        <f aca="false">ROUND((E6-D6)*86400,0)</f>
        <v>67</v>
      </c>
      <c r="G6" s="8" t="n">
        <f aca="false">F6-C6</f>
        <v>7</v>
      </c>
      <c r="H6" s="6" t="b">
        <f aca="false">F6&gt;=C6</f>
        <v>1</v>
      </c>
    </row>
    <row r="7" customFormat="false" ht="15" hidden="false" customHeight="false" outlineLevel="0" collapsed="false">
      <c r="A7" s="4" t="n">
        <v>121</v>
      </c>
      <c r="B7" s="4" t="s">
        <v>103</v>
      </c>
      <c r="C7" s="4" t="n">
        <v>90</v>
      </c>
      <c r="D7" s="10" t="n">
        <v>46249.129212963</v>
      </c>
      <c r="E7" s="10" t="n">
        <v>46249.1305439815</v>
      </c>
      <c r="F7" s="8" t="n">
        <f aca="false">ROUND((E7-D7)*86400,0)</f>
        <v>115</v>
      </c>
      <c r="G7" s="8" t="n">
        <f aca="false">F7-C7</f>
        <v>25</v>
      </c>
      <c r="H7" s="6" t="b">
        <f aca="false">F7&gt;=C7</f>
        <v>1</v>
      </c>
    </row>
    <row r="8" customFormat="false" ht="15" hidden="false" customHeight="false" outlineLevel="0" collapsed="false">
      <c r="A8" s="4" t="n">
        <v>134</v>
      </c>
      <c r="B8" s="4" t="s">
        <v>103</v>
      </c>
      <c r="C8" s="4" t="n">
        <v>60</v>
      </c>
      <c r="D8" s="10" t="n">
        <v>46249.6305787037</v>
      </c>
      <c r="E8" s="10" t="n">
        <v>46249.6313657407</v>
      </c>
      <c r="F8" s="8" t="n">
        <f aca="false">ROUND((E8-D8)*86400,0)</f>
        <v>68</v>
      </c>
      <c r="G8" s="8" t="n">
        <f aca="false">F8-C8</f>
        <v>8</v>
      </c>
      <c r="H8" s="6" t="b">
        <f aca="false">F8&gt;=C8</f>
        <v>1</v>
      </c>
    </row>
    <row r="9" customFormat="false" ht="15" hidden="false" customHeight="false" outlineLevel="0" collapsed="false">
      <c r="A9" s="4" t="n">
        <v>135</v>
      </c>
      <c r="B9" s="4" t="s">
        <v>103</v>
      </c>
      <c r="C9" s="4" t="n">
        <v>120</v>
      </c>
      <c r="D9" s="10" t="n">
        <v>46249.6313657407</v>
      </c>
      <c r="E9" s="10" t="n">
        <v>46249.6330208333</v>
      </c>
      <c r="F9" s="8" t="n">
        <f aca="false">ROUND((E9-D9)*86400,0)</f>
        <v>143</v>
      </c>
      <c r="G9" s="8" t="n">
        <f aca="false">F9-C9</f>
        <v>23</v>
      </c>
      <c r="H9" s="6" t="b">
        <f aca="false">F9&gt;=C9</f>
        <v>1</v>
      </c>
    </row>
    <row r="10" customFormat="false" ht="15" hidden="false" customHeight="false" outlineLevel="0" collapsed="false">
      <c r="A10" s="4" t="n">
        <v>154</v>
      </c>
      <c r="B10" s="4" t="s">
        <v>103</v>
      </c>
      <c r="C10" s="4" t="n">
        <v>60</v>
      </c>
      <c r="D10" s="10" t="n">
        <v>46250.3801851852</v>
      </c>
      <c r="E10" s="10" t="n">
        <v>46250.3809722222</v>
      </c>
      <c r="F10" s="8" t="n">
        <f aca="false">ROUND((E10-D10)*86400,0)</f>
        <v>68</v>
      </c>
      <c r="G10" s="8" t="n">
        <f aca="false">F10-C10</f>
        <v>8</v>
      </c>
      <c r="H10" s="6" t="b">
        <f aca="false">F10&gt;=C10</f>
        <v>1</v>
      </c>
    </row>
    <row r="11" customFormat="false" ht="15" hidden="false" customHeight="false" outlineLevel="0" collapsed="false">
      <c r="A11" s="4" t="n">
        <v>155</v>
      </c>
      <c r="B11" s="4" t="s">
        <v>103</v>
      </c>
      <c r="C11" s="4" t="n">
        <v>120</v>
      </c>
      <c r="D11" s="10" t="n">
        <v>46250.3809722222</v>
      </c>
      <c r="E11" s="10" t="n">
        <v>46250.3823611111</v>
      </c>
      <c r="F11" s="8" t="n">
        <f aca="false">ROUND((E11-D11)*86400,0)</f>
        <v>120</v>
      </c>
      <c r="G11" s="8" t="n">
        <f aca="false">F11-C11</f>
        <v>0</v>
      </c>
      <c r="H11" s="6" t="b">
        <f aca="false">F11&gt;=C11</f>
        <v>1</v>
      </c>
    </row>
    <row r="12" customFormat="false" ht="15" hidden="false" customHeight="false" outlineLevel="0" collapsed="false">
      <c r="A12" s="4" t="n">
        <v>185</v>
      </c>
      <c r="B12" s="4" t="s">
        <v>103</v>
      </c>
      <c r="C12" s="4" t="n">
        <v>90</v>
      </c>
      <c r="D12" s="10" t="n">
        <v>46251.6307175926</v>
      </c>
      <c r="E12" s="10" t="n">
        <v>46251.6320486111</v>
      </c>
      <c r="F12" s="8" t="n">
        <f aca="false">ROUND((E12-D12)*86400,0)</f>
        <v>115</v>
      </c>
      <c r="G12" s="8" t="n">
        <f aca="false">F12-C12</f>
        <v>25</v>
      </c>
      <c r="H12" s="6" t="b">
        <f aca="false">F12&gt;=C12</f>
        <v>1</v>
      </c>
    </row>
    <row r="13" customFormat="false" ht="15" hidden="false" customHeight="false" outlineLevel="0" collapsed="false">
      <c r="A13" s="4" t="n">
        <v>204</v>
      </c>
      <c r="B13" s="4" t="s">
        <v>103</v>
      </c>
      <c r="C13" s="4" t="n">
        <v>30</v>
      </c>
      <c r="D13" s="10" t="n">
        <v>46252.3804861111</v>
      </c>
      <c r="E13" s="10" t="n">
        <v>46252.3808680556</v>
      </c>
      <c r="F13" s="8" t="n">
        <f aca="false">ROUND((E13-D13)*86400,0)</f>
        <v>33</v>
      </c>
      <c r="G13" s="8" t="n">
        <f aca="false">F13-C13</f>
        <v>3</v>
      </c>
      <c r="H13" s="6" t="b">
        <f aca="false">F13&gt;=C13</f>
        <v>1</v>
      </c>
    </row>
    <row r="14" customFormat="false" ht="15" hidden="false" customHeight="false" outlineLevel="0" collapsed="false">
      <c r="A14" s="4" t="n">
        <v>205</v>
      </c>
      <c r="B14" s="4" t="s">
        <v>103</v>
      </c>
      <c r="C14" s="4" t="n">
        <v>90</v>
      </c>
      <c r="D14" s="10" t="n">
        <v>46252.3808680556</v>
      </c>
      <c r="E14" s="10" t="n">
        <v>46252.3820486111</v>
      </c>
      <c r="F14" s="8" t="n">
        <f aca="false">ROUND((E14-D14)*86400,0)</f>
        <v>102</v>
      </c>
      <c r="G14" s="8" t="n">
        <f aca="false">F14-C14</f>
        <v>12</v>
      </c>
      <c r="H14" s="6" t="b">
        <f aca="false">F14&gt;=C14</f>
        <v>1</v>
      </c>
    </row>
    <row r="15" customFormat="false" ht="15" hidden="false" customHeight="false" outlineLevel="0" collapsed="false">
      <c r="A15" s="4" t="n">
        <v>217</v>
      </c>
      <c r="B15" s="4" t="s">
        <v>103</v>
      </c>
      <c r="C15" s="4" t="n">
        <v>90</v>
      </c>
      <c r="D15" s="10" t="n">
        <v>46252.8798611111</v>
      </c>
      <c r="E15" s="10" t="n">
        <v>46252.8810763889</v>
      </c>
      <c r="F15" s="8" t="n">
        <f aca="false">ROUND((E15-D15)*86400,0)</f>
        <v>105</v>
      </c>
      <c r="G15" s="8" t="n">
        <f aca="false">F15-C15</f>
        <v>15</v>
      </c>
      <c r="H15" s="6" t="b">
        <f aca="false">F15&gt;=C15</f>
        <v>1</v>
      </c>
    </row>
    <row r="16" customFormat="false" ht="15" hidden="false" customHeight="false" outlineLevel="0" collapsed="false">
      <c r="A16" s="4" t="n">
        <v>223</v>
      </c>
      <c r="B16" s="4" t="s">
        <v>103</v>
      </c>
      <c r="C16" s="4" t="n">
        <v>120</v>
      </c>
      <c r="D16" s="10" t="n">
        <v>46253.1305671296</v>
      </c>
      <c r="E16" s="10" t="n">
        <v>46253.1320717593</v>
      </c>
      <c r="F16" s="8" t="n">
        <f aca="false">ROUND((E16-D16)*86400,0)</f>
        <v>130</v>
      </c>
      <c r="G16" s="8" t="n">
        <f aca="false">F16-C16</f>
        <v>10</v>
      </c>
      <c r="H16" s="6" t="b">
        <f aca="false">F16&gt;=C16</f>
        <v>1</v>
      </c>
    </row>
    <row r="17" customFormat="false" ht="15" hidden="false" customHeight="false" outlineLevel="0" collapsed="false">
      <c r="A17" s="4" t="n">
        <v>224</v>
      </c>
      <c r="B17" s="4" t="s">
        <v>103</v>
      </c>
      <c r="C17" s="4" t="n">
        <v>30</v>
      </c>
      <c r="D17" s="10" t="n">
        <v>46253.1320717593</v>
      </c>
      <c r="E17" s="10" t="n">
        <v>46253.1325462963</v>
      </c>
      <c r="F17" s="8" t="n">
        <f aca="false">ROUND((E17-D17)*86400,0)</f>
        <v>41</v>
      </c>
      <c r="G17" s="8" t="n">
        <f aca="false">F17-C17</f>
        <v>11</v>
      </c>
      <c r="H17" s="6" t="b">
        <f aca="false">F17&gt;=C17</f>
        <v>1</v>
      </c>
    </row>
    <row r="18" customFormat="false" ht="15" hidden="false" customHeight="false" outlineLevel="0" collapsed="false">
      <c r="A18" s="4" t="n">
        <v>249</v>
      </c>
      <c r="B18" s="4" t="s">
        <v>103</v>
      </c>
      <c r="C18" s="4" t="n">
        <v>90</v>
      </c>
      <c r="D18" s="10" t="n">
        <v>46254.1299652778</v>
      </c>
      <c r="E18" s="10" t="n">
        <v>46254.1311458333</v>
      </c>
      <c r="F18" s="8" t="n">
        <f aca="false">ROUND((E18-D18)*86400,0)</f>
        <v>102</v>
      </c>
      <c r="G18" s="8" t="n">
        <f aca="false">F18-C18</f>
        <v>12</v>
      </c>
      <c r="H18" s="6" t="b">
        <f aca="false">F18&gt;=C18</f>
        <v>1</v>
      </c>
    </row>
    <row r="19" customFormat="false" ht="15" hidden="false" customHeight="false" outlineLevel="0" collapsed="false">
      <c r="A19" s="4" t="n">
        <v>250</v>
      </c>
      <c r="B19" s="4" t="s">
        <v>103</v>
      </c>
      <c r="C19" s="4" t="n">
        <v>30</v>
      </c>
      <c r="D19" s="10" t="n">
        <v>46254.1311458333</v>
      </c>
      <c r="E19" s="10" t="n">
        <v>46254.1314930556</v>
      </c>
      <c r="F19" s="8" t="n">
        <f aca="false">ROUND((E19-D19)*86400,0)</f>
        <v>30</v>
      </c>
      <c r="G19" s="8" t="n">
        <f aca="false">F19-C19</f>
        <v>0</v>
      </c>
      <c r="H19" s="6" t="b">
        <f aca="false">F19&gt;=C19</f>
        <v>1</v>
      </c>
    </row>
    <row r="20" customFormat="false" ht="15" hidden="false" customHeight="false" outlineLevel="0" collapsed="false">
      <c r="A20" s="4" t="n">
        <v>258</v>
      </c>
      <c r="B20" s="4" t="s">
        <v>103</v>
      </c>
      <c r="C20" s="4" t="n">
        <v>30</v>
      </c>
      <c r="D20" s="10" t="n">
        <v>46254.3792708333</v>
      </c>
      <c r="E20" s="10" t="n">
        <v>46254.3798611111</v>
      </c>
      <c r="F20" s="8" t="n">
        <f aca="false">ROUND((E20-D20)*86400,0)</f>
        <v>51</v>
      </c>
      <c r="G20" s="8" t="n">
        <f aca="false">F20-C20</f>
        <v>21</v>
      </c>
      <c r="H20" s="6" t="b">
        <f aca="false">F20&gt;=C20</f>
        <v>1</v>
      </c>
    </row>
    <row r="21" customFormat="false" ht="15" hidden="false" customHeight="false" outlineLevel="0" collapsed="false">
      <c r="A21" s="4" t="n">
        <v>259</v>
      </c>
      <c r="B21" s="4" t="s">
        <v>103</v>
      </c>
      <c r="C21" s="4" t="n">
        <v>120</v>
      </c>
      <c r="D21" s="10" t="n">
        <v>46254.3798611111</v>
      </c>
      <c r="E21" s="10" t="n">
        <v>46254.3812847222</v>
      </c>
      <c r="F21" s="8" t="n">
        <f aca="false">ROUND((E21-D21)*86400,0)</f>
        <v>123</v>
      </c>
      <c r="G21" s="8" t="n">
        <f aca="false">F21-C21</f>
        <v>3</v>
      </c>
      <c r="H21" s="6" t="b">
        <f aca="false">F21&gt;=C21</f>
        <v>1</v>
      </c>
    </row>
    <row r="22" customFormat="false" ht="15" hidden="false" customHeight="false" outlineLevel="0" collapsed="false">
      <c r="A22" s="4" t="n">
        <v>283</v>
      </c>
      <c r="B22" s="4" t="s">
        <v>103</v>
      </c>
      <c r="C22" s="4" t="n">
        <v>90</v>
      </c>
      <c r="D22" s="10" t="n">
        <v>46255.3806365741</v>
      </c>
      <c r="E22" s="10" t="n">
        <v>46255.3816898148</v>
      </c>
      <c r="F22" s="8" t="n">
        <f aca="false">ROUND((E22-D22)*86400,0)</f>
        <v>91</v>
      </c>
      <c r="G22" s="8" t="n">
        <f aca="false">F22-C22</f>
        <v>1</v>
      </c>
      <c r="H22" s="6" t="b">
        <f aca="false">F22&gt;=C22</f>
        <v>1</v>
      </c>
    </row>
    <row r="23" customFormat="false" ht="15" hidden="false" customHeight="false" outlineLevel="0" collapsed="false">
      <c r="A23" s="4" t="n">
        <v>336</v>
      </c>
      <c r="B23" s="4" t="s">
        <v>103</v>
      </c>
      <c r="C23" s="4" t="n">
        <v>60</v>
      </c>
      <c r="D23" s="10" t="n">
        <v>46257.6297453704</v>
      </c>
      <c r="E23" s="10" t="n">
        <v>46257.6307060185</v>
      </c>
      <c r="F23" s="8" t="n">
        <f aca="false">ROUND((E23-D23)*86400,0)</f>
        <v>83</v>
      </c>
      <c r="G23" s="8" t="n">
        <f aca="false">F23-C23</f>
        <v>23</v>
      </c>
      <c r="H23" s="6" t="b">
        <f aca="false">F23&gt;=C23</f>
        <v>1</v>
      </c>
    </row>
    <row r="24" customFormat="false" ht="15" hidden="false" customHeight="false" outlineLevel="0" collapsed="false">
      <c r="A24" s="4" t="n">
        <v>580</v>
      </c>
      <c r="B24" s="4" t="s">
        <v>103</v>
      </c>
      <c r="C24" s="4" t="n">
        <v>30</v>
      </c>
      <c r="D24" s="10" t="n">
        <v>46267.8799074074</v>
      </c>
      <c r="E24" s="10" t="n">
        <v>46267.8803587963</v>
      </c>
      <c r="F24" s="8" t="n">
        <f aca="false">ROUND((E24-D24)*86400,0)</f>
        <v>39</v>
      </c>
      <c r="G24" s="8" t="n">
        <f aca="false">F24-C24</f>
        <v>9</v>
      </c>
      <c r="H24" s="6" t="b">
        <f aca="false">F24&gt;=C24</f>
        <v>1</v>
      </c>
    </row>
    <row r="25" customFormat="false" ht="15" hidden="false" customHeight="false" outlineLevel="0" collapsed="false">
      <c r="A25" s="4" t="n">
        <v>609</v>
      </c>
      <c r="B25" s="4" t="s">
        <v>103</v>
      </c>
      <c r="C25" s="4" t="n">
        <v>30</v>
      </c>
      <c r="D25" s="10" t="n">
        <v>46269.1295833333</v>
      </c>
      <c r="E25" s="10" t="n">
        <v>46269.1301388889</v>
      </c>
      <c r="F25" s="8" t="n">
        <f aca="false">ROUND((E25-D25)*86400,0)</f>
        <v>48</v>
      </c>
      <c r="G25" s="8" t="n">
        <f aca="false">F25-C25</f>
        <v>18</v>
      </c>
      <c r="H25" s="6" t="b">
        <f aca="false">F25&gt;=C25</f>
        <v>1</v>
      </c>
    </row>
    <row r="26" customFormat="false" ht="15" hidden="false" customHeight="false" outlineLevel="0" collapsed="false">
      <c r="A26" s="4" t="n">
        <v>658</v>
      </c>
      <c r="B26" s="4" t="s">
        <v>103</v>
      </c>
      <c r="C26" s="4" t="n">
        <v>90</v>
      </c>
      <c r="D26" s="10" t="n">
        <v>46271.1302083333</v>
      </c>
      <c r="E26" s="10" t="n">
        <v>46271.1314467593</v>
      </c>
      <c r="F26" s="8" t="n">
        <f aca="false">ROUND((E26-D26)*86400,0)</f>
        <v>107</v>
      </c>
      <c r="G26" s="8" t="n">
        <f aca="false">F26-C26</f>
        <v>17</v>
      </c>
      <c r="H26" s="6" t="b">
        <f aca="false">F26&gt;=C26</f>
        <v>1</v>
      </c>
    </row>
    <row r="27" customFormat="false" ht="15" hidden="false" customHeight="false" outlineLevel="0" collapsed="false">
      <c r="A27" s="4" t="n">
        <v>677</v>
      </c>
      <c r="B27" s="4" t="s">
        <v>103</v>
      </c>
      <c r="C27" s="4" t="n">
        <v>60</v>
      </c>
      <c r="D27" s="10" t="n">
        <v>46271.8803125</v>
      </c>
      <c r="E27" s="10" t="n">
        <v>46271.8811921296</v>
      </c>
      <c r="F27" s="8" t="n">
        <f aca="false">ROUND((E27-D27)*86400,0)</f>
        <v>76</v>
      </c>
      <c r="G27" s="8" t="n">
        <f aca="false">F27-C27</f>
        <v>16</v>
      </c>
      <c r="H27" s="6" t="b">
        <f aca="false">F27&gt;=C27</f>
        <v>1</v>
      </c>
    </row>
    <row r="28" customFormat="false" ht="15" hidden="false" customHeight="false" outlineLevel="0" collapsed="false">
      <c r="A28" s="4" t="n">
        <v>720</v>
      </c>
      <c r="B28" s="4" t="s">
        <v>103</v>
      </c>
      <c r="C28" s="4" t="n">
        <v>30</v>
      </c>
      <c r="D28" s="10" t="n">
        <v>46273.6305092593</v>
      </c>
      <c r="E28" s="10" t="n">
        <v>46273.6309490741</v>
      </c>
      <c r="F28" s="8" t="n">
        <f aca="false">ROUND((E28-D28)*86400,0)</f>
        <v>38</v>
      </c>
      <c r="G28" s="8" t="n">
        <f aca="false">F28-C28</f>
        <v>8</v>
      </c>
      <c r="H28" s="6" t="b">
        <f aca="false">F28&gt;=C28</f>
        <v>1</v>
      </c>
    </row>
    <row r="29" customFormat="false" ht="15" hidden="false" customHeight="false" outlineLevel="0" collapsed="false">
      <c r="A29" s="4" t="n">
        <v>721</v>
      </c>
      <c r="B29" s="4" t="s">
        <v>103</v>
      </c>
      <c r="C29" s="4" t="n">
        <v>90</v>
      </c>
      <c r="D29" s="10" t="n">
        <v>46273.6309490741</v>
      </c>
      <c r="E29" s="10" t="n">
        <v>46273.6321180556</v>
      </c>
      <c r="F29" s="8" t="n">
        <f aca="false">ROUND((E29-D29)*86400,0)</f>
        <v>101</v>
      </c>
      <c r="G29" s="8" t="n">
        <f aca="false">F29-C29</f>
        <v>11</v>
      </c>
      <c r="H29" s="6" t="b">
        <f aca="false">F29&gt;=C29</f>
        <v>1</v>
      </c>
    </row>
    <row r="30" customFormat="false" ht="15" hidden="false" customHeight="false" outlineLevel="0" collapsed="false">
      <c r="A30" s="4" t="n">
        <v>817</v>
      </c>
      <c r="B30" s="4" t="s">
        <v>103</v>
      </c>
      <c r="C30" s="4" t="n">
        <v>30</v>
      </c>
      <c r="D30" s="10" t="n">
        <v>46277.6294097222</v>
      </c>
      <c r="E30" s="10" t="n">
        <v>46277.6297569444</v>
      </c>
      <c r="F30" s="8" t="n">
        <f aca="false">ROUND((E30-D30)*86400,0)</f>
        <v>30</v>
      </c>
      <c r="G30" s="8" t="n">
        <f aca="false">F30-C30</f>
        <v>0</v>
      </c>
      <c r="H30" s="6" t="b">
        <f aca="false">F30&gt;=C30</f>
        <v>1</v>
      </c>
    </row>
    <row r="31" customFormat="false" ht="15" hidden="false" customHeight="false" outlineLevel="0" collapsed="false">
      <c r="A31" s="4" t="n">
        <v>818</v>
      </c>
      <c r="B31" s="4" t="s">
        <v>103</v>
      </c>
      <c r="C31" s="4" t="n">
        <v>120</v>
      </c>
      <c r="D31" s="10" t="n">
        <v>46277.6297569444</v>
      </c>
      <c r="E31" s="10" t="n">
        <v>46277.6313888889</v>
      </c>
      <c r="F31" s="8" t="n">
        <f aca="false">ROUND((E31-D31)*86400,0)</f>
        <v>141</v>
      </c>
      <c r="G31" s="8" t="n">
        <f aca="false">F31-C31</f>
        <v>21</v>
      </c>
      <c r="H31" s="6" t="b">
        <f aca="false">F31&gt;=C31</f>
        <v>1</v>
      </c>
    </row>
    <row r="32" customFormat="false" ht="15" hidden="false" customHeight="false" outlineLevel="0" collapsed="false">
      <c r="A32" s="4" t="n">
        <v>825</v>
      </c>
      <c r="B32" s="4" t="s">
        <v>103</v>
      </c>
      <c r="C32" s="4" t="n">
        <v>120</v>
      </c>
      <c r="D32" s="10" t="n">
        <v>46277.8791782407</v>
      </c>
      <c r="E32" s="10" t="n">
        <v>46277.8806365741</v>
      </c>
      <c r="F32" s="8" t="n">
        <f aca="false">ROUND((E32-D32)*86400,0)</f>
        <v>126</v>
      </c>
      <c r="G32" s="8" t="n">
        <f aca="false">F32-C32</f>
        <v>6</v>
      </c>
      <c r="H32" s="6" t="b">
        <f aca="false">F32&gt;=C32</f>
        <v>1</v>
      </c>
    </row>
    <row r="33" customFormat="false" ht="15" hidden="false" customHeight="false" outlineLevel="0" collapsed="false">
      <c r="A33" s="4" t="n">
        <v>826</v>
      </c>
      <c r="B33" s="4" t="s">
        <v>103</v>
      </c>
      <c r="C33" s="4" t="n">
        <v>30</v>
      </c>
      <c r="D33" s="10" t="n">
        <v>46277.8806365741</v>
      </c>
      <c r="E33" s="10" t="n">
        <v>46277.8812384259</v>
      </c>
      <c r="F33" s="8" t="n">
        <f aca="false">ROUND((E33-D33)*86400,0)</f>
        <v>52</v>
      </c>
      <c r="G33" s="8" t="n">
        <f aca="false">F33-C33</f>
        <v>22</v>
      </c>
      <c r="H33" s="6" t="b">
        <f aca="false">F33&gt;=C33</f>
        <v>1</v>
      </c>
    </row>
    <row r="34" customFormat="false" ht="15" hidden="false" customHeight="false" outlineLevel="0" collapsed="false">
      <c r="A34" s="4" t="n">
        <v>880</v>
      </c>
      <c r="B34" s="4" t="s">
        <v>103</v>
      </c>
      <c r="C34" s="4" t="n">
        <v>120</v>
      </c>
      <c r="D34" s="10" t="n">
        <v>46280.1295023148</v>
      </c>
      <c r="E34" s="10" t="n">
        <v>46280.1309027778</v>
      </c>
      <c r="F34" s="8" t="n">
        <f aca="false">ROUND((E34-D34)*86400,0)</f>
        <v>121</v>
      </c>
      <c r="G34" s="8" t="n">
        <f aca="false">F34-C34</f>
        <v>1</v>
      </c>
      <c r="H34" s="6" t="b">
        <f aca="false">F34&gt;=C34</f>
        <v>1</v>
      </c>
    </row>
    <row r="35" customFormat="false" ht="15" hidden="false" customHeight="false" outlineLevel="0" collapsed="false">
      <c r="A35" s="4" t="n">
        <v>881</v>
      </c>
      <c r="B35" s="4" t="s">
        <v>103</v>
      </c>
      <c r="C35" s="4" t="n">
        <v>120</v>
      </c>
      <c r="D35" s="10" t="n">
        <v>46280.1309027778</v>
      </c>
      <c r="E35" s="10" t="n">
        <v>46280.1324652778</v>
      </c>
      <c r="F35" s="8" t="n">
        <f aca="false">ROUND((E35-D35)*86400,0)</f>
        <v>135</v>
      </c>
      <c r="G35" s="8" t="n">
        <f aca="false">F35-C35</f>
        <v>15</v>
      </c>
      <c r="H35" s="6" t="b">
        <f aca="false">F35&gt;=C35</f>
        <v>1</v>
      </c>
    </row>
    <row r="36" customFormat="false" ht="15" hidden="false" customHeight="false" outlineLevel="0" collapsed="false">
      <c r="A36" s="4" t="n">
        <v>906</v>
      </c>
      <c r="B36" s="4" t="s">
        <v>103</v>
      </c>
      <c r="C36" s="4" t="n">
        <v>30</v>
      </c>
      <c r="D36" s="10" t="n">
        <v>46281.1293402778</v>
      </c>
      <c r="E36" s="10" t="n">
        <v>46281.1298263889</v>
      </c>
      <c r="F36" s="8" t="n">
        <f aca="false">ROUND((E36-D36)*86400,0)</f>
        <v>42</v>
      </c>
      <c r="G36" s="8" t="n">
        <f aca="false">F36-C36</f>
        <v>12</v>
      </c>
      <c r="H36" s="6" t="b">
        <f aca="false">F36&gt;=C36</f>
        <v>1</v>
      </c>
    </row>
    <row r="37" customFormat="false" ht="15" hidden="false" customHeight="false" outlineLevel="0" collapsed="false">
      <c r="A37" s="4" t="n">
        <v>971</v>
      </c>
      <c r="B37" s="4" t="s">
        <v>103</v>
      </c>
      <c r="C37" s="4" t="n">
        <v>60</v>
      </c>
      <c r="D37" s="10" t="n">
        <v>46283.8808912037</v>
      </c>
      <c r="E37" s="10" t="n">
        <v>46283.8817361111</v>
      </c>
      <c r="F37" s="8" t="n">
        <f aca="false">ROUND((E37-D37)*86400,0)</f>
        <v>73</v>
      </c>
      <c r="G37" s="8" t="n">
        <f aca="false">F37-C37</f>
        <v>13</v>
      </c>
      <c r="H37" s="6" t="b">
        <f aca="false">F37&gt;=C37</f>
        <v>1</v>
      </c>
    </row>
    <row r="38" customFormat="false" ht="15" hidden="false" customHeight="false" outlineLevel="0" collapsed="false">
      <c r="A38" s="4" t="n">
        <v>977</v>
      </c>
      <c r="B38" s="4" t="s">
        <v>103</v>
      </c>
      <c r="C38" s="4" t="n">
        <v>90</v>
      </c>
      <c r="D38" s="10" t="n">
        <v>46284.1302314815</v>
      </c>
      <c r="E38" s="10" t="n">
        <v>46284.1313541667</v>
      </c>
      <c r="F38" s="8" t="n">
        <f aca="false">ROUND((E38-D38)*86400,0)</f>
        <v>97</v>
      </c>
      <c r="G38" s="8" t="n">
        <f aca="false">F38-C38</f>
        <v>7</v>
      </c>
      <c r="H38" s="6" t="b">
        <f aca="false">F38&gt;=C38</f>
        <v>1</v>
      </c>
    </row>
    <row r="39" customFormat="false" ht="15" hidden="false" customHeight="false" outlineLevel="0" collapsed="false">
      <c r="A39" s="4" t="n">
        <v>978</v>
      </c>
      <c r="B39" s="4" t="s">
        <v>103</v>
      </c>
      <c r="C39" s="4" t="n">
        <v>30</v>
      </c>
      <c r="D39" s="10" t="n">
        <v>46284.1313541667</v>
      </c>
      <c r="E39" s="10" t="n">
        <v>46284.1317361111</v>
      </c>
      <c r="F39" s="8" t="n">
        <f aca="false">ROUND((E39-D39)*86400,0)</f>
        <v>33</v>
      </c>
      <c r="G39" s="8" t="n">
        <f aca="false">F39-C39</f>
        <v>3</v>
      </c>
      <c r="H39" s="6" t="b">
        <f aca="false">F39&gt;=C39</f>
        <v>1</v>
      </c>
    </row>
    <row r="40" customFormat="false" ht="15" hidden="false" customHeight="false" outlineLevel="0" collapsed="false">
      <c r="A40" s="4" t="n">
        <v>997</v>
      </c>
      <c r="B40" s="4" t="s">
        <v>103</v>
      </c>
      <c r="C40" s="4" t="n">
        <v>60</v>
      </c>
      <c r="D40" s="10" t="n">
        <v>46284.8808101852</v>
      </c>
      <c r="E40" s="10" t="n">
        <v>46284.8815509259</v>
      </c>
      <c r="F40" s="8" t="n">
        <f aca="false">ROUND((E40-D40)*86400,0)</f>
        <v>64</v>
      </c>
      <c r="G40" s="8" t="n">
        <f aca="false">F40-C40</f>
        <v>4</v>
      </c>
      <c r="H40" s="6" t="b">
        <f aca="false">F40&gt;=C40</f>
        <v>1</v>
      </c>
    </row>
    <row r="41" customFormat="false" ht="15" hidden="false" customHeight="false" outlineLevel="0" collapsed="false">
      <c r="A41" s="4" t="n">
        <v>1069</v>
      </c>
      <c r="B41" s="4" t="s">
        <v>103</v>
      </c>
      <c r="C41" s="4" t="n">
        <v>30</v>
      </c>
      <c r="D41" s="10" t="n">
        <v>46287.8800694444</v>
      </c>
      <c r="E41" s="10" t="n">
        <v>46287.8804861111</v>
      </c>
      <c r="F41" s="8" t="n">
        <f aca="false">ROUND((E41-D41)*86400,0)</f>
        <v>36</v>
      </c>
      <c r="G41" s="8" t="n">
        <f aca="false">F41-C41</f>
        <v>6</v>
      </c>
      <c r="H41" s="6" t="b">
        <f aca="false">F41&gt;=C41</f>
        <v>1</v>
      </c>
    </row>
    <row r="42" customFormat="false" ht="15" hidden="false" customHeight="false" outlineLevel="0" collapsed="false">
      <c r="A42" s="4" t="n">
        <v>1177</v>
      </c>
      <c r="B42" s="4" t="s">
        <v>103</v>
      </c>
      <c r="C42" s="4" t="n">
        <v>90</v>
      </c>
      <c r="D42" s="10" t="n">
        <v>46292.3803356482</v>
      </c>
      <c r="E42" s="10" t="n">
        <v>46292.3814236111</v>
      </c>
      <c r="F42" s="8" t="n">
        <f aca="false">ROUND((E42-D42)*86400,0)</f>
        <v>94</v>
      </c>
      <c r="G42" s="8" t="n">
        <f aca="false">F42-C42</f>
        <v>4</v>
      </c>
      <c r="H42" s="6" t="b">
        <f aca="false">F42&gt;=C42</f>
        <v>1</v>
      </c>
    </row>
    <row r="43" customFormat="false" ht="15" hidden="false" customHeight="false" outlineLevel="0" collapsed="false">
      <c r="A43" s="4" t="n">
        <v>1178</v>
      </c>
      <c r="B43" s="4" t="s">
        <v>103</v>
      </c>
      <c r="C43" s="4" t="n">
        <v>60</v>
      </c>
      <c r="D43" s="10" t="n">
        <v>46292.3814236111</v>
      </c>
      <c r="E43" s="10" t="n">
        <v>46292.3821296296</v>
      </c>
      <c r="F43" s="8" t="n">
        <f aca="false">ROUND((E43-D43)*86400,0)</f>
        <v>61</v>
      </c>
      <c r="G43" s="8" t="n">
        <f aca="false">F43-C43</f>
        <v>1</v>
      </c>
      <c r="H43" s="6" t="b">
        <f aca="false">F43&gt;=C43</f>
        <v>1</v>
      </c>
    </row>
    <row r="44" customFormat="false" ht="15" hidden="false" customHeight="false" outlineLevel="0" collapsed="false">
      <c r="A44" s="4" t="n">
        <v>1202</v>
      </c>
      <c r="B44" s="4" t="s">
        <v>103</v>
      </c>
      <c r="C44" s="4" t="n">
        <v>60</v>
      </c>
      <c r="D44" s="10" t="n">
        <v>46293.3797569444</v>
      </c>
      <c r="E44" s="10" t="n">
        <v>46293.3805324074</v>
      </c>
      <c r="F44" s="8" t="n">
        <f aca="false">ROUND((E44-D44)*86400,0)</f>
        <v>67</v>
      </c>
      <c r="G44" s="8" t="n">
        <f aca="false">F44-C44</f>
        <v>7</v>
      </c>
      <c r="H44" s="6" t="b">
        <f aca="false">F44&gt;=C44</f>
        <v>1</v>
      </c>
    </row>
    <row r="45" customFormat="false" ht="15" hidden="false" customHeight="false" outlineLevel="0" collapsed="false">
      <c r="A45" s="4" t="n">
        <v>1208</v>
      </c>
      <c r="B45" s="4" t="s">
        <v>103</v>
      </c>
      <c r="C45" s="4" t="n">
        <v>30</v>
      </c>
      <c r="D45" s="10" t="n">
        <v>46293.6297916667</v>
      </c>
      <c r="E45" s="10" t="n">
        <v>46293.6301967593</v>
      </c>
      <c r="F45" s="8" t="n">
        <f aca="false">ROUND((E45-D45)*86400,0)</f>
        <v>35</v>
      </c>
      <c r="G45" s="8" t="n">
        <f aca="false">F45-C45</f>
        <v>5</v>
      </c>
      <c r="H45" s="6" t="b">
        <f aca="false">F45&gt;=C45</f>
        <v>1</v>
      </c>
    </row>
    <row r="46" customFormat="false" ht="15" hidden="false" customHeight="false" outlineLevel="0" collapsed="false">
      <c r="A46" s="4" t="n">
        <v>1220</v>
      </c>
      <c r="B46" s="4" t="s">
        <v>103</v>
      </c>
      <c r="C46" s="4" t="n">
        <v>30</v>
      </c>
      <c r="D46" s="10" t="n">
        <v>46294.1298032407</v>
      </c>
      <c r="E46" s="10" t="n">
        <v>46294.1302430556</v>
      </c>
      <c r="F46" s="8" t="n">
        <f aca="false">ROUND((E46-D46)*86400,0)</f>
        <v>38</v>
      </c>
      <c r="G46" s="8" t="n">
        <f aca="false">F46-C46</f>
        <v>8</v>
      </c>
      <c r="H46" s="6" t="b">
        <f aca="false">F46&gt;=C46</f>
        <v>1</v>
      </c>
    </row>
    <row r="47" customFormat="false" ht="15" hidden="false" customHeight="false" outlineLevel="0" collapsed="false">
      <c r="A47" s="4" t="n">
        <v>1221</v>
      </c>
      <c r="B47" s="4" t="s">
        <v>103</v>
      </c>
      <c r="C47" s="4" t="n">
        <v>90</v>
      </c>
      <c r="D47" s="10" t="n">
        <v>46294.1302430556</v>
      </c>
      <c r="E47" s="10" t="n">
        <v>46294.1313888889</v>
      </c>
      <c r="F47" s="8" t="n">
        <f aca="false">ROUND((E47-D47)*86400,0)</f>
        <v>99</v>
      </c>
      <c r="G47" s="8" t="n">
        <f aca="false">F47-C47</f>
        <v>9</v>
      </c>
      <c r="H47" s="6" t="b">
        <f aca="false">F47&gt;=C47</f>
        <v>1</v>
      </c>
    </row>
    <row r="48" customFormat="false" ht="15" hidden="false" customHeight="false" outlineLevel="0" collapsed="false">
      <c r="A48" s="4" t="n">
        <v>1240</v>
      </c>
      <c r="B48" s="4" t="s">
        <v>103</v>
      </c>
      <c r="C48" s="4" t="n">
        <v>120</v>
      </c>
      <c r="D48" s="10" t="n">
        <v>46294.8802083333</v>
      </c>
      <c r="E48" s="10" t="n">
        <v>46294.8816319444</v>
      </c>
      <c r="F48" s="8" t="n">
        <f aca="false">ROUND((E48-D48)*86400,0)</f>
        <v>123</v>
      </c>
      <c r="G48" s="8" t="n">
        <f aca="false">F48-C48</f>
        <v>3</v>
      </c>
      <c r="H48" s="6" t="b">
        <f aca="false">F48&gt;=C48</f>
        <v>1</v>
      </c>
    </row>
    <row r="49" customFormat="false" ht="15" hidden="false" customHeight="false" outlineLevel="0" collapsed="false">
      <c r="A49" s="4" t="n">
        <v>1253</v>
      </c>
      <c r="B49" s="4" t="s">
        <v>103</v>
      </c>
      <c r="C49" s="4" t="n">
        <v>30</v>
      </c>
      <c r="D49" s="10" t="n">
        <v>46295.3801388889</v>
      </c>
      <c r="E49" s="10" t="n">
        <v>46295.3807175926</v>
      </c>
      <c r="F49" s="8" t="n">
        <f aca="false">ROUND((E49-D49)*86400,0)</f>
        <v>50</v>
      </c>
      <c r="G49" s="8" t="n">
        <f aca="false">F49-C49</f>
        <v>20</v>
      </c>
      <c r="H49" s="6" t="b">
        <f aca="false">F49&gt;=C49</f>
        <v>1</v>
      </c>
    </row>
    <row r="50" customFormat="false" ht="15" hidden="false" customHeight="false" outlineLevel="0" collapsed="false">
      <c r="A50" s="4" t="n">
        <v>1254</v>
      </c>
      <c r="B50" s="4" t="s">
        <v>103</v>
      </c>
      <c r="C50" s="4" t="n">
        <v>120</v>
      </c>
      <c r="D50" s="10" t="n">
        <v>46295.3807175926</v>
      </c>
      <c r="E50" s="10" t="n">
        <v>46295.3822800926</v>
      </c>
      <c r="F50" s="8" t="n">
        <f aca="false">ROUND((E50-D50)*86400,0)</f>
        <v>135</v>
      </c>
      <c r="G50" s="8" t="n">
        <f aca="false">F50-C50</f>
        <v>15</v>
      </c>
      <c r="H50" s="6" t="b">
        <f aca="false">F50&gt;=C50</f>
        <v>1</v>
      </c>
    </row>
    <row r="51" customFormat="false" ht="15" hidden="false" customHeight="false" outlineLevel="0" collapsed="false">
      <c r="A51" s="4" t="n">
        <v>1324</v>
      </c>
      <c r="B51" s="4" t="s">
        <v>103</v>
      </c>
      <c r="C51" s="4" t="n">
        <v>90</v>
      </c>
      <c r="D51" s="10" t="n">
        <v>46298.3806481482</v>
      </c>
      <c r="E51" s="10" t="n">
        <v>46298.3818865741</v>
      </c>
      <c r="F51" s="8" t="n">
        <f aca="false">ROUND((E51-D51)*86400,0)</f>
        <v>107</v>
      </c>
      <c r="G51" s="8" t="n">
        <f aca="false">F51-C51</f>
        <v>17</v>
      </c>
      <c r="H51" s="6" t="b">
        <f aca="false">F51&gt;=C51</f>
        <v>1</v>
      </c>
    </row>
    <row r="52" customFormat="false" ht="15" hidden="false" customHeight="false" outlineLevel="0" collapsed="false">
      <c r="A52" s="4" t="n">
        <v>1325</v>
      </c>
      <c r="B52" s="4" t="s">
        <v>103</v>
      </c>
      <c r="C52" s="4" t="n">
        <v>90</v>
      </c>
      <c r="D52" s="10" t="n">
        <v>46298.3818865741</v>
      </c>
      <c r="E52" s="10" t="n">
        <v>46298.3831018519</v>
      </c>
      <c r="F52" s="8" t="n">
        <f aca="false">ROUND((E52-D52)*86400,0)</f>
        <v>105</v>
      </c>
      <c r="G52" s="8" t="n">
        <f aca="false">F52-C52</f>
        <v>15</v>
      </c>
      <c r="H52" s="6" t="b">
        <f aca="false">F52&gt;=C52</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6"/>
    <col collapsed="false" customWidth="true" hidden="false" outlineLevel="0" max="3" min="3" style="0" width="26"/>
    <col collapsed="false" customWidth="true" hidden="false" outlineLevel="0" max="4" min="4" style="0" width="14"/>
  </cols>
  <sheetData>
    <row r="1" customFormat="false" ht="17.35" hidden="false" customHeight="false" outlineLevel="0" collapsed="false">
      <c r="A1" s="1" t="s">
        <v>4291</v>
      </c>
    </row>
    <row r="2" customFormat="false" ht="15" hidden="false" customHeight="false" outlineLevel="0" collapsed="false">
      <c r="A2" s="0" t="s">
        <v>4292</v>
      </c>
    </row>
    <row r="3" customFormat="false" ht="15" hidden="false" customHeight="false" outlineLevel="0" collapsed="false">
      <c r="A3" s="9" t="s">
        <v>4284</v>
      </c>
      <c r="B3" s="9" t="s">
        <v>80</v>
      </c>
      <c r="C3" s="9" t="s">
        <v>4293</v>
      </c>
      <c r="D3" s="9" t="s">
        <v>199</v>
      </c>
    </row>
    <row r="4" customFormat="false" ht="15" hidden="false" customHeight="false" outlineLevel="0" collapsed="false">
      <c r="A4" s="4" t="n">
        <v>1</v>
      </c>
      <c r="B4" s="4" t="s">
        <v>102</v>
      </c>
      <c r="C4" s="4" t="s">
        <v>4294</v>
      </c>
      <c r="D4" s="4" t="s">
        <v>4295</v>
      </c>
    </row>
    <row r="5" customFormat="false" ht="15" hidden="false" customHeight="false" outlineLevel="0" collapsed="false">
      <c r="A5" s="4" t="n">
        <v>2</v>
      </c>
      <c r="B5" s="4" t="s">
        <v>101</v>
      </c>
      <c r="C5" s="4" t="s">
        <v>4296</v>
      </c>
      <c r="D5" s="4" t="s">
        <v>4295</v>
      </c>
    </row>
    <row r="6" customFormat="false" ht="15" hidden="false" customHeight="false" outlineLevel="0" collapsed="false">
      <c r="A6" s="4" t="n">
        <v>3</v>
      </c>
      <c r="B6" s="4" t="s">
        <v>103</v>
      </c>
      <c r="C6" s="4" t="s">
        <v>4297</v>
      </c>
      <c r="D6" s="4" t="s">
        <v>4295</v>
      </c>
    </row>
    <row r="7" customFormat="false" ht="15" hidden="false" customHeight="false" outlineLevel="0" collapsed="false">
      <c r="A7" s="4" t="n">
        <v>4</v>
      </c>
      <c r="B7" s="4" t="s">
        <v>100</v>
      </c>
      <c r="C7" s="4" t="s">
        <v>4298</v>
      </c>
      <c r="D7" s="4" t="s">
        <v>4295</v>
      </c>
    </row>
    <row r="8" customFormat="false" ht="15" hidden="false" customHeight="false" outlineLevel="0" collapsed="false">
      <c r="A8" s="4" t="n">
        <v>5</v>
      </c>
      <c r="B8" s="4" t="s">
        <v>99</v>
      </c>
      <c r="C8" s="4" t="s">
        <v>4299</v>
      </c>
      <c r="D8" s="4" t="s">
        <v>4295</v>
      </c>
    </row>
    <row r="9" customFormat="false" ht="15" hidden="false" customHeight="false" outlineLevel="0" collapsed="false">
      <c r="A9" s="4" t="n">
        <v>6</v>
      </c>
      <c r="B9" s="4" t="s">
        <v>101</v>
      </c>
      <c r="C9" s="4" t="s">
        <v>4300</v>
      </c>
      <c r="D9" s="4" t="s">
        <v>4295</v>
      </c>
    </row>
    <row r="10" customFormat="false" ht="15" hidden="false" customHeight="false" outlineLevel="0" collapsed="false">
      <c r="A10" s="4" t="n">
        <v>7</v>
      </c>
      <c r="B10" s="4" t="s">
        <v>104</v>
      </c>
      <c r="C10" s="4" t="s">
        <v>4301</v>
      </c>
      <c r="D10" s="4" t="s">
        <v>4295</v>
      </c>
    </row>
    <row r="11" customFormat="false" ht="15" hidden="false" customHeight="false" outlineLevel="0" collapsed="false">
      <c r="A11" s="4" t="n">
        <v>8</v>
      </c>
      <c r="B11" s="4" t="s">
        <v>102</v>
      </c>
      <c r="C11" s="4" t="s">
        <v>4302</v>
      </c>
      <c r="D11" s="4" t="s">
        <v>4295</v>
      </c>
    </row>
    <row r="12" customFormat="false" ht="15" hidden="false" customHeight="false" outlineLevel="0" collapsed="false">
      <c r="A12" s="4" t="n">
        <v>9</v>
      </c>
      <c r="B12" s="4" t="s">
        <v>100</v>
      </c>
      <c r="C12" s="4" t="s">
        <v>4303</v>
      </c>
      <c r="D12" s="4" t="s">
        <v>4295</v>
      </c>
    </row>
    <row r="13" customFormat="false" ht="15" hidden="false" customHeight="false" outlineLevel="0" collapsed="false">
      <c r="A13" s="4" t="n">
        <v>10</v>
      </c>
      <c r="B13" s="4" t="s">
        <v>103</v>
      </c>
      <c r="C13" s="4" t="s">
        <v>4304</v>
      </c>
      <c r="D13" s="4" t="s">
        <v>4295</v>
      </c>
    </row>
    <row r="14" customFormat="false" ht="15" hidden="false" customHeight="false" outlineLevel="0" collapsed="false">
      <c r="A14" s="4" t="n">
        <v>11</v>
      </c>
      <c r="B14" s="4" t="s">
        <v>101</v>
      </c>
      <c r="C14" s="4" t="s">
        <v>4305</v>
      </c>
      <c r="D14" s="4" t="s">
        <v>4295</v>
      </c>
    </row>
    <row r="15" customFormat="false" ht="15" hidden="false" customHeight="false" outlineLevel="0" collapsed="false">
      <c r="A15" s="4" t="n">
        <v>12</v>
      </c>
      <c r="B15" s="4" t="s">
        <v>100</v>
      </c>
      <c r="C15" s="4" t="s">
        <v>4306</v>
      </c>
      <c r="D15" s="4" t="s">
        <v>4295</v>
      </c>
    </row>
    <row r="16" customFormat="false" ht="15" hidden="false" customHeight="false" outlineLevel="0" collapsed="false">
      <c r="A16" s="4" t="n">
        <v>13</v>
      </c>
      <c r="B16" s="4" t="s">
        <v>102</v>
      </c>
      <c r="C16" s="4" t="s">
        <v>4307</v>
      </c>
      <c r="D16" s="4" t="s">
        <v>4295</v>
      </c>
    </row>
    <row r="17" customFormat="false" ht="15" hidden="false" customHeight="false" outlineLevel="0" collapsed="false">
      <c r="A17" s="4" t="n">
        <v>14</v>
      </c>
      <c r="B17" s="4" t="s">
        <v>101</v>
      </c>
      <c r="C17" s="4" t="s">
        <v>4308</v>
      </c>
      <c r="D17" s="4" t="s">
        <v>4295</v>
      </c>
    </row>
    <row r="18" customFormat="false" ht="15" hidden="false" customHeight="false" outlineLevel="0" collapsed="false">
      <c r="A18" s="4" t="n">
        <v>15</v>
      </c>
      <c r="B18" s="4" t="s">
        <v>103</v>
      </c>
      <c r="C18" s="4" t="s">
        <v>4309</v>
      </c>
      <c r="D18" s="4" t="s">
        <v>4295</v>
      </c>
    </row>
    <row r="19" customFormat="false" ht="15" hidden="false" customHeight="false" outlineLevel="0" collapsed="false">
      <c r="A19" s="4" t="n">
        <v>16</v>
      </c>
      <c r="B19" s="4" t="s">
        <v>100</v>
      </c>
      <c r="C19" s="4" t="s">
        <v>4310</v>
      </c>
      <c r="D19" s="4" t="s">
        <v>4295</v>
      </c>
    </row>
    <row r="20" customFormat="false" ht="15" hidden="false" customHeight="false" outlineLevel="0" collapsed="false">
      <c r="A20" s="4" t="n">
        <v>17</v>
      </c>
      <c r="B20" s="4" t="s">
        <v>101</v>
      </c>
      <c r="C20" s="4" t="s">
        <v>4311</v>
      </c>
      <c r="D20" s="4" t="s">
        <v>4295</v>
      </c>
    </row>
    <row r="21" customFormat="false" ht="15" hidden="false" customHeight="false" outlineLevel="0" collapsed="false">
      <c r="A21" s="4" t="n">
        <v>18</v>
      </c>
      <c r="B21" s="4" t="s">
        <v>104</v>
      </c>
      <c r="C21" s="4" t="s">
        <v>4312</v>
      </c>
      <c r="D21" s="4" t="s">
        <v>4295</v>
      </c>
    </row>
    <row r="22" customFormat="false" ht="15" hidden="false" customHeight="false" outlineLevel="0" collapsed="false">
      <c r="A22" s="4" t="n">
        <v>19</v>
      </c>
      <c r="B22" s="4" t="s">
        <v>102</v>
      </c>
      <c r="C22" s="4" t="s">
        <v>4313</v>
      </c>
      <c r="D22" s="4" t="s">
        <v>4295</v>
      </c>
    </row>
    <row r="23" customFormat="false" ht="15" hidden="false" customHeight="false" outlineLevel="0" collapsed="false">
      <c r="A23" s="4" t="n">
        <v>20</v>
      </c>
      <c r="B23" s="4" t="s">
        <v>100</v>
      </c>
      <c r="C23" s="4" t="s">
        <v>4314</v>
      </c>
      <c r="D23" s="4" t="s">
        <v>4295</v>
      </c>
    </row>
    <row r="24" customFormat="false" ht="15" hidden="false" customHeight="false" outlineLevel="0" collapsed="false">
      <c r="A24" s="4" t="n">
        <v>21</v>
      </c>
      <c r="B24" s="4" t="s">
        <v>103</v>
      </c>
      <c r="C24" s="4" t="s">
        <v>4315</v>
      </c>
      <c r="D24" s="4" t="s">
        <v>4295</v>
      </c>
    </row>
    <row r="25" customFormat="false" ht="15" hidden="false" customHeight="false" outlineLevel="0" collapsed="false">
      <c r="A25" s="4" t="n">
        <v>22</v>
      </c>
      <c r="B25" s="4" t="s">
        <v>101</v>
      </c>
      <c r="C25" s="4" t="s">
        <v>4316</v>
      </c>
      <c r="D25" s="4" t="s">
        <v>4295</v>
      </c>
    </row>
    <row r="26" customFormat="false" ht="15" hidden="false" customHeight="false" outlineLevel="0" collapsed="false">
      <c r="A26" s="4" t="n">
        <v>23</v>
      </c>
      <c r="B26" s="4" t="s">
        <v>100</v>
      </c>
      <c r="C26" s="4" t="s">
        <v>4317</v>
      </c>
      <c r="D26" s="4" t="s">
        <v>4295</v>
      </c>
    </row>
    <row r="27" customFormat="false" ht="15" hidden="false" customHeight="false" outlineLevel="0" collapsed="false">
      <c r="A27" s="4" t="n">
        <v>24</v>
      </c>
      <c r="B27" s="4" t="s">
        <v>102</v>
      </c>
      <c r="C27" s="4" t="s">
        <v>4318</v>
      </c>
      <c r="D27" s="4" t="s">
        <v>4295</v>
      </c>
    </row>
    <row r="28" customFormat="false" ht="15" hidden="false" customHeight="false" outlineLevel="0" collapsed="false">
      <c r="A28" s="4" t="n">
        <v>25</v>
      </c>
      <c r="B28" s="4" t="s">
        <v>101</v>
      </c>
      <c r="C28" s="4" t="s">
        <v>4319</v>
      </c>
      <c r="D28" s="4" t="s">
        <v>4295</v>
      </c>
    </row>
    <row r="29" customFormat="false" ht="15" hidden="false" customHeight="false" outlineLevel="0" collapsed="false">
      <c r="A29" s="4" t="n">
        <v>26</v>
      </c>
      <c r="B29" s="4" t="s">
        <v>103</v>
      </c>
      <c r="C29" s="4" t="s">
        <v>4320</v>
      </c>
      <c r="D29" s="4" t="s">
        <v>4295</v>
      </c>
    </row>
    <row r="30" customFormat="false" ht="15" hidden="false" customHeight="false" outlineLevel="0" collapsed="false">
      <c r="A30" s="4" t="n">
        <v>27</v>
      </c>
      <c r="B30" s="4" t="s">
        <v>100</v>
      </c>
      <c r="C30" s="4" t="s">
        <v>4321</v>
      </c>
      <c r="D30" s="4" t="s">
        <v>4295</v>
      </c>
    </row>
    <row r="31" customFormat="false" ht="15" hidden="false" customHeight="false" outlineLevel="0" collapsed="false">
      <c r="A31" s="4" t="n">
        <v>28</v>
      </c>
      <c r="B31" s="4" t="s">
        <v>99</v>
      </c>
      <c r="C31" s="4" t="s">
        <v>4322</v>
      </c>
      <c r="D31" s="4" t="s">
        <v>4295</v>
      </c>
    </row>
    <row r="32" customFormat="false" ht="15" hidden="false" customHeight="false" outlineLevel="0" collapsed="false">
      <c r="A32" s="4" t="n">
        <v>29</v>
      </c>
      <c r="B32" s="4" t="s">
        <v>101</v>
      </c>
      <c r="C32" s="4" t="s">
        <v>4323</v>
      </c>
      <c r="D32" s="4" t="s">
        <v>4295</v>
      </c>
    </row>
    <row r="33" customFormat="false" ht="15" hidden="false" customHeight="false" outlineLevel="0" collapsed="false">
      <c r="A33" s="4" t="n">
        <v>30</v>
      </c>
      <c r="B33" s="4" t="s">
        <v>104</v>
      </c>
      <c r="C33" s="4" t="s">
        <v>4324</v>
      </c>
      <c r="D33" s="4" t="s">
        <v>4295</v>
      </c>
    </row>
    <row r="34" customFormat="false" ht="15" hidden="false" customHeight="false" outlineLevel="0" collapsed="false">
      <c r="A34" s="4" t="n">
        <v>31</v>
      </c>
      <c r="B34" s="4" t="s">
        <v>102</v>
      </c>
      <c r="C34" s="4" t="s">
        <v>4325</v>
      </c>
      <c r="D34" s="4" t="s">
        <v>4295</v>
      </c>
    </row>
    <row r="35" customFormat="false" ht="15" hidden="false" customHeight="false" outlineLevel="0" collapsed="false">
      <c r="A35" s="4" t="n">
        <v>32</v>
      </c>
      <c r="B35" s="4" t="s">
        <v>100</v>
      </c>
      <c r="C35" s="4" t="s">
        <v>4326</v>
      </c>
      <c r="D35" s="4" t="s">
        <v>4295</v>
      </c>
    </row>
    <row r="36" customFormat="false" ht="15" hidden="false" customHeight="false" outlineLevel="0" collapsed="false">
      <c r="A36" s="4" t="n">
        <v>33</v>
      </c>
      <c r="B36" s="4" t="s">
        <v>103</v>
      </c>
      <c r="C36" s="4" t="s">
        <v>4327</v>
      </c>
      <c r="D36" s="4" t="s">
        <v>4295</v>
      </c>
    </row>
    <row r="37" customFormat="false" ht="15" hidden="false" customHeight="false" outlineLevel="0" collapsed="false">
      <c r="A37" s="4" t="n">
        <v>34</v>
      </c>
      <c r="B37" s="4" t="s">
        <v>101</v>
      </c>
      <c r="C37" s="4" t="s">
        <v>4328</v>
      </c>
      <c r="D37" s="4" t="s">
        <v>4295</v>
      </c>
    </row>
    <row r="38" customFormat="false" ht="15" hidden="false" customHeight="false" outlineLevel="0" collapsed="false">
      <c r="A38" s="4" t="n">
        <v>35</v>
      </c>
      <c r="B38" s="4" t="s">
        <v>100</v>
      </c>
      <c r="C38" s="4" t="s">
        <v>4329</v>
      </c>
      <c r="D38" s="4" t="s">
        <v>4295</v>
      </c>
    </row>
    <row r="39" customFormat="false" ht="15" hidden="false" customHeight="false" outlineLevel="0" collapsed="false">
      <c r="A39" s="4" t="n">
        <v>36</v>
      </c>
      <c r="B39" s="4" t="s">
        <v>102</v>
      </c>
      <c r="C39" s="4" t="s">
        <v>4330</v>
      </c>
      <c r="D39" s="4" t="s">
        <v>4295</v>
      </c>
    </row>
    <row r="40" customFormat="false" ht="15" hidden="false" customHeight="false" outlineLevel="0" collapsed="false">
      <c r="A40" s="4" t="n">
        <v>37</v>
      </c>
      <c r="B40" s="4" t="s">
        <v>101</v>
      </c>
      <c r="C40" s="4" t="s">
        <v>4331</v>
      </c>
      <c r="D40" s="4" t="s">
        <v>4295</v>
      </c>
    </row>
    <row r="41" customFormat="false" ht="15" hidden="false" customHeight="false" outlineLevel="0" collapsed="false">
      <c r="A41" s="4" t="n">
        <v>38</v>
      </c>
      <c r="B41" s="4" t="s">
        <v>103</v>
      </c>
      <c r="C41" s="4" t="s">
        <v>4332</v>
      </c>
      <c r="D41" s="4" t="s">
        <v>4295</v>
      </c>
    </row>
    <row r="42" customFormat="false" ht="15" hidden="false" customHeight="false" outlineLevel="0" collapsed="false">
      <c r="A42" s="4" t="n">
        <v>39</v>
      </c>
      <c r="B42" s="4" t="s">
        <v>100</v>
      </c>
      <c r="C42" s="4" t="s">
        <v>4333</v>
      </c>
      <c r="D42" s="4" t="s">
        <v>4295</v>
      </c>
    </row>
    <row r="43" customFormat="false" ht="15" hidden="false" customHeight="false" outlineLevel="0" collapsed="false">
      <c r="A43" s="4" t="n">
        <v>40</v>
      </c>
      <c r="B43" s="4" t="s">
        <v>101</v>
      </c>
      <c r="C43" s="4" t="s">
        <v>4334</v>
      </c>
      <c r="D43" s="4" t="s">
        <v>4295</v>
      </c>
    </row>
    <row r="44" customFormat="false" ht="15" hidden="false" customHeight="false" outlineLevel="0" collapsed="false">
      <c r="A44" s="4" t="n">
        <v>41</v>
      </c>
      <c r="B44" s="4" t="s">
        <v>104</v>
      </c>
      <c r="C44" s="4" t="s">
        <v>4335</v>
      </c>
      <c r="D44" s="4" t="s">
        <v>4295</v>
      </c>
    </row>
    <row r="45" customFormat="false" ht="15" hidden="false" customHeight="false" outlineLevel="0" collapsed="false">
      <c r="A45" s="4" t="n">
        <v>42</v>
      </c>
      <c r="B45" s="4" t="s">
        <v>102</v>
      </c>
      <c r="C45" s="4" t="s">
        <v>4336</v>
      </c>
      <c r="D45" s="4" t="s">
        <v>4295</v>
      </c>
    </row>
    <row r="46" customFormat="false" ht="15" hidden="false" customHeight="false" outlineLevel="0" collapsed="false">
      <c r="A46" s="4" t="n">
        <v>43</v>
      </c>
      <c r="B46" s="4" t="s">
        <v>100</v>
      </c>
      <c r="C46" s="4" t="s">
        <v>4337</v>
      </c>
      <c r="D46" s="4" t="s">
        <v>4295</v>
      </c>
    </row>
    <row r="47" customFormat="false" ht="15" hidden="false" customHeight="false" outlineLevel="0" collapsed="false">
      <c r="A47" s="4" t="n">
        <v>44</v>
      </c>
      <c r="B47" s="4" t="s">
        <v>103</v>
      </c>
      <c r="C47" s="4" t="s">
        <v>4338</v>
      </c>
      <c r="D47" s="4" t="s">
        <v>4295</v>
      </c>
    </row>
    <row r="48" customFormat="false" ht="15" hidden="false" customHeight="false" outlineLevel="0" collapsed="false">
      <c r="A48" s="4" t="n">
        <v>45</v>
      </c>
      <c r="B48" s="4" t="s">
        <v>101</v>
      </c>
      <c r="C48" s="4" t="s">
        <v>4339</v>
      </c>
      <c r="D48" s="4" t="s">
        <v>4295</v>
      </c>
    </row>
    <row r="49" customFormat="false" ht="15" hidden="false" customHeight="false" outlineLevel="0" collapsed="false">
      <c r="A49" s="4" t="n">
        <v>46</v>
      </c>
      <c r="B49" s="4" t="s">
        <v>100</v>
      </c>
      <c r="C49" s="4" t="s">
        <v>4340</v>
      </c>
      <c r="D49" s="4" t="s">
        <v>4295</v>
      </c>
    </row>
    <row r="50" customFormat="false" ht="15" hidden="false" customHeight="false" outlineLevel="0" collapsed="false">
      <c r="A50" s="4" t="n">
        <v>47</v>
      </c>
      <c r="B50" s="4" t="s">
        <v>102</v>
      </c>
      <c r="C50" s="4" t="s">
        <v>4341</v>
      </c>
      <c r="D50" s="4" t="s">
        <v>4295</v>
      </c>
    </row>
    <row r="51" customFormat="false" ht="15" hidden="false" customHeight="false" outlineLevel="0" collapsed="false">
      <c r="A51" s="4" t="n">
        <v>48</v>
      </c>
      <c r="B51" s="4" t="s">
        <v>101</v>
      </c>
      <c r="C51" s="4" t="s">
        <v>4342</v>
      </c>
      <c r="D51" s="4" t="s">
        <v>4295</v>
      </c>
    </row>
    <row r="52" customFormat="false" ht="15" hidden="false" customHeight="false" outlineLevel="0" collapsed="false">
      <c r="A52" s="4" t="n">
        <v>49</v>
      </c>
      <c r="B52" s="4" t="s">
        <v>103</v>
      </c>
      <c r="C52" s="4" t="s">
        <v>4343</v>
      </c>
      <c r="D52" s="4" t="s">
        <v>4295</v>
      </c>
    </row>
    <row r="53" customFormat="false" ht="15" hidden="false" customHeight="false" outlineLevel="0" collapsed="false">
      <c r="A53" s="4" t="n">
        <v>50</v>
      </c>
      <c r="B53" s="4" t="s">
        <v>100</v>
      </c>
      <c r="C53" s="4" t="s">
        <v>4344</v>
      </c>
      <c r="D53" s="4" t="s">
        <v>4295</v>
      </c>
    </row>
    <row r="54" customFormat="false" ht="15" hidden="false" customHeight="false" outlineLevel="0" collapsed="false">
      <c r="A54" s="4" t="n">
        <v>51</v>
      </c>
      <c r="B54" s="4" t="s">
        <v>99</v>
      </c>
      <c r="C54" s="4" t="s">
        <v>4345</v>
      </c>
      <c r="D54" s="4" t="s">
        <v>4295</v>
      </c>
    </row>
    <row r="55" customFormat="false" ht="15" hidden="false" customHeight="false" outlineLevel="0" collapsed="false">
      <c r="A55" s="4" t="n">
        <v>52</v>
      </c>
      <c r="B55" s="4" t="s">
        <v>101</v>
      </c>
      <c r="C55" s="4" t="s">
        <v>4346</v>
      </c>
      <c r="D55" s="4" t="s">
        <v>4295</v>
      </c>
    </row>
    <row r="56" customFormat="false" ht="15" hidden="false" customHeight="false" outlineLevel="0" collapsed="false">
      <c r="A56" s="4" t="n">
        <v>53</v>
      </c>
      <c r="B56" s="4" t="s">
        <v>104</v>
      </c>
      <c r="C56" s="4" t="s">
        <v>4347</v>
      </c>
      <c r="D56" s="4" t="s">
        <v>4295</v>
      </c>
    </row>
    <row r="57" customFormat="false" ht="15" hidden="false" customHeight="false" outlineLevel="0" collapsed="false">
      <c r="A57" s="4" t="n">
        <v>54</v>
      </c>
      <c r="B57" s="4" t="s">
        <v>102</v>
      </c>
      <c r="C57" s="4" t="s">
        <v>4348</v>
      </c>
      <c r="D57" s="4" t="s">
        <v>4295</v>
      </c>
    </row>
    <row r="58" customFormat="false" ht="15" hidden="false" customHeight="false" outlineLevel="0" collapsed="false">
      <c r="A58" s="4" t="n">
        <v>55</v>
      </c>
      <c r="B58" s="4" t="s">
        <v>100</v>
      </c>
      <c r="C58" s="4" t="s">
        <v>4349</v>
      </c>
      <c r="D58" s="4" t="s">
        <v>4295</v>
      </c>
    </row>
    <row r="59" customFormat="false" ht="15" hidden="false" customHeight="false" outlineLevel="0" collapsed="false">
      <c r="A59" s="4" t="n">
        <v>56</v>
      </c>
      <c r="B59" s="4" t="s">
        <v>103</v>
      </c>
      <c r="C59" s="4" t="s">
        <v>4350</v>
      </c>
      <c r="D59" s="4" t="s">
        <v>4295</v>
      </c>
    </row>
    <row r="60" customFormat="false" ht="15" hidden="false" customHeight="false" outlineLevel="0" collapsed="false">
      <c r="A60" s="4" t="n">
        <v>57</v>
      </c>
      <c r="B60" s="4" t="s">
        <v>101</v>
      </c>
      <c r="C60" s="4" t="s">
        <v>4351</v>
      </c>
      <c r="D60" s="4" t="s">
        <v>4295</v>
      </c>
    </row>
    <row r="61" customFormat="false" ht="15" hidden="false" customHeight="false" outlineLevel="0" collapsed="false">
      <c r="A61" s="4" t="n">
        <v>58</v>
      </c>
      <c r="B61" s="4" t="s">
        <v>100</v>
      </c>
      <c r="C61" s="4" t="s">
        <v>4352</v>
      </c>
      <c r="D61" s="4" t="s">
        <v>4295</v>
      </c>
    </row>
    <row r="62" customFormat="false" ht="15" hidden="false" customHeight="false" outlineLevel="0" collapsed="false">
      <c r="A62" s="4" t="n">
        <v>59</v>
      </c>
      <c r="B62" s="4" t="s">
        <v>102</v>
      </c>
      <c r="C62" s="4" t="s">
        <v>4353</v>
      </c>
      <c r="D62" s="4" t="s">
        <v>4295</v>
      </c>
    </row>
    <row r="63" customFormat="false" ht="15" hidden="false" customHeight="false" outlineLevel="0" collapsed="false">
      <c r="A63" s="4" t="n">
        <v>60</v>
      </c>
      <c r="B63" s="4" t="s">
        <v>101</v>
      </c>
      <c r="C63" s="4" t="s">
        <v>4354</v>
      </c>
      <c r="D63" s="4" t="s">
        <v>4295</v>
      </c>
    </row>
    <row r="64" customFormat="false" ht="15" hidden="false" customHeight="false" outlineLevel="0" collapsed="false">
      <c r="A64" s="4" t="n">
        <v>61</v>
      </c>
      <c r="B64" s="4" t="s">
        <v>103</v>
      </c>
      <c r="C64" s="4" t="s">
        <v>4355</v>
      </c>
      <c r="D64" s="4" t="s">
        <v>4356</v>
      </c>
    </row>
    <row r="65" customFormat="false" ht="15" hidden="false" customHeight="false" outlineLevel="0" collapsed="false">
      <c r="A65" s="4" t="n">
        <v>62</v>
      </c>
      <c r="B65" s="4" t="s">
        <v>103</v>
      </c>
      <c r="C65" s="4" t="s">
        <v>4355</v>
      </c>
      <c r="D65" s="4" t="s">
        <v>4356</v>
      </c>
    </row>
    <row r="66" customFormat="false" ht="15" hidden="false" customHeight="false" outlineLevel="0" collapsed="false">
      <c r="A66" s="4" t="n">
        <v>63</v>
      </c>
      <c r="B66" s="4" t="s">
        <v>103</v>
      </c>
      <c r="C66" s="4" t="s">
        <v>4355</v>
      </c>
      <c r="D66" s="4" t="s">
        <v>4295</v>
      </c>
    </row>
    <row r="67" customFormat="false" ht="15" hidden="false" customHeight="false" outlineLevel="0" collapsed="false">
      <c r="A67" s="4" t="n">
        <v>64</v>
      </c>
      <c r="B67" s="4" t="s">
        <v>100</v>
      </c>
      <c r="C67" s="4" t="s">
        <v>4357</v>
      </c>
      <c r="D67" s="4" t="s">
        <v>4295</v>
      </c>
    </row>
    <row r="68" customFormat="false" ht="15" hidden="false" customHeight="false" outlineLevel="0" collapsed="false">
      <c r="A68" s="4" t="n">
        <v>65</v>
      </c>
      <c r="B68" s="4" t="s">
        <v>101</v>
      </c>
      <c r="C68" s="4" t="s">
        <v>4358</v>
      </c>
      <c r="D68" s="4" t="s">
        <v>4295</v>
      </c>
    </row>
    <row r="69" customFormat="false" ht="15" hidden="false" customHeight="false" outlineLevel="0" collapsed="false">
      <c r="A69" s="4" t="n">
        <v>66</v>
      </c>
      <c r="B69" s="4" t="s">
        <v>104</v>
      </c>
      <c r="C69" s="4" t="s">
        <v>4359</v>
      </c>
      <c r="D69" s="4" t="s">
        <v>4295</v>
      </c>
    </row>
    <row r="70" customFormat="false" ht="15" hidden="false" customHeight="false" outlineLevel="0" collapsed="false">
      <c r="A70" s="4" t="n">
        <v>67</v>
      </c>
      <c r="B70" s="4" t="s">
        <v>102</v>
      </c>
      <c r="C70" s="4" t="s">
        <v>4360</v>
      </c>
      <c r="D70" s="4" t="s">
        <v>4295</v>
      </c>
    </row>
    <row r="71" customFormat="false" ht="15" hidden="false" customHeight="false" outlineLevel="0" collapsed="false">
      <c r="A71" s="4" t="n">
        <v>68</v>
      </c>
      <c r="B71" s="4" t="s">
        <v>100</v>
      </c>
      <c r="C71" s="4" t="s">
        <v>4361</v>
      </c>
      <c r="D71" s="4" t="s">
        <v>4295</v>
      </c>
    </row>
    <row r="72" customFormat="false" ht="15" hidden="false" customHeight="false" outlineLevel="0" collapsed="false">
      <c r="A72" s="4" t="n">
        <v>69</v>
      </c>
      <c r="B72" s="4" t="s">
        <v>103</v>
      </c>
      <c r="C72" s="4" t="s">
        <v>4362</v>
      </c>
      <c r="D72" s="4" t="s">
        <v>4295</v>
      </c>
    </row>
    <row r="73" customFormat="false" ht="15" hidden="false" customHeight="false" outlineLevel="0" collapsed="false">
      <c r="A73" s="4" t="n">
        <v>70</v>
      </c>
      <c r="B73" s="4" t="s">
        <v>101</v>
      </c>
      <c r="C73" s="4" t="s">
        <v>4363</v>
      </c>
      <c r="D73" s="4" t="s">
        <v>4295</v>
      </c>
    </row>
    <row r="74" customFormat="false" ht="15" hidden="false" customHeight="false" outlineLevel="0" collapsed="false">
      <c r="A74" s="4" t="n">
        <v>71</v>
      </c>
      <c r="B74" s="4" t="s">
        <v>100</v>
      </c>
      <c r="C74" s="4" t="s">
        <v>4364</v>
      </c>
      <c r="D74" s="4" t="s">
        <v>4295</v>
      </c>
    </row>
    <row r="75" customFormat="false" ht="15" hidden="false" customHeight="false" outlineLevel="0" collapsed="false">
      <c r="A75" s="4" t="n">
        <v>72</v>
      </c>
      <c r="B75" s="4" t="s">
        <v>102</v>
      </c>
      <c r="C75" s="4" t="s">
        <v>4365</v>
      </c>
      <c r="D75" s="4" t="s">
        <v>4295</v>
      </c>
    </row>
    <row r="76" customFormat="false" ht="15" hidden="false" customHeight="false" outlineLevel="0" collapsed="false">
      <c r="A76" s="4" t="n">
        <v>73</v>
      </c>
      <c r="B76" s="4" t="s">
        <v>101</v>
      </c>
      <c r="C76" s="4" t="s">
        <v>4366</v>
      </c>
      <c r="D76" s="4" t="s">
        <v>4295</v>
      </c>
    </row>
    <row r="77" customFormat="false" ht="15" hidden="false" customHeight="false" outlineLevel="0" collapsed="false">
      <c r="A77" s="4" t="n">
        <v>74</v>
      </c>
      <c r="B77" s="4" t="s">
        <v>103</v>
      </c>
      <c r="C77" s="4" t="s">
        <v>4367</v>
      </c>
      <c r="D77" s="4" t="s">
        <v>4356</v>
      </c>
    </row>
    <row r="78" customFormat="false" ht="15" hidden="false" customHeight="false" outlineLevel="0" collapsed="false">
      <c r="A78" s="4" t="n">
        <v>75</v>
      </c>
      <c r="B78" s="4" t="s">
        <v>103</v>
      </c>
      <c r="C78" s="4" t="s">
        <v>4367</v>
      </c>
      <c r="D78" s="4" t="s">
        <v>4295</v>
      </c>
    </row>
    <row r="79" customFormat="false" ht="15" hidden="false" customHeight="false" outlineLevel="0" collapsed="false">
      <c r="A79" s="4" t="n">
        <v>76</v>
      </c>
      <c r="B79" s="4" t="s">
        <v>100</v>
      </c>
      <c r="C79" s="4" t="s">
        <v>4368</v>
      </c>
      <c r="D79" s="4" t="s">
        <v>4295</v>
      </c>
    </row>
    <row r="80" customFormat="false" ht="15" hidden="false" customHeight="false" outlineLevel="0" collapsed="false">
      <c r="A80" s="4" t="n">
        <v>77</v>
      </c>
      <c r="B80" s="4" t="s">
        <v>99</v>
      </c>
      <c r="C80" s="4" t="s">
        <v>4369</v>
      </c>
      <c r="D80" s="4" t="s">
        <v>4295</v>
      </c>
    </row>
    <row r="81" customFormat="false" ht="15" hidden="false" customHeight="false" outlineLevel="0" collapsed="false">
      <c r="A81" s="4" t="n">
        <v>78</v>
      </c>
      <c r="B81" s="4" t="s">
        <v>101</v>
      </c>
      <c r="C81" s="4" t="s">
        <v>4370</v>
      </c>
      <c r="D81" s="4" t="s">
        <v>4295</v>
      </c>
    </row>
    <row r="82" customFormat="false" ht="15" hidden="false" customHeight="false" outlineLevel="0" collapsed="false">
      <c r="A82" s="4" t="n">
        <v>79</v>
      </c>
      <c r="B82" s="4" t="s">
        <v>104</v>
      </c>
      <c r="C82" s="4" t="s">
        <v>4371</v>
      </c>
      <c r="D82" s="4" t="s">
        <v>4295</v>
      </c>
    </row>
    <row r="83" customFormat="false" ht="15" hidden="false" customHeight="false" outlineLevel="0" collapsed="false">
      <c r="A83" s="4" t="n">
        <v>80</v>
      </c>
      <c r="B83" s="4" t="s">
        <v>102</v>
      </c>
      <c r="C83" s="4" t="s">
        <v>4372</v>
      </c>
      <c r="D83" s="4" t="s">
        <v>4295</v>
      </c>
    </row>
    <row r="84" customFormat="false" ht="15" hidden="false" customHeight="false" outlineLevel="0" collapsed="false">
      <c r="A84" s="4" t="n">
        <v>81</v>
      </c>
      <c r="B84" s="4" t="s">
        <v>100</v>
      </c>
      <c r="C84" s="4" t="s">
        <v>4373</v>
      </c>
      <c r="D84" s="4" t="s">
        <v>4295</v>
      </c>
    </row>
    <row r="85" customFormat="false" ht="15" hidden="false" customHeight="false" outlineLevel="0" collapsed="false">
      <c r="A85" s="4" t="n">
        <v>82</v>
      </c>
      <c r="B85" s="4" t="s">
        <v>103</v>
      </c>
      <c r="C85" s="4" t="s">
        <v>4374</v>
      </c>
      <c r="D85" s="4" t="s">
        <v>4295</v>
      </c>
    </row>
    <row r="86" customFormat="false" ht="15" hidden="false" customHeight="false" outlineLevel="0" collapsed="false">
      <c r="A86" s="4" t="n">
        <v>83</v>
      </c>
      <c r="B86" s="4" t="s">
        <v>101</v>
      </c>
      <c r="C86" s="4" t="s">
        <v>4375</v>
      </c>
      <c r="D86" s="4" t="s">
        <v>4295</v>
      </c>
    </row>
    <row r="87" customFormat="false" ht="15" hidden="false" customHeight="false" outlineLevel="0" collapsed="false">
      <c r="A87" s="4" t="n">
        <v>84</v>
      </c>
      <c r="B87" s="4" t="s">
        <v>100</v>
      </c>
      <c r="C87" s="4" t="s">
        <v>4376</v>
      </c>
      <c r="D87" s="4" t="s">
        <v>4295</v>
      </c>
    </row>
    <row r="88" customFormat="false" ht="15" hidden="false" customHeight="false" outlineLevel="0" collapsed="false">
      <c r="A88" s="4" t="n">
        <v>85</v>
      </c>
      <c r="B88" s="4" t="s">
        <v>102</v>
      </c>
      <c r="C88" s="4" t="s">
        <v>4377</v>
      </c>
      <c r="D88" s="4" t="s">
        <v>4295</v>
      </c>
    </row>
    <row r="89" customFormat="false" ht="15" hidden="false" customHeight="false" outlineLevel="0" collapsed="false">
      <c r="A89" s="4" t="n">
        <v>86</v>
      </c>
      <c r="B89" s="4" t="s">
        <v>101</v>
      </c>
      <c r="C89" s="4" t="s">
        <v>4378</v>
      </c>
      <c r="D89" s="4" t="s">
        <v>4295</v>
      </c>
    </row>
    <row r="90" customFormat="false" ht="15" hidden="false" customHeight="false" outlineLevel="0" collapsed="false">
      <c r="A90" s="4" t="n">
        <v>87</v>
      </c>
      <c r="B90" s="4" t="s">
        <v>103</v>
      </c>
      <c r="C90" s="4" t="s">
        <v>4379</v>
      </c>
      <c r="D90" s="4" t="s">
        <v>4295</v>
      </c>
    </row>
    <row r="91" customFormat="false" ht="15" hidden="false" customHeight="false" outlineLevel="0" collapsed="false">
      <c r="A91" s="4" t="n">
        <v>88</v>
      </c>
      <c r="B91" s="4" t="s">
        <v>100</v>
      </c>
      <c r="C91" s="4" t="s">
        <v>4380</v>
      </c>
      <c r="D91" s="4" t="s">
        <v>4295</v>
      </c>
    </row>
    <row r="92" customFormat="false" ht="15" hidden="false" customHeight="false" outlineLevel="0" collapsed="false">
      <c r="A92" s="4" t="n">
        <v>89</v>
      </c>
      <c r="B92" s="4" t="s">
        <v>101</v>
      </c>
      <c r="C92" s="4" t="s">
        <v>4381</v>
      </c>
      <c r="D92" s="4" t="s">
        <v>4295</v>
      </c>
    </row>
    <row r="93" customFormat="false" ht="15" hidden="false" customHeight="false" outlineLevel="0" collapsed="false">
      <c r="A93" s="4" t="n">
        <v>90</v>
      </c>
      <c r="B93" s="4" t="s">
        <v>104</v>
      </c>
      <c r="C93" s="4" t="s">
        <v>4382</v>
      </c>
      <c r="D93" s="4" t="s">
        <v>4295</v>
      </c>
    </row>
    <row r="94" customFormat="false" ht="15" hidden="false" customHeight="false" outlineLevel="0" collapsed="false">
      <c r="A94" s="4" t="n">
        <v>91</v>
      </c>
      <c r="B94" s="4" t="s">
        <v>102</v>
      </c>
      <c r="C94" s="4" t="s">
        <v>4383</v>
      </c>
      <c r="D94" s="4" t="s">
        <v>4295</v>
      </c>
    </row>
    <row r="95" customFormat="false" ht="15" hidden="false" customHeight="false" outlineLevel="0" collapsed="false">
      <c r="A95" s="4" t="n">
        <v>92</v>
      </c>
      <c r="B95" s="4" t="s">
        <v>100</v>
      </c>
      <c r="C95" s="4" t="s">
        <v>4384</v>
      </c>
      <c r="D95" s="4" t="s">
        <v>4295</v>
      </c>
    </row>
    <row r="96" customFormat="false" ht="15" hidden="false" customHeight="false" outlineLevel="0" collapsed="false">
      <c r="A96" s="4" t="n">
        <v>93</v>
      </c>
      <c r="B96" s="4" t="s">
        <v>103</v>
      </c>
      <c r="C96" s="4" t="s">
        <v>4385</v>
      </c>
      <c r="D96" s="4" t="s">
        <v>4295</v>
      </c>
    </row>
    <row r="97" customFormat="false" ht="15" hidden="false" customHeight="false" outlineLevel="0" collapsed="false">
      <c r="A97" s="4" t="n">
        <v>94</v>
      </c>
      <c r="B97" s="4" t="s">
        <v>101</v>
      </c>
      <c r="C97" s="4" t="s">
        <v>4386</v>
      </c>
      <c r="D97" s="4" t="s">
        <v>4295</v>
      </c>
    </row>
    <row r="98" customFormat="false" ht="15" hidden="false" customHeight="false" outlineLevel="0" collapsed="false">
      <c r="A98" s="4" t="n">
        <v>95</v>
      </c>
      <c r="B98" s="4" t="s">
        <v>100</v>
      </c>
      <c r="C98" s="4" t="s">
        <v>4387</v>
      </c>
      <c r="D98" s="4" t="s">
        <v>4295</v>
      </c>
    </row>
    <row r="99" customFormat="false" ht="15" hidden="false" customHeight="false" outlineLevel="0" collapsed="false">
      <c r="A99" s="4" t="n">
        <v>96</v>
      </c>
      <c r="B99" s="4" t="s">
        <v>102</v>
      </c>
      <c r="C99" s="4" t="s">
        <v>4388</v>
      </c>
      <c r="D99" s="4" t="s">
        <v>4295</v>
      </c>
    </row>
    <row r="100" customFormat="false" ht="15" hidden="false" customHeight="false" outlineLevel="0" collapsed="false">
      <c r="A100" s="4" t="n">
        <v>97</v>
      </c>
      <c r="B100" s="4" t="s">
        <v>101</v>
      </c>
      <c r="C100" s="4" t="s">
        <v>4389</v>
      </c>
      <c r="D100" s="4" t="s">
        <v>4295</v>
      </c>
    </row>
    <row r="101" customFormat="false" ht="15" hidden="false" customHeight="false" outlineLevel="0" collapsed="false">
      <c r="A101" s="4" t="n">
        <v>98</v>
      </c>
      <c r="B101" s="4" t="s">
        <v>103</v>
      </c>
      <c r="C101" s="4" t="s">
        <v>4390</v>
      </c>
      <c r="D101" s="4" t="s">
        <v>4295</v>
      </c>
    </row>
    <row r="102" customFormat="false" ht="15" hidden="false" customHeight="false" outlineLevel="0" collapsed="false">
      <c r="A102" s="4" t="n">
        <v>99</v>
      </c>
      <c r="B102" s="4" t="s">
        <v>100</v>
      </c>
      <c r="C102" s="4" t="s">
        <v>4391</v>
      </c>
      <c r="D102" s="4" t="s">
        <v>4295</v>
      </c>
    </row>
    <row r="103" customFormat="false" ht="15" hidden="false" customHeight="false" outlineLevel="0" collapsed="false">
      <c r="A103" s="4" t="n">
        <v>100</v>
      </c>
      <c r="B103" s="4" t="s">
        <v>99</v>
      </c>
      <c r="C103" s="4" t="s">
        <v>4392</v>
      </c>
      <c r="D103" s="4" t="s">
        <v>4295</v>
      </c>
    </row>
    <row r="104" customFormat="false" ht="15" hidden="false" customHeight="false" outlineLevel="0" collapsed="false">
      <c r="A104" s="4" t="n">
        <v>101</v>
      </c>
      <c r="B104" s="4" t="s">
        <v>101</v>
      </c>
      <c r="C104" s="4" t="s">
        <v>4393</v>
      </c>
      <c r="D104" s="4" t="s">
        <v>4295</v>
      </c>
    </row>
    <row r="105" customFormat="false" ht="15" hidden="false" customHeight="false" outlineLevel="0" collapsed="false">
      <c r="A105" s="4" t="n">
        <v>102</v>
      </c>
      <c r="B105" s="4" t="s">
        <v>104</v>
      </c>
      <c r="C105" s="4" t="s">
        <v>4394</v>
      </c>
      <c r="D105" s="4" t="s">
        <v>4295</v>
      </c>
    </row>
    <row r="106" customFormat="false" ht="15" hidden="false" customHeight="false" outlineLevel="0" collapsed="false">
      <c r="A106" s="4" t="n">
        <v>103</v>
      </c>
      <c r="B106" s="4" t="s">
        <v>102</v>
      </c>
      <c r="C106" s="4" t="s">
        <v>4395</v>
      </c>
      <c r="D106" s="4" t="s">
        <v>4295</v>
      </c>
    </row>
    <row r="107" customFormat="false" ht="15" hidden="false" customHeight="false" outlineLevel="0" collapsed="false">
      <c r="A107" s="4" t="n">
        <v>104</v>
      </c>
      <c r="B107" s="4" t="s">
        <v>100</v>
      </c>
      <c r="C107" s="4" t="s">
        <v>4396</v>
      </c>
      <c r="D107" s="4" t="s">
        <v>4295</v>
      </c>
    </row>
    <row r="108" customFormat="false" ht="15" hidden="false" customHeight="false" outlineLevel="0" collapsed="false">
      <c r="A108" s="4" t="n">
        <v>105</v>
      </c>
      <c r="B108" s="4" t="s">
        <v>103</v>
      </c>
      <c r="C108" s="4" t="s">
        <v>4397</v>
      </c>
      <c r="D108" s="4" t="s">
        <v>4295</v>
      </c>
    </row>
    <row r="109" customFormat="false" ht="15" hidden="false" customHeight="false" outlineLevel="0" collapsed="false">
      <c r="A109" s="4" t="n">
        <v>106</v>
      </c>
      <c r="B109" s="4" t="s">
        <v>101</v>
      </c>
      <c r="C109" s="4" t="s">
        <v>4398</v>
      </c>
      <c r="D109" s="4" t="s">
        <v>4295</v>
      </c>
    </row>
    <row r="110" customFormat="false" ht="15" hidden="false" customHeight="false" outlineLevel="0" collapsed="false">
      <c r="A110" s="4" t="n">
        <v>107</v>
      </c>
      <c r="B110" s="4" t="s">
        <v>100</v>
      </c>
      <c r="C110" s="4" t="s">
        <v>4399</v>
      </c>
      <c r="D110" s="4" t="s">
        <v>4295</v>
      </c>
    </row>
    <row r="111" customFormat="false" ht="15" hidden="false" customHeight="false" outlineLevel="0" collapsed="false">
      <c r="A111" s="4" t="n">
        <v>108</v>
      </c>
      <c r="B111" s="4" t="s">
        <v>102</v>
      </c>
      <c r="C111" s="4" t="s">
        <v>4400</v>
      </c>
      <c r="D111" s="4" t="s">
        <v>4295</v>
      </c>
    </row>
    <row r="112" customFormat="false" ht="15" hidden="false" customHeight="false" outlineLevel="0" collapsed="false">
      <c r="A112" s="4" t="n">
        <v>109</v>
      </c>
      <c r="B112" s="4" t="s">
        <v>101</v>
      </c>
      <c r="C112" s="4" t="s">
        <v>4401</v>
      </c>
      <c r="D112" s="4" t="s">
        <v>4295</v>
      </c>
    </row>
    <row r="113" customFormat="false" ht="15" hidden="false" customHeight="false" outlineLevel="0" collapsed="false">
      <c r="A113" s="4" t="n">
        <v>110</v>
      </c>
      <c r="B113" s="4" t="s">
        <v>103</v>
      </c>
      <c r="C113" s="4" t="s">
        <v>4402</v>
      </c>
      <c r="D113" s="4" t="s">
        <v>4295</v>
      </c>
    </row>
    <row r="114" customFormat="false" ht="15" hidden="false" customHeight="false" outlineLevel="0" collapsed="false">
      <c r="A114" s="4" t="n">
        <v>111</v>
      </c>
      <c r="B114" s="4" t="s">
        <v>100</v>
      </c>
      <c r="C114" s="4" t="s">
        <v>4403</v>
      </c>
      <c r="D114" s="4" t="s">
        <v>4295</v>
      </c>
    </row>
    <row r="115" customFormat="false" ht="15" hidden="false" customHeight="false" outlineLevel="0" collapsed="false">
      <c r="A115" s="4" t="n">
        <v>112</v>
      </c>
      <c r="B115" s="4" t="s">
        <v>101</v>
      </c>
      <c r="C115" s="4" t="s">
        <v>4404</v>
      </c>
      <c r="D115" s="4" t="s">
        <v>4295</v>
      </c>
    </row>
    <row r="116" customFormat="false" ht="15" hidden="false" customHeight="false" outlineLevel="0" collapsed="false">
      <c r="A116" s="4" t="n">
        <v>113</v>
      </c>
      <c r="B116" s="4" t="s">
        <v>104</v>
      </c>
      <c r="C116" s="4" t="s">
        <v>4405</v>
      </c>
      <c r="D116" s="4" t="s">
        <v>4295</v>
      </c>
    </row>
    <row r="117" customFormat="false" ht="15" hidden="false" customHeight="false" outlineLevel="0" collapsed="false">
      <c r="A117" s="4" t="n">
        <v>114</v>
      </c>
      <c r="B117" s="4" t="s">
        <v>102</v>
      </c>
      <c r="C117" s="4" t="s">
        <v>4406</v>
      </c>
      <c r="D117" s="4" t="s">
        <v>4295</v>
      </c>
    </row>
    <row r="118" customFormat="false" ht="15" hidden="false" customHeight="false" outlineLevel="0" collapsed="false">
      <c r="A118" s="4" t="n">
        <v>115</v>
      </c>
      <c r="B118" s="4" t="s">
        <v>100</v>
      </c>
      <c r="C118" s="4" t="s">
        <v>4407</v>
      </c>
      <c r="D118" s="4" t="s">
        <v>4295</v>
      </c>
    </row>
    <row r="119" customFormat="false" ht="15" hidden="false" customHeight="false" outlineLevel="0" collapsed="false">
      <c r="A119" s="4" t="n">
        <v>116</v>
      </c>
      <c r="B119" s="4" t="s">
        <v>103</v>
      </c>
      <c r="C119" s="4" t="s">
        <v>4408</v>
      </c>
      <c r="D119" s="4" t="s">
        <v>4295</v>
      </c>
    </row>
    <row r="120" customFormat="false" ht="15" hidden="false" customHeight="false" outlineLevel="0" collapsed="false">
      <c r="A120" s="4" t="n">
        <v>117</v>
      </c>
      <c r="B120" s="4" t="s">
        <v>101</v>
      </c>
      <c r="C120" s="4" t="s">
        <v>4409</v>
      </c>
      <c r="D120" s="4" t="s">
        <v>4295</v>
      </c>
    </row>
    <row r="121" customFormat="false" ht="15" hidden="false" customHeight="false" outlineLevel="0" collapsed="false">
      <c r="A121" s="4" t="n">
        <v>118</v>
      </c>
      <c r="B121" s="4" t="s">
        <v>100</v>
      </c>
      <c r="C121" s="4" t="s">
        <v>4410</v>
      </c>
      <c r="D121" s="4" t="s">
        <v>4295</v>
      </c>
    </row>
    <row r="122" customFormat="false" ht="15" hidden="false" customHeight="false" outlineLevel="0" collapsed="false">
      <c r="A122" s="4" t="n">
        <v>119</v>
      </c>
      <c r="B122" s="4" t="s">
        <v>102</v>
      </c>
      <c r="C122" s="4" t="s">
        <v>4411</v>
      </c>
      <c r="D122" s="4" t="s">
        <v>4295</v>
      </c>
    </row>
    <row r="123" customFormat="false" ht="15" hidden="false" customHeight="false" outlineLevel="0" collapsed="false">
      <c r="A123" s="4" t="n">
        <v>120</v>
      </c>
      <c r="B123" s="4" t="s">
        <v>101</v>
      </c>
      <c r="C123" s="4" t="s">
        <v>4412</v>
      </c>
      <c r="D123" s="4" t="s">
        <v>4295</v>
      </c>
    </row>
    <row r="124" customFormat="false" ht="15" hidden="false" customHeight="false" outlineLevel="0" collapsed="false">
      <c r="A124" s="4" t="n">
        <v>121</v>
      </c>
      <c r="B124" s="4" t="s">
        <v>103</v>
      </c>
      <c r="C124" s="4" t="s">
        <v>4413</v>
      </c>
      <c r="D124" s="4" t="s">
        <v>4356</v>
      </c>
    </row>
    <row r="125" customFormat="false" ht="15" hidden="false" customHeight="false" outlineLevel="0" collapsed="false">
      <c r="A125" s="4" t="n">
        <v>122</v>
      </c>
      <c r="B125" s="4" t="s">
        <v>103</v>
      </c>
      <c r="C125" s="4" t="s">
        <v>4413</v>
      </c>
      <c r="D125" s="4" t="s">
        <v>4295</v>
      </c>
    </row>
    <row r="126" customFormat="false" ht="15" hidden="false" customHeight="false" outlineLevel="0" collapsed="false">
      <c r="A126" s="4" t="n">
        <v>123</v>
      </c>
      <c r="B126" s="4" t="s">
        <v>100</v>
      </c>
      <c r="C126" s="4" t="s">
        <v>4414</v>
      </c>
      <c r="D126" s="4" t="s">
        <v>4295</v>
      </c>
    </row>
    <row r="127" customFormat="false" ht="15" hidden="false" customHeight="false" outlineLevel="0" collapsed="false">
      <c r="A127" s="4" t="n">
        <v>124</v>
      </c>
      <c r="B127" s="4" t="s">
        <v>99</v>
      </c>
      <c r="C127" s="4" t="s">
        <v>4415</v>
      </c>
      <c r="D127" s="4" t="s">
        <v>4295</v>
      </c>
    </row>
    <row r="128" customFormat="false" ht="15" hidden="false" customHeight="false" outlineLevel="0" collapsed="false">
      <c r="A128" s="4" t="n">
        <v>125</v>
      </c>
      <c r="B128" s="4" t="s">
        <v>101</v>
      </c>
      <c r="C128" s="4" t="s">
        <v>4416</v>
      </c>
      <c r="D128" s="4" t="s">
        <v>4295</v>
      </c>
    </row>
    <row r="129" customFormat="false" ht="15" hidden="false" customHeight="false" outlineLevel="0" collapsed="false">
      <c r="A129" s="4" t="n">
        <v>126</v>
      </c>
      <c r="B129" s="4" t="s">
        <v>104</v>
      </c>
      <c r="C129" s="4" t="s">
        <v>4417</v>
      </c>
      <c r="D129" s="4" t="s">
        <v>4295</v>
      </c>
    </row>
    <row r="130" customFormat="false" ht="15" hidden="false" customHeight="false" outlineLevel="0" collapsed="false">
      <c r="A130" s="4" t="n">
        <v>127</v>
      </c>
      <c r="B130" s="4" t="s">
        <v>102</v>
      </c>
      <c r="C130" s="4" t="s">
        <v>4418</v>
      </c>
      <c r="D130" s="4" t="s">
        <v>4295</v>
      </c>
    </row>
    <row r="131" customFormat="false" ht="15" hidden="false" customHeight="false" outlineLevel="0" collapsed="false">
      <c r="A131" s="4" t="n">
        <v>128</v>
      </c>
      <c r="B131" s="4" t="s">
        <v>100</v>
      </c>
      <c r="C131" s="4" t="s">
        <v>4419</v>
      </c>
      <c r="D131" s="4" t="s">
        <v>4295</v>
      </c>
    </row>
    <row r="132" customFormat="false" ht="15" hidden="false" customHeight="false" outlineLevel="0" collapsed="false">
      <c r="A132" s="4" t="n">
        <v>129</v>
      </c>
      <c r="B132" s="4" t="s">
        <v>103</v>
      </c>
      <c r="C132" s="4" t="s">
        <v>4420</v>
      </c>
      <c r="D132" s="4" t="s">
        <v>4295</v>
      </c>
    </row>
    <row r="133" customFormat="false" ht="15" hidden="false" customHeight="false" outlineLevel="0" collapsed="false">
      <c r="A133" s="4" t="n">
        <v>130</v>
      </c>
      <c r="B133" s="4" t="s">
        <v>101</v>
      </c>
      <c r="C133" s="4" t="s">
        <v>4421</v>
      </c>
      <c r="D133" s="4" t="s">
        <v>4295</v>
      </c>
    </row>
    <row r="134" customFormat="false" ht="15" hidden="false" customHeight="false" outlineLevel="0" collapsed="false">
      <c r="A134" s="4" t="n">
        <v>131</v>
      </c>
      <c r="B134" s="4" t="s">
        <v>100</v>
      </c>
      <c r="C134" s="4" t="s">
        <v>4422</v>
      </c>
      <c r="D134" s="4" t="s">
        <v>4295</v>
      </c>
    </row>
    <row r="135" customFormat="false" ht="15" hidden="false" customHeight="false" outlineLevel="0" collapsed="false">
      <c r="A135" s="4" t="n">
        <v>132</v>
      </c>
      <c r="B135" s="4" t="s">
        <v>102</v>
      </c>
      <c r="C135" s="4" t="s">
        <v>4423</v>
      </c>
      <c r="D135" s="4" t="s">
        <v>4295</v>
      </c>
    </row>
    <row r="136" customFormat="false" ht="15" hidden="false" customHeight="false" outlineLevel="0" collapsed="false">
      <c r="A136" s="4" t="n">
        <v>133</v>
      </c>
      <c r="B136" s="4" t="s">
        <v>101</v>
      </c>
      <c r="C136" s="4" t="s">
        <v>4424</v>
      </c>
      <c r="D136" s="4" t="s">
        <v>4295</v>
      </c>
    </row>
    <row r="137" customFormat="false" ht="15" hidden="false" customHeight="false" outlineLevel="0" collapsed="false">
      <c r="A137" s="4" t="n">
        <v>134</v>
      </c>
      <c r="B137" s="4" t="s">
        <v>103</v>
      </c>
      <c r="C137" s="4" t="s">
        <v>4425</v>
      </c>
      <c r="D137" s="4" t="s">
        <v>4356</v>
      </c>
    </row>
    <row r="138" customFormat="false" ht="15" hidden="false" customHeight="false" outlineLevel="0" collapsed="false">
      <c r="A138" s="4" t="n">
        <v>135</v>
      </c>
      <c r="B138" s="4" t="s">
        <v>103</v>
      </c>
      <c r="C138" s="4" t="s">
        <v>4425</v>
      </c>
      <c r="D138" s="4" t="s">
        <v>4356</v>
      </c>
    </row>
    <row r="139" customFormat="false" ht="15" hidden="false" customHeight="false" outlineLevel="0" collapsed="false">
      <c r="A139" s="4" t="n">
        <v>136</v>
      </c>
      <c r="B139" s="4" t="s">
        <v>103</v>
      </c>
      <c r="C139" s="4" t="s">
        <v>4425</v>
      </c>
      <c r="D139" s="4" t="s">
        <v>4295</v>
      </c>
    </row>
    <row r="140" customFormat="false" ht="15" hidden="false" customHeight="false" outlineLevel="0" collapsed="false">
      <c r="A140" s="4" t="n">
        <v>137</v>
      </c>
      <c r="B140" s="4" t="s">
        <v>100</v>
      </c>
      <c r="C140" s="4" t="s">
        <v>4426</v>
      </c>
      <c r="D140" s="4" t="s">
        <v>4295</v>
      </c>
    </row>
    <row r="141" customFormat="false" ht="15" hidden="false" customHeight="false" outlineLevel="0" collapsed="false">
      <c r="A141" s="4" t="n">
        <v>138</v>
      </c>
      <c r="B141" s="4" t="s">
        <v>101</v>
      </c>
      <c r="C141" s="4" t="s">
        <v>4427</v>
      </c>
      <c r="D141" s="4" t="s">
        <v>4295</v>
      </c>
    </row>
    <row r="142" customFormat="false" ht="15" hidden="false" customHeight="false" outlineLevel="0" collapsed="false">
      <c r="A142" s="4" t="n">
        <v>139</v>
      </c>
      <c r="B142" s="4" t="s">
        <v>104</v>
      </c>
      <c r="C142" s="4" t="s">
        <v>4428</v>
      </c>
      <c r="D142" s="4" t="s">
        <v>4295</v>
      </c>
    </row>
    <row r="143" customFormat="false" ht="15" hidden="false" customHeight="false" outlineLevel="0" collapsed="false">
      <c r="A143" s="4" t="n">
        <v>140</v>
      </c>
      <c r="B143" s="4" t="s">
        <v>102</v>
      </c>
      <c r="C143" s="4" t="s">
        <v>4429</v>
      </c>
      <c r="D143" s="4" t="s">
        <v>4295</v>
      </c>
    </row>
    <row r="144" customFormat="false" ht="15" hidden="false" customHeight="false" outlineLevel="0" collapsed="false">
      <c r="A144" s="4" t="n">
        <v>141</v>
      </c>
      <c r="B144" s="4" t="s">
        <v>100</v>
      </c>
      <c r="C144" s="4" t="s">
        <v>4430</v>
      </c>
      <c r="D144" s="4" t="s">
        <v>4295</v>
      </c>
    </row>
    <row r="145" customFormat="false" ht="15" hidden="false" customHeight="false" outlineLevel="0" collapsed="false">
      <c r="A145" s="4" t="n">
        <v>142</v>
      </c>
      <c r="B145" s="4" t="s">
        <v>103</v>
      </c>
      <c r="C145" s="4" t="s">
        <v>4431</v>
      </c>
      <c r="D145" s="4" t="s">
        <v>4295</v>
      </c>
    </row>
    <row r="146" customFormat="false" ht="15" hidden="false" customHeight="false" outlineLevel="0" collapsed="false">
      <c r="A146" s="4" t="n">
        <v>143</v>
      </c>
      <c r="B146" s="4" t="s">
        <v>101</v>
      </c>
      <c r="C146" s="4" t="s">
        <v>4432</v>
      </c>
      <c r="D146" s="4" t="s">
        <v>4295</v>
      </c>
    </row>
    <row r="147" customFormat="false" ht="15" hidden="false" customHeight="false" outlineLevel="0" collapsed="false">
      <c r="A147" s="4" t="n">
        <v>144</v>
      </c>
      <c r="B147" s="4" t="s">
        <v>100</v>
      </c>
      <c r="C147" s="4" t="s">
        <v>4433</v>
      </c>
      <c r="D147" s="4" t="s">
        <v>4295</v>
      </c>
    </row>
    <row r="148" customFormat="false" ht="15" hidden="false" customHeight="false" outlineLevel="0" collapsed="false">
      <c r="A148" s="4" t="n">
        <v>145</v>
      </c>
      <c r="B148" s="4" t="s">
        <v>102</v>
      </c>
      <c r="C148" s="4" t="s">
        <v>4434</v>
      </c>
      <c r="D148" s="4" t="s">
        <v>4295</v>
      </c>
    </row>
    <row r="149" customFormat="false" ht="15" hidden="false" customHeight="false" outlineLevel="0" collapsed="false">
      <c r="A149" s="4" t="n">
        <v>146</v>
      </c>
      <c r="B149" s="4" t="s">
        <v>101</v>
      </c>
      <c r="C149" s="4" t="s">
        <v>4435</v>
      </c>
      <c r="D149" s="4" t="s">
        <v>4295</v>
      </c>
    </row>
    <row r="150" customFormat="false" ht="15" hidden="false" customHeight="false" outlineLevel="0" collapsed="false">
      <c r="A150" s="4" t="n">
        <v>147</v>
      </c>
      <c r="B150" s="4" t="s">
        <v>103</v>
      </c>
      <c r="C150" s="4" t="s">
        <v>4436</v>
      </c>
      <c r="D150" s="4" t="s">
        <v>4295</v>
      </c>
    </row>
    <row r="151" customFormat="false" ht="15" hidden="false" customHeight="false" outlineLevel="0" collapsed="false">
      <c r="A151" s="4" t="n">
        <v>148</v>
      </c>
      <c r="B151" s="4" t="s">
        <v>100</v>
      </c>
      <c r="C151" s="4" t="s">
        <v>4437</v>
      </c>
      <c r="D151" s="4" t="s">
        <v>4295</v>
      </c>
    </row>
    <row r="152" customFormat="false" ht="15" hidden="false" customHeight="false" outlineLevel="0" collapsed="false">
      <c r="A152" s="4" t="n">
        <v>149</v>
      </c>
      <c r="B152" s="4" t="s">
        <v>99</v>
      </c>
      <c r="C152" s="4" t="s">
        <v>4438</v>
      </c>
      <c r="D152" s="4" t="s">
        <v>4295</v>
      </c>
    </row>
    <row r="153" customFormat="false" ht="15" hidden="false" customHeight="false" outlineLevel="0" collapsed="false">
      <c r="A153" s="4" t="n">
        <v>150</v>
      </c>
      <c r="B153" s="4" t="s">
        <v>101</v>
      </c>
      <c r="C153" s="4" t="s">
        <v>4439</v>
      </c>
      <c r="D153" s="4" t="s">
        <v>4295</v>
      </c>
    </row>
    <row r="154" customFormat="false" ht="15" hidden="false" customHeight="false" outlineLevel="0" collapsed="false">
      <c r="A154" s="4" t="n">
        <v>151</v>
      </c>
      <c r="B154" s="4" t="s">
        <v>104</v>
      </c>
      <c r="C154" s="4" t="s">
        <v>4440</v>
      </c>
      <c r="D154" s="4" t="s">
        <v>4295</v>
      </c>
    </row>
    <row r="155" customFormat="false" ht="15" hidden="false" customHeight="false" outlineLevel="0" collapsed="false">
      <c r="A155" s="4" t="n">
        <v>152</v>
      </c>
      <c r="B155" s="4" t="s">
        <v>102</v>
      </c>
      <c r="C155" s="4" t="s">
        <v>4441</v>
      </c>
      <c r="D155" s="4" t="s">
        <v>4295</v>
      </c>
    </row>
    <row r="156" customFormat="false" ht="15" hidden="false" customHeight="false" outlineLevel="0" collapsed="false">
      <c r="A156" s="4" t="n">
        <v>153</v>
      </c>
      <c r="B156" s="4" t="s">
        <v>100</v>
      </c>
      <c r="C156" s="4" t="s">
        <v>4442</v>
      </c>
      <c r="D156" s="4" t="s">
        <v>4295</v>
      </c>
    </row>
    <row r="157" customFormat="false" ht="15" hidden="false" customHeight="false" outlineLevel="0" collapsed="false">
      <c r="A157" s="4" t="n">
        <v>154</v>
      </c>
      <c r="B157" s="4" t="s">
        <v>103</v>
      </c>
      <c r="C157" s="4" t="s">
        <v>4443</v>
      </c>
      <c r="D157" s="4" t="s">
        <v>4356</v>
      </c>
    </row>
    <row r="158" customFormat="false" ht="15" hidden="false" customHeight="false" outlineLevel="0" collapsed="false">
      <c r="A158" s="4" t="n">
        <v>155</v>
      </c>
      <c r="B158" s="4" t="s">
        <v>103</v>
      </c>
      <c r="C158" s="4" t="s">
        <v>4443</v>
      </c>
      <c r="D158" s="4" t="s">
        <v>4356</v>
      </c>
    </row>
    <row r="159" customFormat="false" ht="15" hidden="false" customHeight="false" outlineLevel="0" collapsed="false">
      <c r="A159" s="4" t="n">
        <v>156</v>
      </c>
      <c r="B159" s="4" t="s">
        <v>103</v>
      </c>
      <c r="C159" s="4" t="s">
        <v>4443</v>
      </c>
      <c r="D159" s="4" t="s">
        <v>4295</v>
      </c>
    </row>
    <row r="160" customFormat="false" ht="15" hidden="false" customHeight="false" outlineLevel="0" collapsed="false">
      <c r="A160" s="4" t="n">
        <v>157</v>
      </c>
      <c r="B160" s="4" t="s">
        <v>101</v>
      </c>
      <c r="C160" s="4" t="s">
        <v>4444</v>
      </c>
      <c r="D160" s="4" t="s">
        <v>4295</v>
      </c>
    </row>
    <row r="161" customFormat="false" ht="15" hidden="false" customHeight="false" outlineLevel="0" collapsed="false">
      <c r="A161" s="4" t="n">
        <v>158</v>
      </c>
      <c r="B161" s="4" t="s">
        <v>100</v>
      </c>
      <c r="C161" s="4" t="s">
        <v>4445</v>
      </c>
      <c r="D161" s="4" t="s">
        <v>4295</v>
      </c>
    </row>
    <row r="162" customFormat="false" ht="15" hidden="false" customHeight="false" outlineLevel="0" collapsed="false">
      <c r="A162" s="4" t="n">
        <v>159</v>
      </c>
      <c r="B162" s="4" t="s">
        <v>102</v>
      </c>
      <c r="C162" s="4" t="s">
        <v>4446</v>
      </c>
      <c r="D162" s="4" t="s">
        <v>4295</v>
      </c>
    </row>
    <row r="163" customFormat="false" ht="15" hidden="false" customHeight="false" outlineLevel="0" collapsed="false">
      <c r="A163" s="4" t="n">
        <v>160</v>
      </c>
      <c r="B163" s="4" t="s">
        <v>101</v>
      </c>
      <c r="C163" s="4" t="s">
        <v>4447</v>
      </c>
      <c r="D163" s="4" t="s">
        <v>4295</v>
      </c>
    </row>
    <row r="164" customFormat="false" ht="15" hidden="false" customHeight="false" outlineLevel="0" collapsed="false">
      <c r="A164" s="4" t="n">
        <v>161</v>
      </c>
      <c r="B164" s="4" t="s">
        <v>103</v>
      </c>
      <c r="C164" s="4" t="s">
        <v>4448</v>
      </c>
      <c r="D164" s="4" t="s">
        <v>4295</v>
      </c>
    </row>
    <row r="165" customFormat="false" ht="15" hidden="false" customHeight="false" outlineLevel="0" collapsed="false">
      <c r="A165" s="4" t="n">
        <v>162</v>
      </c>
      <c r="B165" s="4" t="s">
        <v>100</v>
      </c>
      <c r="C165" s="4" t="s">
        <v>4449</v>
      </c>
      <c r="D165" s="4" t="s">
        <v>4295</v>
      </c>
    </row>
    <row r="166" customFormat="false" ht="15" hidden="false" customHeight="false" outlineLevel="0" collapsed="false">
      <c r="A166" s="4" t="n">
        <v>163</v>
      </c>
      <c r="B166" s="4" t="s">
        <v>101</v>
      </c>
      <c r="C166" s="4" t="s">
        <v>4450</v>
      </c>
      <c r="D166" s="4" t="s">
        <v>4295</v>
      </c>
    </row>
    <row r="167" customFormat="false" ht="15" hidden="false" customHeight="false" outlineLevel="0" collapsed="false">
      <c r="A167" s="4" t="n">
        <v>164</v>
      </c>
      <c r="B167" s="4" t="s">
        <v>104</v>
      </c>
      <c r="C167" s="4" t="s">
        <v>4451</v>
      </c>
      <c r="D167" s="4" t="s">
        <v>4295</v>
      </c>
    </row>
    <row r="168" customFormat="false" ht="15" hidden="false" customHeight="false" outlineLevel="0" collapsed="false">
      <c r="A168" s="4" t="n">
        <v>165</v>
      </c>
      <c r="B168" s="4" t="s">
        <v>102</v>
      </c>
      <c r="C168" s="4" t="s">
        <v>4452</v>
      </c>
      <c r="D168" s="4" t="s">
        <v>4295</v>
      </c>
    </row>
    <row r="169" customFormat="false" ht="15" hidden="false" customHeight="false" outlineLevel="0" collapsed="false">
      <c r="A169" s="4" t="n">
        <v>166</v>
      </c>
      <c r="B169" s="4" t="s">
        <v>100</v>
      </c>
      <c r="C169" s="4" t="s">
        <v>4453</v>
      </c>
      <c r="D169" s="4" t="s">
        <v>4295</v>
      </c>
    </row>
    <row r="170" customFormat="false" ht="15" hidden="false" customHeight="false" outlineLevel="0" collapsed="false">
      <c r="A170" s="4" t="n">
        <v>167</v>
      </c>
      <c r="B170" s="4" t="s">
        <v>103</v>
      </c>
      <c r="C170" s="4" t="s">
        <v>4454</v>
      </c>
      <c r="D170" s="4" t="s">
        <v>4295</v>
      </c>
    </row>
    <row r="171" customFormat="false" ht="15" hidden="false" customHeight="false" outlineLevel="0" collapsed="false">
      <c r="A171" s="4" t="n">
        <v>168</v>
      </c>
      <c r="B171" s="4" t="s">
        <v>101</v>
      </c>
      <c r="C171" s="4" t="s">
        <v>4455</v>
      </c>
      <c r="D171" s="4" t="s">
        <v>4295</v>
      </c>
    </row>
    <row r="172" customFormat="false" ht="15" hidden="false" customHeight="false" outlineLevel="0" collapsed="false">
      <c r="A172" s="4" t="n">
        <v>169</v>
      </c>
      <c r="B172" s="4" t="s">
        <v>100</v>
      </c>
      <c r="C172" s="4" t="s">
        <v>4456</v>
      </c>
      <c r="D172" s="4" t="s">
        <v>4295</v>
      </c>
    </row>
    <row r="173" customFormat="false" ht="15" hidden="false" customHeight="false" outlineLevel="0" collapsed="false">
      <c r="A173" s="4" t="n">
        <v>170</v>
      </c>
      <c r="B173" s="4" t="s">
        <v>102</v>
      </c>
      <c r="C173" s="4" t="s">
        <v>4457</v>
      </c>
      <c r="D173" s="4" t="s">
        <v>4295</v>
      </c>
    </row>
    <row r="174" customFormat="false" ht="15" hidden="false" customHeight="false" outlineLevel="0" collapsed="false">
      <c r="A174" s="4" t="n">
        <v>171</v>
      </c>
      <c r="B174" s="4" t="s">
        <v>101</v>
      </c>
      <c r="C174" s="4" t="s">
        <v>4458</v>
      </c>
      <c r="D174" s="4" t="s">
        <v>4295</v>
      </c>
    </row>
    <row r="175" customFormat="false" ht="15" hidden="false" customHeight="false" outlineLevel="0" collapsed="false">
      <c r="A175" s="4" t="n">
        <v>172</v>
      </c>
      <c r="B175" s="4" t="s">
        <v>103</v>
      </c>
      <c r="C175" s="4" t="s">
        <v>4459</v>
      </c>
      <c r="D175" s="4" t="s">
        <v>4295</v>
      </c>
    </row>
    <row r="176" customFormat="false" ht="15" hidden="false" customHeight="false" outlineLevel="0" collapsed="false">
      <c r="A176" s="4" t="n">
        <v>173</v>
      </c>
      <c r="B176" s="4" t="s">
        <v>100</v>
      </c>
      <c r="C176" s="4" t="s">
        <v>4460</v>
      </c>
      <c r="D176" s="4" t="s">
        <v>4295</v>
      </c>
    </row>
    <row r="177" customFormat="false" ht="15" hidden="false" customHeight="false" outlineLevel="0" collapsed="false">
      <c r="A177" s="4" t="n">
        <v>174</v>
      </c>
      <c r="B177" s="4" t="s">
        <v>100</v>
      </c>
      <c r="C177" s="4" t="s">
        <v>4461</v>
      </c>
      <c r="D177" s="4" t="s">
        <v>4462</v>
      </c>
    </row>
    <row r="178" customFormat="false" ht="15" hidden="false" customHeight="false" outlineLevel="0" collapsed="false">
      <c r="A178" s="4" t="n">
        <v>175</v>
      </c>
      <c r="B178" s="4" t="s">
        <v>99</v>
      </c>
      <c r="C178" s="4" t="s">
        <v>4463</v>
      </c>
      <c r="D178" s="4" t="s">
        <v>4295</v>
      </c>
    </row>
    <row r="179" customFormat="false" ht="15" hidden="false" customHeight="false" outlineLevel="0" collapsed="false">
      <c r="A179" s="4" t="n">
        <v>176</v>
      </c>
      <c r="B179" s="4" t="s">
        <v>101</v>
      </c>
      <c r="C179" s="4" t="s">
        <v>4464</v>
      </c>
      <c r="D179" s="4" t="s">
        <v>4295</v>
      </c>
    </row>
    <row r="180" customFormat="false" ht="15" hidden="false" customHeight="false" outlineLevel="0" collapsed="false">
      <c r="A180" s="4" t="n">
        <v>177</v>
      </c>
      <c r="B180" s="4" t="s">
        <v>104</v>
      </c>
      <c r="C180" s="4" t="s">
        <v>4465</v>
      </c>
      <c r="D180" s="4" t="s">
        <v>4295</v>
      </c>
    </row>
    <row r="181" customFormat="false" ht="15" hidden="false" customHeight="false" outlineLevel="0" collapsed="false">
      <c r="A181" s="4" t="n">
        <v>178</v>
      </c>
      <c r="B181" s="4" t="s">
        <v>102</v>
      </c>
      <c r="C181" s="4" t="s">
        <v>4466</v>
      </c>
      <c r="D181" s="4" t="s">
        <v>4295</v>
      </c>
    </row>
    <row r="182" customFormat="false" ht="15" hidden="false" customHeight="false" outlineLevel="0" collapsed="false">
      <c r="A182" s="4" t="n">
        <v>179</v>
      </c>
      <c r="B182" s="4" t="s">
        <v>100</v>
      </c>
      <c r="C182" s="4" t="s">
        <v>4467</v>
      </c>
      <c r="D182" s="4" t="s">
        <v>4295</v>
      </c>
    </row>
    <row r="183" customFormat="false" ht="15" hidden="false" customHeight="false" outlineLevel="0" collapsed="false">
      <c r="A183" s="4" t="n">
        <v>180</v>
      </c>
      <c r="B183" s="4" t="s">
        <v>103</v>
      </c>
      <c r="C183" s="4" t="s">
        <v>4468</v>
      </c>
      <c r="D183" s="4" t="s">
        <v>4295</v>
      </c>
    </row>
    <row r="184" customFormat="false" ht="15" hidden="false" customHeight="false" outlineLevel="0" collapsed="false">
      <c r="A184" s="4" t="n">
        <v>181</v>
      </c>
      <c r="B184" s="4" t="s">
        <v>101</v>
      </c>
      <c r="C184" s="4" t="s">
        <v>4469</v>
      </c>
      <c r="D184" s="4" t="s">
        <v>4295</v>
      </c>
    </row>
    <row r="185" customFormat="false" ht="15" hidden="false" customHeight="false" outlineLevel="0" collapsed="false">
      <c r="A185" s="4" t="n">
        <v>182</v>
      </c>
      <c r="B185" s="4" t="s">
        <v>100</v>
      </c>
      <c r="C185" s="4" t="s">
        <v>4470</v>
      </c>
      <c r="D185" s="4" t="s">
        <v>4295</v>
      </c>
    </row>
    <row r="186" customFormat="false" ht="15" hidden="false" customHeight="false" outlineLevel="0" collapsed="false">
      <c r="A186" s="4" t="n">
        <v>183</v>
      </c>
      <c r="B186" s="4" t="s">
        <v>102</v>
      </c>
      <c r="C186" s="4" t="s">
        <v>4471</v>
      </c>
      <c r="D186" s="4" t="s">
        <v>4295</v>
      </c>
    </row>
    <row r="187" customFormat="false" ht="15" hidden="false" customHeight="false" outlineLevel="0" collapsed="false">
      <c r="A187" s="4" t="n">
        <v>184</v>
      </c>
      <c r="B187" s="4" t="s">
        <v>101</v>
      </c>
      <c r="C187" s="4" t="s">
        <v>4472</v>
      </c>
      <c r="D187" s="4" t="s">
        <v>4295</v>
      </c>
    </row>
    <row r="188" customFormat="false" ht="15" hidden="false" customHeight="false" outlineLevel="0" collapsed="false">
      <c r="A188" s="4" t="n">
        <v>185</v>
      </c>
      <c r="B188" s="4" t="s">
        <v>103</v>
      </c>
      <c r="C188" s="4" t="s">
        <v>4473</v>
      </c>
      <c r="D188" s="4" t="s">
        <v>4356</v>
      </c>
    </row>
    <row r="189" customFormat="false" ht="15" hidden="false" customHeight="false" outlineLevel="0" collapsed="false">
      <c r="A189" s="4" t="n">
        <v>186</v>
      </c>
      <c r="B189" s="4" t="s">
        <v>103</v>
      </c>
      <c r="C189" s="4" t="s">
        <v>4473</v>
      </c>
      <c r="D189" s="4" t="s">
        <v>4295</v>
      </c>
    </row>
    <row r="190" customFormat="false" ht="15" hidden="false" customHeight="false" outlineLevel="0" collapsed="false">
      <c r="A190" s="4" t="n">
        <v>187</v>
      </c>
      <c r="B190" s="4" t="s">
        <v>100</v>
      </c>
      <c r="C190" s="4" t="s">
        <v>4474</v>
      </c>
      <c r="D190" s="4" t="s">
        <v>4295</v>
      </c>
    </row>
    <row r="191" customFormat="false" ht="15" hidden="false" customHeight="false" outlineLevel="0" collapsed="false">
      <c r="A191" s="4" t="n">
        <v>188</v>
      </c>
      <c r="B191" s="4" t="s">
        <v>101</v>
      </c>
      <c r="C191" s="4" t="s">
        <v>4475</v>
      </c>
      <c r="D191" s="4" t="s">
        <v>4295</v>
      </c>
    </row>
    <row r="192" customFormat="false" ht="15" hidden="false" customHeight="false" outlineLevel="0" collapsed="false">
      <c r="A192" s="4" t="n">
        <v>189</v>
      </c>
      <c r="B192" s="4" t="s">
        <v>104</v>
      </c>
      <c r="C192" s="4" t="s">
        <v>4476</v>
      </c>
      <c r="D192" s="4" t="s">
        <v>4295</v>
      </c>
    </row>
    <row r="193" customFormat="false" ht="15" hidden="false" customHeight="false" outlineLevel="0" collapsed="false">
      <c r="A193" s="4" t="n">
        <v>190</v>
      </c>
      <c r="B193" s="4" t="s">
        <v>102</v>
      </c>
      <c r="C193" s="4" t="s">
        <v>4477</v>
      </c>
      <c r="D193" s="4" t="s">
        <v>4295</v>
      </c>
    </row>
    <row r="194" customFormat="false" ht="15" hidden="false" customHeight="false" outlineLevel="0" collapsed="false">
      <c r="A194" s="4" t="n">
        <v>191</v>
      </c>
      <c r="B194" s="4" t="s">
        <v>100</v>
      </c>
      <c r="C194" s="4" t="s">
        <v>4478</v>
      </c>
      <c r="D194" s="4" t="s">
        <v>4295</v>
      </c>
    </row>
    <row r="195" customFormat="false" ht="15" hidden="false" customHeight="false" outlineLevel="0" collapsed="false">
      <c r="A195" s="4" t="n">
        <v>192</v>
      </c>
      <c r="B195" s="4" t="s">
        <v>103</v>
      </c>
      <c r="C195" s="4" t="s">
        <v>4479</v>
      </c>
      <c r="D195" s="4" t="s">
        <v>4295</v>
      </c>
    </row>
    <row r="196" customFormat="false" ht="15" hidden="false" customHeight="false" outlineLevel="0" collapsed="false">
      <c r="A196" s="4" t="n">
        <v>193</v>
      </c>
      <c r="B196" s="4" t="s">
        <v>101</v>
      </c>
      <c r="C196" s="4" t="s">
        <v>4480</v>
      </c>
      <c r="D196" s="4" t="s">
        <v>4295</v>
      </c>
    </row>
    <row r="197" customFormat="false" ht="15" hidden="false" customHeight="false" outlineLevel="0" collapsed="false">
      <c r="A197" s="4" t="n">
        <v>194</v>
      </c>
      <c r="B197" s="4" t="s">
        <v>100</v>
      </c>
      <c r="C197" s="4" t="s">
        <v>4481</v>
      </c>
      <c r="D197" s="4" t="s">
        <v>4295</v>
      </c>
    </row>
    <row r="198" customFormat="false" ht="15" hidden="false" customHeight="false" outlineLevel="0" collapsed="false">
      <c r="A198" s="4" t="n">
        <v>195</v>
      </c>
      <c r="B198" s="4" t="s">
        <v>102</v>
      </c>
      <c r="C198" s="4" t="s">
        <v>4482</v>
      </c>
      <c r="D198" s="4" t="s">
        <v>4295</v>
      </c>
    </row>
    <row r="199" customFormat="false" ht="15" hidden="false" customHeight="false" outlineLevel="0" collapsed="false">
      <c r="A199" s="4" t="n">
        <v>196</v>
      </c>
      <c r="B199" s="4" t="s">
        <v>101</v>
      </c>
      <c r="C199" s="4" t="s">
        <v>4483</v>
      </c>
      <c r="D199" s="4" t="s">
        <v>4295</v>
      </c>
    </row>
    <row r="200" customFormat="false" ht="15" hidden="false" customHeight="false" outlineLevel="0" collapsed="false">
      <c r="A200" s="4" t="n">
        <v>197</v>
      </c>
      <c r="B200" s="4" t="s">
        <v>103</v>
      </c>
      <c r="C200" s="4" t="s">
        <v>4484</v>
      </c>
      <c r="D200" s="4" t="s">
        <v>4295</v>
      </c>
    </row>
    <row r="201" customFormat="false" ht="15" hidden="false" customHeight="false" outlineLevel="0" collapsed="false">
      <c r="A201" s="4" t="n">
        <v>198</v>
      </c>
      <c r="B201" s="4" t="s">
        <v>100</v>
      </c>
      <c r="C201" s="4" t="s">
        <v>4485</v>
      </c>
      <c r="D201" s="4" t="s">
        <v>4295</v>
      </c>
    </row>
    <row r="202" customFormat="false" ht="15" hidden="false" customHeight="false" outlineLevel="0" collapsed="false">
      <c r="A202" s="4" t="n">
        <v>199</v>
      </c>
      <c r="B202" s="4" t="s">
        <v>99</v>
      </c>
      <c r="C202" s="4" t="s">
        <v>4486</v>
      </c>
      <c r="D202" s="4" t="s">
        <v>4295</v>
      </c>
    </row>
    <row r="203" customFormat="false" ht="15" hidden="false" customHeight="false" outlineLevel="0" collapsed="false">
      <c r="A203" s="4" t="n">
        <v>200</v>
      </c>
      <c r="B203" s="4" t="s">
        <v>101</v>
      </c>
      <c r="C203" s="4" t="s">
        <v>4487</v>
      </c>
      <c r="D203" s="4" t="s">
        <v>4295</v>
      </c>
    </row>
    <row r="204" customFormat="false" ht="15" hidden="false" customHeight="false" outlineLevel="0" collapsed="false">
      <c r="A204" s="4" t="n">
        <v>201</v>
      </c>
      <c r="B204" s="4" t="s">
        <v>104</v>
      </c>
      <c r="C204" s="4" t="s">
        <v>4488</v>
      </c>
      <c r="D204" s="4" t="s">
        <v>4295</v>
      </c>
    </row>
    <row r="205" customFormat="false" ht="15" hidden="false" customHeight="false" outlineLevel="0" collapsed="false">
      <c r="A205" s="4" t="n">
        <v>202</v>
      </c>
      <c r="B205" s="4" t="s">
        <v>102</v>
      </c>
      <c r="C205" s="4" t="s">
        <v>4489</v>
      </c>
      <c r="D205" s="4" t="s">
        <v>4295</v>
      </c>
    </row>
    <row r="206" customFormat="false" ht="15" hidden="false" customHeight="false" outlineLevel="0" collapsed="false">
      <c r="A206" s="4" t="n">
        <v>203</v>
      </c>
      <c r="B206" s="4" t="s">
        <v>100</v>
      </c>
      <c r="C206" s="4" t="s">
        <v>4490</v>
      </c>
      <c r="D206" s="4" t="s">
        <v>4295</v>
      </c>
    </row>
    <row r="207" customFormat="false" ht="15" hidden="false" customHeight="false" outlineLevel="0" collapsed="false">
      <c r="A207" s="4" t="n">
        <v>204</v>
      </c>
      <c r="B207" s="4" t="s">
        <v>103</v>
      </c>
      <c r="C207" s="4" t="s">
        <v>4491</v>
      </c>
      <c r="D207" s="4" t="s">
        <v>4356</v>
      </c>
    </row>
    <row r="208" customFormat="false" ht="15" hidden="false" customHeight="false" outlineLevel="0" collapsed="false">
      <c r="A208" s="4" t="n">
        <v>205</v>
      </c>
      <c r="B208" s="4" t="s">
        <v>103</v>
      </c>
      <c r="C208" s="4" t="s">
        <v>4491</v>
      </c>
      <c r="D208" s="4" t="s">
        <v>4356</v>
      </c>
    </row>
    <row r="209" customFormat="false" ht="15" hidden="false" customHeight="false" outlineLevel="0" collapsed="false">
      <c r="A209" s="4" t="n">
        <v>206</v>
      </c>
      <c r="B209" s="4" t="s">
        <v>103</v>
      </c>
      <c r="C209" s="4" t="s">
        <v>4491</v>
      </c>
      <c r="D209" s="4" t="s">
        <v>4295</v>
      </c>
    </row>
    <row r="210" customFormat="false" ht="15" hidden="false" customHeight="false" outlineLevel="0" collapsed="false">
      <c r="A210" s="4" t="n">
        <v>207</v>
      </c>
      <c r="B210" s="4" t="s">
        <v>101</v>
      </c>
      <c r="C210" s="4" t="s">
        <v>4492</v>
      </c>
      <c r="D210" s="4" t="s">
        <v>4295</v>
      </c>
    </row>
    <row r="211" customFormat="false" ht="15" hidden="false" customHeight="false" outlineLevel="0" collapsed="false">
      <c r="A211" s="4" t="n">
        <v>208</v>
      </c>
      <c r="B211" s="4" t="s">
        <v>100</v>
      </c>
      <c r="C211" s="4" t="s">
        <v>4493</v>
      </c>
      <c r="D211" s="4" t="s">
        <v>4295</v>
      </c>
    </row>
    <row r="212" customFormat="false" ht="15" hidden="false" customHeight="false" outlineLevel="0" collapsed="false">
      <c r="A212" s="4" t="n">
        <v>209</v>
      </c>
      <c r="B212" s="4" t="s">
        <v>102</v>
      </c>
      <c r="C212" s="4" t="s">
        <v>4494</v>
      </c>
      <c r="D212" s="4" t="s">
        <v>4295</v>
      </c>
    </row>
    <row r="213" customFormat="false" ht="15" hidden="false" customHeight="false" outlineLevel="0" collapsed="false">
      <c r="A213" s="4" t="n">
        <v>210</v>
      </c>
      <c r="B213" s="4" t="s">
        <v>101</v>
      </c>
      <c r="C213" s="4" t="s">
        <v>4495</v>
      </c>
      <c r="D213" s="4" t="s">
        <v>4295</v>
      </c>
    </row>
    <row r="214" customFormat="false" ht="15" hidden="false" customHeight="false" outlineLevel="0" collapsed="false">
      <c r="A214" s="4" t="n">
        <v>211</v>
      </c>
      <c r="B214" s="4" t="s">
        <v>103</v>
      </c>
      <c r="C214" s="4" t="s">
        <v>4496</v>
      </c>
      <c r="D214" s="4" t="s">
        <v>4295</v>
      </c>
    </row>
    <row r="215" customFormat="false" ht="15" hidden="false" customHeight="false" outlineLevel="0" collapsed="false">
      <c r="A215" s="4" t="n">
        <v>212</v>
      </c>
      <c r="B215" s="4" t="s">
        <v>100</v>
      </c>
      <c r="C215" s="4" t="s">
        <v>4497</v>
      </c>
      <c r="D215" s="4" t="s">
        <v>4295</v>
      </c>
    </row>
    <row r="216" customFormat="false" ht="15" hidden="false" customHeight="false" outlineLevel="0" collapsed="false">
      <c r="A216" s="4" t="n">
        <v>213</v>
      </c>
      <c r="B216" s="4" t="s">
        <v>101</v>
      </c>
      <c r="C216" s="4" t="s">
        <v>4498</v>
      </c>
      <c r="D216" s="4" t="s">
        <v>4295</v>
      </c>
    </row>
    <row r="217" customFormat="false" ht="15" hidden="false" customHeight="false" outlineLevel="0" collapsed="false">
      <c r="A217" s="4" t="n">
        <v>214</v>
      </c>
      <c r="B217" s="4" t="s">
        <v>104</v>
      </c>
      <c r="C217" s="4" t="s">
        <v>4499</v>
      </c>
      <c r="D217" s="4" t="s">
        <v>4295</v>
      </c>
    </row>
    <row r="218" customFormat="false" ht="15" hidden="false" customHeight="false" outlineLevel="0" collapsed="false">
      <c r="A218" s="4" t="n">
        <v>215</v>
      </c>
      <c r="B218" s="4" t="s">
        <v>102</v>
      </c>
      <c r="C218" s="4" t="s">
        <v>4500</v>
      </c>
      <c r="D218" s="4" t="s">
        <v>4295</v>
      </c>
    </row>
    <row r="219" customFormat="false" ht="15" hidden="false" customHeight="false" outlineLevel="0" collapsed="false">
      <c r="A219" s="4" t="n">
        <v>216</v>
      </c>
      <c r="B219" s="4" t="s">
        <v>100</v>
      </c>
      <c r="C219" s="4" t="s">
        <v>4501</v>
      </c>
      <c r="D219" s="4" t="s">
        <v>4295</v>
      </c>
    </row>
    <row r="220" customFormat="false" ht="15" hidden="false" customHeight="false" outlineLevel="0" collapsed="false">
      <c r="A220" s="4" t="n">
        <v>217</v>
      </c>
      <c r="B220" s="4" t="s">
        <v>103</v>
      </c>
      <c r="C220" s="4" t="s">
        <v>4502</v>
      </c>
      <c r="D220" s="4" t="s">
        <v>4356</v>
      </c>
    </row>
    <row r="221" customFormat="false" ht="15" hidden="false" customHeight="false" outlineLevel="0" collapsed="false">
      <c r="A221" s="4" t="n">
        <v>218</v>
      </c>
      <c r="B221" s="4" t="s">
        <v>103</v>
      </c>
      <c r="C221" s="4" t="s">
        <v>4502</v>
      </c>
      <c r="D221" s="4" t="s">
        <v>4295</v>
      </c>
    </row>
    <row r="222" customFormat="false" ht="15" hidden="false" customHeight="false" outlineLevel="0" collapsed="false">
      <c r="A222" s="4" t="n">
        <v>219</v>
      </c>
      <c r="B222" s="4" t="s">
        <v>101</v>
      </c>
      <c r="C222" s="4" t="s">
        <v>4503</v>
      </c>
      <c r="D222" s="4" t="s">
        <v>4295</v>
      </c>
    </row>
    <row r="223" customFormat="false" ht="15" hidden="false" customHeight="false" outlineLevel="0" collapsed="false">
      <c r="A223" s="4" t="n">
        <v>220</v>
      </c>
      <c r="B223" s="4" t="s">
        <v>100</v>
      </c>
      <c r="C223" s="4" t="s">
        <v>4504</v>
      </c>
      <c r="D223" s="4" t="s">
        <v>4295</v>
      </c>
    </row>
    <row r="224" customFormat="false" ht="15" hidden="false" customHeight="false" outlineLevel="0" collapsed="false">
      <c r="A224" s="4" t="n">
        <v>221</v>
      </c>
      <c r="B224" s="4" t="s">
        <v>102</v>
      </c>
      <c r="C224" s="4" t="s">
        <v>4505</v>
      </c>
      <c r="D224" s="4" t="s">
        <v>4295</v>
      </c>
    </row>
    <row r="225" customFormat="false" ht="15" hidden="false" customHeight="false" outlineLevel="0" collapsed="false">
      <c r="A225" s="4" t="n">
        <v>222</v>
      </c>
      <c r="B225" s="4" t="s">
        <v>101</v>
      </c>
      <c r="C225" s="4" t="s">
        <v>4506</v>
      </c>
      <c r="D225" s="4" t="s">
        <v>4295</v>
      </c>
    </row>
    <row r="226" customFormat="false" ht="15" hidden="false" customHeight="false" outlineLevel="0" collapsed="false">
      <c r="A226" s="4" t="n">
        <v>223</v>
      </c>
      <c r="B226" s="4" t="s">
        <v>103</v>
      </c>
      <c r="C226" s="4" t="s">
        <v>4507</v>
      </c>
      <c r="D226" s="4" t="s">
        <v>4356</v>
      </c>
    </row>
    <row r="227" customFormat="false" ht="15" hidden="false" customHeight="false" outlineLevel="0" collapsed="false">
      <c r="A227" s="4" t="n">
        <v>224</v>
      </c>
      <c r="B227" s="4" t="s">
        <v>103</v>
      </c>
      <c r="C227" s="4" t="s">
        <v>4507</v>
      </c>
      <c r="D227" s="4" t="s">
        <v>4356</v>
      </c>
    </row>
    <row r="228" customFormat="false" ht="15" hidden="false" customHeight="false" outlineLevel="0" collapsed="false">
      <c r="A228" s="4" t="n">
        <v>225</v>
      </c>
      <c r="B228" s="4" t="s">
        <v>103</v>
      </c>
      <c r="C228" s="4" t="s">
        <v>4507</v>
      </c>
      <c r="D228" s="4" t="s">
        <v>4295</v>
      </c>
    </row>
    <row r="229" customFormat="false" ht="15" hidden="false" customHeight="false" outlineLevel="0" collapsed="false">
      <c r="A229" s="4" t="n">
        <v>226</v>
      </c>
      <c r="B229" s="4" t="s">
        <v>100</v>
      </c>
      <c r="C229" s="4" t="s">
        <v>4508</v>
      </c>
      <c r="D229" s="4" t="s">
        <v>4295</v>
      </c>
    </row>
    <row r="230" customFormat="false" ht="15" hidden="false" customHeight="false" outlineLevel="0" collapsed="false">
      <c r="A230" s="4" t="n">
        <v>227</v>
      </c>
      <c r="B230" s="4" t="s">
        <v>99</v>
      </c>
      <c r="C230" s="4" t="s">
        <v>4509</v>
      </c>
      <c r="D230" s="4" t="s">
        <v>4295</v>
      </c>
    </row>
    <row r="231" customFormat="false" ht="15" hidden="false" customHeight="false" outlineLevel="0" collapsed="false">
      <c r="A231" s="4" t="n">
        <v>228</v>
      </c>
      <c r="B231" s="4" t="s">
        <v>101</v>
      </c>
      <c r="C231" s="4" t="s">
        <v>4510</v>
      </c>
      <c r="D231" s="4" t="s">
        <v>4295</v>
      </c>
    </row>
    <row r="232" customFormat="false" ht="15" hidden="false" customHeight="false" outlineLevel="0" collapsed="false">
      <c r="A232" s="4" t="n">
        <v>229</v>
      </c>
      <c r="B232" s="4" t="s">
        <v>104</v>
      </c>
      <c r="C232" s="4" t="s">
        <v>4511</v>
      </c>
      <c r="D232" s="4" t="s">
        <v>4295</v>
      </c>
    </row>
    <row r="233" customFormat="false" ht="15" hidden="false" customHeight="false" outlineLevel="0" collapsed="false">
      <c r="A233" s="4" t="n">
        <v>230</v>
      </c>
      <c r="B233" s="4" t="s">
        <v>102</v>
      </c>
      <c r="C233" s="4" t="s">
        <v>4512</v>
      </c>
      <c r="D233" s="4" t="s">
        <v>4295</v>
      </c>
    </row>
    <row r="234" customFormat="false" ht="15" hidden="false" customHeight="false" outlineLevel="0" collapsed="false">
      <c r="A234" s="4" t="n">
        <v>231</v>
      </c>
      <c r="B234" s="4" t="s">
        <v>103</v>
      </c>
      <c r="C234" s="4" t="s">
        <v>4513</v>
      </c>
      <c r="D234" s="4" t="s">
        <v>4295</v>
      </c>
    </row>
    <row r="235" customFormat="false" ht="15" hidden="false" customHeight="false" outlineLevel="0" collapsed="false">
      <c r="A235" s="4" t="n">
        <v>232</v>
      </c>
      <c r="B235" s="4" t="s">
        <v>100</v>
      </c>
      <c r="C235" s="4" t="s">
        <v>4514</v>
      </c>
      <c r="D235" s="4" t="s">
        <v>4295</v>
      </c>
    </row>
    <row r="236" customFormat="false" ht="15" hidden="false" customHeight="false" outlineLevel="0" collapsed="false">
      <c r="A236" s="4" t="n">
        <v>233</v>
      </c>
      <c r="B236" s="4" t="s">
        <v>101</v>
      </c>
      <c r="C236" s="4" t="s">
        <v>4515</v>
      </c>
      <c r="D236" s="4" t="s">
        <v>4295</v>
      </c>
    </row>
    <row r="237" customFormat="false" ht="15" hidden="false" customHeight="false" outlineLevel="0" collapsed="false">
      <c r="A237" s="4" t="n">
        <v>234</v>
      </c>
      <c r="B237" s="4" t="s">
        <v>103</v>
      </c>
      <c r="C237" s="4" t="s">
        <v>4516</v>
      </c>
      <c r="D237" s="4" t="s">
        <v>4462</v>
      </c>
    </row>
    <row r="238" customFormat="false" ht="15" hidden="false" customHeight="false" outlineLevel="0" collapsed="false">
      <c r="A238" s="4" t="n">
        <v>235</v>
      </c>
      <c r="B238" s="4" t="s">
        <v>100</v>
      </c>
      <c r="C238" s="4" t="s">
        <v>4517</v>
      </c>
      <c r="D238" s="4" t="s">
        <v>4295</v>
      </c>
    </row>
    <row r="239" customFormat="false" ht="15" hidden="false" customHeight="false" outlineLevel="0" collapsed="false">
      <c r="A239" s="4" t="n">
        <v>236</v>
      </c>
      <c r="B239" s="4" t="s">
        <v>102</v>
      </c>
      <c r="C239" s="4" t="s">
        <v>4518</v>
      </c>
      <c r="D239" s="4" t="s">
        <v>4295</v>
      </c>
    </row>
    <row r="240" customFormat="false" ht="15" hidden="false" customHeight="false" outlineLevel="0" collapsed="false">
      <c r="A240" s="4" t="n">
        <v>237</v>
      </c>
      <c r="B240" s="4" t="s">
        <v>101</v>
      </c>
      <c r="C240" s="4" t="s">
        <v>4519</v>
      </c>
      <c r="D240" s="4" t="s">
        <v>4295</v>
      </c>
    </row>
    <row r="241" customFormat="false" ht="15" hidden="false" customHeight="false" outlineLevel="0" collapsed="false">
      <c r="A241" s="4" t="n">
        <v>238</v>
      </c>
      <c r="B241" s="4" t="s">
        <v>103</v>
      </c>
      <c r="C241" s="4" t="s">
        <v>4520</v>
      </c>
      <c r="D241" s="4" t="s">
        <v>4462</v>
      </c>
    </row>
    <row r="242" customFormat="false" ht="15" hidden="false" customHeight="false" outlineLevel="0" collapsed="false">
      <c r="A242" s="4" t="n">
        <v>239</v>
      </c>
      <c r="B242" s="4" t="s">
        <v>100</v>
      </c>
      <c r="C242" s="4" t="s">
        <v>4521</v>
      </c>
      <c r="D242" s="4" t="s">
        <v>4295</v>
      </c>
    </row>
    <row r="243" customFormat="false" ht="15" hidden="false" customHeight="false" outlineLevel="0" collapsed="false">
      <c r="A243" s="4" t="n">
        <v>240</v>
      </c>
      <c r="B243" s="4" t="s">
        <v>101</v>
      </c>
      <c r="C243" s="4" t="s">
        <v>4522</v>
      </c>
      <c r="D243" s="4" t="s">
        <v>4295</v>
      </c>
    </row>
    <row r="244" customFormat="false" ht="15" hidden="false" customHeight="false" outlineLevel="0" collapsed="false">
      <c r="A244" s="4" t="n">
        <v>241</v>
      </c>
      <c r="B244" s="4" t="s">
        <v>104</v>
      </c>
      <c r="C244" s="4" t="s">
        <v>4523</v>
      </c>
      <c r="D244" s="4" t="s">
        <v>4295</v>
      </c>
    </row>
    <row r="245" customFormat="false" ht="15" hidden="false" customHeight="false" outlineLevel="0" collapsed="false">
      <c r="A245" s="4" t="n">
        <v>242</v>
      </c>
      <c r="B245" s="4" t="s">
        <v>102</v>
      </c>
      <c r="C245" s="4" t="s">
        <v>4524</v>
      </c>
      <c r="D245" s="4" t="s">
        <v>4295</v>
      </c>
    </row>
    <row r="246" customFormat="false" ht="15" hidden="false" customHeight="false" outlineLevel="0" collapsed="false">
      <c r="A246" s="4" t="n">
        <v>243</v>
      </c>
      <c r="B246" s="4" t="s">
        <v>100</v>
      </c>
      <c r="C246" s="4" t="s">
        <v>4525</v>
      </c>
      <c r="D246" s="4" t="s">
        <v>4295</v>
      </c>
    </row>
    <row r="247" customFormat="false" ht="15" hidden="false" customHeight="false" outlineLevel="0" collapsed="false">
      <c r="A247" s="4" t="n">
        <v>244</v>
      </c>
      <c r="B247" s="4" t="s">
        <v>103</v>
      </c>
      <c r="C247" s="4" t="s">
        <v>4526</v>
      </c>
      <c r="D247" s="4" t="s">
        <v>4295</v>
      </c>
    </row>
    <row r="248" customFormat="false" ht="15" hidden="false" customHeight="false" outlineLevel="0" collapsed="false">
      <c r="A248" s="4" t="n">
        <v>245</v>
      </c>
      <c r="B248" s="4" t="s">
        <v>101</v>
      </c>
      <c r="C248" s="4" t="s">
        <v>4527</v>
      </c>
      <c r="D248" s="4" t="s">
        <v>4295</v>
      </c>
    </row>
    <row r="249" customFormat="false" ht="15" hidden="false" customHeight="false" outlineLevel="0" collapsed="false">
      <c r="A249" s="4" t="n">
        <v>246</v>
      </c>
      <c r="B249" s="4" t="s">
        <v>100</v>
      </c>
      <c r="C249" s="4" t="s">
        <v>4528</v>
      </c>
      <c r="D249" s="4" t="s">
        <v>4295</v>
      </c>
    </row>
    <row r="250" customFormat="false" ht="15" hidden="false" customHeight="false" outlineLevel="0" collapsed="false">
      <c r="A250" s="4" t="n">
        <v>247</v>
      </c>
      <c r="B250" s="4" t="s">
        <v>102</v>
      </c>
      <c r="C250" s="4" t="s">
        <v>4529</v>
      </c>
      <c r="D250" s="4" t="s">
        <v>4295</v>
      </c>
    </row>
    <row r="251" customFormat="false" ht="15" hidden="false" customHeight="false" outlineLevel="0" collapsed="false">
      <c r="A251" s="4" t="n">
        <v>248</v>
      </c>
      <c r="B251" s="4" t="s">
        <v>101</v>
      </c>
      <c r="C251" s="4" t="s">
        <v>4530</v>
      </c>
      <c r="D251" s="4" t="s">
        <v>4295</v>
      </c>
    </row>
    <row r="252" customFormat="false" ht="15" hidden="false" customHeight="false" outlineLevel="0" collapsed="false">
      <c r="A252" s="4" t="n">
        <v>249</v>
      </c>
      <c r="B252" s="4" t="s">
        <v>103</v>
      </c>
      <c r="C252" s="4" t="s">
        <v>4531</v>
      </c>
      <c r="D252" s="4" t="s">
        <v>4356</v>
      </c>
    </row>
    <row r="253" customFormat="false" ht="15" hidden="false" customHeight="false" outlineLevel="0" collapsed="false">
      <c r="A253" s="4" t="n">
        <v>250</v>
      </c>
      <c r="B253" s="4" t="s">
        <v>103</v>
      </c>
      <c r="C253" s="4" t="s">
        <v>4531</v>
      </c>
      <c r="D253" s="4" t="s">
        <v>4356</v>
      </c>
    </row>
    <row r="254" customFormat="false" ht="15" hidden="false" customHeight="false" outlineLevel="0" collapsed="false">
      <c r="A254" s="4" t="n">
        <v>251</v>
      </c>
      <c r="B254" s="4" t="s">
        <v>103</v>
      </c>
      <c r="C254" s="4" t="s">
        <v>4531</v>
      </c>
      <c r="D254" s="4" t="s">
        <v>4295</v>
      </c>
    </row>
    <row r="255" customFormat="false" ht="15" hidden="false" customHeight="false" outlineLevel="0" collapsed="false">
      <c r="A255" s="4" t="n">
        <v>252</v>
      </c>
      <c r="B255" s="4" t="s">
        <v>100</v>
      </c>
      <c r="C255" s="4" t="s">
        <v>4532</v>
      </c>
      <c r="D255" s="4" t="s">
        <v>4295</v>
      </c>
    </row>
    <row r="256" customFormat="false" ht="15" hidden="false" customHeight="false" outlineLevel="0" collapsed="false">
      <c r="A256" s="4" t="n">
        <v>253</v>
      </c>
      <c r="B256" s="4" t="s">
        <v>99</v>
      </c>
      <c r="C256" s="4" t="s">
        <v>4533</v>
      </c>
      <c r="D256" s="4" t="s">
        <v>4295</v>
      </c>
    </row>
    <row r="257" customFormat="false" ht="15" hidden="false" customHeight="false" outlineLevel="0" collapsed="false">
      <c r="A257" s="4" t="n">
        <v>254</v>
      </c>
      <c r="B257" s="4" t="s">
        <v>101</v>
      </c>
      <c r="C257" s="4" t="s">
        <v>4534</v>
      </c>
      <c r="D257" s="4" t="s">
        <v>4295</v>
      </c>
    </row>
    <row r="258" customFormat="false" ht="15" hidden="false" customHeight="false" outlineLevel="0" collapsed="false">
      <c r="A258" s="4" t="n">
        <v>255</v>
      </c>
      <c r="B258" s="4" t="s">
        <v>104</v>
      </c>
      <c r="C258" s="4" t="s">
        <v>4535</v>
      </c>
      <c r="D258" s="4" t="s">
        <v>4295</v>
      </c>
    </row>
    <row r="259" customFormat="false" ht="15" hidden="false" customHeight="false" outlineLevel="0" collapsed="false">
      <c r="A259" s="4" t="n">
        <v>256</v>
      </c>
      <c r="B259" s="4" t="s">
        <v>102</v>
      </c>
      <c r="C259" s="4" t="s">
        <v>4536</v>
      </c>
      <c r="D259" s="4" t="s">
        <v>4295</v>
      </c>
    </row>
    <row r="260" customFormat="false" ht="15" hidden="false" customHeight="false" outlineLevel="0" collapsed="false">
      <c r="A260" s="4" t="n">
        <v>257</v>
      </c>
      <c r="B260" s="4" t="s">
        <v>100</v>
      </c>
      <c r="C260" s="4" t="s">
        <v>4537</v>
      </c>
      <c r="D260" s="4" t="s">
        <v>4295</v>
      </c>
    </row>
    <row r="261" customFormat="false" ht="15" hidden="false" customHeight="false" outlineLevel="0" collapsed="false">
      <c r="A261" s="4" t="n">
        <v>258</v>
      </c>
      <c r="B261" s="4" t="s">
        <v>103</v>
      </c>
      <c r="C261" s="4" t="s">
        <v>4538</v>
      </c>
      <c r="D261" s="4" t="s">
        <v>4356</v>
      </c>
    </row>
    <row r="262" customFormat="false" ht="15" hidden="false" customHeight="false" outlineLevel="0" collapsed="false">
      <c r="A262" s="4" t="n">
        <v>259</v>
      </c>
      <c r="B262" s="4" t="s">
        <v>103</v>
      </c>
      <c r="C262" s="4" t="s">
        <v>4538</v>
      </c>
      <c r="D262" s="4" t="s">
        <v>4356</v>
      </c>
    </row>
    <row r="263" customFormat="false" ht="15" hidden="false" customHeight="false" outlineLevel="0" collapsed="false">
      <c r="A263" s="4" t="n">
        <v>260</v>
      </c>
      <c r="B263" s="4" t="s">
        <v>103</v>
      </c>
      <c r="C263" s="4" t="s">
        <v>4538</v>
      </c>
      <c r="D263" s="4" t="s">
        <v>4295</v>
      </c>
    </row>
    <row r="264" customFormat="false" ht="15" hidden="false" customHeight="false" outlineLevel="0" collapsed="false">
      <c r="A264" s="4" t="n">
        <v>261</v>
      </c>
      <c r="B264" s="4" t="s">
        <v>101</v>
      </c>
      <c r="C264" s="4" t="s">
        <v>4539</v>
      </c>
      <c r="D264" s="4" t="s">
        <v>4295</v>
      </c>
    </row>
    <row r="265" customFormat="false" ht="15" hidden="false" customHeight="false" outlineLevel="0" collapsed="false">
      <c r="A265" s="4" t="n">
        <v>262</v>
      </c>
      <c r="B265" s="4" t="s">
        <v>100</v>
      </c>
      <c r="C265" s="4" t="s">
        <v>4540</v>
      </c>
      <c r="D265" s="4" t="s">
        <v>4295</v>
      </c>
    </row>
    <row r="266" customFormat="false" ht="15" hidden="false" customHeight="false" outlineLevel="0" collapsed="false">
      <c r="A266" s="4" t="n">
        <v>263</v>
      </c>
      <c r="B266" s="4" t="s">
        <v>102</v>
      </c>
      <c r="C266" s="4" t="s">
        <v>4541</v>
      </c>
      <c r="D266" s="4" t="s">
        <v>4295</v>
      </c>
    </row>
    <row r="267" customFormat="false" ht="15" hidden="false" customHeight="false" outlineLevel="0" collapsed="false">
      <c r="A267" s="4" t="n">
        <v>264</v>
      </c>
      <c r="B267" s="4" t="s">
        <v>101</v>
      </c>
      <c r="C267" s="4" t="s">
        <v>4542</v>
      </c>
      <c r="D267" s="4" t="s">
        <v>4295</v>
      </c>
    </row>
    <row r="268" customFormat="false" ht="15" hidden="false" customHeight="false" outlineLevel="0" collapsed="false">
      <c r="A268" s="4" t="n">
        <v>265</v>
      </c>
      <c r="B268" s="4" t="s">
        <v>103</v>
      </c>
      <c r="C268" s="4" t="s">
        <v>4543</v>
      </c>
      <c r="D268" s="4" t="s">
        <v>4295</v>
      </c>
    </row>
    <row r="269" customFormat="false" ht="15" hidden="false" customHeight="false" outlineLevel="0" collapsed="false">
      <c r="A269" s="4" t="n">
        <v>266</v>
      </c>
      <c r="B269" s="4" t="s">
        <v>100</v>
      </c>
      <c r="C269" s="4" t="s">
        <v>4544</v>
      </c>
      <c r="D269" s="4" t="s">
        <v>4295</v>
      </c>
    </row>
    <row r="270" customFormat="false" ht="15" hidden="false" customHeight="false" outlineLevel="0" collapsed="false">
      <c r="A270" s="4" t="n">
        <v>267</v>
      </c>
      <c r="B270" s="4" t="s">
        <v>101</v>
      </c>
      <c r="C270" s="4" t="s">
        <v>4545</v>
      </c>
      <c r="D270" s="4" t="s">
        <v>4295</v>
      </c>
    </row>
    <row r="271" customFormat="false" ht="15" hidden="false" customHeight="false" outlineLevel="0" collapsed="false">
      <c r="A271" s="4" t="n">
        <v>268</v>
      </c>
      <c r="B271" s="4" t="s">
        <v>104</v>
      </c>
      <c r="C271" s="4" t="s">
        <v>4546</v>
      </c>
      <c r="D271" s="4" t="s">
        <v>4295</v>
      </c>
    </row>
    <row r="272" customFormat="false" ht="15" hidden="false" customHeight="false" outlineLevel="0" collapsed="false">
      <c r="A272" s="4" t="n">
        <v>269</v>
      </c>
      <c r="B272" s="4" t="s">
        <v>102</v>
      </c>
      <c r="C272" s="4" t="s">
        <v>4547</v>
      </c>
      <c r="D272" s="4" t="s">
        <v>4295</v>
      </c>
    </row>
    <row r="273" customFormat="false" ht="15" hidden="false" customHeight="false" outlineLevel="0" collapsed="false">
      <c r="A273" s="4" t="n">
        <v>270</v>
      </c>
      <c r="B273" s="4" t="s">
        <v>100</v>
      </c>
      <c r="C273" s="4" t="s">
        <v>4548</v>
      </c>
      <c r="D273" s="4" t="s">
        <v>4295</v>
      </c>
    </row>
    <row r="274" customFormat="false" ht="15" hidden="false" customHeight="false" outlineLevel="0" collapsed="false">
      <c r="A274" s="4" t="n">
        <v>271</v>
      </c>
      <c r="B274" s="4" t="s">
        <v>103</v>
      </c>
      <c r="C274" s="4" t="s">
        <v>4549</v>
      </c>
      <c r="D274" s="4" t="s">
        <v>4295</v>
      </c>
    </row>
    <row r="275" customFormat="false" ht="15" hidden="false" customHeight="false" outlineLevel="0" collapsed="false">
      <c r="A275" s="4" t="n">
        <v>272</v>
      </c>
      <c r="B275" s="4" t="s">
        <v>101</v>
      </c>
      <c r="C275" s="4" t="s">
        <v>4550</v>
      </c>
      <c r="D275" s="4" t="s">
        <v>4295</v>
      </c>
    </row>
    <row r="276" customFormat="false" ht="15" hidden="false" customHeight="false" outlineLevel="0" collapsed="false">
      <c r="A276" s="4" t="n">
        <v>273</v>
      </c>
      <c r="B276" s="4" t="s">
        <v>100</v>
      </c>
      <c r="C276" s="4" t="s">
        <v>4551</v>
      </c>
      <c r="D276" s="4" t="s">
        <v>4295</v>
      </c>
    </row>
    <row r="277" customFormat="false" ht="15" hidden="false" customHeight="false" outlineLevel="0" collapsed="false">
      <c r="A277" s="4" t="n">
        <v>274</v>
      </c>
      <c r="B277" s="4" t="s">
        <v>102</v>
      </c>
      <c r="C277" s="4" t="s">
        <v>4552</v>
      </c>
      <c r="D277" s="4" t="s">
        <v>4295</v>
      </c>
    </row>
    <row r="278" customFormat="false" ht="15" hidden="false" customHeight="false" outlineLevel="0" collapsed="false">
      <c r="A278" s="4" t="n">
        <v>275</v>
      </c>
      <c r="B278" s="4" t="s">
        <v>101</v>
      </c>
      <c r="C278" s="4" t="s">
        <v>4553</v>
      </c>
      <c r="D278" s="4" t="s">
        <v>4295</v>
      </c>
    </row>
    <row r="279" customFormat="false" ht="15" hidden="false" customHeight="false" outlineLevel="0" collapsed="false">
      <c r="A279" s="4" t="n">
        <v>276</v>
      </c>
      <c r="B279" s="4" t="s">
        <v>103</v>
      </c>
      <c r="C279" s="4" t="s">
        <v>4554</v>
      </c>
      <c r="D279" s="4" t="s">
        <v>4295</v>
      </c>
    </row>
    <row r="280" customFormat="false" ht="15" hidden="false" customHeight="false" outlineLevel="0" collapsed="false">
      <c r="A280" s="4" t="n">
        <v>277</v>
      </c>
      <c r="B280" s="4" t="s">
        <v>100</v>
      </c>
      <c r="C280" s="4" t="s">
        <v>4555</v>
      </c>
      <c r="D280" s="4" t="s">
        <v>4295</v>
      </c>
    </row>
    <row r="281" customFormat="false" ht="15" hidden="false" customHeight="false" outlineLevel="0" collapsed="false">
      <c r="A281" s="4" t="n">
        <v>278</v>
      </c>
      <c r="B281" s="4" t="s">
        <v>99</v>
      </c>
      <c r="C281" s="4" t="s">
        <v>4556</v>
      </c>
      <c r="D281" s="4" t="s">
        <v>4295</v>
      </c>
    </row>
    <row r="282" customFormat="false" ht="15" hidden="false" customHeight="false" outlineLevel="0" collapsed="false">
      <c r="A282" s="4" t="n">
        <v>279</v>
      </c>
      <c r="B282" s="4" t="s">
        <v>101</v>
      </c>
      <c r="C282" s="4" t="s">
        <v>4557</v>
      </c>
      <c r="D282" s="4" t="s">
        <v>4295</v>
      </c>
    </row>
    <row r="283" customFormat="false" ht="15" hidden="false" customHeight="false" outlineLevel="0" collapsed="false">
      <c r="A283" s="4" t="n">
        <v>280</v>
      </c>
      <c r="B283" s="4" t="s">
        <v>104</v>
      </c>
      <c r="C283" s="4" t="s">
        <v>4558</v>
      </c>
      <c r="D283" s="4" t="s">
        <v>4295</v>
      </c>
    </row>
    <row r="284" customFormat="false" ht="15" hidden="false" customHeight="false" outlineLevel="0" collapsed="false">
      <c r="A284" s="4" t="n">
        <v>281</v>
      </c>
      <c r="B284" s="4" t="s">
        <v>102</v>
      </c>
      <c r="C284" s="4" t="s">
        <v>4559</v>
      </c>
      <c r="D284" s="4" t="s">
        <v>4295</v>
      </c>
    </row>
    <row r="285" customFormat="false" ht="15" hidden="false" customHeight="false" outlineLevel="0" collapsed="false">
      <c r="A285" s="4" t="n">
        <v>282</v>
      </c>
      <c r="B285" s="4" t="s">
        <v>100</v>
      </c>
      <c r="C285" s="4" t="s">
        <v>4560</v>
      </c>
      <c r="D285" s="4" t="s">
        <v>4295</v>
      </c>
    </row>
    <row r="286" customFormat="false" ht="15" hidden="false" customHeight="false" outlineLevel="0" collapsed="false">
      <c r="A286" s="4" t="n">
        <v>283</v>
      </c>
      <c r="B286" s="4" t="s">
        <v>103</v>
      </c>
      <c r="C286" s="4" t="s">
        <v>4561</v>
      </c>
      <c r="D286" s="4" t="s">
        <v>4356</v>
      </c>
    </row>
    <row r="287" customFormat="false" ht="15" hidden="false" customHeight="false" outlineLevel="0" collapsed="false">
      <c r="A287" s="4" t="n">
        <v>284</v>
      </c>
      <c r="B287" s="4" t="s">
        <v>103</v>
      </c>
      <c r="C287" s="4" t="s">
        <v>4561</v>
      </c>
      <c r="D287" s="4" t="s">
        <v>4295</v>
      </c>
    </row>
    <row r="288" customFormat="false" ht="15" hidden="false" customHeight="false" outlineLevel="0" collapsed="false">
      <c r="A288" s="4" t="n">
        <v>285</v>
      </c>
      <c r="B288" s="4" t="s">
        <v>101</v>
      </c>
      <c r="C288" s="4" t="s">
        <v>4562</v>
      </c>
      <c r="D288" s="4" t="s">
        <v>4295</v>
      </c>
    </row>
    <row r="289" customFormat="false" ht="15" hidden="false" customHeight="false" outlineLevel="0" collapsed="false">
      <c r="A289" s="4" t="n">
        <v>286</v>
      </c>
      <c r="B289" s="4" t="s">
        <v>100</v>
      </c>
      <c r="C289" s="4" t="s">
        <v>4563</v>
      </c>
      <c r="D289" s="4" t="s">
        <v>4295</v>
      </c>
    </row>
    <row r="290" customFormat="false" ht="15" hidden="false" customHeight="false" outlineLevel="0" collapsed="false">
      <c r="A290" s="4" t="n">
        <v>287</v>
      </c>
      <c r="B290" s="4" t="s">
        <v>102</v>
      </c>
      <c r="C290" s="4" t="s">
        <v>4564</v>
      </c>
      <c r="D290" s="4" t="s">
        <v>4295</v>
      </c>
    </row>
    <row r="291" customFormat="false" ht="15" hidden="false" customHeight="false" outlineLevel="0" collapsed="false">
      <c r="A291" s="4" t="n">
        <v>288</v>
      </c>
      <c r="B291" s="4" t="s">
        <v>101</v>
      </c>
      <c r="C291" s="4" t="s">
        <v>4565</v>
      </c>
      <c r="D291" s="4" t="s">
        <v>4295</v>
      </c>
    </row>
    <row r="292" customFormat="false" ht="15" hidden="false" customHeight="false" outlineLevel="0" collapsed="false">
      <c r="A292" s="4" t="n">
        <v>289</v>
      </c>
      <c r="B292" s="4" t="s">
        <v>103</v>
      </c>
      <c r="C292" s="4" t="s">
        <v>4566</v>
      </c>
      <c r="D292" s="4" t="s">
        <v>4295</v>
      </c>
    </row>
    <row r="293" customFormat="false" ht="15" hidden="false" customHeight="false" outlineLevel="0" collapsed="false">
      <c r="A293" s="4" t="n">
        <v>290</v>
      </c>
      <c r="B293" s="4" t="s">
        <v>100</v>
      </c>
      <c r="C293" s="4" t="s">
        <v>4567</v>
      </c>
      <c r="D293" s="4" t="s">
        <v>4295</v>
      </c>
    </row>
    <row r="294" customFormat="false" ht="15" hidden="false" customHeight="false" outlineLevel="0" collapsed="false">
      <c r="A294" s="4" t="n">
        <v>291</v>
      </c>
      <c r="B294" s="4" t="s">
        <v>101</v>
      </c>
      <c r="C294" s="4" t="s">
        <v>4568</v>
      </c>
      <c r="D294" s="4" t="s">
        <v>4295</v>
      </c>
    </row>
    <row r="295" customFormat="false" ht="15" hidden="false" customHeight="false" outlineLevel="0" collapsed="false">
      <c r="A295" s="4" t="n">
        <v>292</v>
      </c>
      <c r="B295" s="4" t="s">
        <v>104</v>
      </c>
      <c r="C295" s="4" t="s">
        <v>4569</v>
      </c>
      <c r="D295" s="4" t="s">
        <v>4295</v>
      </c>
    </row>
    <row r="296" customFormat="false" ht="15" hidden="false" customHeight="false" outlineLevel="0" collapsed="false">
      <c r="A296" s="4" t="n">
        <v>293</v>
      </c>
      <c r="B296" s="4" t="s">
        <v>102</v>
      </c>
      <c r="C296" s="4" t="s">
        <v>4570</v>
      </c>
      <c r="D296" s="4" t="s">
        <v>4295</v>
      </c>
    </row>
    <row r="297" customFormat="false" ht="15" hidden="false" customHeight="false" outlineLevel="0" collapsed="false">
      <c r="A297" s="4" t="n">
        <v>294</v>
      </c>
      <c r="B297" s="4" t="s">
        <v>100</v>
      </c>
      <c r="C297" s="4" t="s">
        <v>4571</v>
      </c>
      <c r="D297" s="4" t="s">
        <v>4295</v>
      </c>
    </row>
    <row r="298" customFormat="false" ht="15" hidden="false" customHeight="false" outlineLevel="0" collapsed="false">
      <c r="A298" s="4" t="n">
        <v>295</v>
      </c>
      <c r="B298" s="4" t="s">
        <v>103</v>
      </c>
      <c r="C298" s="4" t="s">
        <v>4572</v>
      </c>
      <c r="D298" s="4" t="s">
        <v>4295</v>
      </c>
    </row>
    <row r="299" customFormat="false" ht="15" hidden="false" customHeight="false" outlineLevel="0" collapsed="false">
      <c r="A299" s="4" t="n">
        <v>296</v>
      </c>
      <c r="B299" s="4" t="s">
        <v>101</v>
      </c>
      <c r="C299" s="4" t="s">
        <v>4573</v>
      </c>
      <c r="D299" s="4" t="s">
        <v>4295</v>
      </c>
    </row>
    <row r="300" customFormat="false" ht="15" hidden="false" customHeight="false" outlineLevel="0" collapsed="false">
      <c r="A300" s="4" t="n">
        <v>297</v>
      </c>
      <c r="B300" s="4" t="s">
        <v>100</v>
      </c>
      <c r="C300" s="4" t="s">
        <v>4574</v>
      </c>
      <c r="D300" s="4" t="s">
        <v>4295</v>
      </c>
    </row>
    <row r="301" customFormat="false" ht="15" hidden="false" customHeight="false" outlineLevel="0" collapsed="false">
      <c r="A301" s="4" t="n">
        <v>298</v>
      </c>
      <c r="B301" s="4" t="s">
        <v>102</v>
      </c>
      <c r="C301" s="4" t="s">
        <v>4575</v>
      </c>
      <c r="D301" s="4" t="s">
        <v>4295</v>
      </c>
    </row>
    <row r="302" customFormat="false" ht="15" hidden="false" customHeight="false" outlineLevel="0" collapsed="false">
      <c r="A302" s="4" t="n">
        <v>299</v>
      </c>
      <c r="B302" s="4" t="s">
        <v>101</v>
      </c>
      <c r="C302" s="4" t="s">
        <v>4576</v>
      </c>
      <c r="D302" s="4" t="s">
        <v>4295</v>
      </c>
    </row>
    <row r="303" customFormat="false" ht="15" hidden="false" customHeight="false" outlineLevel="0" collapsed="false">
      <c r="A303" s="4" t="n">
        <v>300</v>
      </c>
      <c r="B303" s="4" t="s">
        <v>103</v>
      </c>
      <c r="C303" s="4" t="s">
        <v>4577</v>
      </c>
      <c r="D303" s="4" t="s">
        <v>4295</v>
      </c>
    </row>
    <row r="304" customFormat="false" ht="15" hidden="false" customHeight="false" outlineLevel="0" collapsed="false">
      <c r="A304" s="4" t="n">
        <v>301</v>
      </c>
      <c r="B304" s="4" t="s">
        <v>100</v>
      </c>
      <c r="C304" s="4" t="s">
        <v>4578</v>
      </c>
      <c r="D304" s="4" t="s">
        <v>4295</v>
      </c>
    </row>
    <row r="305" customFormat="false" ht="15" hidden="false" customHeight="false" outlineLevel="0" collapsed="false">
      <c r="A305" s="4" t="n">
        <v>302</v>
      </c>
      <c r="B305" s="4" t="s">
        <v>99</v>
      </c>
      <c r="C305" s="4" t="s">
        <v>4579</v>
      </c>
      <c r="D305" s="4" t="s">
        <v>4295</v>
      </c>
    </row>
    <row r="306" customFormat="false" ht="15" hidden="false" customHeight="false" outlineLevel="0" collapsed="false">
      <c r="A306" s="4" t="n">
        <v>303</v>
      </c>
      <c r="B306" s="4" t="s">
        <v>104</v>
      </c>
      <c r="C306" s="4" t="s">
        <v>4580</v>
      </c>
      <c r="D306" s="4" t="s">
        <v>4462</v>
      </c>
    </row>
    <row r="307" customFormat="false" ht="15" hidden="false" customHeight="false" outlineLevel="0" collapsed="false">
      <c r="A307" s="4" t="n">
        <v>304</v>
      </c>
      <c r="B307" s="4" t="s">
        <v>101</v>
      </c>
      <c r="C307" s="4" t="s">
        <v>4581</v>
      </c>
      <c r="D307" s="4" t="s">
        <v>4295</v>
      </c>
    </row>
    <row r="308" customFormat="false" ht="15" hidden="false" customHeight="false" outlineLevel="0" collapsed="false">
      <c r="A308" s="4" t="n">
        <v>305</v>
      </c>
      <c r="B308" s="4" t="s">
        <v>104</v>
      </c>
      <c r="C308" s="4" t="s">
        <v>4582</v>
      </c>
      <c r="D308" s="4" t="s">
        <v>4462</v>
      </c>
    </row>
    <row r="309" customFormat="false" ht="15" hidden="false" customHeight="false" outlineLevel="0" collapsed="false">
      <c r="A309" s="4" t="n">
        <v>306</v>
      </c>
      <c r="B309" s="4" t="s">
        <v>102</v>
      </c>
      <c r="C309" s="4" t="s">
        <v>4583</v>
      </c>
      <c r="D309" s="4" t="s">
        <v>4295</v>
      </c>
    </row>
    <row r="310" customFormat="false" ht="15" hidden="false" customHeight="false" outlineLevel="0" collapsed="false">
      <c r="A310" s="4" t="n">
        <v>307</v>
      </c>
      <c r="B310" s="4" t="s">
        <v>100</v>
      </c>
      <c r="C310" s="4" t="s">
        <v>4584</v>
      </c>
      <c r="D310" s="4" t="s">
        <v>4295</v>
      </c>
    </row>
    <row r="311" customFormat="false" ht="15" hidden="false" customHeight="false" outlineLevel="0" collapsed="false">
      <c r="A311" s="4" t="n">
        <v>308</v>
      </c>
      <c r="B311" s="4" t="s">
        <v>103</v>
      </c>
      <c r="C311" s="4" t="s">
        <v>4585</v>
      </c>
      <c r="D311" s="4" t="s">
        <v>4295</v>
      </c>
    </row>
    <row r="312" customFormat="false" ht="15" hidden="false" customHeight="false" outlineLevel="0" collapsed="false">
      <c r="A312" s="4" t="n">
        <v>309</v>
      </c>
      <c r="B312" s="4" t="s">
        <v>101</v>
      </c>
      <c r="C312" s="4" t="s">
        <v>4586</v>
      </c>
      <c r="D312" s="4" t="s">
        <v>4295</v>
      </c>
    </row>
    <row r="313" customFormat="false" ht="15" hidden="false" customHeight="false" outlineLevel="0" collapsed="false">
      <c r="A313" s="4" t="n">
        <v>310</v>
      </c>
      <c r="B313" s="4" t="s">
        <v>102</v>
      </c>
      <c r="C313" s="4" t="s">
        <v>4587</v>
      </c>
      <c r="D313" s="4" t="s">
        <v>4295</v>
      </c>
    </row>
    <row r="314" customFormat="false" ht="15" hidden="false" customHeight="false" outlineLevel="0" collapsed="false">
      <c r="A314" s="4" t="n">
        <v>311</v>
      </c>
      <c r="B314" s="4" t="s">
        <v>101</v>
      </c>
      <c r="C314" s="4" t="s">
        <v>4588</v>
      </c>
      <c r="D314" s="4" t="s">
        <v>4295</v>
      </c>
    </row>
    <row r="315" customFormat="false" ht="15" hidden="false" customHeight="false" outlineLevel="0" collapsed="false">
      <c r="A315" s="4" t="n">
        <v>312</v>
      </c>
      <c r="B315" s="4" t="s">
        <v>100</v>
      </c>
      <c r="C315" s="4" t="s">
        <v>4589</v>
      </c>
      <c r="D315" s="4" t="s">
        <v>4295</v>
      </c>
    </row>
    <row r="316" customFormat="false" ht="15" hidden="false" customHeight="false" outlineLevel="0" collapsed="false">
      <c r="A316" s="4" t="n">
        <v>313</v>
      </c>
      <c r="B316" s="4" t="s">
        <v>103</v>
      </c>
      <c r="C316" s="4" t="s">
        <v>4590</v>
      </c>
      <c r="D316" s="4" t="s">
        <v>4295</v>
      </c>
    </row>
    <row r="317" customFormat="false" ht="15" hidden="false" customHeight="false" outlineLevel="0" collapsed="false">
      <c r="A317" s="4" t="n">
        <v>314</v>
      </c>
      <c r="B317" s="4" t="s">
        <v>100</v>
      </c>
      <c r="C317" s="4" t="s">
        <v>4591</v>
      </c>
      <c r="D317" s="4" t="s">
        <v>4295</v>
      </c>
    </row>
    <row r="318" customFormat="false" ht="15" hidden="false" customHeight="false" outlineLevel="0" collapsed="false">
      <c r="A318" s="4" t="n">
        <v>315</v>
      </c>
      <c r="B318" s="4" t="s">
        <v>101</v>
      </c>
      <c r="C318" s="4" t="s">
        <v>4592</v>
      </c>
      <c r="D318" s="4" t="s">
        <v>4295</v>
      </c>
    </row>
    <row r="319" customFormat="false" ht="15" hidden="false" customHeight="false" outlineLevel="0" collapsed="false">
      <c r="A319" s="4" t="n">
        <v>316</v>
      </c>
      <c r="B319" s="4" t="s">
        <v>104</v>
      </c>
      <c r="C319" s="4" t="s">
        <v>4593</v>
      </c>
      <c r="D319" s="4" t="s">
        <v>4295</v>
      </c>
    </row>
    <row r="320" customFormat="false" ht="15" hidden="false" customHeight="false" outlineLevel="0" collapsed="false">
      <c r="A320" s="4" t="n">
        <v>317</v>
      </c>
      <c r="B320" s="4" t="s">
        <v>102</v>
      </c>
      <c r="C320" s="4" t="s">
        <v>4594</v>
      </c>
      <c r="D320" s="4" t="s">
        <v>4295</v>
      </c>
    </row>
    <row r="321" customFormat="false" ht="15" hidden="false" customHeight="false" outlineLevel="0" collapsed="false">
      <c r="A321" s="4" t="n">
        <v>318</v>
      </c>
      <c r="B321" s="4" t="s">
        <v>100</v>
      </c>
      <c r="C321" s="4" t="s">
        <v>4595</v>
      </c>
      <c r="D321" s="4" t="s">
        <v>4295</v>
      </c>
    </row>
    <row r="322" customFormat="false" ht="15" hidden="false" customHeight="false" outlineLevel="0" collapsed="false">
      <c r="A322" s="4" t="n">
        <v>319</v>
      </c>
      <c r="B322" s="4" t="s">
        <v>103</v>
      </c>
      <c r="C322" s="4" t="s">
        <v>4596</v>
      </c>
      <c r="D322" s="4" t="s">
        <v>4295</v>
      </c>
    </row>
    <row r="323" customFormat="false" ht="15" hidden="false" customHeight="false" outlineLevel="0" collapsed="false">
      <c r="A323" s="4" t="n">
        <v>320</v>
      </c>
      <c r="B323" s="4" t="s">
        <v>101</v>
      </c>
      <c r="C323" s="4" t="s">
        <v>4597</v>
      </c>
      <c r="D323" s="4" t="s">
        <v>4295</v>
      </c>
    </row>
    <row r="324" customFormat="false" ht="15" hidden="false" customHeight="false" outlineLevel="0" collapsed="false">
      <c r="A324" s="4" t="n">
        <v>321</v>
      </c>
      <c r="B324" s="4" t="s">
        <v>100</v>
      </c>
      <c r="C324" s="4" t="s">
        <v>4598</v>
      </c>
      <c r="D324" s="4" t="s">
        <v>4295</v>
      </c>
    </row>
    <row r="325" customFormat="false" ht="15" hidden="false" customHeight="false" outlineLevel="0" collapsed="false">
      <c r="A325" s="4" t="n">
        <v>322</v>
      </c>
      <c r="B325" s="4" t="s">
        <v>102</v>
      </c>
      <c r="C325" s="4" t="s">
        <v>4599</v>
      </c>
      <c r="D325" s="4" t="s">
        <v>4295</v>
      </c>
    </row>
    <row r="326" customFormat="false" ht="15" hidden="false" customHeight="false" outlineLevel="0" collapsed="false">
      <c r="A326" s="4" t="n">
        <v>323</v>
      </c>
      <c r="B326" s="4" t="s">
        <v>101</v>
      </c>
      <c r="C326" s="4" t="s">
        <v>4600</v>
      </c>
      <c r="D326" s="4" t="s">
        <v>4295</v>
      </c>
    </row>
    <row r="327" customFormat="false" ht="15" hidden="false" customHeight="false" outlineLevel="0" collapsed="false">
      <c r="A327" s="4" t="n">
        <v>324</v>
      </c>
      <c r="B327" s="4" t="s">
        <v>103</v>
      </c>
      <c r="C327" s="4" t="s">
        <v>4601</v>
      </c>
      <c r="D327" s="4" t="s">
        <v>4295</v>
      </c>
    </row>
    <row r="328" customFormat="false" ht="15" hidden="false" customHeight="false" outlineLevel="0" collapsed="false">
      <c r="A328" s="4" t="n">
        <v>325</v>
      </c>
      <c r="B328" s="4" t="s">
        <v>100</v>
      </c>
      <c r="C328" s="4" t="s">
        <v>4602</v>
      </c>
      <c r="D328" s="4" t="s">
        <v>4295</v>
      </c>
    </row>
    <row r="329" customFormat="false" ht="15" hidden="false" customHeight="false" outlineLevel="0" collapsed="false">
      <c r="A329" s="4" t="n">
        <v>326</v>
      </c>
      <c r="B329" s="4" t="s">
        <v>99</v>
      </c>
      <c r="C329" s="4" t="s">
        <v>4603</v>
      </c>
      <c r="D329" s="4" t="s">
        <v>4295</v>
      </c>
    </row>
    <row r="330" customFormat="false" ht="15" hidden="false" customHeight="false" outlineLevel="0" collapsed="false">
      <c r="A330" s="4" t="n">
        <v>327</v>
      </c>
      <c r="B330" s="4" t="s">
        <v>101</v>
      </c>
      <c r="C330" s="4" t="s">
        <v>4604</v>
      </c>
      <c r="D330" s="4" t="s">
        <v>4295</v>
      </c>
    </row>
    <row r="331" customFormat="false" ht="15" hidden="false" customHeight="false" outlineLevel="0" collapsed="false">
      <c r="A331" s="4" t="n">
        <v>328</v>
      </c>
      <c r="B331" s="4" t="s">
        <v>104</v>
      </c>
      <c r="C331" s="4" t="s">
        <v>4605</v>
      </c>
      <c r="D331" s="4" t="s">
        <v>4295</v>
      </c>
    </row>
    <row r="332" customFormat="false" ht="15" hidden="false" customHeight="false" outlineLevel="0" collapsed="false">
      <c r="A332" s="4" t="n">
        <v>329</v>
      </c>
      <c r="B332" s="4" t="s">
        <v>102</v>
      </c>
      <c r="C332" s="4" t="s">
        <v>4606</v>
      </c>
      <c r="D332" s="4" t="s">
        <v>4295</v>
      </c>
    </row>
    <row r="333" customFormat="false" ht="15" hidden="false" customHeight="false" outlineLevel="0" collapsed="false">
      <c r="A333" s="4" t="n">
        <v>330</v>
      </c>
      <c r="B333" s="4" t="s">
        <v>100</v>
      </c>
      <c r="C333" s="4" t="s">
        <v>4607</v>
      </c>
      <c r="D333" s="4" t="s">
        <v>4295</v>
      </c>
    </row>
    <row r="334" customFormat="false" ht="15" hidden="false" customHeight="false" outlineLevel="0" collapsed="false">
      <c r="A334" s="4" t="n">
        <v>331</v>
      </c>
      <c r="B334" s="4" t="s">
        <v>103</v>
      </c>
      <c r="C334" s="4" t="s">
        <v>4608</v>
      </c>
      <c r="D334" s="4" t="s">
        <v>4295</v>
      </c>
    </row>
    <row r="335" customFormat="false" ht="15" hidden="false" customHeight="false" outlineLevel="0" collapsed="false">
      <c r="A335" s="4" t="n">
        <v>332</v>
      </c>
      <c r="B335" s="4" t="s">
        <v>101</v>
      </c>
      <c r="C335" s="4" t="s">
        <v>4609</v>
      </c>
      <c r="D335" s="4" t="s">
        <v>4295</v>
      </c>
    </row>
    <row r="336" customFormat="false" ht="15" hidden="false" customHeight="false" outlineLevel="0" collapsed="false">
      <c r="A336" s="4" t="n">
        <v>333</v>
      </c>
      <c r="B336" s="4" t="s">
        <v>100</v>
      </c>
      <c r="C336" s="4" t="s">
        <v>4610</v>
      </c>
      <c r="D336" s="4" t="s">
        <v>4295</v>
      </c>
    </row>
    <row r="337" customFormat="false" ht="15" hidden="false" customHeight="false" outlineLevel="0" collapsed="false">
      <c r="A337" s="4" t="n">
        <v>334</v>
      </c>
      <c r="B337" s="4" t="s">
        <v>102</v>
      </c>
      <c r="C337" s="4" t="s">
        <v>4611</v>
      </c>
      <c r="D337" s="4" t="s">
        <v>4295</v>
      </c>
    </row>
    <row r="338" customFormat="false" ht="15" hidden="false" customHeight="false" outlineLevel="0" collapsed="false">
      <c r="A338" s="4" t="n">
        <v>335</v>
      </c>
      <c r="B338" s="4" t="s">
        <v>101</v>
      </c>
      <c r="C338" s="4" t="s">
        <v>4612</v>
      </c>
      <c r="D338" s="4" t="s">
        <v>4295</v>
      </c>
    </row>
    <row r="339" customFormat="false" ht="15" hidden="false" customHeight="false" outlineLevel="0" collapsed="false">
      <c r="A339" s="4" t="n">
        <v>336</v>
      </c>
      <c r="B339" s="4" t="s">
        <v>103</v>
      </c>
      <c r="C339" s="4" t="s">
        <v>4613</v>
      </c>
      <c r="D339" s="4" t="s">
        <v>4356</v>
      </c>
    </row>
    <row r="340" customFormat="false" ht="15" hidden="false" customHeight="false" outlineLevel="0" collapsed="false">
      <c r="A340" s="4" t="n">
        <v>337</v>
      </c>
      <c r="B340" s="4" t="s">
        <v>103</v>
      </c>
      <c r="C340" s="4" t="s">
        <v>4613</v>
      </c>
      <c r="D340" s="4" t="s">
        <v>4295</v>
      </c>
    </row>
    <row r="341" customFormat="false" ht="15" hidden="false" customHeight="false" outlineLevel="0" collapsed="false">
      <c r="A341" s="4" t="n">
        <v>338</v>
      </c>
      <c r="B341" s="4" t="s">
        <v>100</v>
      </c>
      <c r="C341" s="4" t="s">
        <v>4614</v>
      </c>
      <c r="D341" s="4" t="s">
        <v>4295</v>
      </c>
    </row>
    <row r="342" customFormat="false" ht="15" hidden="false" customHeight="false" outlineLevel="0" collapsed="false">
      <c r="A342" s="4" t="n">
        <v>339</v>
      </c>
      <c r="B342" s="4" t="s">
        <v>101</v>
      </c>
      <c r="C342" s="4" t="s">
        <v>4615</v>
      </c>
      <c r="D342" s="4" t="s">
        <v>4295</v>
      </c>
    </row>
    <row r="343" customFormat="false" ht="15" hidden="false" customHeight="false" outlineLevel="0" collapsed="false">
      <c r="A343" s="4" t="n">
        <v>340</v>
      </c>
      <c r="B343" s="4" t="s">
        <v>104</v>
      </c>
      <c r="C343" s="4" t="s">
        <v>4616</v>
      </c>
      <c r="D343" s="4" t="s">
        <v>4295</v>
      </c>
    </row>
    <row r="344" customFormat="false" ht="15" hidden="false" customHeight="false" outlineLevel="0" collapsed="false">
      <c r="A344" s="4" t="n">
        <v>341</v>
      </c>
      <c r="B344" s="4" t="s">
        <v>102</v>
      </c>
      <c r="C344" s="4" t="s">
        <v>4617</v>
      </c>
      <c r="D344" s="4" t="s">
        <v>4295</v>
      </c>
    </row>
    <row r="345" customFormat="false" ht="15" hidden="false" customHeight="false" outlineLevel="0" collapsed="false">
      <c r="A345" s="4" t="n">
        <v>342</v>
      </c>
      <c r="B345" s="4" t="s">
        <v>100</v>
      </c>
      <c r="C345" s="4" t="s">
        <v>4618</v>
      </c>
      <c r="D345" s="4" t="s">
        <v>4295</v>
      </c>
    </row>
    <row r="346" customFormat="false" ht="15" hidden="false" customHeight="false" outlineLevel="0" collapsed="false">
      <c r="A346" s="4" t="n">
        <v>343</v>
      </c>
      <c r="B346" s="4" t="s">
        <v>103</v>
      </c>
      <c r="C346" s="4" t="s">
        <v>4619</v>
      </c>
      <c r="D346" s="4" t="s">
        <v>4295</v>
      </c>
    </row>
    <row r="347" customFormat="false" ht="15" hidden="false" customHeight="false" outlineLevel="0" collapsed="false">
      <c r="A347" s="4" t="n">
        <v>344</v>
      </c>
      <c r="B347" s="4" t="s">
        <v>101</v>
      </c>
      <c r="C347" s="4" t="s">
        <v>4620</v>
      </c>
      <c r="D347" s="4" t="s">
        <v>4295</v>
      </c>
    </row>
    <row r="348" customFormat="false" ht="15" hidden="false" customHeight="false" outlineLevel="0" collapsed="false">
      <c r="A348" s="4" t="n">
        <v>345</v>
      </c>
      <c r="B348" s="4" t="s">
        <v>100</v>
      </c>
      <c r="C348" s="4" t="s">
        <v>4621</v>
      </c>
      <c r="D348" s="4" t="s">
        <v>4295</v>
      </c>
    </row>
    <row r="349" customFormat="false" ht="15" hidden="false" customHeight="false" outlineLevel="0" collapsed="false">
      <c r="A349" s="4" t="n">
        <v>346</v>
      </c>
      <c r="B349" s="4" t="s">
        <v>102</v>
      </c>
      <c r="C349" s="4" t="s">
        <v>4622</v>
      </c>
      <c r="D349" s="4" t="s">
        <v>4295</v>
      </c>
    </row>
    <row r="350" customFormat="false" ht="15" hidden="false" customHeight="false" outlineLevel="0" collapsed="false">
      <c r="A350" s="4" t="n">
        <v>347</v>
      </c>
      <c r="B350" s="4" t="s">
        <v>101</v>
      </c>
      <c r="C350" s="4" t="s">
        <v>4623</v>
      </c>
      <c r="D350" s="4" t="s">
        <v>4295</v>
      </c>
    </row>
    <row r="351" customFormat="false" ht="15" hidden="false" customHeight="false" outlineLevel="0" collapsed="false">
      <c r="A351" s="4" t="n">
        <v>348</v>
      </c>
      <c r="B351" s="4" t="s">
        <v>103</v>
      </c>
      <c r="C351" s="4" t="s">
        <v>4624</v>
      </c>
      <c r="D351" s="4" t="s">
        <v>4295</v>
      </c>
    </row>
    <row r="352" customFormat="false" ht="15" hidden="false" customHeight="false" outlineLevel="0" collapsed="false">
      <c r="A352" s="4" t="n">
        <v>349</v>
      </c>
      <c r="B352" s="4" t="s">
        <v>100</v>
      </c>
      <c r="C352" s="4" t="s">
        <v>4625</v>
      </c>
      <c r="D352" s="4" t="s">
        <v>4295</v>
      </c>
    </row>
    <row r="353" customFormat="false" ht="15" hidden="false" customHeight="false" outlineLevel="0" collapsed="false">
      <c r="A353" s="4" t="n">
        <v>350</v>
      </c>
      <c r="B353" s="4" t="s">
        <v>99</v>
      </c>
      <c r="C353" s="4" t="s">
        <v>4626</v>
      </c>
      <c r="D353" s="4" t="s">
        <v>4295</v>
      </c>
    </row>
    <row r="354" customFormat="false" ht="15" hidden="false" customHeight="false" outlineLevel="0" collapsed="false">
      <c r="A354" s="4" t="n">
        <v>351</v>
      </c>
      <c r="B354" s="4" t="s">
        <v>101</v>
      </c>
      <c r="C354" s="4" t="s">
        <v>4627</v>
      </c>
      <c r="D354" s="4" t="s">
        <v>4295</v>
      </c>
    </row>
    <row r="355" customFormat="false" ht="15" hidden="false" customHeight="false" outlineLevel="0" collapsed="false">
      <c r="A355" s="4" t="n">
        <v>352</v>
      </c>
      <c r="B355" s="4" t="s">
        <v>104</v>
      </c>
      <c r="C355" s="4" t="s">
        <v>4628</v>
      </c>
      <c r="D355" s="4" t="s">
        <v>4295</v>
      </c>
    </row>
    <row r="356" customFormat="false" ht="15" hidden="false" customHeight="false" outlineLevel="0" collapsed="false">
      <c r="A356" s="4" t="n">
        <v>353</v>
      </c>
      <c r="B356" s="4" t="s">
        <v>102</v>
      </c>
      <c r="C356" s="4" t="s">
        <v>4629</v>
      </c>
      <c r="D356" s="4" t="s">
        <v>4295</v>
      </c>
    </row>
    <row r="357" customFormat="false" ht="15" hidden="false" customHeight="false" outlineLevel="0" collapsed="false">
      <c r="A357" s="4" t="n">
        <v>354</v>
      </c>
      <c r="B357" s="4" t="s">
        <v>100</v>
      </c>
      <c r="C357" s="4" t="s">
        <v>4630</v>
      </c>
      <c r="D357" s="4" t="s">
        <v>4295</v>
      </c>
    </row>
    <row r="358" customFormat="false" ht="15" hidden="false" customHeight="false" outlineLevel="0" collapsed="false">
      <c r="A358" s="4" t="n">
        <v>355</v>
      </c>
      <c r="B358" s="4" t="s">
        <v>103</v>
      </c>
      <c r="C358" s="4" t="s">
        <v>4631</v>
      </c>
      <c r="D358" s="4" t="s">
        <v>4295</v>
      </c>
    </row>
    <row r="359" customFormat="false" ht="15" hidden="false" customHeight="false" outlineLevel="0" collapsed="false">
      <c r="A359" s="4" t="n">
        <v>356</v>
      </c>
      <c r="B359" s="4" t="s">
        <v>101</v>
      </c>
      <c r="C359" s="4" t="s">
        <v>4632</v>
      </c>
      <c r="D359" s="4" t="s">
        <v>4295</v>
      </c>
    </row>
    <row r="360" customFormat="false" ht="15" hidden="false" customHeight="false" outlineLevel="0" collapsed="false">
      <c r="A360" s="4" t="n">
        <v>357</v>
      </c>
      <c r="B360" s="4" t="s">
        <v>100</v>
      </c>
      <c r="C360" s="4" t="s">
        <v>4633</v>
      </c>
      <c r="D360" s="4" t="s">
        <v>4295</v>
      </c>
    </row>
    <row r="361" customFormat="false" ht="15" hidden="false" customHeight="false" outlineLevel="0" collapsed="false">
      <c r="A361" s="4" t="n">
        <v>358</v>
      </c>
      <c r="B361" s="4" t="s">
        <v>102</v>
      </c>
      <c r="C361" s="4" t="s">
        <v>4634</v>
      </c>
      <c r="D361" s="4" t="s">
        <v>4295</v>
      </c>
    </row>
    <row r="362" customFormat="false" ht="15" hidden="false" customHeight="false" outlineLevel="0" collapsed="false">
      <c r="A362" s="4" t="n">
        <v>359</v>
      </c>
      <c r="B362" s="4" t="s">
        <v>101</v>
      </c>
      <c r="C362" s="4" t="s">
        <v>4635</v>
      </c>
      <c r="D362" s="4" t="s">
        <v>4295</v>
      </c>
    </row>
    <row r="363" customFormat="false" ht="15" hidden="false" customHeight="false" outlineLevel="0" collapsed="false">
      <c r="A363" s="4" t="n">
        <v>360</v>
      </c>
      <c r="B363" s="4" t="s">
        <v>103</v>
      </c>
      <c r="C363" s="4" t="s">
        <v>4636</v>
      </c>
      <c r="D363" s="4" t="s">
        <v>4295</v>
      </c>
    </row>
    <row r="364" customFormat="false" ht="15" hidden="false" customHeight="false" outlineLevel="0" collapsed="false">
      <c r="A364" s="4" t="n">
        <v>361</v>
      </c>
      <c r="B364" s="4" t="s">
        <v>100</v>
      </c>
      <c r="C364" s="4" t="s">
        <v>4637</v>
      </c>
      <c r="D364" s="4" t="s">
        <v>4295</v>
      </c>
    </row>
    <row r="365" customFormat="false" ht="15" hidden="false" customHeight="false" outlineLevel="0" collapsed="false">
      <c r="A365" s="4" t="n">
        <v>362</v>
      </c>
      <c r="B365" s="4" t="s">
        <v>101</v>
      </c>
      <c r="C365" s="4" t="s">
        <v>4638</v>
      </c>
      <c r="D365" s="4" t="s">
        <v>4295</v>
      </c>
    </row>
    <row r="366" customFormat="false" ht="15" hidden="false" customHeight="false" outlineLevel="0" collapsed="false">
      <c r="A366" s="4" t="n">
        <v>363</v>
      </c>
      <c r="B366" s="4" t="s">
        <v>104</v>
      </c>
      <c r="C366" s="4" t="s">
        <v>4639</v>
      </c>
      <c r="D366" s="4" t="s">
        <v>4295</v>
      </c>
    </row>
    <row r="367" customFormat="false" ht="15" hidden="false" customHeight="false" outlineLevel="0" collapsed="false">
      <c r="A367" s="4" t="n">
        <v>364</v>
      </c>
      <c r="B367" s="4" t="s">
        <v>102</v>
      </c>
      <c r="C367" s="4" t="s">
        <v>4640</v>
      </c>
      <c r="D367" s="4" t="s">
        <v>4295</v>
      </c>
    </row>
    <row r="368" customFormat="false" ht="15" hidden="false" customHeight="false" outlineLevel="0" collapsed="false">
      <c r="A368" s="4" t="n">
        <v>365</v>
      </c>
      <c r="B368" s="4" t="s">
        <v>100</v>
      </c>
      <c r="C368" s="4" t="s">
        <v>4641</v>
      </c>
      <c r="D368" s="4" t="s">
        <v>4295</v>
      </c>
    </row>
    <row r="369" customFormat="false" ht="15" hidden="false" customHeight="false" outlineLevel="0" collapsed="false">
      <c r="A369" s="4" t="n">
        <v>366</v>
      </c>
      <c r="B369" s="4" t="s">
        <v>103</v>
      </c>
      <c r="C369" s="4" t="s">
        <v>4642</v>
      </c>
      <c r="D369" s="4" t="s">
        <v>4295</v>
      </c>
    </row>
    <row r="370" customFormat="false" ht="15" hidden="false" customHeight="false" outlineLevel="0" collapsed="false">
      <c r="A370" s="4" t="n">
        <v>367</v>
      </c>
      <c r="B370" s="4" t="s">
        <v>101</v>
      </c>
      <c r="C370" s="4" t="s">
        <v>4643</v>
      </c>
      <c r="D370" s="4" t="s">
        <v>4295</v>
      </c>
    </row>
    <row r="371" customFormat="false" ht="15" hidden="false" customHeight="false" outlineLevel="0" collapsed="false">
      <c r="A371" s="4" t="n">
        <v>368</v>
      </c>
      <c r="B371" s="4" t="s">
        <v>100</v>
      </c>
      <c r="C371" s="4" t="s">
        <v>4644</v>
      </c>
      <c r="D371" s="4" t="s">
        <v>4295</v>
      </c>
    </row>
    <row r="372" customFormat="false" ht="15" hidden="false" customHeight="false" outlineLevel="0" collapsed="false">
      <c r="A372" s="4" t="n">
        <v>369</v>
      </c>
      <c r="B372" s="4" t="s">
        <v>99</v>
      </c>
      <c r="C372" s="4" t="s">
        <v>4645</v>
      </c>
      <c r="D372" s="4" t="s">
        <v>4462</v>
      </c>
    </row>
    <row r="373" customFormat="false" ht="15" hidden="false" customHeight="false" outlineLevel="0" collapsed="false">
      <c r="A373" s="4" t="n">
        <v>370</v>
      </c>
      <c r="B373" s="4" t="s">
        <v>102</v>
      </c>
      <c r="C373" s="4" t="s">
        <v>4646</v>
      </c>
      <c r="D373" s="4" t="s">
        <v>4295</v>
      </c>
    </row>
    <row r="374" customFormat="false" ht="15" hidden="false" customHeight="false" outlineLevel="0" collapsed="false">
      <c r="A374" s="4" t="n">
        <v>371</v>
      </c>
      <c r="B374" s="4" t="s">
        <v>101</v>
      </c>
      <c r="C374" s="4" t="s">
        <v>4647</v>
      </c>
      <c r="D374" s="4" t="s">
        <v>4295</v>
      </c>
    </row>
    <row r="375" customFormat="false" ht="15" hidden="false" customHeight="false" outlineLevel="0" collapsed="false">
      <c r="A375" s="4" t="n">
        <v>372</v>
      </c>
      <c r="B375" s="4" t="s">
        <v>103</v>
      </c>
      <c r="C375" s="4" t="s">
        <v>4648</v>
      </c>
      <c r="D375" s="4" t="s">
        <v>4295</v>
      </c>
    </row>
    <row r="376" customFormat="false" ht="15" hidden="false" customHeight="false" outlineLevel="0" collapsed="false">
      <c r="A376" s="4" t="n">
        <v>373</v>
      </c>
      <c r="B376" s="4" t="s">
        <v>100</v>
      </c>
      <c r="C376" s="4" t="s">
        <v>4649</v>
      </c>
      <c r="D376" s="4" t="s">
        <v>4295</v>
      </c>
    </row>
    <row r="377" customFormat="false" ht="15" hidden="false" customHeight="false" outlineLevel="0" collapsed="false">
      <c r="A377" s="4" t="n">
        <v>374</v>
      </c>
      <c r="B377" s="4" t="s">
        <v>99</v>
      </c>
      <c r="C377" s="4" t="s">
        <v>4650</v>
      </c>
      <c r="D377" s="4" t="s">
        <v>4462</v>
      </c>
    </row>
    <row r="378" customFormat="false" ht="15" hidden="false" customHeight="false" outlineLevel="0" collapsed="false">
      <c r="A378" s="4" t="n">
        <v>375</v>
      </c>
      <c r="B378" s="4" t="s">
        <v>101</v>
      </c>
      <c r="C378" s="4" t="s">
        <v>4651</v>
      </c>
      <c r="D378" s="4" t="s">
        <v>4295</v>
      </c>
    </row>
    <row r="379" customFormat="false" ht="15" hidden="false" customHeight="false" outlineLevel="0" collapsed="false">
      <c r="A379" s="4" t="n">
        <v>376</v>
      </c>
      <c r="B379" s="4" t="s">
        <v>104</v>
      </c>
      <c r="C379" s="4" t="s">
        <v>4652</v>
      </c>
      <c r="D379" s="4" t="s">
        <v>4295</v>
      </c>
    </row>
    <row r="380" customFormat="false" ht="15" hidden="false" customHeight="false" outlineLevel="0" collapsed="false">
      <c r="A380" s="4" t="n">
        <v>377</v>
      </c>
      <c r="B380" s="4" t="s">
        <v>102</v>
      </c>
      <c r="C380" s="4" t="s">
        <v>4653</v>
      </c>
      <c r="D380" s="4" t="s">
        <v>4295</v>
      </c>
    </row>
    <row r="381" customFormat="false" ht="15" hidden="false" customHeight="false" outlineLevel="0" collapsed="false">
      <c r="A381" s="4" t="n">
        <v>378</v>
      </c>
      <c r="B381" s="4" t="s">
        <v>100</v>
      </c>
      <c r="C381" s="4" t="s">
        <v>4654</v>
      </c>
      <c r="D381" s="4" t="s">
        <v>4295</v>
      </c>
    </row>
    <row r="382" customFormat="false" ht="15" hidden="false" customHeight="false" outlineLevel="0" collapsed="false">
      <c r="A382" s="4" t="n">
        <v>379</v>
      </c>
      <c r="B382" s="4" t="s">
        <v>103</v>
      </c>
      <c r="C382" s="4" t="s">
        <v>4655</v>
      </c>
      <c r="D382" s="4" t="s">
        <v>4295</v>
      </c>
    </row>
    <row r="383" customFormat="false" ht="15" hidden="false" customHeight="false" outlineLevel="0" collapsed="false">
      <c r="A383" s="4" t="n">
        <v>380</v>
      </c>
      <c r="B383" s="4" t="s">
        <v>101</v>
      </c>
      <c r="C383" s="4" t="s">
        <v>4656</v>
      </c>
      <c r="D383" s="4" t="s">
        <v>4295</v>
      </c>
    </row>
    <row r="384" customFormat="false" ht="15" hidden="false" customHeight="false" outlineLevel="0" collapsed="false">
      <c r="A384" s="4" t="n">
        <v>381</v>
      </c>
      <c r="B384" s="4" t="s">
        <v>100</v>
      </c>
      <c r="C384" s="4" t="s">
        <v>4657</v>
      </c>
      <c r="D384" s="4" t="s">
        <v>4295</v>
      </c>
    </row>
    <row r="385" customFormat="false" ht="15" hidden="false" customHeight="false" outlineLevel="0" collapsed="false">
      <c r="A385" s="4" t="n">
        <v>382</v>
      </c>
      <c r="B385" s="4" t="s">
        <v>102</v>
      </c>
      <c r="C385" s="4" t="s">
        <v>4658</v>
      </c>
      <c r="D385" s="4" t="s">
        <v>4295</v>
      </c>
    </row>
    <row r="386" customFormat="false" ht="15" hidden="false" customHeight="false" outlineLevel="0" collapsed="false">
      <c r="A386" s="4" t="n">
        <v>383</v>
      </c>
      <c r="B386" s="4" t="s">
        <v>101</v>
      </c>
      <c r="C386" s="4" t="s">
        <v>4659</v>
      </c>
      <c r="D386" s="4" t="s">
        <v>4295</v>
      </c>
    </row>
    <row r="387" customFormat="false" ht="15" hidden="false" customHeight="false" outlineLevel="0" collapsed="false">
      <c r="A387" s="4" t="n">
        <v>384</v>
      </c>
      <c r="B387" s="4" t="s">
        <v>103</v>
      </c>
      <c r="C387" s="4" t="s">
        <v>4660</v>
      </c>
      <c r="D387" s="4" t="s">
        <v>4295</v>
      </c>
    </row>
    <row r="388" customFormat="false" ht="15" hidden="false" customHeight="false" outlineLevel="0" collapsed="false">
      <c r="A388" s="4" t="n">
        <v>385</v>
      </c>
      <c r="B388" s="4" t="s">
        <v>100</v>
      </c>
      <c r="C388" s="4" t="s">
        <v>4661</v>
      </c>
      <c r="D388" s="4" t="s">
        <v>4295</v>
      </c>
    </row>
    <row r="389" customFormat="false" ht="15" hidden="false" customHeight="false" outlineLevel="0" collapsed="false">
      <c r="A389" s="4" t="n">
        <v>386</v>
      </c>
      <c r="B389" s="4" t="s">
        <v>100</v>
      </c>
      <c r="C389" s="4" t="s">
        <v>4662</v>
      </c>
      <c r="D389" s="4" t="s">
        <v>4462</v>
      </c>
    </row>
    <row r="390" customFormat="false" ht="15" hidden="false" customHeight="false" outlineLevel="0" collapsed="false">
      <c r="A390" s="4" t="n">
        <v>387</v>
      </c>
      <c r="B390" s="4" t="s">
        <v>101</v>
      </c>
      <c r="C390" s="4" t="s">
        <v>4663</v>
      </c>
      <c r="D390" s="4" t="s">
        <v>4295</v>
      </c>
    </row>
    <row r="391" customFormat="false" ht="15" hidden="false" customHeight="false" outlineLevel="0" collapsed="false">
      <c r="A391" s="4" t="n">
        <v>388</v>
      </c>
      <c r="B391" s="4" t="s">
        <v>104</v>
      </c>
      <c r="C391" s="4" t="s">
        <v>4664</v>
      </c>
      <c r="D391" s="4" t="s">
        <v>4295</v>
      </c>
    </row>
    <row r="392" customFormat="false" ht="15" hidden="false" customHeight="false" outlineLevel="0" collapsed="false">
      <c r="A392" s="4" t="n">
        <v>389</v>
      </c>
      <c r="B392" s="4" t="s">
        <v>102</v>
      </c>
      <c r="C392" s="4" t="s">
        <v>4665</v>
      </c>
      <c r="D392" s="4" t="s">
        <v>4295</v>
      </c>
    </row>
    <row r="393" customFormat="false" ht="15" hidden="false" customHeight="false" outlineLevel="0" collapsed="false">
      <c r="A393" s="4" t="n">
        <v>390</v>
      </c>
      <c r="B393" s="4" t="s">
        <v>100</v>
      </c>
      <c r="C393" s="4" t="s">
        <v>4666</v>
      </c>
      <c r="D393" s="4" t="s">
        <v>4295</v>
      </c>
    </row>
    <row r="394" customFormat="false" ht="15" hidden="false" customHeight="false" outlineLevel="0" collapsed="false">
      <c r="A394" s="4" t="n">
        <v>391</v>
      </c>
      <c r="B394" s="4" t="s">
        <v>103</v>
      </c>
      <c r="C394" s="4" t="s">
        <v>4667</v>
      </c>
      <c r="D394" s="4" t="s">
        <v>4295</v>
      </c>
    </row>
    <row r="395" customFormat="false" ht="15" hidden="false" customHeight="false" outlineLevel="0" collapsed="false">
      <c r="A395" s="4" t="n">
        <v>392</v>
      </c>
      <c r="B395" s="4" t="s">
        <v>101</v>
      </c>
      <c r="C395" s="4" t="s">
        <v>4668</v>
      </c>
      <c r="D395" s="4" t="s">
        <v>4295</v>
      </c>
    </row>
    <row r="396" customFormat="false" ht="15" hidden="false" customHeight="false" outlineLevel="0" collapsed="false">
      <c r="A396" s="4" t="n">
        <v>393</v>
      </c>
      <c r="B396" s="4" t="s">
        <v>100</v>
      </c>
      <c r="C396" s="4" t="s">
        <v>4669</v>
      </c>
      <c r="D396" s="4" t="s">
        <v>4295</v>
      </c>
    </row>
    <row r="397" customFormat="false" ht="15" hidden="false" customHeight="false" outlineLevel="0" collapsed="false">
      <c r="A397" s="4" t="n">
        <v>394</v>
      </c>
      <c r="B397" s="4" t="s">
        <v>102</v>
      </c>
      <c r="C397" s="4" t="s">
        <v>4670</v>
      </c>
      <c r="D397" s="4" t="s">
        <v>4295</v>
      </c>
    </row>
    <row r="398" customFormat="false" ht="15" hidden="false" customHeight="false" outlineLevel="0" collapsed="false">
      <c r="A398" s="4" t="n">
        <v>395</v>
      </c>
      <c r="B398" s="4" t="s">
        <v>101</v>
      </c>
      <c r="C398" s="4" t="s">
        <v>4671</v>
      </c>
      <c r="D398" s="4" t="s">
        <v>4295</v>
      </c>
    </row>
    <row r="399" customFormat="false" ht="15" hidden="false" customHeight="false" outlineLevel="0" collapsed="false">
      <c r="A399" s="4" t="n">
        <v>396</v>
      </c>
      <c r="B399" s="4" t="s">
        <v>103</v>
      </c>
      <c r="C399" s="4" t="s">
        <v>4672</v>
      </c>
      <c r="D399" s="4" t="s">
        <v>4295</v>
      </c>
    </row>
    <row r="400" customFormat="false" ht="15" hidden="false" customHeight="false" outlineLevel="0" collapsed="false">
      <c r="A400" s="4" t="n">
        <v>397</v>
      </c>
      <c r="B400" s="4" t="s">
        <v>100</v>
      </c>
      <c r="C400" s="4" t="s">
        <v>4673</v>
      </c>
      <c r="D400" s="4" t="s">
        <v>4295</v>
      </c>
    </row>
    <row r="401" customFormat="false" ht="15" hidden="false" customHeight="false" outlineLevel="0" collapsed="false">
      <c r="A401" s="4" t="n">
        <v>398</v>
      </c>
      <c r="B401" s="4" t="s">
        <v>99</v>
      </c>
      <c r="C401" s="4" t="s">
        <v>4674</v>
      </c>
      <c r="D401" s="4" t="s">
        <v>4295</v>
      </c>
    </row>
    <row r="402" customFormat="false" ht="15" hidden="false" customHeight="false" outlineLevel="0" collapsed="false">
      <c r="A402" s="4" t="n">
        <v>399</v>
      </c>
      <c r="B402" s="4" t="s">
        <v>101</v>
      </c>
      <c r="C402" s="4" t="s">
        <v>4675</v>
      </c>
      <c r="D402" s="4" t="s">
        <v>4295</v>
      </c>
    </row>
    <row r="403" customFormat="false" ht="15" hidden="false" customHeight="false" outlineLevel="0" collapsed="false">
      <c r="A403" s="4" t="n">
        <v>400</v>
      </c>
      <c r="B403" s="4" t="s">
        <v>104</v>
      </c>
      <c r="C403" s="4" t="s">
        <v>4676</v>
      </c>
      <c r="D403" s="4" t="s">
        <v>4295</v>
      </c>
    </row>
    <row r="404" customFormat="false" ht="15" hidden="false" customHeight="false" outlineLevel="0" collapsed="false">
      <c r="A404" s="4" t="n">
        <v>401</v>
      </c>
      <c r="B404" s="4" t="s">
        <v>102</v>
      </c>
      <c r="C404" s="4" t="s">
        <v>4677</v>
      </c>
      <c r="D404" s="4" t="s">
        <v>4295</v>
      </c>
    </row>
    <row r="405" customFormat="false" ht="15" hidden="false" customHeight="false" outlineLevel="0" collapsed="false">
      <c r="A405" s="4" t="n">
        <v>402</v>
      </c>
      <c r="B405" s="4" t="s">
        <v>100</v>
      </c>
      <c r="C405" s="4" t="s">
        <v>4678</v>
      </c>
      <c r="D405" s="4" t="s">
        <v>4295</v>
      </c>
    </row>
    <row r="406" customFormat="false" ht="15" hidden="false" customHeight="false" outlineLevel="0" collapsed="false">
      <c r="A406" s="4" t="n">
        <v>403</v>
      </c>
      <c r="B406" s="4" t="s">
        <v>103</v>
      </c>
      <c r="C406" s="4" t="s">
        <v>4679</v>
      </c>
      <c r="D406" s="4" t="s">
        <v>4295</v>
      </c>
    </row>
    <row r="407" customFormat="false" ht="15" hidden="false" customHeight="false" outlineLevel="0" collapsed="false">
      <c r="A407" s="4" t="n">
        <v>404</v>
      </c>
      <c r="B407" s="4" t="s">
        <v>101</v>
      </c>
      <c r="C407" s="4" t="s">
        <v>4680</v>
      </c>
      <c r="D407" s="4" t="s">
        <v>4295</v>
      </c>
    </row>
    <row r="408" customFormat="false" ht="15" hidden="false" customHeight="false" outlineLevel="0" collapsed="false">
      <c r="A408" s="4" t="n">
        <v>405</v>
      </c>
      <c r="B408" s="4" t="s">
        <v>100</v>
      </c>
      <c r="C408" s="4" t="s">
        <v>4681</v>
      </c>
      <c r="D408" s="4" t="s">
        <v>4295</v>
      </c>
    </row>
    <row r="409" customFormat="false" ht="15" hidden="false" customHeight="false" outlineLevel="0" collapsed="false">
      <c r="A409" s="4" t="n">
        <v>406</v>
      </c>
      <c r="B409" s="4" t="s">
        <v>102</v>
      </c>
      <c r="C409" s="4" t="s">
        <v>4682</v>
      </c>
      <c r="D409" s="4" t="s">
        <v>4295</v>
      </c>
    </row>
    <row r="410" customFormat="false" ht="15" hidden="false" customHeight="false" outlineLevel="0" collapsed="false">
      <c r="A410" s="4" t="n">
        <v>407</v>
      </c>
      <c r="B410" s="4" t="s">
        <v>101</v>
      </c>
      <c r="C410" s="4" t="s">
        <v>4683</v>
      </c>
      <c r="D410" s="4" t="s">
        <v>4295</v>
      </c>
    </row>
    <row r="411" customFormat="false" ht="15" hidden="false" customHeight="false" outlineLevel="0" collapsed="false">
      <c r="A411" s="4" t="n">
        <v>408</v>
      </c>
      <c r="B411" s="4" t="s">
        <v>103</v>
      </c>
      <c r="C411" s="4" t="s">
        <v>4684</v>
      </c>
      <c r="D411" s="4" t="s">
        <v>4295</v>
      </c>
    </row>
    <row r="412" customFormat="false" ht="15" hidden="false" customHeight="false" outlineLevel="0" collapsed="false">
      <c r="A412" s="4" t="n">
        <v>409</v>
      </c>
      <c r="B412" s="4" t="s">
        <v>100</v>
      </c>
      <c r="C412" s="4" t="s">
        <v>4685</v>
      </c>
      <c r="D412" s="4" t="s">
        <v>4295</v>
      </c>
    </row>
    <row r="413" customFormat="false" ht="15" hidden="false" customHeight="false" outlineLevel="0" collapsed="false">
      <c r="A413" s="4" t="n">
        <v>410</v>
      </c>
      <c r="B413" s="4" t="s">
        <v>101</v>
      </c>
      <c r="C413" s="4" t="s">
        <v>4686</v>
      </c>
      <c r="D413" s="4" t="s">
        <v>4295</v>
      </c>
    </row>
    <row r="414" customFormat="false" ht="15" hidden="false" customHeight="false" outlineLevel="0" collapsed="false">
      <c r="A414" s="4" t="n">
        <v>411</v>
      </c>
      <c r="B414" s="4" t="s">
        <v>104</v>
      </c>
      <c r="C414" s="4" t="s">
        <v>4687</v>
      </c>
      <c r="D414" s="4" t="s">
        <v>4295</v>
      </c>
    </row>
    <row r="415" customFormat="false" ht="15" hidden="false" customHeight="false" outlineLevel="0" collapsed="false">
      <c r="A415" s="4" t="n">
        <v>412</v>
      </c>
      <c r="B415" s="4" t="s">
        <v>102</v>
      </c>
      <c r="C415" s="4" t="s">
        <v>4688</v>
      </c>
      <c r="D415" s="4" t="s">
        <v>4295</v>
      </c>
    </row>
    <row r="416" customFormat="false" ht="15" hidden="false" customHeight="false" outlineLevel="0" collapsed="false">
      <c r="A416" s="4" t="n">
        <v>413</v>
      </c>
      <c r="B416" s="4" t="s">
        <v>100</v>
      </c>
      <c r="C416" s="4" t="s">
        <v>4689</v>
      </c>
      <c r="D416" s="4" t="s">
        <v>4295</v>
      </c>
    </row>
    <row r="417" customFormat="false" ht="15" hidden="false" customHeight="false" outlineLevel="0" collapsed="false">
      <c r="A417" s="4" t="n">
        <v>414</v>
      </c>
      <c r="B417" s="4" t="s">
        <v>103</v>
      </c>
      <c r="C417" s="4" t="s">
        <v>4690</v>
      </c>
      <c r="D417" s="4" t="s">
        <v>4295</v>
      </c>
    </row>
    <row r="418" customFormat="false" ht="15" hidden="false" customHeight="false" outlineLevel="0" collapsed="false">
      <c r="A418" s="4" t="n">
        <v>415</v>
      </c>
      <c r="B418" s="4" t="s">
        <v>101</v>
      </c>
      <c r="C418" s="4" t="s">
        <v>4691</v>
      </c>
      <c r="D418" s="4" t="s">
        <v>4295</v>
      </c>
    </row>
    <row r="419" customFormat="false" ht="15" hidden="false" customHeight="false" outlineLevel="0" collapsed="false">
      <c r="A419" s="4" t="n">
        <v>416</v>
      </c>
      <c r="B419" s="4" t="s">
        <v>100</v>
      </c>
      <c r="C419" s="4" t="s">
        <v>4692</v>
      </c>
      <c r="D419" s="4" t="s">
        <v>4295</v>
      </c>
    </row>
    <row r="420" customFormat="false" ht="15" hidden="false" customHeight="false" outlineLevel="0" collapsed="false">
      <c r="A420" s="4" t="n">
        <v>417</v>
      </c>
      <c r="B420" s="4" t="s">
        <v>102</v>
      </c>
      <c r="C420" s="4" t="s">
        <v>4693</v>
      </c>
      <c r="D420" s="4" t="s">
        <v>4295</v>
      </c>
    </row>
    <row r="421" customFormat="false" ht="15" hidden="false" customHeight="false" outlineLevel="0" collapsed="false">
      <c r="A421" s="4" t="n">
        <v>418</v>
      </c>
      <c r="B421" s="4" t="s">
        <v>101</v>
      </c>
      <c r="C421" s="4" t="s">
        <v>4694</v>
      </c>
      <c r="D421" s="4" t="s">
        <v>4295</v>
      </c>
    </row>
    <row r="422" customFormat="false" ht="15" hidden="false" customHeight="false" outlineLevel="0" collapsed="false">
      <c r="A422" s="4" t="n">
        <v>419</v>
      </c>
      <c r="B422" s="4" t="s">
        <v>103</v>
      </c>
      <c r="C422" s="4" t="s">
        <v>4695</v>
      </c>
      <c r="D422" s="4" t="s">
        <v>4295</v>
      </c>
    </row>
    <row r="423" customFormat="false" ht="15" hidden="false" customHeight="false" outlineLevel="0" collapsed="false">
      <c r="A423" s="4" t="n">
        <v>420</v>
      </c>
      <c r="B423" s="4" t="s">
        <v>100</v>
      </c>
      <c r="C423" s="4" t="s">
        <v>4696</v>
      </c>
      <c r="D423" s="4" t="s">
        <v>4295</v>
      </c>
    </row>
    <row r="424" customFormat="false" ht="15" hidden="false" customHeight="false" outlineLevel="0" collapsed="false">
      <c r="A424" s="4" t="n">
        <v>421</v>
      </c>
      <c r="B424" s="4" t="s">
        <v>99</v>
      </c>
      <c r="C424" s="4" t="s">
        <v>4697</v>
      </c>
      <c r="D424" s="4" t="s">
        <v>4295</v>
      </c>
    </row>
    <row r="425" customFormat="false" ht="15" hidden="false" customHeight="false" outlineLevel="0" collapsed="false">
      <c r="A425" s="4" t="n">
        <v>422</v>
      </c>
      <c r="B425" s="4" t="s">
        <v>101</v>
      </c>
      <c r="C425" s="4" t="s">
        <v>4698</v>
      </c>
      <c r="D425" s="4" t="s">
        <v>4295</v>
      </c>
    </row>
    <row r="426" customFormat="false" ht="15" hidden="false" customHeight="false" outlineLevel="0" collapsed="false">
      <c r="A426" s="4" t="n">
        <v>423</v>
      </c>
      <c r="B426" s="4" t="s">
        <v>104</v>
      </c>
      <c r="C426" s="4" t="s">
        <v>4699</v>
      </c>
      <c r="D426" s="4" t="s">
        <v>4295</v>
      </c>
    </row>
    <row r="427" customFormat="false" ht="15" hidden="false" customHeight="false" outlineLevel="0" collapsed="false">
      <c r="A427" s="4" t="n">
        <v>424</v>
      </c>
      <c r="B427" s="4" t="s">
        <v>102</v>
      </c>
      <c r="C427" s="4" t="s">
        <v>4700</v>
      </c>
      <c r="D427" s="4" t="s">
        <v>4295</v>
      </c>
    </row>
    <row r="428" customFormat="false" ht="15" hidden="false" customHeight="false" outlineLevel="0" collapsed="false">
      <c r="A428" s="4" t="n">
        <v>425</v>
      </c>
      <c r="B428" s="4" t="s">
        <v>100</v>
      </c>
      <c r="C428" s="4" t="s">
        <v>4701</v>
      </c>
      <c r="D428" s="4" t="s">
        <v>4295</v>
      </c>
    </row>
    <row r="429" customFormat="false" ht="15" hidden="false" customHeight="false" outlineLevel="0" collapsed="false">
      <c r="A429" s="4" t="n">
        <v>426</v>
      </c>
      <c r="B429" s="4" t="s">
        <v>103</v>
      </c>
      <c r="C429" s="4" t="s">
        <v>4702</v>
      </c>
      <c r="D429" s="4" t="s">
        <v>4295</v>
      </c>
    </row>
    <row r="430" customFormat="false" ht="15" hidden="false" customHeight="false" outlineLevel="0" collapsed="false">
      <c r="A430" s="4" t="n">
        <v>427</v>
      </c>
      <c r="B430" s="4" t="s">
        <v>101</v>
      </c>
      <c r="C430" s="4" t="s">
        <v>4703</v>
      </c>
      <c r="D430" s="4" t="s">
        <v>4295</v>
      </c>
    </row>
    <row r="431" customFormat="false" ht="15" hidden="false" customHeight="false" outlineLevel="0" collapsed="false">
      <c r="A431" s="4" t="n">
        <v>428</v>
      </c>
      <c r="B431" s="4" t="s">
        <v>100</v>
      </c>
      <c r="C431" s="4" t="s">
        <v>4704</v>
      </c>
      <c r="D431" s="4" t="s">
        <v>4295</v>
      </c>
    </row>
    <row r="432" customFormat="false" ht="15" hidden="false" customHeight="false" outlineLevel="0" collapsed="false">
      <c r="A432" s="4" t="n">
        <v>429</v>
      </c>
      <c r="B432" s="4" t="s">
        <v>102</v>
      </c>
      <c r="C432" s="4" t="s">
        <v>4705</v>
      </c>
      <c r="D432" s="4" t="s">
        <v>4295</v>
      </c>
    </row>
    <row r="433" customFormat="false" ht="15" hidden="false" customHeight="false" outlineLevel="0" collapsed="false">
      <c r="A433" s="4" t="n">
        <v>430</v>
      </c>
      <c r="B433" s="4" t="s">
        <v>101</v>
      </c>
      <c r="C433" s="4" t="s">
        <v>4706</v>
      </c>
      <c r="D433" s="4" t="s">
        <v>4295</v>
      </c>
    </row>
    <row r="434" customFormat="false" ht="15" hidden="false" customHeight="false" outlineLevel="0" collapsed="false">
      <c r="A434" s="4" t="n">
        <v>431</v>
      </c>
      <c r="B434" s="4" t="s">
        <v>103</v>
      </c>
      <c r="C434" s="4" t="s">
        <v>4707</v>
      </c>
      <c r="D434" s="4" t="s">
        <v>4295</v>
      </c>
    </row>
    <row r="435" customFormat="false" ht="15" hidden="false" customHeight="false" outlineLevel="0" collapsed="false">
      <c r="A435" s="4" t="n">
        <v>432</v>
      </c>
      <c r="B435" s="4" t="s">
        <v>100</v>
      </c>
      <c r="C435" s="4" t="s">
        <v>4708</v>
      </c>
      <c r="D435" s="4" t="s">
        <v>4295</v>
      </c>
    </row>
    <row r="436" customFormat="false" ht="15" hidden="false" customHeight="false" outlineLevel="0" collapsed="false">
      <c r="A436" s="4" t="n">
        <v>433</v>
      </c>
      <c r="B436" s="4" t="s">
        <v>101</v>
      </c>
      <c r="C436" s="4" t="s">
        <v>4709</v>
      </c>
      <c r="D436" s="4" t="s">
        <v>4295</v>
      </c>
    </row>
    <row r="437" customFormat="false" ht="15" hidden="false" customHeight="false" outlineLevel="0" collapsed="false">
      <c r="A437" s="4" t="n">
        <v>434</v>
      </c>
      <c r="B437" s="4" t="s">
        <v>104</v>
      </c>
      <c r="C437" s="4" t="s">
        <v>4710</v>
      </c>
      <c r="D437" s="4" t="s">
        <v>4295</v>
      </c>
    </row>
    <row r="438" customFormat="false" ht="15" hidden="false" customHeight="false" outlineLevel="0" collapsed="false">
      <c r="A438" s="4" t="n">
        <v>435</v>
      </c>
      <c r="B438" s="4" t="s">
        <v>102</v>
      </c>
      <c r="C438" s="4" t="s">
        <v>4711</v>
      </c>
      <c r="D438" s="4" t="s">
        <v>4295</v>
      </c>
    </row>
    <row r="439" customFormat="false" ht="15" hidden="false" customHeight="false" outlineLevel="0" collapsed="false">
      <c r="A439" s="4" t="n">
        <v>436</v>
      </c>
      <c r="B439" s="4" t="s">
        <v>99</v>
      </c>
      <c r="C439" s="4" t="s">
        <v>4712</v>
      </c>
      <c r="D439" s="4" t="s">
        <v>4462</v>
      </c>
    </row>
    <row r="440" customFormat="false" ht="15" hidden="false" customHeight="false" outlineLevel="0" collapsed="false">
      <c r="A440" s="4" t="n">
        <v>437</v>
      </c>
      <c r="B440" s="4" t="s">
        <v>100</v>
      </c>
      <c r="C440" s="4" t="s">
        <v>4713</v>
      </c>
      <c r="D440" s="4" t="s">
        <v>4295</v>
      </c>
    </row>
    <row r="441" customFormat="false" ht="15" hidden="false" customHeight="false" outlineLevel="0" collapsed="false">
      <c r="A441" s="4" t="n">
        <v>438</v>
      </c>
      <c r="B441" s="4" t="s">
        <v>103</v>
      </c>
      <c r="C441" s="4" t="s">
        <v>4714</v>
      </c>
      <c r="D441" s="4" t="s">
        <v>4295</v>
      </c>
    </row>
    <row r="442" customFormat="false" ht="15" hidden="false" customHeight="false" outlineLevel="0" collapsed="false">
      <c r="A442" s="4" t="n">
        <v>439</v>
      </c>
      <c r="B442" s="4" t="s">
        <v>101</v>
      </c>
      <c r="C442" s="4" t="s">
        <v>4715</v>
      </c>
      <c r="D442" s="4" t="s">
        <v>4295</v>
      </c>
    </row>
    <row r="443" customFormat="false" ht="15" hidden="false" customHeight="false" outlineLevel="0" collapsed="false">
      <c r="A443" s="4" t="n">
        <v>440</v>
      </c>
      <c r="B443" s="4" t="s">
        <v>100</v>
      </c>
      <c r="C443" s="4" t="s">
        <v>4716</v>
      </c>
      <c r="D443" s="4" t="s">
        <v>4295</v>
      </c>
    </row>
    <row r="444" customFormat="false" ht="15" hidden="false" customHeight="false" outlineLevel="0" collapsed="false">
      <c r="A444" s="4" t="n">
        <v>441</v>
      </c>
      <c r="B444" s="4" t="s">
        <v>102</v>
      </c>
      <c r="C444" s="4" t="s">
        <v>4717</v>
      </c>
      <c r="D444" s="4" t="s">
        <v>4295</v>
      </c>
    </row>
    <row r="445" customFormat="false" ht="15" hidden="false" customHeight="false" outlineLevel="0" collapsed="false">
      <c r="A445" s="4" t="n">
        <v>442</v>
      </c>
      <c r="B445" s="4" t="s">
        <v>101</v>
      </c>
      <c r="C445" s="4" t="s">
        <v>4718</v>
      </c>
      <c r="D445" s="4" t="s">
        <v>4295</v>
      </c>
    </row>
    <row r="446" customFormat="false" ht="15" hidden="false" customHeight="false" outlineLevel="0" collapsed="false">
      <c r="A446" s="4" t="n">
        <v>443</v>
      </c>
      <c r="B446" s="4" t="s">
        <v>103</v>
      </c>
      <c r="C446" s="4" t="s">
        <v>4719</v>
      </c>
      <c r="D446" s="4" t="s">
        <v>4295</v>
      </c>
    </row>
    <row r="447" customFormat="false" ht="15" hidden="false" customHeight="false" outlineLevel="0" collapsed="false">
      <c r="A447" s="4" t="n">
        <v>444</v>
      </c>
      <c r="B447" s="4" t="s">
        <v>100</v>
      </c>
      <c r="C447" s="4" t="s">
        <v>4720</v>
      </c>
      <c r="D447" s="4" t="s">
        <v>4295</v>
      </c>
    </row>
    <row r="448" customFormat="false" ht="15" hidden="false" customHeight="false" outlineLevel="0" collapsed="false">
      <c r="A448" s="4" t="n">
        <v>445</v>
      </c>
      <c r="B448" s="4" t="s">
        <v>99</v>
      </c>
      <c r="C448" s="4" t="s">
        <v>4721</v>
      </c>
      <c r="D448" s="4" t="s">
        <v>4462</v>
      </c>
    </row>
    <row r="449" customFormat="false" ht="15" hidden="false" customHeight="false" outlineLevel="0" collapsed="false">
      <c r="A449" s="4" t="n">
        <v>446</v>
      </c>
      <c r="B449" s="4" t="s">
        <v>101</v>
      </c>
      <c r="C449" s="4" t="s">
        <v>4722</v>
      </c>
      <c r="D449" s="4" t="s">
        <v>4295</v>
      </c>
    </row>
    <row r="450" customFormat="false" ht="15" hidden="false" customHeight="false" outlineLevel="0" collapsed="false">
      <c r="A450" s="4" t="n">
        <v>447</v>
      </c>
      <c r="B450" s="4" t="s">
        <v>104</v>
      </c>
      <c r="C450" s="4" t="s">
        <v>4723</v>
      </c>
      <c r="D450" s="4" t="s">
        <v>4295</v>
      </c>
    </row>
    <row r="451" customFormat="false" ht="15" hidden="false" customHeight="false" outlineLevel="0" collapsed="false">
      <c r="A451" s="4" t="n">
        <v>448</v>
      </c>
      <c r="B451" s="4" t="s">
        <v>102</v>
      </c>
      <c r="C451" s="4" t="s">
        <v>4724</v>
      </c>
      <c r="D451" s="4" t="s">
        <v>4295</v>
      </c>
    </row>
    <row r="452" customFormat="false" ht="15" hidden="false" customHeight="false" outlineLevel="0" collapsed="false">
      <c r="A452" s="4" t="n">
        <v>449</v>
      </c>
      <c r="B452" s="4" t="s">
        <v>100</v>
      </c>
      <c r="C452" s="4" t="s">
        <v>4725</v>
      </c>
      <c r="D452" s="4" t="s">
        <v>4295</v>
      </c>
    </row>
    <row r="453" customFormat="false" ht="15" hidden="false" customHeight="false" outlineLevel="0" collapsed="false">
      <c r="A453" s="4" t="n">
        <v>450</v>
      </c>
      <c r="B453" s="4" t="s">
        <v>103</v>
      </c>
      <c r="C453" s="4" t="s">
        <v>4726</v>
      </c>
      <c r="D453" s="4" t="s">
        <v>4295</v>
      </c>
    </row>
    <row r="454" customFormat="false" ht="15" hidden="false" customHeight="false" outlineLevel="0" collapsed="false">
      <c r="A454" s="4" t="n">
        <v>451</v>
      </c>
      <c r="B454" s="4" t="s">
        <v>101</v>
      </c>
      <c r="C454" s="4" t="s">
        <v>4727</v>
      </c>
      <c r="D454" s="4" t="s">
        <v>4295</v>
      </c>
    </row>
    <row r="455" customFormat="false" ht="15" hidden="false" customHeight="false" outlineLevel="0" collapsed="false">
      <c r="A455" s="4" t="n">
        <v>452</v>
      </c>
      <c r="B455" s="4" t="s">
        <v>100</v>
      </c>
      <c r="C455" s="4" t="s">
        <v>4728</v>
      </c>
      <c r="D455" s="4" t="s">
        <v>4295</v>
      </c>
    </row>
    <row r="456" customFormat="false" ht="15" hidden="false" customHeight="false" outlineLevel="0" collapsed="false">
      <c r="A456" s="4" t="n">
        <v>453</v>
      </c>
      <c r="B456" s="4" t="s">
        <v>102</v>
      </c>
      <c r="C456" s="4" t="s">
        <v>4729</v>
      </c>
      <c r="D456" s="4" t="s">
        <v>4295</v>
      </c>
    </row>
    <row r="457" customFormat="false" ht="15" hidden="false" customHeight="false" outlineLevel="0" collapsed="false">
      <c r="A457" s="4" t="n">
        <v>454</v>
      </c>
      <c r="B457" s="4" t="s">
        <v>101</v>
      </c>
      <c r="C457" s="4" t="s">
        <v>4730</v>
      </c>
      <c r="D457" s="4" t="s">
        <v>4295</v>
      </c>
    </row>
    <row r="458" customFormat="false" ht="15" hidden="false" customHeight="false" outlineLevel="0" collapsed="false">
      <c r="A458" s="4" t="n">
        <v>455</v>
      </c>
      <c r="B458" s="4" t="s">
        <v>103</v>
      </c>
      <c r="C458" s="4" t="s">
        <v>4731</v>
      </c>
      <c r="D458" s="4" t="s">
        <v>4295</v>
      </c>
    </row>
    <row r="459" customFormat="false" ht="15" hidden="false" customHeight="false" outlineLevel="0" collapsed="false">
      <c r="A459" s="4" t="n">
        <v>456</v>
      </c>
      <c r="B459" s="4" t="s">
        <v>100</v>
      </c>
      <c r="C459" s="4" t="s">
        <v>4732</v>
      </c>
      <c r="D459" s="4" t="s">
        <v>4295</v>
      </c>
    </row>
    <row r="460" customFormat="false" ht="15" hidden="false" customHeight="false" outlineLevel="0" collapsed="false">
      <c r="A460" s="4" t="n">
        <v>457</v>
      </c>
      <c r="B460" s="4" t="s">
        <v>101</v>
      </c>
      <c r="C460" s="4" t="s">
        <v>4733</v>
      </c>
      <c r="D460" s="4" t="s">
        <v>4295</v>
      </c>
    </row>
    <row r="461" customFormat="false" ht="15" hidden="false" customHeight="false" outlineLevel="0" collapsed="false">
      <c r="A461" s="4" t="n">
        <v>458</v>
      </c>
      <c r="B461" s="4" t="s">
        <v>104</v>
      </c>
      <c r="C461" s="4" t="s">
        <v>4734</v>
      </c>
      <c r="D461" s="4" t="s">
        <v>4295</v>
      </c>
    </row>
    <row r="462" customFormat="false" ht="15" hidden="false" customHeight="false" outlineLevel="0" collapsed="false">
      <c r="A462" s="4" t="n">
        <v>459</v>
      </c>
      <c r="B462" s="4" t="s">
        <v>102</v>
      </c>
      <c r="C462" s="4" t="s">
        <v>4735</v>
      </c>
      <c r="D462" s="4" t="s">
        <v>4295</v>
      </c>
    </row>
    <row r="463" customFormat="false" ht="15" hidden="false" customHeight="false" outlineLevel="0" collapsed="false">
      <c r="A463" s="4" t="n">
        <v>460</v>
      </c>
      <c r="B463" s="4" t="s">
        <v>100</v>
      </c>
      <c r="C463" s="4" t="s">
        <v>4736</v>
      </c>
      <c r="D463" s="4" t="s">
        <v>4295</v>
      </c>
    </row>
    <row r="464" customFormat="false" ht="15" hidden="false" customHeight="false" outlineLevel="0" collapsed="false">
      <c r="A464" s="4" t="n">
        <v>461</v>
      </c>
      <c r="B464" s="4" t="s">
        <v>103</v>
      </c>
      <c r="C464" s="4" t="s">
        <v>4737</v>
      </c>
      <c r="D464" s="4" t="s">
        <v>4295</v>
      </c>
    </row>
    <row r="465" customFormat="false" ht="15" hidden="false" customHeight="false" outlineLevel="0" collapsed="false">
      <c r="A465" s="4" t="n">
        <v>462</v>
      </c>
      <c r="B465" s="4" t="s">
        <v>101</v>
      </c>
      <c r="C465" s="4" t="s">
        <v>4738</v>
      </c>
      <c r="D465" s="4" t="s">
        <v>4295</v>
      </c>
    </row>
    <row r="466" customFormat="false" ht="15" hidden="false" customHeight="false" outlineLevel="0" collapsed="false">
      <c r="A466" s="4" t="n">
        <v>463</v>
      </c>
      <c r="B466" s="4" t="s">
        <v>100</v>
      </c>
      <c r="C466" s="4" t="s">
        <v>4739</v>
      </c>
      <c r="D466" s="4" t="s">
        <v>4295</v>
      </c>
    </row>
    <row r="467" customFormat="false" ht="15" hidden="false" customHeight="false" outlineLevel="0" collapsed="false">
      <c r="A467" s="4" t="n">
        <v>464</v>
      </c>
      <c r="B467" s="4" t="s">
        <v>102</v>
      </c>
      <c r="C467" s="4" t="s">
        <v>4740</v>
      </c>
      <c r="D467" s="4" t="s">
        <v>4295</v>
      </c>
    </row>
    <row r="468" customFormat="false" ht="15" hidden="false" customHeight="false" outlineLevel="0" collapsed="false">
      <c r="A468" s="4" t="n">
        <v>465</v>
      </c>
      <c r="B468" s="4" t="s">
        <v>101</v>
      </c>
      <c r="C468" s="4" t="s">
        <v>4741</v>
      </c>
      <c r="D468" s="4" t="s">
        <v>4295</v>
      </c>
    </row>
    <row r="469" customFormat="false" ht="15" hidden="false" customHeight="false" outlineLevel="0" collapsed="false">
      <c r="A469" s="4" t="n">
        <v>466</v>
      </c>
      <c r="B469" s="4" t="s">
        <v>103</v>
      </c>
      <c r="C469" s="4" t="s">
        <v>4742</v>
      </c>
      <c r="D469" s="4" t="s">
        <v>4295</v>
      </c>
    </row>
    <row r="470" customFormat="false" ht="15" hidden="false" customHeight="false" outlineLevel="0" collapsed="false">
      <c r="A470" s="4" t="n">
        <v>467</v>
      </c>
      <c r="B470" s="4" t="s">
        <v>100</v>
      </c>
      <c r="C470" s="4" t="s">
        <v>4743</v>
      </c>
      <c r="D470" s="4" t="s">
        <v>4295</v>
      </c>
    </row>
    <row r="471" customFormat="false" ht="15" hidden="false" customHeight="false" outlineLevel="0" collapsed="false">
      <c r="A471" s="4" t="n">
        <v>468</v>
      </c>
      <c r="B471" s="4" t="s">
        <v>99</v>
      </c>
      <c r="C471" s="4" t="s">
        <v>4744</v>
      </c>
      <c r="D471" s="4" t="s">
        <v>4295</v>
      </c>
    </row>
    <row r="472" customFormat="false" ht="15" hidden="false" customHeight="false" outlineLevel="0" collapsed="false">
      <c r="A472" s="4" t="n">
        <v>469</v>
      </c>
      <c r="B472" s="4" t="s">
        <v>101</v>
      </c>
      <c r="C472" s="4" t="s">
        <v>4745</v>
      </c>
      <c r="D472" s="4" t="s">
        <v>4295</v>
      </c>
    </row>
    <row r="473" customFormat="false" ht="15" hidden="false" customHeight="false" outlineLevel="0" collapsed="false">
      <c r="A473" s="4" t="n">
        <v>470</v>
      </c>
      <c r="B473" s="4" t="s">
        <v>104</v>
      </c>
      <c r="C473" s="4" t="s">
        <v>4746</v>
      </c>
      <c r="D473" s="4" t="s">
        <v>4295</v>
      </c>
    </row>
    <row r="474" customFormat="false" ht="15" hidden="false" customHeight="false" outlineLevel="0" collapsed="false">
      <c r="A474" s="4" t="n">
        <v>471</v>
      </c>
      <c r="B474" s="4" t="s">
        <v>102</v>
      </c>
      <c r="C474" s="4" t="s">
        <v>4747</v>
      </c>
      <c r="D474" s="4" t="s">
        <v>4295</v>
      </c>
    </row>
    <row r="475" customFormat="false" ht="15" hidden="false" customHeight="false" outlineLevel="0" collapsed="false">
      <c r="A475" s="4" t="n">
        <v>472</v>
      </c>
      <c r="B475" s="4" t="s">
        <v>100</v>
      </c>
      <c r="C475" s="4" t="s">
        <v>4748</v>
      </c>
      <c r="D475" s="4" t="s">
        <v>4295</v>
      </c>
    </row>
    <row r="476" customFormat="false" ht="15" hidden="false" customHeight="false" outlineLevel="0" collapsed="false">
      <c r="A476" s="4" t="n">
        <v>473</v>
      </c>
      <c r="B476" s="4" t="s">
        <v>103</v>
      </c>
      <c r="C476" s="4" t="s">
        <v>4749</v>
      </c>
      <c r="D476" s="4" t="s">
        <v>4295</v>
      </c>
    </row>
    <row r="477" customFormat="false" ht="15" hidden="false" customHeight="false" outlineLevel="0" collapsed="false">
      <c r="A477" s="4" t="n">
        <v>474</v>
      </c>
      <c r="B477" s="4" t="s">
        <v>103</v>
      </c>
      <c r="C477" s="4" t="s">
        <v>4750</v>
      </c>
      <c r="D477" s="4" t="s">
        <v>4462</v>
      </c>
    </row>
    <row r="478" customFormat="false" ht="15" hidden="false" customHeight="false" outlineLevel="0" collapsed="false">
      <c r="A478" s="4" t="n">
        <v>475</v>
      </c>
      <c r="B478" s="4" t="s">
        <v>101</v>
      </c>
      <c r="C478" s="4" t="s">
        <v>4751</v>
      </c>
      <c r="D478" s="4" t="s">
        <v>4295</v>
      </c>
    </row>
    <row r="479" customFormat="false" ht="15" hidden="false" customHeight="false" outlineLevel="0" collapsed="false">
      <c r="A479" s="4" t="n">
        <v>476</v>
      </c>
      <c r="B479" s="4" t="s">
        <v>100</v>
      </c>
      <c r="C479" s="4" t="s">
        <v>4752</v>
      </c>
      <c r="D479" s="4" t="s">
        <v>4295</v>
      </c>
    </row>
    <row r="480" customFormat="false" ht="15" hidden="false" customHeight="false" outlineLevel="0" collapsed="false">
      <c r="A480" s="4" t="n">
        <v>477</v>
      </c>
      <c r="B480" s="4" t="s">
        <v>102</v>
      </c>
      <c r="C480" s="4" t="s">
        <v>4753</v>
      </c>
      <c r="D480" s="4" t="s">
        <v>4295</v>
      </c>
    </row>
    <row r="481" customFormat="false" ht="15" hidden="false" customHeight="false" outlineLevel="0" collapsed="false">
      <c r="A481" s="4" t="n">
        <v>478</v>
      </c>
      <c r="B481" s="4" t="s">
        <v>101</v>
      </c>
      <c r="C481" s="4" t="s">
        <v>4754</v>
      </c>
      <c r="D481" s="4" t="s">
        <v>4295</v>
      </c>
    </row>
    <row r="482" customFormat="false" ht="15" hidden="false" customHeight="false" outlineLevel="0" collapsed="false">
      <c r="A482" s="4" t="n">
        <v>479</v>
      </c>
      <c r="B482" s="4" t="s">
        <v>103</v>
      </c>
      <c r="C482" s="4" t="s">
        <v>4755</v>
      </c>
      <c r="D482" s="4" t="s">
        <v>4295</v>
      </c>
    </row>
    <row r="483" customFormat="false" ht="15" hidden="false" customHeight="false" outlineLevel="0" collapsed="false">
      <c r="A483" s="4" t="n">
        <v>480</v>
      </c>
      <c r="B483" s="4" t="s">
        <v>100</v>
      </c>
      <c r="C483" s="4" t="s">
        <v>4756</v>
      </c>
      <c r="D483" s="4" t="s">
        <v>4295</v>
      </c>
    </row>
    <row r="484" customFormat="false" ht="15" hidden="false" customHeight="false" outlineLevel="0" collapsed="false">
      <c r="A484" s="4" t="n">
        <v>481</v>
      </c>
      <c r="B484" s="4" t="s">
        <v>101</v>
      </c>
      <c r="C484" s="4" t="s">
        <v>4757</v>
      </c>
      <c r="D484" s="4" t="s">
        <v>4295</v>
      </c>
    </row>
    <row r="485" customFormat="false" ht="15" hidden="false" customHeight="false" outlineLevel="0" collapsed="false">
      <c r="A485" s="4" t="n">
        <v>482</v>
      </c>
      <c r="B485" s="4" t="s">
        <v>104</v>
      </c>
      <c r="C485" s="4" t="s">
        <v>4758</v>
      </c>
      <c r="D485" s="4" t="s">
        <v>4295</v>
      </c>
    </row>
    <row r="486" customFormat="false" ht="15" hidden="false" customHeight="false" outlineLevel="0" collapsed="false">
      <c r="A486" s="4" t="n">
        <v>483</v>
      </c>
      <c r="B486" s="4" t="s">
        <v>102</v>
      </c>
      <c r="C486" s="4" t="s">
        <v>4759</v>
      </c>
      <c r="D486" s="4" t="s">
        <v>4295</v>
      </c>
    </row>
    <row r="487" customFormat="false" ht="15" hidden="false" customHeight="false" outlineLevel="0" collapsed="false">
      <c r="A487" s="4" t="n">
        <v>484</v>
      </c>
      <c r="B487" s="4" t="s">
        <v>100</v>
      </c>
      <c r="C487" s="4" t="s">
        <v>4760</v>
      </c>
      <c r="D487" s="4" t="s">
        <v>4295</v>
      </c>
    </row>
    <row r="488" customFormat="false" ht="15" hidden="false" customHeight="false" outlineLevel="0" collapsed="false">
      <c r="A488" s="4" t="n">
        <v>485</v>
      </c>
      <c r="B488" s="4" t="s">
        <v>103</v>
      </c>
      <c r="C488" s="4" t="s">
        <v>4761</v>
      </c>
      <c r="D488" s="4" t="s">
        <v>4295</v>
      </c>
    </row>
    <row r="489" customFormat="false" ht="15" hidden="false" customHeight="false" outlineLevel="0" collapsed="false">
      <c r="A489" s="4" t="n">
        <v>486</v>
      </c>
      <c r="B489" s="4" t="s">
        <v>101</v>
      </c>
      <c r="C489" s="4" t="s">
        <v>4762</v>
      </c>
      <c r="D489" s="4" t="s">
        <v>4295</v>
      </c>
    </row>
    <row r="490" customFormat="false" ht="15" hidden="false" customHeight="false" outlineLevel="0" collapsed="false">
      <c r="A490" s="4" t="n">
        <v>487</v>
      </c>
      <c r="B490" s="4" t="s">
        <v>100</v>
      </c>
      <c r="C490" s="4" t="s">
        <v>4763</v>
      </c>
      <c r="D490" s="4" t="s">
        <v>4295</v>
      </c>
    </row>
    <row r="491" customFormat="false" ht="15" hidden="false" customHeight="false" outlineLevel="0" collapsed="false">
      <c r="A491" s="4" t="n">
        <v>488</v>
      </c>
      <c r="B491" s="4" t="s">
        <v>102</v>
      </c>
      <c r="C491" s="4" t="s">
        <v>4764</v>
      </c>
      <c r="D491" s="4" t="s">
        <v>4295</v>
      </c>
    </row>
    <row r="492" customFormat="false" ht="15" hidden="false" customHeight="false" outlineLevel="0" collapsed="false">
      <c r="A492" s="4" t="n">
        <v>489</v>
      </c>
      <c r="B492" s="4" t="s">
        <v>101</v>
      </c>
      <c r="C492" s="4" t="s">
        <v>4765</v>
      </c>
      <c r="D492" s="4" t="s">
        <v>4295</v>
      </c>
    </row>
    <row r="493" customFormat="false" ht="15" hidden="false" customHeight="false" outlineLevel="0" collapsed="false">
      <c r="A493" s="4" t="n">
        <v>490</v>
      </c>
      <c r="B493" s="4" t="s">
        <v>103</v>
      </c>
      <c r="C493" s="4" t="s">
        <v>4766</v>
      </c>
      <c r="D493" s="4" t="s">
        <v>4295</v>
      </c>
    </row>
    <row r="494" customFormat="false" ht="15" hidden="false" customHeight="false" outlineLevel="0" collapsed="false">
      <c r="A494" s="4" t="n">
        <v>491</v>
      </c>
      <c r="B494" s="4" t="s">
        <v>100</v>
      </c>
      <c r="C494" s="4" t="s">
        <v>4767</v>
      </c>
      <c r="D494" s="4" t="s">
        <v>4295</v>
      </c>
    </row>
    <row r="495" customFormat="false" ht="15" hidden="false" customHeight="false" outlineLevel="0" collapsed="false">
      <c r="A495" s="4" t="n">
        <v>492</v>
      </c>
      <c r="B495" s="4" t="s">
        <v>99</v>
      </c>
      <c r="C495" s="4" t="s">
        <v>4768</v>
      </c>
      <c r="D495" s="4" t="s">
        <v>4295</v>
      </c>
    </row>
    <row r="496" customFormat="false" ht="15" hidden="false" customHeight="false" outlineLevel="0" collapsed="false">
      <c r="A496" s="4" t="n">
        <v>493</v>
      </c>
      <c r="B496" s="4" t="s">
        <v>101</v>
      </c>
      <c r="C496" s="4" t="s">
        <v>4769</v>
      </c>
      <c r="D496" s="4" t="s">
        <v>4295</v>
      </c>
    </row>
    <row r="497" customFormat="false" ht="15" hidden="false" customHeight="false" outlineLevel="0" collapsed="false">
      <c r="A497" s="4" t="n">
        <v>494</v>
      </c>
      <c r="B497" s="4" t="s">
        <v>104</v>
      </c>
      <c r="C497" s="4" t="s">
        <v>4770</v>
      </c>
      <c r="D497" s="4" t="s">
        <v>4295</v>
      </c>
    </row>
    <row r="498" customFormat="false" ht="15" hidden="false" customHeight="false" outlineLevel="0" collapsed="false">
      <c r="A498" s="4" t="n">
        <v>495</v>
      </c>
      <c r="B498" s="4" t="s">
        <v>102</v>
      </c>
      <c r="C498" s="4" t="s">
        <v>4771</v>
      </c>
      <c r="D498" s="4" t="s">
        <v>4295</v>
      </c>
    </row>
    <row r="499" customFormat="false" ht="15" hidden="false" customHeight="false" outlineLevel="0" collapsed="false">
      <c r="A499" s="4" t="n">
        <v>496</v>
      </c>
      <c r="B499" s="4" t="s">
        <v>100</v>
      </c>
      <c r="C499" s="4" t="s">
        <v>4772</v>
      </c>
      <c r="D499" s="4" t="s">
        <v>4295</v>
      </c>
    </row>
    <row r="500" customFormat="false" ht="15" hidden="false" customHeight="false" outlineLevel="0" collapsed="false">
      <c r="A500" s="4" t="n">
        <v>497</v>
      </c>
      <c r="B500" s="4" t="s">
        <v>103</v>
      </c>
      <c r="C500" s="4" t="s">
        <v>4773</v>
      </c>
      <c r="D500" s="4" t="s">
        <v>4295</v>
      </c>
    </row>
    <row r="501" customFormat="false" ht="15" hidden="false" customHeight="false" outlineLevel="0" collapsed="false">
      <c r="A501" s="4" t="n">
        <v>498</v>
      </c>
      <c r="B501" s="4" t="s">
        <v>101</v>
      </c>
      <c r="C501" s="4" t="s">
        <v>4774</v>
      </c>
      <c r="D501" s="4" t="s">
        <v>4295</v>
      </c>
    </row>
    <row r="502" customFormat="false" ht="15" hidden="false" customHeight="false" outlineLevel="0" collapsed="false">
      <c r="A502" s="4" t="n">
        <v>499</v>
      </c>
      <c r="B502" s="4" t="s">
        <v>102</v>
      </c>
      <c r="C502" s="4" t="s">
        <v>4775</v>
      </c>
      <c r="D502" s="4" t="s">
        <v>4462</v>
      </c>
    </row>
    <row r="503" customFormat="false" ht="15" hidden="false" customHeight="false" outlineLevel="0" collapsed="false">
      <c r="A503" s="4" t="n">
        <v>500</v>
      </c>
      <c r="B503" s="4" t="s">
        <v>102</v>
      </c>
      <c r="C503" s="4" t="s">
        <v>4776</v>
      </c>
      <c r="D503" s="4" t="s">
        <v>4462</v>
      </c>
    </row>
    <row r="504" customFormat="false" ht="15" hidden="false" customHeight="false" outlineLevel="0" collapsed="false">
      <c r="A504" s="4" t="n">
        <v>501</v>
      </c>
      <c r="B504" s="4" t="s">
        <v>100</v>
      </c>
      <c r="C504" s="4" t="s">
        <v>4777</v>
      </c>
      <c r="D504" s="4" t="s">
        <v>4295</v>
      </c>
    </row>
    <row r="505" customFormat="false" ht="15" hidden="false" customHeight="false" outlineLevel="0" collapsed="false">
      <c r="A505" s="4" t="n">
        <v>502</v>
      </c>
      <c r="B505" s="4" t="s">
        <v>102</v>
      </c>
      <c r="C505" s="4" t="s">
        <v>4778</v>
      </c>
      <c r="D505" s="4" t="s">
        <v>4462</v>
      </c>
    </row>
    <row r="506" customFormat="false" ht="15" hidden="false" customHeight="false" outlineLevel="0" collapsed="false">
      <c r="A506" s="4" t="n">
        <v>503</v>
      </c>
      <c r="B506" s="4" t="s">
        <v>101</v>
      </c>
      <c r="C506" s="4" t="s">
        <v>4779</v>
      </c>
      <c r="D506" s="4" t="s">
        <v>4295</v>
      </c>
    </row>
    <row r="507" customFormat="false" ht="15" hidden="false" customHeight="false" outlineLevel="0" collapsed="false">
      <c r="A507" s="4" t="n">
        <v>504</v>
      </c>
      <c r="B507" s="4" t="s">
        <v>103</v>
      </c>
      <c r="C507" s="4" t="s">
        <v>4780</v>
      </c>
      <c r="D507" s="4" t="s">
        <v>4295</v>
      </c>
    </row>
    <row r="508" customFormat="false" ht="15" hidden="false" customHeight="false" outlineLevel="0" collapsed="false">
      <c r="A508" s="4" t="n">
        <v>505</v>
      </c>
      <c r="B508" s="4" t="s">
        <v>100</v>
      </c>
      <c r="C508" s="4" t="s">
        <v>4781</v>
      </c>
      <c r="D508" s="4" t="s">
        <v>4295</v>
      </c>
    </row>
    <row r="509" customFormat="false" ht="15" hidden="false" customHeight="false" outlineLevel="0" collapsed="false">
      <c r="A509" s="4" t="n">
        <v>506</v>
      </c>
      <c r="B509" s="4" t="s">
        <v>101</v>
      </c>
      <c r="C509" s="4" t="s">
        <v>4782</v>
      </c>
      <c r="D509" s="4" t="s">
        <v>4295</v>
      </c>
    </row>
    <row r="510" customFormat="false" ht="15" hidden="false" customHeight="false" outlineLevel="0" collapsed="false">
      <c r="A510" s="4" t="n">
        <v>507</v>
      </c>
      <c r="B510" s="4" t="s">
        <v>104</v>
      </c>
      <c r="C510" s="4" t="s">
        <v>4783</v>
      </c>
      <c r="D510" s="4" t="s">
        <v>4295</v>
      </c>
    </row>
    <row r="511" customFormat="false" ht="15" hidden="false" customHeight="false" outlineLevel="0" collapsed="false">
      <c r="A511" s="4" t="n">
        <v>508</v>
      </c>
      <c r="B511" s="4" t="s">
        <v>102</v>
      </c>
      <c r="C511" s="4" t="s">
        <v>4784</v>
      </c>
      <c r="D511" s="4" t="s">
        <v>4295</v>
      </c>
    </row>
    <row r="512" customFormat="false" ht="15" hidden="false" customHeight="false" outlineLevel="0" collapsed="false">
      <c r="A512" s="4" t="n">
        <v>509</v>
      </c>
      <c r="B512" s="4" t="s">
        <v>100</v>
      </c>
      <c r="C512" s="4" t="s">
        <v>4785</v>
      </c>
      <c r="D512" s="4" t="s">
        <v>4295</v>
      </c>
    </row>
    <row r="513" customFormat="false" ht="15" hidden="false" customHeight="false" outlineLevel="0" collapsed="false">
      <c r="A513" s="4" t="n">
        <v>510</v>
      </c>
      <c r="B513" s="4" t="s">
        <v>103</v>
      </c>
      <c r="C513" s="4" t="s">
        <v>4786</v>
      </c>
      <c r="D513" s="4" t="s">
        <v>4295</v>
      </c>
    </row>
    <row r="514" customFormat="false" ht="15" hidden="false" customHeight="false" outlineLevel="0" collapsed="false">
      <c r="A514" s="4" t="n">
        <v>511</v>
      </c>
      <c r="B514" s="4" t="s">
        <v>101</v>
      </c>
      <c r="C514" s="4" t="s">
        <v>4787</v>
      </c>
      <c r="D514" s="4" t="s">
        <v>4295</v>
      </c>
    </row>
    <row r="515" customFormat="false" ht="15" hidden="false" customHeight="false" outlineLevel="0" collapsed="false">
      <c r="A515" s="4" t="n">
        <v>512</v>
      </c>
      <c r="B515" s="4" t="s">
        <v>100</v>
      </c>
      <c r="C515" s="4" t="s">
        <v>4788</v>
      </c>
      <c r="D515" s="4" t="s">
        <v>4295</v>
      </c>
    </row>
    <row r="516" customFormat="false" ht="15" hidden="false" customHeight="false" outlineLevel="0" collapsed="false">
      <c r="A516" s="4" t="n">
        <v>513</v>
      </c>
      <c r="B516" s="4" t="s">
        <v>102</v>
      </c>
      <c r="C516" s="4" t="s">
        <v>4789</v>
      </c>
      <c r="D516" s="4" t="s">
        <v>4295</v>
      </c>
    </row>
    <row r="517" customFormat="false" ht="15" hidden="false" customHeight="false" outlineLevel="0" collapsed="false">
      <c r="A517" s="4" t="n">
        <v>514</v>
      </c>
      <c r="B517" s="4" t="s">
        <v>101</v>
      </c>
      <c r="C517" s="4" t="s">
        <v>4790</v>
      </c>
      <c r="D517" s="4" t="s">
        <v>4295</v>
      </c>
    </row>
    <row r="518" customFormat="false" ht="15" hidden="false" customHeight="false" outlineLevel="0" collapsed="false">
      <c r="A518" s="4" t="n">
        <v>515</v>
      </c>
      <c r="B518" s="4" t="s">
        <v>103</v>
      </c>
      <c r="C518" s="4" t="s">
        <v>4791</v>
      </c>
      <c r="D518" s="4" t="s">
        <v>4295</v>
      </c>
    </row>
    <row r="519" customFormat="false" ht="15" hidden="false" customHeight="false" outlineLevel="0" collapsed="false">
      <c r="A519" s="4" t="n">
        <v>516</v>
      </c>
      <c r="B519" s="4" t="s">
        <v>100</v>
      </c>
      <c r="C519" s="4" t="s">
        <v>4792</v>
      </c>
      <c r="D519" s="4" t="s">
        <v>4295</v>
      </c>
    </row>
    <row r="520" customFormat="false" ht="15" hidden="false" customHeight="false" outlineLevel="0" collapsed="false">
      <c r="A520" s="4" t="n">
        <v>517</v>
      </c>
      <c r="B520" s="4" t="s">
        <v>99</v>
      </c>
      <c r="C520" s="4" t="s">
        <v>4793</v>
      </c>
      <c r="D520" s="4" t="s">
        <v>4295</v>
      </c>
    </row>
    <row r="521" customFormat="false" ht="15" hidden="false" customHeight="false" outlineLevel="0" collapsed="false">
      <c r="A521" s="4" t="n">
        <v>518</v>
      </c>
      <c r="B521" s="4" t="s">
        <v>101</v>
      </c>
      <c r="C521" s="4" t="s">
        <v>4794</v>
      </c>
      <c r="D521" s="4" t="s">
        <v>4295</v>
      </c>
    </row>
    <row r="522" customFormat="false" ht="15" hidden="false" customHeight="false" outlineLevel="0" collapsed="false">
      <c r="A522" s="4" t="n">
        <v>519</v>
      </c>
      <c r="B522" s="4" t="s">
        <v>104</v>
      </c>
      <c r="C522" s="4" t="s">
        <v>4795</v>
      </c>
      <c r="D522" s="4" t="s">
        <v>4295</v>
      </c>
    </row>
    <row r="523" customFormat="false" ht="15" hidden="false" customHeight="false" outlineLevel="0" collapsed="false">
      <c r="A523" s="4" t="n">
        <v>520</v>
      </c>
      <c r="B523" s="4" t="s">
        <v>102</v>
      </c>
      <c r="C523" s="4" t="s">
        <v>4796</v>
      </c>
      <c r="D523" s="4" t="s">
        <v>4295</v>
      </c>
    </row>
    <row r="524" customFormat="false" ht="15" hidden="false" customHeight="false" outlineLevel="0" collapsed="false">
      <c r="A524" s="4" t="n">
        <v>521</v>
      </c>
      <c r="B524" s="4" t="s">
        <v>100</v>
      </c>
      <c r="C524" s="4" t="s">
        <v>4797</v>
      </c>
      <c r="D524" s="4" t="s">
        <v>4295</v>
      </c>
    </row>
    <row r="525" customFormat="false" ht="15" hidden="false" customHeight="false" outlineLevel="0" collapsed="false">
      <c r="A525" s="4" t="n">
        <v>522</v>
      </c>
      <c r="B525" s="4" t="s">
        <v>103</v>
      </c>
      <c r="C525" s="4" t="s">
        <v>4798</v>
      </c>
      <c r="D525" s="4" t="s">
        <v>4295</v>
      </c>
    </row>
    <row r="526" customFormat="false" ht="15" hidden="false" customHeight="false" outlineLevel="0" collapsed="false">
      <c r="A526" s="4" t="n">
        <v>523</v>
      </c>
      <c r="B526" s="4" t="s">
        <v>101</v>
      </c>
      <c r="C526" s="4" t="s">
        <v>4799</v>
      </c>
      <c r="D526" s="4" t="s">
        <v>4295</v>
      </c>
    </row>
    <row r="527" customFormat="false" ht="15" hidden="false" customHeight="false" outlineLevel="0" collapsed="false">
      <c r="A527" s="4" t="n">
        <v>524</v>
      </c>
      <c r="B527" s="4" t="s">
        <v>100</v>
      </c>
      <c r="C527" s="4" t="s">
        <v>4800</v>
      </c>
      <c r="D527" s="4" t="s">
        <v>4295</v>
      </c>
    </row>
    <row r="528" customFormat="false" ht="15" hidden="false" customHeight="false" outlineLevel="0" collapsed="false">
      <c r="A528" s="4" t="n">
        <v>525</v>
      </c>
      <c r="B528" s="4" t="s">
        <v>102</v>
      </c>
      <c r="C528" s="4" t="s">
        <v>4801</v>
      </c>
      <c r="D528" s="4" t="s">
        <v>4295</v>
      </c>
    </row>
    <row r="529" customFormat="false" ht="15" hidden="false" customHeight="false" outlineLevel="0" collapsed="false">
      <c r="A529" s="4" t="n">
        <v>526</v>
      </c>
      <c r="B529" s="4" t="s">
        <v>103</v>
      </c>
      <c r="C529" s="4" t="s">
        <v>4802</v>
      </c>
      <c r="D529" s="4" t="s">
        <v>4295</v>
      </c>
    </row>
    <row r="530" customFormat="false" ht="15" hidden="false" customHeight="false" outlineLevel="0" collapsed="false">
      <c r="A530" s="4" t="n">
        <v>527</v>
      </c>
      <c r="B530" s="4" t="s">
        <v>100</v>
      </c>
      <c r="C530" s="4" t="s">
        <v>4803</v>
      </c>
      <c r="D530" s="4" t="s">
        <v>4295</v>
      </c>
    </row>
    <row r="531" customFormat="false" ht="15" hidden="false" customHeight="false" outlineLevel="0" collapsed="false">
      <c r="A531" s="4" t="n">
        <v>528</v>
      </c>
      <c r="B531" s="4" t="s">
        <v>101</v>
      </c>
      <c r="C531" s="4" t="s">
        <v>4804</v>
      </c>
      <c r="D531" s="4" t="s">
        <v>4295</v>
      </c>
    </row>
    <row r="532" customFormat="false" ht="15" hidden="false" customHeight="false" outlineLevel="0" collapsed="false">
      <c r="A532" s="4" t="n">
        <v>529</v>
      </c>
      <c r="B532" s="4" t="s">
        <v>101</v>
      </c>
      <c r="C532" s="4" t="s">
        <v>4805</v>
      </c>
      <c r="D532" s="4" t="s">
        <v>4295</v>
      </c>
    </row>
    <row r="533" customFormat="false" ht="15" hidden="false" customHeight="false" outlineLevel="0" collapsed="false">
      <c r="A533" s="4" t="n">
        <v>530</v>
      </c>
      <c r="B533" s="4" t="s">
        <v>104</v>
      </c>
      <c r="C533" s="4" t="s">
        <v>4806</v>
      </c>
      <c r="D533" s="4" t="s">
        <v>4295</v>
      </c>
    </row>
    <row r="534" customFormat="false" ht="15" hidden="false" customHeight="false" outlineLevel="0" collapsed="false">
      <c r="A534" s="4" t="n">
        <v>531</v>
      </c>
      <c r="B534" s="4" t="s">
        <v>102</v>
      </c>
      <c r="C534" s="4" t="s">
        <v>4807</v>
      </c>
      <c r="D534" s="4" t="s">
        <v>4295</v>
      </c>
    </row>
    <row r="535" customFormat="false" ht="15" hidden="false" customHeight="false" outlineLevel="0" collapsed="false">
      <c r="A535" s="4" t="n">
        <v>532</v>
      </c>
      <c r="B535" s="4" t="s">
        <v>100</v>
      </c>
      <c r="C535" s="4" t="s">
        <v>4808</v>
      </c>
      <c r="D535" s="4" t="s">
        <v>4295</v>
      </c>
    </row>
    <row r="536" customFormat="false" ht="15" hidden="false" customHeight="false" outlineLevel="0" collapsed="false">
      <c r="A536" s="4" t="n">
        <v>533</v>
      </c>
      <c r="B536" s="4" t="s">
        <v>103</v>
      </c>
      <c r="C536" s="4" t="s">
        <v>4809</v>
      </c>
      <c r="D536" s="4" t="s">
        <v>4295</v>
      </c>
    </row>
    <row r="537" customFormat="false" ht="15" hidden="false" customHeight="false" outlineLevel="0" collapsed="false">
      <c r="A537" s="4" t="n">
        <v>534</v>
      </c>
      <c r="B537" s="4" t="s">
        <v>101</v>
      </c>
      <c r="C537" s="4" t="s">
        <v>4810</v>
      </c>
      <c r="D537" s="4" t="s">
        <v>4295</v>
      </c>
    </row>
    <row r="538" customFormat="false" ht="15" hidden="false" customHeight="false" outlineLevel="0" collapsed="false">
      <c r="A538" s="4" t="n">
        <v>535</v>
      </c>
      <c r="B538" s="4" t="s">
        <v>100</v>
      </c>
      <c r="C538" s="4" t="s">
        <v>4811</v>
      </c>
      <c r="D538" s="4" t="s">
        <v>4295</v>
      </c>
    </row>
    <row r="539" customFormat="false" ht="15" hidden="false" customHeight="false" outlineLevel="0" collapsed="false">
      <c r="A539" s="4" t="n">
        <v>536</v>
      </c>
      <c r="B539" s="4" t="s">
        <v>102</v>
      </c>
      <c r="C539" s="4" t="s">
        <v>4812</v>
      </c>
      <c r="D539" s="4" t="s">
        <v>4295</v>
      </c>
    </row>
    <row r="540" customFormat="false" ht="15" hidden="false" customHeight="false" outlineLevel="0" collapsed="false">
      <c r="A540" s="4" t="n">
        <v>537</v>
      </c>
      <c r="B540" s="4" t="s">
        <v>101</v>
      </c>
      <c r="C540" s="4" t="s">
        <v>4813</v>
      </c>
      <c r="D540" s="4" t="s">
        <v>4295</v>
      </c>
    </row>
    <row r="541" customFormat="false" ht="15" hidden="false" customHeight="false" outlineLevel="0" collapsed="false">
      <c r="A541" s="4" t="n">
        <v>538</v>
      </c>
      <c r="B541" s="4" t="s">
        <v>103</v>
      </c>
      <c r="C541" s="4" t="s">
        <v>4814</v>
      </c>
      <c r="D541" s="4" t="s">
        <v>4295</v>
      </c>
    </row>
    <row r="542" customFormat="false" ht="15" hidden="false" customHeight="false" outlineLevel="0" collapsed="false">
      <c r="A542" s="4" t="n">
        <v>539</v>
      </c>
      <c r="B542" s="4" t="s">
        <v>100</v>
      </c>
      <c r="C542" s="4" t="s">
        <v>4815</v>
      </c>
      <c r="D542" s="4" t="s">
        <v>4295</v>
      </c>
    </row>
    <row r="543" customFormat="false" ht="15" hidden="false" customHeight="false" outlineLevel="0" collapsed="false">
      <c r="A543" s="4" t="n">
        <v>540</v>
      </c>
      <c r="B543" s="4" t="s">
        <v>99</v>
      </c>
      <c r="C543" s="4" t="s">
        <v>4816</v>
      </c>
      <c r="D543" s="4" t="s">
        <v>4295</v>
      </c>
    </row>
    <row r="544" customFormat="false" ht="15" hidden="false" customHeight="false" outlineLevel="0" collapsed="false">
      <c r="A544" s="4" t="n">
        <v>541</v>
      </c>
      <c r="B544" s="4" t="s">
        <v>101</v>
      </c>
      <c r="C544" s="4" t="s">
        <v>4817</v>
      </c>
      <c r="D544" s="4" t="s">
        <v>4295</v>
      </c>
    </row>
    <row r="545" customFormat="false" ht="15" hidden="false" customHeight="false" outlineLevel="0" collapsed="false">
      <c r="A545" s="4" t="n">
        <v>542</v>
      </c>
      <c r="B545" s="4" t="s">
        <v>104</v>
      </c>
      <c r="C545" s="4" t="s">
        <v>4818</v>
      </c>
      <c r="D545" s="4" t="s">
        <v>4295</v>
      </c>
    </row>
    <row r="546" customFormat="false" ht="15" hidden="false" customHeight="false" outlineLevel="0" collapsed="false">
      <c r="A546" s="4" t="n">
        <v>543</v>
      </c>
      <c r="B546" s="4" t="s">
        <v>102</v>
      </c>
      <c r="C546" s="4" t="s">
        <v>4819</v>
      </c>
      <c r="D546" s="4" t="s">
        <v>4295</v>
      </c>
    </row>
    <row r="547" customFormat="false" ht="15" hidden="false" customHeight="false" outlineLevel="0" collapsed="false">
      <c r="A547" s="4" t="n">
        <v>544</v>
      </c>
      <c r="B547" s="4" t="s">
        <v>100</v>
      </c>
      <c r="C547" s="4" t="s">
        <v>4820</v>
      </c>
      <c r="D547" s="4" t="s">
        <v>4295</v>
      </c>
    </row>
    <row r="548" customFormat="false" ht="15" hidden="false" customHeight="false" outlineLevel="0" collapsed="false">
      <c r="A548" s="4" t="n">
        <v>545</v>
      </c>
      <c r="B548" s="4" t="s">
        <v>103</v>
      </c>
      <c r="C548" s="4" t="s">
        <v>4821</v>
      </c>
      <c r="D548" s="4" t="s">
        <v>4295</v>
      </c>
    </row>
    <row r="549" customFormat="false" ht="15" hidden="false" customHeight="false" outlineLevel="0" collapsed="false">
      <c r="A549" s="4" t="n">
        <v>546</v>
      </c>
      <c r="B549" s="4" t="s">
        <v>101</v>
      </c>
      <c r="C549" s="4" t="s">
        <v>4822</v>
      </c>
      <c r="D549" s="4" t="s">
        <v>4295</v>
      </c>
    </row>
    <row r="550" customFormat="false" ht="15" hidden="false" customHeight="false" outlineLevel="0" collapsed="false">
      <c r="A550" s="4" t="n">
        <v>547</v>
      </c>
      <c r="B550" s="4" t="s">
        <v>100</v>
      </c>
      <c r="C550" s="4" t="s">
        <v>4823</v>
      </c>
      <c r="D550" s="4" t="s">
        <v>4295</v>
      </c>
    </row>
    <row r="551" customFormat="false" ht="15" hidden="false" customHeight="false" outlineLevel="0" collapsed="false">
      <c r="A551" s="4" t="n">
        <v>548</v>
      </c>
      <c r="B551" s="4" t="s">
        <v>102</v>
      </c>
      <c r="C551" s="4" t="s">
        <v>4824</v>
      </c>
      <c r="D551" s="4" t="s">
        <v>4295</v>
      </c>
    </row>
    <row r="552" customFormat="false" ht="15" hidden="false" customHeight="false" outlineLevel="0" collapsed="false">
      <c r="A552" s="4" t="n">
        <v>549</v>
      </c>
      <c r="B552" s="4" t="s">
        <v>101</v>
      </c>
      <c r="C552" s="4" t="s">
        <v>4825</v>
      </c>
      <c r="D552" s="4" t="s">
        <v>4295</v>
      </c>
    </row>
    <row r="553" customFormat="false" ht="15" hidden="false" customHeight="false" outlineLevel="0" collapsed="false">
      <c r="A553" s="4" t="n">
        <v>550</v>
      </c>
      <c r="B553" s="4" t="s">
        <v>103</v>
      </c>
      <c r="C553" s="4" t="s">
        <v>4826</v>
      </c>
      <c r="D553" s="4" t="s">
        <v>4295</v>
      </c>
    </row>
    <row r="554" customFormat="false" ht="15" hidden="false" customHeight="false" outlineLevel="0" collapsed="false">
      <c r="A554" s="4" t="n">
        <v>551</v>
      </c>
      <c r="B554" s="4" t="s">
        <v>100</v>
      </c>
      <c r="C554" s="4" t="s">
        <v>4827</v>
      </c>
      <c r="D554" s="4" t="s">
        <v>4295</v>
      </c>
    </row>
    <row r="555" customFormat="false" ht="15" hidden="false" customHeight="false" outlineLevel="0" collapsed="false">
      <c r="A555" s="4" t="n">
        <v>552</v>
      </c>
      <c r="B555" s="4" t="s">
        <v>101</v>
      </c>
      <c r="C555" s="4" t="s">
        <v>4828</v>
      </c>
      <c r="D555" s="4" t="s">
        <v>4295</v>
      </c>
    </row>
    <row r="556" customFormat="false" ht="15" hidden="false" customHeight="false" outlineLevel="0" collapsed="false">
      <c r="A556" s="4" t="n">
        <v>553</v>
      </c>
      <c r="B556" s="4" t="s">
        <v>104</v>
      </c>
      <c r="C556" s="4" t="s">
        <v>4829</v>
      </c>
      <c r="D556" s="4" t="s">
        <v>4295</v>
      </c>
    </row>
    <row r="557" customFormat="false" ht="15" hidden="false" customHeight="false" outlineLevel="0" collapsed="false">
      <c r="A557" s="4" t="n">
        <v>554</v>
      </c>
      <c r="B557" s="4" t="s">
        <v>102</v>
      </c>
      <c r="C557" s="4" t="s">
        <v>4830</v>
      </c>
      <c r="D557" s="4" t="s">
        <v>4295</v>
      </c>
    </row>
    <row r="558" customFormat="false" ht="15" hidden="false" customHeight="false" outlineLevel="0" collapsed="false">
      <c r="A558" s="4" t="n">
        <v>555</v>
      </c>
      <c r="B558" s="4" t="s">
        <v>100</v>
      </c>
      <c r="C558" s="4" t="s">
        <v>4831</v>
      </c>
      <c r="D558" s="4" t="s">
        <v>4295</v>
      </c>
    </row>
    <row r="559" customFormat="false" ht="15" hidden="false" customHeight="false" outlineLevel="0" collapsed="false">
      <c r="A559" s="4" t="n">
        <v>556</v>
      </c>
      <c r="B559" s="4" t="s">
        <v>103</v>
      </c>
      <c r="C559" s="4" t="s">
        <v>4832</v>
      </c>
      <c r="D559" s="4" t="s">
        <v>4295</v>
      </c>
    </row>
    <row r="560" customFormat="false" ht="15" hidden="false" customHeight="false" outlineLevel="0" collapsed="false">
      <c r="A560" s="4" t="n">
        <v>557</v>
      </c>
      <c r="B560" s="4" t="s">
        <v>101</v>
      </c>
      <c r="C560" s="4" t="s">
        <v>4833</v>
      </c>
      <c r="D560" s="4" t="s">
        <v>4295</v>
      </c>
    </row>
    <row r="561" customFormat="false" ht="15" hidden="false" customHeight="false" outlineLevel="0" collapsed="false">
      <c r="A561" s="4" t="n">
        <v>558</v>
      </c>
      <c r="B561" s="4" t="s">
        <v>100</v>
      </c>
      <c r="C561" s="4" t="s">
        <v>4834</v>
      </c>
      <c r="D561" s="4" t="s">
        <v>4295</v>
      </c>
    </row>
    <row r="562" customFormat="false" ht="15" hidden="false" customHeight="false" outlineLevel="0" collapsed="false">
      <c r="A562" s="4" t="n">
        <v>559</v>
      </c>
      <c r="B562" s="4" t="s">
        <v>102</v>
      </c>
      <c r="C562" s="4" t="s">
        <v>4835</v>
      </c>
      <c r="D562" s="4" t="s">
        <v>4295</v>
      </c>
    </row>
    <row r="563" customFormat="false" ht="15" hidden="false" customHeight="false" outlineLevel="0" collapsed="false">
      <c r="A563" s="4" t="n">
        <v>560</v>
      </c>
      <c r="B563" s="4" t="s">
        <v>101</v>
      </c>
      <c r="C563" s="4" t="s">
        <v>4836</v>
      </c>
      <c r="D563" s="4" t="s">
        <v>4295</v>
      </c>
    </row>
    <row r="564" customFormat="false" ht="15" hidden="false" customHeight="false" outlineLevel="0" collapsed="false">
      <c r="A564" s="4" t="n">
        <v>561</v>
      </c>
      <c r="B564" s="4" t="s">
        <v>103</v>
      </c>
      <c r="C564" s="4" t="s">
        <v>4837</v>
      </c>
      <c r="D564" s="4" t="s">
        <v>4295</v>
      </c>
    </row>
    <row r="565" customFormat="false" ht="15" hidden="false" customHeight="false" outlineLevel="0" collapsed="false">
      <c r="A565" s="4" t="n">
        <v>562</v>
      </c>
      <c r="B565" s="4" t="s">
        <v>100</v>
      </c>
      <c r="C565" s="4" t="s">
        <v>4838</v>
      </c>
      <c r="D565" s="4" t="s">
        <v>4295</v>
      </c>
    </row>
    <row r="566" customFormat="false" ht="15" hidden="false" customHeight="false" outlineLevel="0" collapsed="false">
      <c r="A566" s="4" t="n">
        <v>563</v>
      </c>
      <c r="B566" s="4" t="s">
        <v>99</v>
      </c>
      <c r="C566" s="4" t="s">
        <v>4839</v>
      </c>
      <c r="D566" s="4" t="s">
        <v>4295</v>
      </c>
    </row>
    <row r="567" customFormat="false" ht="15" hidden="false" customHeight="false" outlineLevel="0" collapsed="false">
      <c r="A567" s="4" t="n">
        <v>564</v>
      </c>
      <c r="B567" s="4" t="s">
        <v>101</v>
      </c>
      <c r="C567" s="4" t="s">
        <v>4840</v>
      </c>
      <c r="D567" s="4" t="s">
        <v>4295</v>
      </c>
    </row>
    <row r="568" customFormat="false" ht="15" hidden="false" customHeight="false" outlineLevel="0" collapsed="false">
      <c r="A568" s="4" t="n">
        <v>565</v>
      </c>
      <c r="B568" s="4" t="s">
        <v>104</v>
      </c>
      <c r="C568" s="4" t="s">
        <v>4841</v>
      </c>
      <c r="D568" s="4" t="s">
        <v>4295</v>
      </c>
    </row>
    <row r="569" customFormat="false" ht="15" hidden="false" customHeight="false" outlineLevel="0" collapsed="false">
      <c r="A569" s="4" t="n">
        <v>566</v>
      </c>
      <c r="B569" s="4" t="s">
        <v>102</v>
      </c>
      <c r="C569" s="4" t="s">
        <v>4842</v>
      </c>
      <c r="D569" s="4" t="s">
        <v>4295</v>
      </c>
    </row>
    <row r="570" customFormat="false" ht="15" hidden="false" customHeight="false" outlineLevel="0" collapsed="false">
      <c r="A570" s="4" t="n">
        <v>567</v>
      </c>
      <c r="B570" s="4" t="s">
        <v>100</v>
      </c>
      <c r="C570" s="4" t="s">
        <v>4843</v>
      </c>
      <c r="D570" s="4" t="s">
        <v>4295</v>
      </c>
    </row>
    <row r="571" customFormat="false" ht="15" hidden="false" customHeight="false" outlineLevel="0" collapsed="false">
      <c r="A571" s="4" t="n">
        <v>568</v>
      </c>
      <c r="B571" s="4" t="s">
        <v>103</v>
      </c>
      <c r="C571" s="4" t="s">
        <v>4844</v>
      </c>
      <c r="D571" s="4" t="s">
        <v>4295</v>
      </c>
    </row>
    <row r="572" customFormat="false" ht="15" hidden="false" customHeight="false" outlineLevel="0" collapsed="false">
      <c r="A572" s="4" t="n">
        <v>569</v>
      </c>
      <c r="B572" s="4" t="s">
        <v>101</v>
      </c>
      <c r="C572" s="4" t="s">
        <v>4845</v>
      </c>
      <c r="D572" s="4" t="s">
        <v>4295</v>
      </c>
    </row>
    <row r="573" customFormat="false" ht="15" hidden="false" customHeight="false" outlineLevel="0" collapsed="false">
      <c r="A573" s="4" t="n">
        <v>570</v>
      </c>
      <c r="B573" s="4" t="s">
        <v>100</v>
      </c>
      <c r="C573" s="4" t="s">
        <v>4846</v>
      </c>
      <c r="D573" s="4" t="s">
        <v>4295</v>
      </c>
    </row>
    <row r="574" customFormat="false" ht="15" hidden="false" customHeight="false" outlineLevel="0" collapsed="false">
      <c r="A574" s="4" t="n">
        <v>571</v>
      </c>
      <c r="B574" s="4" t="s">
        <v>102</v>
      </c>
      <c r="C574" s="4" t="s">
        <v>4847</v>
      </c>
      <c r="D574" s="4" t="s">
        <v>4295</v>
      </c>
    </row>
    <row r="575" customFormat="false" ht="15" hidden="false" customHeight="false" outlineLevel="0" collapsed="false">
      <c r="A575" s="4" t="n">
        <v>572</v>
      </c>
      <c r="B575" s="4" t="s">
        <v>101</v>
      </c>
      <c r="C575" s="4" t="s">
        <v>4848</v>
      </c>
      <c r="D575" s="4" t="s">
        <v>4295</v>
      </c>
    </row>
    <row r="576" customFormat="false" ht="15" hidden="false" customHeight="false" outlineLevel="0" collapsed="false">
      <c r="A576" s="4" t="n">
        <v>573</v>
      </c>
      <c r="B576" s="4" t="s">
        <v>103</v>
      </c>
      <c r="C576" s="4" t="s">
        <v>4849</v>
      </c>
      <c r="D576" s="4" t="s">
        <v>4295</v>
      </c>
    </row>
    <row r="577" customFormat="false" ht="15" hidden="false" customHeight="false" outlineLevel="0" collapsed="false">
      <c r="A577" s="4" t="n">
        <v>574</v>
      </c>
      <c r="B577" s="4" t="s">
        <v>100</v>
      </c>
      <c r="C577" s="4" t="s">
        <v>4850</v>
      </c>
      <c r="D577" s="4" t="s">
        <v>4295</v>
      </c>
    </row>
    <row r="578" customFormat="false" ht="15" hidden="false" customHeight="false" outlineLevel="0" collapsed="false">
      <c r="A578" s="4" t="n">
        <v>575</v>
      </c>
      <c r="B578" s="4" t="s">
        <v>101</v>
      </c>
      <c r="C578" s="4" t="s">
        <v>4851</v>
      </c>
      <c r="D578" s="4" t="s">
        <v>4295</v>
      </c>
    </row>
    <row r="579" customFormat="false" ht="15" hidden="false" customHeight="false" outlineLevel="0" collapsed="false">
      <c r="A579" s="4" t="n">
        <v>576</v>
      </c>
      <c r="B579" s="4" t="s">
        <v>104</v>
      </c>
      <c r="C579" s="4" t="s">
        <v>4852</v>
      </c>
      <c r="D579" s="4" t="s">
        <v>4295</v>
      </c>
    </row>
    <row r="580" customFormat="false" ht="15" hidden="false" customHeight="false" outlineLevel="0" collapsed="false">
      <c r="A580" s="4" t="n">
        <v>577</v>
      </c>
      <c r="B580" s="4" t="s">
        <v>104</v>
      </c>
      <c r="C580" s="4" t="s">
        <v>4852</v>
      </c>
      <c r="D580" s="4" t="s">
        <v>4853</v>
      </c>
    </row>
    <row r="581" customFormat="false" ht="15" hidden="false" customHeight="false" outlineLevel="0" collapsed="false">
      <c r="A581" s="4" t="n">
        <v>578</v>
      </c>
      <c r="B581" s="4" t="s">
        <v>102</v>
      </c>
      <c r="C581" s="4" t="s">
        <v>4854</v>
      </c>
      <c r="D581" s="4" t="s">
        <v>4295</v>
      </c>
    </row>
    <row r="582" customFormat="false" ht="15" hidden="false" customHeight="false" outlineLevel="0" collapsed="false">
      <c r="A582" s="4" t="n">
        <v>579</v>
      </c>
      <c r="B582" s="4" t="s">
        <v>100</v>
      </c>
      <c r="C582" s="4" t="s">
        <v>4855</v>
      </c>
      <c r="D582" s="4" t="s">
        <v>4295</v>
      </c>
    </row>
    <row r="583" customFormat="false" ht="15" hidden="false" customHeight="false" outlineLevel="0" collapsed="false">
      <c r="A583" s="4" t="n">
        <v>580</v>
      </c>
      <c r="B583" s="4" t="s">
        <v>103</v>
      </c>
      <c r="C583" s="4" t="s">
        <v>4856</v>
      </c>
      <c r="D583" s="4" t="s">
        <v>4356</v>
      </c>
    </row>
    <row r="584" customFormat="false" ht="15" hidden="false" customHeight="false" outlineLevel="0" collapsed="false">
      <c r="A584" s="4" t="n">
        <v>581</v>
      </c>
      <c r="B584" s="4" t="s">
        <v>103</v>
      </c>
      <c r="C584" s="4" t="s">
        <v>4856</v>
      </c>
      <c r="D584" s="4" t="s">
        <v>4295</v>
      </c>
    </row>
    <row r="585" customFormat="false" ht="15" hidden="false" customHeight="false" outlineLevel="0" collapsed="false">
      <c r="A585" s="4" t="n">
        <v>582</v>
      </c>
      <c r="B585" s="4" t="s">
        <v>101</v>
      </c>
      <c r="C585" s="4" t="s">
        <v>4857</v>
      </c>
      <c r="D585" s="4" t="s">
        <v>4295</v>
      </c>
    </row>
    <row r="586" customFormat="false" ht="15" hidden="false" customHeight="false" outlineLevel="0" collapsed="false">
      <c r="A586" s="4" t="n">
        <v>583</v>
      </c>
      <c r="B586" s="4" t="s">
        <v>100</v>
      </c>
      <c r="C586" s="4" t="s">
        <v>4858</v>
      </c>
      <c r="D586" s="4" t="s">
        <v>4295</v>
      </c>
    </row>
    <row r="587" customFormat="false" ht="15" hidden="false" customHeight="false" outlineLevel="0" collapsed="false">
      <c r="A587" s="4" t="n">
        <v>584</v>
      </c>
      <c r="B587" s="4" t="s">
        <v>102</v>
      </c>
      <c r="C587" s="4" t="s">
        <v>4859</v>
      </c>
      <c r="D587" s="4" t="s">
        <v>4295</v>
      </c>
    </row>
    <row r="588" customFormat="false" ht="15" hidden="false" customHeight="false" outlineLevel="0" collapsed="false">
      <c r="A588" s="4" t="n">
        <v>585</v>
      </c>
      <c r="B588" s="4" t="s">
        <v>101</v>
      </c>
      <c r="C588" s="4" t="s">
        <v>4860</v>
      </c>
      <c r="D588" s="4" t="s">
        <v>4295</v>
      </c>
    </row>
    <row r="589" customFormat="false" ht="15" hidden="false" customHeight="false" outlineLevel="0" collapsed="false">
      <c r="A589" s="4" t="n">
        <v>586</v>
      </c>
      <c r="B589" s="4" t="s">
        <v>103</v>
      </c>
      <c r="C589" s="4" t="s">
        <v>4861</v>
      </c>
      <c r="D589" s="4" t="s">
        <v>4295</v>
      </c>
    </row>
    <row r="590" customFormat="false" ht="15" hidden="false" customHeight="false" outlineLevel="0" collapsed="false">
      <c r="A590" s="4" t="n">
        <v>587</v>
      </c>
      <c r="B590" s="4" t="s">
        <v>100</v>
      </c>
      <c r="C590" s="4" t="s">
        <v>4862</v>
      </c>
      <c r="D590" s="4" t="s">
        <v>4295</v>
      </c>
    </row>
    <row r="591" customFormat="false" ht="15" hidden="false" customHeight="false" outlineLevel="0" collapsed="false">
      <c r="A591" s="4" t="n">
        <v>588</v>
      </c>
      <c r="B591" s="4" t="s">
        <v>99</v>
      </c>
      <c r="C591" s="4" t="s">
        <v>4863</v>
      </c>
      <c r="D591" s="4" t="s">
        <v>4295</v>
      </c>
    </row>
    <row r="592" customFormat="false" ht="15" hidden="false" customHeight="false" outlineLevel="0" collapsed="false">
      <c r="A592" s="4" t="n">
        <v>589</v>
      </c>
      <c r="B592" s="4" t="s">
        <v>101</v>
      </c>
      <c r="C592" s="4" t="s">
        <v>4864</v>
      </c>
      <c r="D592" s="4" t="s">
        <v>4295</v>
      </c>
    </row>
    <row r="593" customFormat="false" ht="15" hidden="false" customHeight="false" outlineLevel="0" collapsed="false">
      <c r="A593" s="4" t="n">
        <v>590</v>
      </c>
      <c r="B593" s="4" t="s">
        <v>104</v>
      </c>
      <c r="C593" s="4" t="s">
        <v>4865</v>
      </c>
      <c r="D593" s="4" t="s">
        <v>4295</v>
      </c>
    </row>
    <row r="594" customFormat="false" ht="15" hidden="false" customHeight="false" outlineLevel="0" collapsed="false">
      <c r="A594" s="4" t="n">
        <v>591</v>
      </c>
      <c r="B594" s="4" t="s">
        <v>102</v>
      </c>
      <c r="C594" s="4" t="s">
        <v>4866</v>
      </c>
      <c r="D594" s="4" t="s">
        <v>4295</v>
      </c>
    </row>
    <row r="595" customFormat="false" ht="15" hidden="false" customHeight="false" outlineLevel="0" collapsed="false">
      <c r="A595" s="4" t="n">
        <v>592</v>
      </c>
      <c r="B595" s="4" t="s">
        <v>100</v>
      </c>
      <c r="C595" s="4" t="s">
        <v>4867</v>
      </c>
      <c r="D595" s="4" t="s">
        <v>4295</v>
      </c>
    </row>
    <row r="596" customFormat="false" ht="15" hidden="false" customHeight="false" outlineLevel="0" collapsed="false">
      <c r="A596" s="4" t="n">
        <v>593</v>
      </c>
      <c r="B596" s="4" t="s">
        <v>103</v>
      </c>
      <c r="C596" s="4" t="s">
        <v>4868</v>
      </c>
      <c r="D596" s="4" t="s">
        <v>4295</v>
      </c>
    </row>
    <row r="597" customFormat="false" ht="15" hidden="false" customHeight="false" outlineLevel="0" collapsed="false">
      <c r="A597" s="4" t="n">
        <v>594</v>
      </c>
      <c r="B597" s="4" t="s">
        <v>101</v>
      </c>
      <c r="C597" s="4" t="s">
        <v>4869</v>
      </c>
      <c r="D597" s="4" t="s">
        <v>4295</v>
      </c>
    </row>
    <row r="598" customFormat="false" ht="15" hidden="false" customHeight="false" outlineLevel="0" collapsed="false">
      <c r="A598" s="4" t="n">
        <v>595</v>
      </c>
      <c r="B598" s="4" t="s">
        <v>100</v>
      </c>
      <c r="C598" s="4" t="s">
        <v>4870</v>
      </c>
      <c r="D598" s="4" t="s">
        <v>4295</v>
      </c>
    </row>
    <row r="599" customFormat="false" ht="15" hidden="false" customHeight="false" outlineLevel="0" collapsed="false">
      <c r="A599" s="4" t="n">
        <v>596</v>
      </c>
      <c r="B599" s="4" t="s">
        <v>102</v>
      </c>
      <c r="C599" s="4" t="s">
        <v>4871</v>
      </c>
      <c r="D599" s="4" t="s">
        <v>4295</v>
      </c>
    </row>
    <row r="600" customFormat="false" ht="15" hidden="false" customHeight="false" outlineLevel="0" collapsed="false">
      <c r="A600" s="4" t="n">
        <v>597</v>
      </c>
      <c r="B600" s="4" t="s">
        <v>101</v>
      </c>
      <c r="C600" s="4" t="s">
        <v>4872</v>
      </c>
      <c r="D600" s="4" t="s">
        <v>4295</v>
      </c>
    </row>
    <row r="601" customFormat="false" ht="15" hidden="false" customHeight="false" outlineLevel="0" collapsed="false">
      <c r="A601" s="4" t="n">
        <v>598</v>
      </c>
      <c r="B601" s="4" t="s">
        <v>103</v>
      </c>
      <c r="C601" s="4" t="s">
        <v>4873</v>
      </c>
      <c r="D601" s="4" t="s">
        <v>4295</v>
      </c>
    </row>
    <row r="602" customFormat="false" ht="15" hidden="false" customHeight="false" outlineLevel="0" collapsed="false">
      <c r="A602" s="4" t="n">
        <v>599</v>
      </c>
      <c r="B602" s="4" t="s">
        <v>100</v>
      </c>
      <c r="C602" s="4" t="s">
        <v>4874</v>
      </c>
      <c r="D602" s="4" t="s">
        <v>4295</v>
      </c>
    </row>
    <row r="603" customFormat="false" ht="15" hidden="false" customHeight="false" outlineLevel="0" collapsed="false">
      <c r="A603" s="4" t="n">
        <v>600</v>
      </c>
      <c r="B603" s="4" t="s">
        <v>101</v>
      </c>
      <c r="C603" s="4" t="s">
        <v>4875</v>
      </c>
      <c r="D603" s="4" t="s">
        <v>4295</v>
      </c>
    </row>
    <row r="604" customFormat="false" ht="15" hidden="false" customHeight="false" outlineLevel="0" collapsed="false">
      <c r="A604" s="4" t="n">
        <v>601</v>
      </c>
      <c r="B604" s="4" t="s">
        <v>104</v>
      </c>
      <c r="C604" s="4" t="s">
        <v>4876</v>
      </c>
      <c r="D604" s="4" t="s">
        <v>4295</v>
      </c>
    </row>
    <row r="605" customFormat="false" ht="15" hidden="false" customHeight="false" outlineLevel="0" collapsed="false">
      <c r="A605" s="4" t="n">
        <v>602</v>
      </c>
      <c r="B605" s="4" t="s">
        <v>102</v>
      </c>
      <c r="C605" s="4" t="s">
        <v>4877</v>
      </c>
      <c r="D605" s="4" t="s">
        <v>4295</v>
      </c>
    </row>
    <row r="606" customFormat="false" ht="15" hidden="false" customHeight="false" outlineLevel="0" collapsed="false">
      <c r="A606" s="4" t="n">
        <v>603</v>
      </c>
      <c r="B606" s="4" t="s">
        <v>100</v>
      </c>
      <c r="C606" s="4" t="s">
        <v>4878</v>
      </c>
      <c r="D606" s="4" t="s">
        <v>4295</v>
      </c>
    </row>
    <row r="607" customFormat="false" ht="15" hidden="false" customHeight="false" outlineLevel="0" collapsed="false">
      <c r="A607" s="4" t="n">
        <v>604</v>
      </c>
      <c r="B607" s="4" t="s">
        <v>103</v>
      </c>
      <c r="C607" s="4" t="s">
        <v>4879</v>
      </c>
      <c r="D607" s="4" t="s">
        <v>4295</v>
      </c>
    </row>
    <row r="608" customFormat="false" ht="15" hidden="false" customHeight="false" outlineLevel="0" collapsed="false">
      <c r="A608" s="4" t="n">
        <v>605</v>
      </c>
      <c r="B608" s="4" t="s">
        <v>101</v>
      </c>
      <c r="C608" s="4" t="s">
        <v>4880</v>
      </c>
      <c r="D608" s="4" t="s">
        <v>4295</v>
      </c>
    </row>
    <row r="609" customFormat="false" ht="15" hidden="false" customHeight="false" outlineLevel="0" collapsed="false">
      <c r="A609" s="4" t="n">
        <v>606</v>
      </c>
      <c r="B609" s="4" t="s">
        <v>100</v>
      </c>
      <c r="C609" s="4" t="s">
        <v>4881</v>
      </c>
      <c r="D609" s="4" t="s">
        <v>4295</v>
      </c>
    </row>
    <row r="610" customFormat="false" ht="15" hidden="false" customHeight="false" outlineLevel="0" collapsed="false">
      <c r="A610" s="4" t="n">
        <v>607</v>
      </c>
      <c r="B610" s="4" t="s">
        <v>102</v>
      </c>
      <c r="C610" s="4" t="s">
        <v>4882</v>
      </c>
      <c r="D610" s="4" t="s">
        <v>4295</v>
      </c>
    </row>
    <row r="611" customFormat="false" ht="15" hidden="false" customHeight="false" outlineLevel="0" collapsed="false">
      <c r="A611" s="4" t="n">
        <v>608</v>
      </c>
      <c r="B611" s="4" t="s">
        <v>101</v>
      </c>
      <c r="C611" s="4" t="s">
        <v>4883</v>
      </c>
      <c r="D611" s="4" t="s">
        <v>4295</v>
      </c>
    </row>
    <row r="612" customFormat="false" ht="15" hidden="false" customHeight="false" outlineLevel="0" collapsed="false">
      <c r="A612" s="4" t="n">
        <v>609</v>
      </c>
      <c r="B612" s="4" t="s">
        <v>103</v>
      </c>
      <c r="C612" s="4" t="s">
        <v>4884</v>
      </c>
      <c r="D612" s="4" t="s">
        <v>4356</v>
      </c>
    </row>
    <row r="613" customFormat="false" ht="15" hidden="false" customHeight="false" outlineLevel="0" collapsed="false">
      <c r="A613" s="4" t="n">
        <v>610</v>
      </c>
      <c r="B613" s="4" t="s">
        <v>103</v>
      </c>
      <c r="C613" s="4" t="s">
        <v>4884</v>
      </c>
      <c r="D613" s="4" t="s">
        <v>4295</v>
      </c>
    </row>
    <row r="614" customFormat="false" ht="15" hidden="false" customHeight="false" outlineLevel="0" collapsed="false">
      <c r="A614" s="4" t="n">
        <v>611</v>
      </c>
      <c r="B614" s="4" t="s">
        <v>100</v>
      </c>
      <c r="C614" s="4" t="s">
        <v>4885</v>
      </c>
      <c r="D614" s="4" t="s">
        <v>4295</v>
      </c>
    </row>
    <row r="615" customFormat="false" ht="15" hidden="false" customHeight="false" outlineLevel="0" collapsed="false">
      <c r="A615" s="4" t="n">
        <v>612</v>
      </c>
      <c r="B615" s="4" t="s">
        <v>99</v>
      </c>
      <c r="C615" s="4" t="s">
        <v>4886</v>
      </c>
      <c r="D615" s="4" t="s">
        <v>4295</v>
      </c>
    </row>
    <row r="616" customFormat="false" ht="15" hidden="false" customHeight="false" outlineLevel="0" collapsed="false">
      <c r="A616" s="4" t="n">
        <v>613</v>
      </c>
      <c r="B616" s="4" t="s">
        <v>101</v>
      </c>
      <c r="C616" s="4" t="s">
        <v>4887</v>
      </c>
      <c r="D616" s="4" t="s">
        <v>4295</v>
      </c>
    </row>
    <row r="617" customFormat="false" ht="15" hidden="false" customHeight="false" outlineLevel="0" collapsed="false">
      <c r="A617" s="4" t="n">
        <v>614</v>
      </c>
      <c r="B617" s="4" t="s">
        <v>104</v>
      </c>
      <c r="C617" s="4" t="s">
        <v>4888</v>
      </c>
      <c r="D617" s="4" t="s">
        <v>4295</v>
      </c>
    </row>
    <row r="618" customFormat="false" ht="15" hidden="false" customHeight="false" outlineLevel="0" collapsed="false">
      <c r="A618" s="4" t="n">
        <v>615</v>
      </c>
      <c r="B618" s="4" t="s">
        <v>102</v>
      </c>
      <c r="C618" s="4" t="s">
        <v>4889</v>
      </c>
      <c r="D618" s="4" t="s">
        <v>4295</v>
      </c>
    </row>
    <row r="619" customFormat="false" ht="15" hidden="false" customHeight="false" outlineLevel="0" collapsed="false">
      <c r="A619" s="4" t="n">
        <v>616</v>
      </c>
      <c r="B619" s="4" t="s">
        <v>100</v>
      </c>
      <c r="C619" s="4" t="s">
        <v>4890</v>
      </c>
      <c r="D619" s="4" t="s">
        <v>4295</v>
      </c>
    </row>
    <row r="620" customFormat="false" ht="15" hidden="false" customHeight="false" outlineLevel="0" collapsed="false">
      <c r="A620" s="4" t="n">
        <v>617</v>
      </c>
      <c r="B620" s="4" t="s">
        <v>103</v>
      </c>
      <c r="C620" s="4" t="s">
        <v>4891</v>
      </c>
      <c r="D620" s="4" t="s">
        <v>4295</v>
      </c>
    </row>
    <row r="621" customFormat="false" ht="15" hidden="false" customHeight="false" outlineLevel="0" collapsed="false">
      <c r="A621" s="4" t="n">
        <v>618</v>
      </c>
      <c r="B621" s="4" t="s">
        <v>101</v>
      </c>
      <c r="C621" s="4" t="s">
        <v>4892</v>
      </c>
      <c r="D621" s="4" t="s">
        <v>4295</v>
      </c>
    </row>
    <row r="622" customFormat="false" ht="15" hidden="false" customHeight="false" outlineLevel="0" collapsed="false">
      <c r="A622" s="4" t="n">
        <v>619</v>
      </c>
      <c r="B622" s="4" t="s">
        <v>100</v>
      </c>
      <c r="C622" s="4" t="s">
        <v>4893</v>
      </c>
      <c r="D622" s="4" t="s">
        <v>4295</v>
      </c>
    </row>
    <row r="623" customFormat="false" ht="15" hidden="false" customHeight="false" outlineLevel="0" collapsed="false">
      <c r="A623" s="4" t="n">
        <v>620</v>
      </c>
      <c r="B623" s="4" t="s">
        <v>100</v>
      </c>
      <c r="C623" s="4" t="s">
        <v>4894</v>
      </c>
      <c r="D623" s="4" t="s">
        <v>4462</v>
      </c>
    </row>
    <row r="624" customFormat="false" ht="15" hidden="false" customHeight="false" outlineLevel="0" collapsed="false">
      <c r="A624" s="4" t="n">
        <v>621</v>
      </c>
      <c r="B624" s="4" t="s">
        <v>102</v>
      </c>
      <c r="C624" s="4" t="s">
        <v>4895</v>
      </c>
      <c r="D624" s="4" t="s">
        <v>4295</v>
      </c>
    </row>
    <row r="625" customFormat="false" ht="15" hidden="false" customHeight="false" outlineLevel="0" collapsed="false">
      <c r="A625" s="4" t="n">
        <v>622</v>
      </c>
      <c r="B625" s="4" t="s">
        <v>101</v>
      </c>
      <c r="C625" s="4" t="s">
        <v>4896</v>
      </c>
      <c r="D625" s="4" t="s">
        <v>4295</v>
      </c>
    </row>
    <row r="626" customFormat="false" ht="15" hidden="false" customHeight="false" outlineLevel="0" collapsed="false">
      <c r="A626" s="4" t="n">
        <v>623</v>
      </c>
      <c r="B626" s="4" t="s">
        <v>103</v>
      </c>
      <c r="C626" s="4" t="s">
        <v>4897</v>
      </c>
      <c r="D626" s="4" t="s">
        <v>4295</v>
      </c>
    </row>
    <row r="627" customFormat="false" ht="15" hidden="false" customHeight="false" outlineLevel="0" collapsed="false">
      <c r="A627" s="4" t="n">
        <v>624</v>
      </c>
      <c r="B627" s="4" t="s">
        <v>100</v>
      </c>
      <c r="C627" s="4" t="s">
        <v>4898</v>
      </c>
      <c r="D627" s="4" t="s">
        <v>4295</v>
      </c>
    </row>
    <row r="628" customFormat="false" ht="15" hidden="false" customHeight="false" outlineLevel="0" collapsed="false">
      <c r="A628" s="4" t="n">
        <v>625</v>
      </c>
      <c r="B628" s="4" t="s">
        <v>101</v>
      </c>
      <c r="C628" s="4" t="s">
        <v>4899</v>
      </c>
      <c r="D628" s="4" t="s">
        <v>4295</v>
      </c>
    </row>
    <row r="629" customFormat="false" ht="15" hidden="false" customHeight="false" outlineLevel="0" collapsed="false">
      <c r="A629" s="4" t="n">
        <v>626</v>
      </c>
      <c r="B629" s="4" t="s">
        <v>104</v>
      </c>
      <c r="C629" s="4" t="s">
        <v>4900</v>
      </c>
      <c r="D629" s="4" t="s">
        <v>4295</v>
      </c>
    </row>
    <row r="630" customFormat="false" ht="15" hidden="false" customHeight="false" outlineLevel="0" collapsed="false">
      <c r="A630" s="4" t="n">
        <v>627</v>
      </c>
      <c r="B630" s="4" t="s">
        <v>102</v>
      </c>
      <c r="C630" s="4" t="s">
        <v>4901</v>
      </c>
      <c r="D630" s="4" t="s">
        <v>4295</v>
      </c>
    </row>
    <row r="631" customFormat="false" ht="15" hidden="false" customHeight="false" outlineLevel="0" collapsed="false">
      <c r="A631" s="4" t="n">
        <v>628</v>
      </c>
      <c r="B631" s="4" t="s">
        <v>100</v>
      </c>
      <c r="C631" s="4" t="s">
        <v>4902</v>
      </c>
      <c r="D631" s="4" t="s">
        <v>4295</v>
      </c>
    </row>
    <row r="632" customFormat="false" ht="15" hidden="false" customHeight="false" outlineLevel="0" collapsed="false">
      <c r="A632" s="4" t="n">
        <v>629</v>
      </c>
      <c r="B632" s="4" t="s">
        <v>103</v>
      </c>
      <c r="C632" s="4" t="s">
        <v>4903</v>
      </c>
      <c r="D632" s="4" t="s">
        <v>4295</v>
      </c>
    </row>
    <row r="633" customFormat="false" ht="15" hidden="false" customHeight="false" outlineLevel="0" collapsed="false">
      <c r="A633" s="4" t="n">
        <v>630</v>
      </c>
      <c r="B633" s="4" t="s">
        <v>101</v>
      </c>
      <c r="C633" s="4" t="s">
        <v>4904</v>
      </c>
      <c r="D633" s="4" t="s">
        <v>4295</v>
      </c>
    </row>
    <row r="634" customFormat="false" ht="15" hidden="false" customHeight="false" outlineLevel="0" collapsed="false">
      <c r="A634" s="4" t="n">
        <v>631</v>
      </c>
      <c r="B634" s="4" t="s">
        <v>99</v>
      </c>
      <c r="C634" s="4" t="s">
        <v>4905</v>
      </c>
      <c r="D634" s="4" t="s">
        <v>4462</v>
      </c>
    </row>
    <row r="635" customFormat="false" ht="15" hidden="false" customHeight="false" outlineLevel="0" collapsed="false">
      <c r="A635" s="4" t="n">
        <v>632</v>
      </c>
      <c r="B635" s="4" t="s">
        <v>100</v>
      </c>
      <c r="C635" s="4" t="s">
        <v>4906</v>
      </c>
      <c r="D635" s="4" t="s">
        <v>4295</v>
      </c>
    </row>
    <row r="636" customFormat="false" ht="15" hidden="false" customHeight="false" outlineLevel="0" collapsed="false">
      <c r="A636" s="4" t="n">
        <v>633</v>
      </c>
      <c r="B636" s="4" t="s">
        <v>102</v>
      </c>
      <c r="C636" s="4" t="s">
        <v>4907</v>
      </c>
      <c r="D636" s="4" t="s">
        <v>4295</v>
      </c>
    </row>
    <row r="637" customFormat="false" ht="15" hidden="false" customHeight="false" outlineLevel="0" collapsed="false">
      <c r="A637" s="4" t="n">
        <v>634</v>
      </c>
      <c r="B637" s="4" t="s">
        <v>101</v>
      </c>
      <c r="C637" s="4" t="s">
        <v>4908</v>
      </c>
      <c r="D637" s="4" t="s">
        <v>4295</v>
      </c>
    </row>
    <row r="638" customFormat="false" ht="15" hidden="false" customHeight="false" outlineLevel="0" collapsed="false">
      <c r="A638" s="4" t="n">
        <v>635</v>
      </c>
      <c r="B638" s="4" t="s">
        <v>103</v>
      </c>
      <c r="C638" s="4" t="s">
        <v>4909</v>
      </c>
      <c r="D638" s="4" t="s">
        <v>4295</v>
      </c>
    </row>
    <row r="639" customFormat="false" ht="15" hidden="false" customHeight="false" outlineLevel="0" collapsed="false">
      <c r="A639" s="4" t="n">
        <v>636</v>
      </c>
      <c r="B639" s="4" t="s">
        <v>100</v>
      </c>
      <c r="C639" s="4" t="s">
        <v>4910</v>
      </c>
      <c r="D639" s="4" t="s">
        <v>4295</v>
      </c>
    </row>
    <row r="640" customFormat="false" ht="15" hidden="false" customHeight="false" outlineLevel="0" collapsed="false">
      <c r="A640" s="4" t="n">
        <v>637</v>
      </c>
      <c r="B640" s="4" t="s">
        <v>99</v>
      </c>
      <c r="C640" s="4" t="s">
        <v>4911</v>
      </c>
      <c r="D640" s="4" t="s">
        <v>4462</v>
      </c>
    </row>
    <row r="641" customFormat="false" ht="15" hidden="false" customHeight="false" outlineLevel="0" collapsed="false">
      <c r="A641" s="4" t="n">
        <v>638</v>
      </c>
      <c r="B641" s="4" t="s">
        <v>101</v>
      </c>
      <c r="C641" s="4" t="s">
        <v>4912</v>
      </c>
      <c r="D641" s="4" t="s">
        <v>4295</v>
      </c>
    </row>
    <row r="642" customFormat="false" ht="15" hidden="false" customHeight="false" outlineLevel="0" collapsed="false">
      <c r="A642" s="4" t="n">
        <v>639</v>
      </c>
      <c r="B642" s="4" t="s">
        <v>104</v>
      </c>
      <c r="C642" s="4" t="s">
        <v>4913</v>
      </c>
      <c r="D642" s="4" t="s">
        <v>4295</v>
      </c>
    </row>
    <row r="643" customFormat="false" ht="15" hidden="false" customHeight="false" outlineLevel="0" collapsed="false">
      <c r="A643" s="4" t="n">
        <v>640</v>
      </c>
      <c r="B643" s="4" t="s">
        <v>102</v>
      </c>
      <c r="C643" s="4" t="s">
        <v>4914</v>
      </c>
      <c r="D643" s="4" t="s">
        <v>4295</v>
      </c>
    </row>
    <row r="644" customFormat="false" ht="15" hidden="false" customHeight="false" outlineLevel="0" collapsed="false">
      <c r="A644" s="4" t="n">
        <v>641</v>
      </c>
      <c r="B644" s="4" t="s">
        <v>100</v>
      </c>
      <c r="C644" s="4" t="s">
        <v>4915</v>
      </c>
      <c r="D644" s="4" t="s">
        <v>4295</v>
      </c>
    </row>
    <row r="645" customFormat="false" ht="15" hidden="false" customHeight="false" outlineLevel="0" collapsed="false">
      <c r="A645" s="4" t="n">
        <v>642</v>
      </c>
      <c r="B645" s="4" t="s">
        <v>103</v>
      </c>
      <c r="C645" s="4" t="s">
        <v>4916</v>
      </c>
      <c r="D645" s="4" t="s">
        <v>4295</v>
      </c>
    </row>
    <row r="646" customFormat="false" ht="15" hidden="false" customHeight="false" outlineLevel="0" collapsed="false">
      <c r="A646" s="4" t="n">
        <v>643</v>
      </c>
      <c r="B646" s="4" t="s">
        <v>101</v>
      </c>
      <c r="C646" s="4" t="s">
        <v>4917</v>
      </c>
      <c r="D646" s="4" t="s">
        <v>4295</v>
      </c>
    </row>
    <row r="647" customFormat="false" ht="15" hidden="false" customHeight="false" outlineLevel="0" collapsed="false">
      <c r="A647" s="4" t="n">
        <v>644</v>
      </c>
      <c r="B647" s="4" t="s">
        <v>100</v>
      </c>
      <c r="C647" s="4" t="s">
        <v>4918</v>
      </c>
      <c r="D647" s="4" t="s">
        <v>4295</v>
      </c>
    </row>
    <row r="648" customFormat="false" ht="15" hidden="false" customHeight="false" outlineLevel="0" collapsed="false">
      <c r="A648" s="4" t="n">
        <v>645</v>
      </c>
      <c r="B648" s="4" t="s">
        <v>102</v>
      </c>
      <c r="C648" s="4" t="s">
        <v>4919</v>
      </c>
      <c r="D648" s="4" t="s">
        <v>4295</v>
      </c>
    </row>
    <row r="649" customFormat="false" ht="15" hidden="false" customHeight="false" outlineLevel="0" collapsed="false">
      <c r="A649" s="4" t="n">
        <v>646</v>
      </c>
      <c r="B649" s="4" t="s">
        <v>101</v>
      </c>
      <c r="C649" s="4" t="s">
        <v>4920</v>
      </c>
      <c r="D649" s="4" t="s">
        <v>4295</v>
      </c>
    </row>
    <row r="650" customFormat="false" ht="15" hidden="false" customHeight="false" outlineLevel="0" collapsed="false">
      <c r="A650" s="4" t="n">
        <v>647</v>
      </c>
      <c r="B650" s="4" t="s">
        <v>103</v>
      </c>
      <c r="C650" s="4" t="s">
        <v>4921</v>
      </c>
      <c r="D650" s="4" t="s">
        <v>4295</v>
      </c>
    </row>
    <row r="651" customFormat="false" ht="15" hidden="false" customHeight="false" outlineLevel="0" collapsed="false">
      <c r="A651" s="4" t="n">
        <v>648</v>
      </c>
      <c r="B651" s="4" t="s">
        <v>100</v>
      </c>
      <c r="C651" s="4" t="s">
        <v>4922</v>
      </c>
      <c r="D651" s="4" t="s">
        <v>4295</v>
      </c>
    </row>
    <row r="652" customFormat="false" ht="15" hidden="false" customHeight="false" outlineLevel="0" collapsed="false">
      <c r="A652" s="4" t="n">
        <v>649</v>
      </c>
      <c r="B652" s="4" t="s">
        <v>101</v>
      </c>
      <c r="C652" s="4" t="s">
        <v>4923</v>
      </c>
      <c r="D652" s="4" t="s">
        <v>4295</v>
      </c>
    </row>
    <row r="653" customFormat="false" ht="15" hidden="false" customHeight="false" outlineLevel="0" collapsed="false">
      <c r="A653" s="4" t="n">
        <v>650</v>
      </c>
      <c r="B653" s="4" t="s">
        <v>104</v>
      </c>
      <c r="C653" s="4" t="s">
        <v>4924</v>
      </c>
      <c r="D653" s="4" t="s">
        <v>4295</v>
      </c>
    </row>
    <row r="654" customFormat="false" ht="15" hidden="false" customHeight="false" outlineLevel="0" collapsed="false">
      <c r="A654" s="4" t="n">
        <v>651</v>
      </c>
      <c r="B654" s="4" t="s">
        <v>102</v>
      </c>
      <c r="C654" s="4" t="s">
        <v>4925</v>
      </c>
      <c r="D654" s="4" t="s">
        <v>4295</v>
      </c>
    </row>
    <row r="655" customFormat="false" ht="15" hidden="false" customHeight="false" outlineLevel="0" collapsed="false">
      <c r="A655" s="4" t="n">
        <v>652</v>
      </c>
      <c r="B655" s="4" t="s">
        <v>100</v>
      </c>
      <c r="C655" s="4" t="s">
        <v>4926</v>
      </c>
      <c r="D655" s="4" t="s">
        <v>4295</v>
      </c>
    </row>
    <row r="656" customFormat="false" ht="15" hidden="false" customHeight="false" outlineLevel="0" collapsed="false">
      <c r="A656" s="4" t="n">
        <v>653</v>
      </c>
      <c r="B656" s="4" t="s">
        <v>103</v>
      </c>
      <c r="C656" s="4" t="s">
        <v>4927</v>
      </c>
      <c r="D656" s="4" t="s">
        <v>4295</v>
      </c>
    </row>
    <row r="657" customFormat="false" ht="15" hidden="false" customHeight="false" outlineLevel="0" collapsed="false">
      <c r="A657" s="4" t="n">
        <v>654</v>
      </c>
      <c r="B657" s="4" t="s">
        <v>101</v>
      </c>
      <c r="C657" s="4" t="s">
        <v>4928</v>
      </c>
      <c r="D657" s="4" t="s">
        <v>4295</v>
      </c>
    </row>
    <row r="658" customFormat="false" ht="15" hidden="false" customHeight="false" outlineLevel="0" collapsed="false">
      <c r="A658" s="4" t="n">
        <v>655</v>
      </c>
      <c r="B658" s="4" t="s">
        <v>100</v>
      </c>
      <c r="C658" s="4" t="s">
        <v>4929</v>
      </c>
      <c r="D658" s="4" t="s">
        <v>4295</v>
      </c>
    </row>
    <row r="659" customFormat="false" ht="15" hidden="false" customHeight="false" outlineLevel="0" collapsed="false">
      <c r="A659" s="4" t="n">
        <v>656</v>
      </c>
      <c r="B659" s="4" t="s">
        <v>102</v>
      </c>
      <c r="C659" s="4" t="s">
        <v>4930</v>
      </c>
      <c r="D659" s="4" t="s">
        <v>4295</v>
      </c>
    </row>
    <row r="660" customFormat="false" ht="15" hidden="false" customHeight="false" outlineLevel="0" collapsed="false">
      <c r="A660" s="4" t="n">
        <v>657</v>
      </c>
      <c r="B660" s="4" t="s">
        <v>101</v>
      </c>
      <c r="C660" s="4" t="s">
        <v>4931</v>
      </c>
      <c r="D660" s="4" t="s">
        <v>4295</v>
      </c>
    </row>
    <row r="661" customFormat="false" ht="15" hidden="false" customHeight="false" outlineLevel="0" collapsed="false">
      <c r="A661" s="4" t="n">
        <v>658</v>
      </c>
      <c r="B661" s="4" t="s">
        <v>103</v>
      </c>
      <c r="C661" s="4" t="s">
        <v>4932</v>
      </c>
      <c r="D661" s="4" t="s">
        <v>4356</v>
      </c>
    </row>
    <row r="662" customFormat="false" ht="15" hidden="false" customHeight="false" outlineLevel="0" collapsed="false">
      <c r="A662" s="4" t="n">
        <v>659</v>
      </c>
      <c r="B662" s="4" t="s">
        <v>103</v>
      </c>
      <c r="C662" s="4" t="s">
        <v>4932</v>
      </c>
      <c r="D662" s="4" t="s">
        <v>4295</v>
      </c>
    </row>
    <row r="663" customFormat="false" ht="15" hidden="false" customHeight="false" outlineLevel="0" collapsed="false">
      <c r="A663" s="4" t="n">
        <v>660</v>
      </c>
      <c r="B663" s="4" t="s">
        <v>100</v>
      </c>
      <c r="C663" s="4" t="s">
        <v>4933</v>
      </c>
      <c r="D663" s="4" t="s">
        <v>4295</v>
      </c>
    </row>
    <row r="664" customFormat="false" ht="15" hidden="false" customHeight="false" outlineLevel="0" collapsed="false">
      <c r="A664" s="4" t="n">
        <v>661</v>
      </c>
      <c r="B664" s="4" t="s">
        <v>99</v>
      </c>
      <c r="C664" s="4" t="s">
        <v>4934</v>
      </c>
      <c r="D664" s="4" t="s">
        <v>4295</v>
      </c>
    </row>
    <row r="665" customFormat="false" ht="15" hidden="false" customHeight="false" outlineLevel="0" collapsed="false">
      <c r="A665" s="4" t="n">
        <v>662</v>
      </c>
      <c r="B665" s="4" t="s">
        <v>101</v>
      </c>
      <c r="C665" s="4" t="s">
        <v>4935</v>
      </c>
      <c r="D665" s="4" t="s">
        <v>4295</v>
      </c>
    </row>
    <row r="666" customFormat="false" ht="15" hidden="false" customHeight="false" outlineLevel="0" collapsed="false">
      <c r="A666" s="4" t="n">
        <v>663</v>
      </c>
      <c r="B666" s="4" t="s">
        <v>104</v>
      </c>
      <c r="C666" s="4" t="s">
        <v>4936</v>
      </c>
      <c r="D666" s="4" t="s">
        <v>4295</v>
      </c>
    </row>
    <row r="667" customFormat="false" ht="15" hidden="false" customHeight="false" outlineLevel="0" collapsed="false">
      <c r="A667" s="4" t="n">
        <v>664</v>
      </c>
      <c r="B667" s="4" t="s">
        <v>102</v>
      </c>
      <c r="C667" s="4" t="s">
        <v>4937</v>
      </c>
      <c r="D667" s="4" t="s">
        <v>4295</v>
      </c>
    </row>
    <row r="668" customFormat="false" ht="15" hidden="false" customHeight="false" outlineLevel="0" collapsed="false">
      <c r="A668" s="4" t="n">
        <v>665</v>
      </c>
      <c r="B668" s="4" t="s">
        <v>100</v>
      </c>
      <c r="C668" s="4" t="s">
        <v>4938</v>
      </c>
      <c r="D668" s="4" t="s">
        <v>4295</v>
      </c>
    </row>
    <row r="669" customFormat="false" ht="15" hidden="false" customHeight="false" outlineLevel="0" collapsed="false">
      <c r="A669" s="4" t="n">
        <v>666</v>
      </c>
      <c r="B669" s="4" t="s">
        <v>103</v>
      </c>
      <c r="C669" s="4" t="s">
        <v>4939</v>
      </c>
      <c r="D669" s="4" t="s">
        <v>4295</v>
      </c>
    </row>
    <row r="670" customFormat="false" ht="15" hidden="false" customHeight="false" outlineLevel="0" collapsed="false">
      <c r="A670" s="4" t="n">
        <v>667</v>
      </c>
      <c r="B670" s="4" t="s">
        <v>101</v>
      </c>
      <c r="C670" s="4" t="s">
        <v>4940</v>
      </c>
      <c r="D670" s="4" t="s">
        <v>4295</v>
      </c>
    </row>
    <row r="671" customFormat="false" ht="15" hidden="false" customHeight="false" outlineLevel="0" collapsed="false">
      <c r="A671" s="4" t="n">
        <v>668</v>
      </c>
      <c r="B671" s="4" t="s">
        <v>100</v>
      </c>
      <c r="C671" s="4" t="s">
        <v>4941</v>
      </c>
      <c r="D671" s="4" t="s">
        <v>4295</v>
      </c>
    </row>
    <row r="672" customFormat="false" ht="15" hidden="false" customHeight="false" outlineLevel="0" collapsed="false">
      <c r="A672" s="4" t="n">
        <v>669</v>
      </c>
      <c r="B672" s="4" t="s">
        <v>102</v>
      </c>
      <c r="C672" s="4" t="s">
        <v>4942</v>
      </c>
      <c r="D672" s="4" t="s">
        <v>4295</v>
      </c>
    </row>
    <row r="673" customFormat="false" ht="15" hidden="false" customHeight="false" outlineLevel="0" collapsed="false">
      <c r="A673" s="4" t="n">
        <v>670</v>
      </c>
      <c r="B673" s="4" t="s">
        <v>101</v>
      </c>
      <c r="C673" s="4" t="s">
        <v>4943</v>
      </c>
      <c r="D673" s="4" t="s">
        <v>4295</v>
      </c>
    </row>
    <row r="674" customFormat="false" ht="15" hidden="false" customHeight="false" outlineLevel="0" collapsed="false">
      <c r="A674" s="4" t="n">
        <v>671</v>
      </c>
      <c r="B674" s="4" t="s">
        <v>103</v>
      </c>
      <c r="C674" s="4" t="s">
        <v>4944</v>
      </c>
      <c r="D674" s="4" t="s">
        <v>4295</v>
      </c>
    </row>
    <row r="675" customFormat="false" ht="15" hidden="false" customHeight="false" outlineLevel="0" collapsed="false">
      <c r="A675" s="4" t="n">
        <v>672</v>
      </c>
      <c r="B675" s="4" t="s">
        <v>100</v>
      </c>
      <c r="C675" s="4" t="s">
        <v>4945</v>
      </c>
      <c r="D675" s="4" t="s">
        <v>4295</v>
      </c>
    </row>
    <row r="676" customFormat="false" ht="15" hidden="false" customHeight="false" outlineLevel="0" collapsed="false">
      <c r="A676" s="4" t="n">
        <v>673</v>
      </c>
      <c r="B676" s="4" t="s">
        <v>101</v>
      </c>
      <c r="C676" s="4" t="s">
        <v>4946</v>
      </c>
      <c r="D676" s="4" t="s">
        <v>4295</v>
      </c>
    </row>
    <row r="677" customFormat="false" ht="15" hidden="false" customHeight="false" outlineLevel="0" collapsed="false">
      <c r="A677" s="4" t="n">
        <v>674</v>
      </c>
      <c r="B677" s="4" t="s">
        <v>104</v>
      </c>
      <c r="C677" s="4" t="s">
        <v>4947</v>
      </c>
      <c r="D677" s="4" t="s">
        <v>4295</v>
      </c>
    </row>
    <row r="678" customFormat="false" ht="15" hidden="false" customHeight="false" outlineLevel="0" collapsed="false">
      <c r="A678" s="4" t="n">
        <v>675</v>
      </c>
      <c r="B678" s="4" t="s">
        <v>102</v>
      </c>
      <c r="C678" s="4" t="s">
        <v>4948</v>
      </c>
      <c r="D678" s="4" t="s">
        <v>4295</v>
      </c>
    </row>
    <row r="679" customFormat="false" ht="15" hidden="false" customHeight="false" outlineLevel="0" collapsed="false">
      <c r="A679" s="4" t="n">
        <v>676</v>
      </c>
      <c r="B679" s="4" t="s">
        <v>100</v>
      </c>
      <c r="C679" s="4" t="s">
        <v>4949</v>
      </c>
      <c r="D679" s="4" t="s">
        <v>4295</v>
      </c>
    </row>
    <row r="680" customFormat="false" ht="15" hidden="false" customHeight="false" outlineLevel="0" collapsed="false">
      <c r="A680" s="4" t="n">
        <v>677</v>
      </c>
      <c r="B680" s="4" t="s">
        <v>103</v>
      </c>
      <c r="C680" s="4" t="s">
        <v>4950</v>
      </c>
      <c r="D680" s="4" t="s">
        <v>4356</v>
      </c>
    </row>
    <row r="681" customFormat="false" ht="15" hidden="false" customHeight="false" outlineLevel="0" collapsed="false">
      <c r="A681" s="4" t="n">
        <v>678</v>
      </c>
      <c r="B681" s="4" t="s">
        <v>103</v>
      </c>
      <c r="C681" s="4" t="s">
        <v>4950</v>
      </c>
      <c r="D681" s="4" t="s">
        <v>4295</v>
      </c>
    </row>
    <row r="682" customFormat="false" ht="15" hidden="false" customHeight="false" outlineLevel="0" collapsed="false">
      <c r="A682" s="4" t="n">
        <v>679</v>
      </c>
      <c r="B682" s="4" t="s">
        <v>101</v>
      </c>
      <c r="C682" s="4" t="s">
        <v>4951</v>
      </c>
      <c r="D682" s="4" t="s">
        <v>4295</v>
      </c>
    </row>
    <row r="683" customFormat="false" ht="15" hidden="false" customHeight="false" outlineLevel="0" collapsed="false">
      <c r="A683" s="4" t="n">
        <v>680</v>
      </c>
      <c r="B683" s="4" t="s">
        <v>100</v>
      </c>
      <c r="C683" s="4" t="s">
        <v>4952</v>
      </c>
      <c r="D683" s="4" t="s">
        <v>4295</v>
      </c>
    </row>
    <row r="684" customFormat="false" ht="15" hidden="false" customHeight="false" outlineLevel="0" collapsed="false">
      <c r="A684" s="4" t="n">
        <v>681</v>
      </c>
      <c r="B684" s="4" t="s">
        <v>102</v>
      </c>
      <c r="C684" s="4" t="s">
        <v>4953</v>
      </c>
      <c r="D684" s="4" t="s">
        <v>4295</v>
      </c>
    </row>
    <row r="685" customFormat="false" ht="15" hidden="false" customHeight="false" outlineLevel="0" collapsed="false">
      <c r="A685" s="4" t="n">
        <v>682</v>
      </c>
      <c r="B685" s="4" t="s">
        <v>101</v>
      </c>
      <c r="C685" s="4" t="s">
        <v>4954</v>
      </c>
      <c r="D685" s="4" t="s">
        <v>4295</v>
      </c>
    </row>
    <row r="686" customFormat="false" ht="15" hidden="false" customHeight="false" outlineLevel="0" collapsed="false">
      <c r="A686" s="4" t="n">
        <v>683</v>
      </c>
      <c r="B686" s="4" t="s">
        <v>103</v>
      </c>
      <c r="C686" s="4" t="s">
        <v>4955</v>
      </c>
      <c r="D686" s="4" t="s">
        <v>4295</v>
      </c>
    </row>
    <row r="687" customFormat="false" ht="15" hidden="false" customHeight="false" outlineLevel="0" collapsed="false">
      <c r="A687" s="4" t="n">
        <v>684</v>
      </c>
      <c r="B687" s="4" t="s">
        <v>100</v>
      </c>
      <c r="C687" s="4" t="s">
        <v>4956</v>
      </c>
      <c r="D687" s="4" t="s">
        <v>4295</v>
      </c>
    </row>
    <row r="688" customFormat="false" ht="15" hidden="false" customHeight="false" outlineLevel="0" collapsed="false">
      <c r="A688" s="4" t="n">
        <v>685</v>
      </c>
      <c r="B688" s="4" t="s">
        <v>99</v>
      </c>
      <c r="C688" s="4" t="s">
        <v>4957</v>
      </c>
      <c r="D688" s="4" t="s">
        <v>4295</v>
      </c>
    </row>
    <row r="689" customFormat="false" ht="15" hidden="false" customHeight="false" outlineLevel="0" collapsed="false">
      <c r="A689" s="4" t="n">
        <v>686</v>
      </c>
      <c r="B689" s="4" t="s">
        <v>101</v>
      </c>
      <c r="C689" s="4" t="s">
        <v>4958</v>
      </c>
      <c r="D689" s="4" t="s">
        <v>4295</v>
      </c>
    </row>
    <row r="690" customFormat="false" ht="15" hidden="false" customHeight="false" outlineLevel="0" collapsed="false">
      <c r="A690" s="4" t="n">
        <v>687</v>
      </c>
      <c r="B690" s="4" t="s">
        <v>104</v>
      </c>
      <c r="C690" s="4" t="s">
        <v>4959</v>
      </c>
      <c r="D690" s="4" t="s">
        <v>4295</v>
      </c>
    </row>
    <row r="691" customFormat="false" ht="15" hidden="false" customHeight="false" outlineLevel="0" collapsed="false">
      <c r="A691" s="4" t="n">
        <v>688</v>
      </c>
      <c r="B691" s="4" t="s">
        <v>102</v>
      </c>
      <c r="C691" s="4" t="s">
        <v>4960</v>
      </c>
      <c r="D691" s="4" t="s">
        <v>4295</v>
      </c>
    </row>
    <row r="692" customFormat="false" ht="15" hidden="false" customHeight="false" outlineLevel="0" collapsed="false">
      <c r="A692" s="4" t="n">
        <v>689</v>
      </c>
      <c r="B692" s="4" t="s">
        <v>100</v>
      </c>
      <c r="C692" s="4" t="s">
        <v>4961</v>
      </c>
      <c r="D692" s="4" t="s">
        <v>4295</v>
      </c>
    </row>
    <row r="693" customFormat="false" ht="15" hidden="false" customHeight="false" outlineLevel="0" collapsed="false">
      <c r="A693" s="4" t="n">
        <v>690</v>
      </c>
      <c r="B693" s="4" t="s">
        <v>103</v>
      </c>
      <c r="C693" s="4" t="s">
        <v>4962</v>
      </c>
      <c r="D693" s="4" t="s">
        <v>4295</v>
      </c>
    </row>
    <row r="694" customFormat="false" ht="15" hidden="false" customHeight="false" outlineLevel="0" collapsed="false">
      <c r="A694" s="4" t="n">
        <v>691</v>
      </c>
      <c r="B694" s="4" t="s">
        <v>101</v>
      </c>
      <c r="C694" s="4" t="s">
        <v>4963</v>
      </c>
      <c r="D694" s="4" t="s">
        <v>4295</v>
      </c>
    </row>
    <row r="695" customFormat="false" ht="15" hidden="false" customHeight="false" outlineLevel="0" collapsed="false">
      <c r="A695" s="4" t="n">
        <v>692</v>
      </c>
      <c r="B695" s="4" t="s">
        <v>100</v>
      </c>
      <c r="C695" s="4" t="s">
        <v>4964</v>
      </c>
      <c r="D695" s="4" t="s">
        <v>4295</v>
      </c>
    </row>
    <row r="696" customFormat="false" ht="15" hidden="false" customHeight="false" outlineLevel="0" collapsed="false">
      <c r="A696" s="4" t="n">
        <v>693</v>
      </c>
      <c r="B696" s="4" t="s">
        <v>102</v>
      </c>
      <c r="C696" s="4" t="s">
        <v>4965</v>
      </c>
      <c r="D696" s="4" t="s">
        <v>4295</v>
      </c>
    </row>
    <row r="697" customFormat="false" ht="15" hidden="false" customHeight="false" outlineLevel="0" collapsed="false">
      <c r="A697" s="4" t="n">
        <v>694</v>
      </c>
      <c r="B697" s="4" t="s">
        <v>101</v>
      </c>
      <c r="C697" s="4" t="s">
        <v>4966</v>
      </c>
      <c r="D697" s="4" t="s">
        <v>4295</v>
      </c>
    </row>
    <row r="698" customFormat="false" ht="15" hidden="false" customHeight="false" outlineLevel="0" collapsed="false">
      <c r="A698" s="4" t="n">
        <v>695</v>
      </c>
      <c r="B698" s="4" t="s">
        <v>103</v>
      </c>
      <c r="C698" s="4" t="s">
        <v>4967</v>
      </c>
      <c r="D698" s="4" t="s">
        <v>4295</v>
      </c>
    </row>
    <row r="699" customFormat="false" ht="15" hidden="false" customHeight="false" outlineLevel="0" collapsed="false">
      <c r="A699" s="4" t="n">
        <v>696</v>
      </c>
      <c r="B699" s="4" t="s">
        <v>100</v>
      </c>
      <c r="C699" s="4" t="s">
        <v>4968</v>
      </c>
      <c r="D699" s="4" t="s">
        <v>4295</v>
      </c>
    </row>
    <row r="700" customFormat="false" ht="15" hidden="false" customHeight="false" outlineLevel="0" collapsed="false">
      <c r="A700" s="4" t="n">
        <v>697</v>
      </c>
      <c r="B700" s="4" t="s">
        <v>99</v>
      </c>
      <c r="C700" s="4" t="s">
        <v>4969</v>
      </c>
      <c r="D700" s="4" t="s">
        <v>4462</v>
      </c>
    </row>
    <row r="701" customFormat="false" ht="15" hidden="false" customHeight="false" outlineLevel="0" collapsed="false">
      <c r="A701" s="4" t="n">
        <v>698</v>
      </c>
      <c r="B701" s="4" t="s">
        <v>101</v>
      </c>
      <c r="C701" s="4" t="s">
        <v>4970</v>
      </c>
      <c r="D701" s="4" t="s">
        <v>4295</v>
      </c>
    </row>
    <row r="702" customFormat="false" ht="15" hidden="false" customHeight="false" outlineLevel="0" collapsed="false">
      <c r="A702" s="4" t="n">
        <v>699</v>
      </c>
      <c r="B702" s="4" t="s">
        <v>104</v>
      </c>
      <c r="C702" s="4" t="s">
        <v>4971</v>
      </c>
      <c r="D702" s="4" t="s">
        <v>4295</v>
      </c>
    </row>
    <row r="703" customFormat="false" ht="15" hidden="false" customHeight="false" outlineLevel="0" collapsed="false">
      <c r="A703" s="4" t="n">
        <v>700</v>
      </c>
      <c r="B703" s="4" t="s">
        <v>102</v>
      </c>
      <c r="C703" s="4" t="s">
        <v>4972</v>
      </c>
      <c r="D703" s="4" t="s">
        <v>4295</v>
      </c>
    </row>
    <row r="704" customFormat="false" ht="15" hidden="false" customHeight="false" outlineLevel="0" collapsed="false">
      <c r="A704" s="4" t="n">
        <v>701</v>
      </c>
      <c r="B704" s="4" t="s">
        <v>102</v>
      </c>
      <c r="C704" s="4" t="s">
        <v>4973</v>
      </c>
      <c r="D704" s="4" t="s">
        <v>4462</v>
      </c>
    </row>
    <row r="705" customFormat="false" ht="15" hidden="false" customHeight="false" outlineLevel="0" collapsed="false">
      <c r="A705" s="4" t="n">
        <v>702</v>
      </c>
      <c r="B705" s="4" t="s">
        <v>100</v>
      </c>
      <c r="C705" s="4" t="s">
        <v>4974</v>
      </c>
      <c r="D705" s="4" t="s">
        <v>4295</v>
      </c>
    </row>
    <row r="706" customFormat="false" ht="15" hidden="false" customHeight="false" outlineLevel="0" collapsed="false">
      <c r="A706" s="4" t="n">
        <v>703</v>
      </c>
      <c r="B706" s="4" t="s">
        <v>103</v>
      </c>
      <c r="C706" s="4" t="s">
        <v>4975</v>
      </c>
      <c r="D706" s="4" t="s">
        <v>4295</v>
      </c>
    </row>
    <row r="707" customFormat="false" ht="15" hidden="false" customHeight="false" outlineLevel="0" collapsed="false">
      <c r="A707" s="4" t="n">
        <v>704</v>
      </c>
      <c r="B707" s="4" t="s">
        <v>101</v>
      </c>
      <c r="C707" s="4" t="s">
        <v>4976</v>
      </c>
      <c r="D707" s="4" t="s">
        <v>4295</v>
      </c>
    </row>
    <row r="708" customFormat="false" ht="15" hidden="false" customHeight="false" outlineLevel="0" collapsed="false">
      <c r="A708" s="4" t="n">
        <v>705</v>
      </c>
      <c r="B708" s="4" t="s">
        <v>100</v>
      </c>
      <c r="C708" s="4" t="s">
        <v>4977</v>
      </c>
      <c r="D708" s="4" t="s">
        <v>4295</v>
      </c>
    </row>
    <row r="709" customFormat="false" ht="15" hidden="false" customHeight="false" outlineLevel="0" collapsed="false">
      <c r="A709" s="4" t="n">
        <v>706</v>
      </c>
      <c r="B709" s="4" t="s">
        <v>102</v>
      </c>
      <c r="C709" s="4" t="s">
        <v>4978</v>
      </c>
      <c r="D709" s="4" t="s">
        <v>4295</v>
      </c>
    </row>
    <row r="710" customFormat="false" ht="15" hidden="false" customHeight="false" outlineLevel="0" collapsed="false">
      <c r="A710" s="4" t="n">
        <v>707</v>
      </c>
      <c r="B710" s="4" t="s">
        <v>101</v>
      </c>
      <c r="C710" s="4" t="s">
        <v>4979</v>
      </c>
      <c r="D710" s="4" t="s">
        <v>4295</v>
      </c>
    </row>
    <row r="711" customFormat="false" ht="15" hidden="false" customHeight="false" outlineLevel="0" collapsed="false">
      <c r="A711" s="4" t="n">
        <v>708</v>
      </c>
      <c r="B711" s="4" t="s">
        <v>103</v>
      </c>
      <c r="C711" s="4" t="s">
        <v>4980</v>
      </c>
      <c r="D711" s="4" t="s">
        <v>4295</v>
      </c>
    </row>
    <row r="712" customFormat="false" ht="15" hidden="false" customHeight="false" outlineLevel="0" collapsed="false">
      <c r="A712" s="4" t="n">
        <v>709</v>
      </c>
      <c r="B712" s="4" t="s">
        <v>100</v>
      </c>
      <c r="C712" s="4" t="s">
        <v>4981</v>
      </c>
      <c r="D712" s="4" t="s">
        <v>4295</v>
      </c>
    </row>
    <row r="713" customFormat="false" ht="15" hidden="false" customHeight="false" outlineLevel="0" collapsed="false">
      <c r="A713" s="4" t="n">
        <v>710</v>
      </c>
      <c r="B713" s="4" t="s">
        <v>99</v>
      </c>
      <c r="C713" s="4" t="s">
        <v>4982</v>
      </c>
      <c r="D713" s="4" t="s">
        <v>4462</v>
      </c>
    </row>
    <row r="714" customFormat="false" ht="15" hidden="false" customHeight="false" outlineLevel="0" collapsed="false">
      <c r="A714" s="4" t="n">
        <v>711</v>
      </c>
      <c r="B714" s="4" t="s">
        <v>101</v>
      </c>
      <c r="C714" s="4" t="s">
        <v>4983</v>
      </c>
      <c r="D714" s="4" t="s">
        <v>4295</v>
      </c>
    </row>
    <row r="715" customFormat="false" ht="15" hidden="false" customHeight="false" outlineLevel="0" collapsed="false">
      <c r="A715" s="4" t="n">
        <v>712</v>
      </c>
      <c r="B715" s="4" t="s">
        <v>104</v>
      </c>
      <c r="C715" s="4" t="s">
        <v>4984</v>
      </c>
      <c r="D715" s="4" t="s">
        <v>4295</v>
      </c>
    </row>
    <row r="716" customFormat="false" ht="15" hidden="false" customHeight="false" outlineLevel="0" collapsed="false">
      <c r="A716" s="4" t="n">
        <v>713</v>
      </c>
      <c r="B716" s="4" t="s">
        <v>102</v>
      </c>
      <c r="C716" s="4" t="s">
        <v>4985</v>
      </c>
      <c r="D716" s="4" t="s">
        <v>4295</v>
      </c>
    </row>
    <row r="717" customFormat="false" ht="15" hidden="false" customHeight="false" outlineLevel="0" collapsed="false">
      <c r="A717" s="4" t="n">
        <v>714</v>
      </c>
      <c r="B717" s="4" t="s">
        <v>100</v>
      </c>
      <c r="C717" s="4" t="s">
        <v>4986</v>
      </c>
      <c r="D717" s="4" t="s">
        <v>4295</v>
      </c>
    </row>
    <row r="718" customFormat="false" ht="15" hidden="false" customHeight="false" outlineLevel="0" collapsed="false">
      <c r="A718" s="4" t="n">
        <v>715</v>
      </c>
      <c r="B718" s="4" t="s">
        <v>103</v>
      </c>
      <c r="C718" s="4" t="s">
        <v>4987</v>
      </c>
      <c r="D718" s="4" t="s">
        <v>4295</v>
      </c>
    </row>
    <row r="719" customFormat="false" ht="15" hidden="false" customHeight="false" outlineLevel="0" collapsed="false">
      <c r="A719" s="4" t="n">
        <v>716</v>
      </c>
      <c r="B719" s="4" t="s">
        <v>101</v>
      </c>
      <c r="C719" s="4" t="s">
        <v>4988</v>
      </c>
      <c r="D719" s="4" t="s">
        <v>4295</v>
      </c>
    </row>
    <row r="720" customFormat="false" ht="15" hidden="false" customHeight="false" outlineLevel="0" collapsed="false">
      <c r="A720" s="4" t="n">
        <v>717</v>
      </c>
      <c r="B720" s="4" t="s">
        <v>100</v>
      </c>
      <c r="C720" s="4" t="s">
        <v>4989</v>
      </c>
      <c r="D720" s="4" t="s">
        <v>4295</v>
      </c>
    </row>
    <row r="721" customFormat="false" ht="15" hidden="false" customHeight="false" outlineLevel="0" collapsed="false">
      <c r="A721" s="4" t="n">
        <v>718</v>
      </c>
      <c r="B721" s="4" t="s">
        <v>102</v>
      </c>
      <c r="C721" s="4" t="s">
        <v>4990</v>
      </c>
      <c r="D721" s="4" t="s">
        <v>4295</v>
      </c>
    </row>
    <row r="722" customFormat="false" ht="15" hidden="false" customHeight="false" outlineLevel="0" collapsed="false">
      <c r="A722" s="4" t="n">
        <v>719</v>
      </c>
      <c r="B722" s="4" t="s">
        <v>101</v>
      </c>
      <c r="C722" s="4" t="s">
        <v>4991</v>
      </c>
      <c r="D722" s="4" t="s">
        <v>4295</v>
      </c>
    </row>
    <row r="723" customFormat="false" ht="15" hidden="false" customHeight="false" outlineLevel="0" collapsed="false">
      <c r="A723" s="4" t="n">
        <v>720</v>
      </c>
      <c r="B723" s="4" t="s">
        <v>103</v>
      </c>
      <c r="C723" s="4" t="s">
        <v>4992</v>
      </c>
      <c r="D723" s="4" t="s">
        <v>4356</v>
      </c>
    </row>
    <row r="724" customFormat="false" ht="15" hidden="false" customHeight="false" outlineLevel="0" collapsed="false">
      <c r="A724" s="4" t="n">
        <v>721</v>
      </c>
      <c r="B724" s="4" t="s">
        <v>103</v>
      </c>
      <c r="C724" s="4" t="s">
        <v>4992</v>
      </c>
      <c r="D724" s="4" t="s">
        <v>4356</v>
      </c>
    </row>
    <row r="725" customFormat="false" ht="15" hidden="false" customHeight="false" outlineLevel="0" collapsed="false">
      <c r="A725" s="4" t="n">
        <v>722</v>
      </c>
      <c r="B725" s="4" t="s">
        <v>103</v>
      </c>
      <c r="C725" s="4" t="s">
        <v>4992</v>
      </c>
      <c r="D725" s="4" t="s">
        <v>4295</v>
      </c>
    </row>
    <row r="726" customFormat="false" ht="15" hidden="false" customHeight="false" outlineLevel="0" collapsed="false">
      <c r="A726" s="4" t="n">
        <v>723</v>
      </c>
      <c r="B726" s="4" t="s">
        <v>100</v>
      </c>
      <c r="C726" s="4" t="s">
        <v>4993</v>
      </c>
      <c r="D726" s="4" t="s">
        <v>4295</v>
      </c>
    </row>
    <row r="727" customFormat="false" ht="15" hidden="false" customHeight="false" outlineLevel="0" collapsed="false">
      <c r="A727" s="4" t="n">
        <v>724</v>
      </c>
      <c r="B727" s="4" t="s">
        <v>101</v>
      </c>
      <c r="C727" s="4" t="s">
        <v>4994</v>
      </c>
      <c r="D727" s="4" t="s">
        <v>4295</v>
      </c>
    </row>
    <row r="728" customFormat="false" ht="15" hidden="false" customHeight="false" outlineLevel="0" collapsed="false">
      <c r="A728" s="4" t="n">
        <v>725</v>
      </c>
      <c r="B728" s="4" t="s">
        <v>104</v>
      </c>
      <c r="C728" s="4" t="s">
        <v>4995</v>
      </c>
      <c r="D728" s="4" t="s">
        <v>4295</v>
      </c>
    </row>
    <row r="729" customFormat="false" ht="15" hidden="false" customHeight="false" outlineLevel="0" collapsed="false">
      <c r="A729" s="4" t="n">
        <v>726</v>
      </c>
      <c r="B729" s="4" t="s">
        <v>102</v>
      </c>
      <c r="C729" s="4" t="s">
        <v>4996</v>
      </c>
      <c r="D729" s="4" t="s">
        <v>4295</v>
      </c>
    </row>
    <row r="730" customFormat="false" ht="15" hidden="false" customHeight="false" outlineLevel="0" collapsed="false">
      <c r="A730" s="4" t="n">
        <v>727</v>
      </c>
      <c r="B730" s="4" t="s">
        <v>100</v>
      </c>
      <c r="C730" s="4" t="s">
        <v>4997</v>
      </c>
      <c r="D730" s="4" t="s">
        <v>4295</v>
      </c>
    </row>
    <row r="731" customFormat="false" ht="15" hidden="false" customHeight="false" outlineLevel="0" collapsed="false">
      <c r="A731" s="4" t="n">
        <v>728</v>
      </c>
      <c r="B731" s="4" t="s">
        <v>103</v>
      </c>
      <c r="C731" s="4" t="s">
        <v>4998</v>
      </c>
      <c r="D731" s="4" t="s">
        <v>4295</v>
      </c>
    </row>
    <row r="732" customFormat="false" ht="15" hidden="false" customHeight="false" outlineLevel="0" collapsed="false">
      <c r="A732" s="4" t="n">
        <v>729</v>
      </c>
      <c r="B732" s="4" t="s">
        <v>101</v>
      </c>
      <c r="C732" s="4" t="s">
        <v>4999</v>
      </c>
      <c r="D732" s="4" t="s">
        <v>4295</v>
      </c>
    </row>
    <row r="733" customFormat="false" ht="15" hidden="false" customHeight="false" outlineLevel="0" collapsed="false">
      <c r="A733" s="4" t="n">
        <v>730</v>
      </c>
      <c r="B733" s="4" t="s">
        <v>100</v>
      </c>
      <c r="C733" s="4" t="s">
        <v>5000</v>
      </c>
      <c r="D733" s="4" t="s">
        <v>4295</v>
      </c>
    </row>
    <row r="734" customFormat="false" ht="15" hidden="false" customHeight="false" outlineLevel="0" collapsed="false">
      <c r="A734" s="4" t="n">
        <v>731</v>
      </c>
      <c r="B734" s="4" t="s">
        <v>102</v>
      </c>
      <c r="C734" s="4" t="s">
        <v>5001</v>
      </c>
      <c r="D734" s="4" t="s">
        <v>4295</v>
      </c>
    </row>
    <row r="735" customFormat="false" ht="15" hidden="false" customHeight="false" outlineLevel="0" collapsed="false">
      <c r="A735" s="4" t="n">
        <v>732</v>
      </c>
      <c r="B735" s="4" t="s">
        <v>101</v>
      </c>
      <c r="C735" s="4" t="s">
        <v>5002</v>
      </c>
      <c r="D735" s="4" t="s">
        <v>4295</v>
      </c>
    </row>
    <row r="736" customFormat="false" ht="15" hidden="false" customHeight="false" outlineLevel="0" collapsed="false">
      <c r="A736" s="4" t="n">
        <v>733</v>
      </c>
      <c r="B736" s="4" t="s">
        <v>103</v>
      </c>
      <c r="C736" s="4" t="s">
        <v>5003</v>
      </c>
      <c r="D736" s="4" t="s">
        <v>4295</v>
      </c>
    </row>
    <row r="737" customFormat="false" ht="15" hidden="false" customHeight="false" outlineLevel="0" collapsed="false">
      <c r="A737" s="4" t="n">
        <v>734</v>
      </c>
      <c r="B737" s="4" t="s">
        <v>100</v>
      </c>
      <c r="C737" s="4" t="s">
        <v>5004</v>
      </c>
      <c r="D737" s="4" t="s">
        <v>4295</v>
      </c>
    </row>
    <row r="738" customFormat="false" ht="15" hidden="false" customHeight="false" outlineLevel="0" collapsed="false">
      <c r="A738" s="4" t="n">
        <v>735</v>
      </c>
      <c r="B738" s="4" t="s">
        <v>99</v>
      </c>
      <c r="C738" s="4" t="s">
        <v>5005</v>
      </c>
      <c r="D738" s="4" t="s">
        <v>4295</v>
      </c>
    </row>
    <row r="739" customFormat="false" ht="15" hidden="false" customHeight="false" outlineLevel="0" collapsed="false">
      <c r="A739" s="4" t="n">
        <v>736</v>
      </c>
      <c r="B739" s="4" t="s">
        <v>101</v>
      </c>
      <c r="C739" s="4" t="s">
        <v>5006</v>
      </c>
      <c r="D739" s="4" t="s">
        <v>4295</v>
      </c>
    </row>
    <row r="740" customFormat="false" ht="15" hidden="false" customHeight="false" outlineLevel="0" collapsed="false">
      <c r="A740" s="4" t="n">
        <v>737</v>
      </c>
      <c r="B740" s="4" t="s">
        <v>104</v>
      </c>
      <c r="C740" s="4" t="s">
        <v>5007</v>
      </c>
      <c r="D740" s="4" t="s">
        <v>4295</v>
      </c>
    </row>
    <row r="741" customFormat="false" ht="15" hidden="false" customHeight="false" outlineLevel="0" collapsed="false">
      <c r="A741" s="4" t="n">
        <v>738</v>
      </c>
      <c r="B741" s="4" t="s">
        <v>102</v>
      </c>
      <c r="C741" s="4" t="s">
        <v>5008</v>
      </c>
      <c r="D741" s="4" t="s">
        <v>4295</v>
      </c>
    </row>
    <row r="742" customFormat="false" ht="15" hidden="false" customHeight="false" outlineLevel="0" collapsed="false">
      <c r="A742" s="4" t="n">
        <v>739</v>
      </c>
      <c r="B742" s="4" t="s">
        <v>100</v>
      </c>
      <c r="C742" s="4" t="s">
        <v>5009</v>
      </c>
      <c r="D742" s="4" t="s">
        <v>4295</v>
      </c>
    </row>
    <row r="743" customFormat="false" ht="15" hidden="false" customHeight="false" outlineLevel="0" collapsed="false">
      <c r="A743" s="4" t="n">
        <v>740</v>
      </c>
      <c r="B743" s="4" t="s">
        <v>103</v>
      </c>
      <c r="C743" s="4" t="s">
        <v>5010</v>
      </c>
      <c r="D743" s="4" t="s">
        <v>4295</v>
      </c>
    </row>
    <row r="744" customFormat="false" ht="15" hidden="false" customHeight="false" outlineLevel="0" collapsed="false">
      <c r="A744" s="4" t="n">
        <v>741</v>
      </c>
      <c r="B744" s="4" t="s">
        <v>101</v>
      </c>
      <c r="C744" s="4" t="s">
        <v>5011</v>
      </c>
      <c r="D744" s="4" t="s">
        <v>4295</v>
      </c>
    </row>
    <row r="745" customFormat="false" ht="15" hidden="false" customHeight="false" outlineLevel="0" collapsed="false">
      <c r="A745" s="4" t="n">
        <v>742</v>
      </c>
      <c r="B745" s="4" t="s">
        <v>101</v>
      </c>
      <c r="C745" s="4" t="s">
        <v>5012</v>
      </c>
      <c r="D745" s="4" t="s">
        <v>4462</v>
      </c>
    </row>
    <row r="746" customFormat="false" ht="15" hidden="false" customHeight="false" outlineLevel="0" collapsed="false">
      <c r="A746" s="4" t="n">
        <v>743</v>
      </c>
      <c r="B746" s="4" t="s">
        <v>100</v>
      </c>
      <c r="C746" s="4" t="s">
        <v>5013</v>
      </c>
      <c r="D746" s="4" t="s">
        <v>4295</v>
      </c>
    </row>
    <row r="747" customFormat="false" ht="15" hidden="false" customHeight="false" outlineLevel="0" collapsed="false">
      <c r="A747" s="4" t="n">
        <v>744</v>
      </c>
      <c r="B747" s="4" t="s">
        <v>102</v>
      </c>
      <c r="C747" s="4" t="s">
        <v>5014</v>
      </c>
      <c r="D747" s="4" t="s">
        <v>4295</v>
      </c>
    </row>
    <row r="748" customFormat="false" ht="15" hidden="false" customHeight="false" outlineLevel="0" collapsed="false">
      <c r="A748" s="4" t="n">
        <v>745</v>
      </c>
      <c r="B748" s="4" t="s">
        <v>101</v>
      </c>
      <c r="C748" s="4" t="s">
        <v>5015</v>
      </c>
      <c r="D748" s="4" t="s">
        <v>4295</v>
      </c>
    </row>
    <row r="749" customFormat="false" ht="15" hidden="false" customHeight="false" outlineLevel="0" collapsed="false">
      <c r="A749" s="4" t="n">
        <v>746</v>
      </c>
      <c r="B749" s="4" t="s">
        <v>103</v>
      </c>
      <c r="C749" s="4" t="s">
        <v>5016</v>
      </c>
      <c r="D749" s="4" t="s">
        <v>4295</v>
      </c>
    </row>
    <row r="750" customFormat="false" ht="15" hidden="false" customHeight="false" outlineLevel="0" collapsed="false">
      <c r="A750" s="4" t="n">
        <v>747</v>
      </c>
      <c r="B750" s="4" t="s">
        <v>100</v>
      </c>
      <c r="C750" s="4" t="s">
        <v>5017</v>
      </c>
      <c r="D750" s="4" t="s">
        <v>4295</v>
      </c>
    </row>
    <row r="751" customFormat="false" ht="15" hidden="false" customHeight="false" outlineLevel="0" collapsed="false">
      <c r="A751" s="4" t="n">
        <v>748</v>
      </c>
      <c r="B751" s="4" t="s">
        <v>101</v>
      </c>
      <c r="C751" s="4" t="s">
        <v>5018</v>
      </c>
      <c r="D751" s="4" t="s">
        <v>4295</v>
      </c>
    </row>
    <row r="752" customFormat="false" ht="15" hidden="false" customHeight="false" outlineLevel="0" collapsed="false">
      <c r="A752" s="4" t="n">
        <v>749</v>
      </c>
      <c r="B752" s="4" t="s">
        <v>104</v>
      </c>
      <c r="C752" s="4" t="s">
        <v>5019</v>
      </c>
      <c r="D752" s="4" t="s">
        <v>4295</v>
      </c>
    </row>
    <row r="753" customFormat="false" ht="15" hidden="false" customHeight="false" outlineLevel="0" collapsed="false">
      <c r="A753" s="4" t="n">
        <v>750</v>
      </c>
      <c r="B753" s="4" t="s">
        <v>102</v>
      </c>
      <c r="C753" s="4" t="s">
        <v>5020</v>
      </c>
      <c r="D753" s="4" t="s">
        <v>4295</v>
      </c>
    </row>
    <row r="754" customFormat="false" ht="15" hidden="false" customHeight="false" outlineLevel="0" collapsed="false">
      <c r="A754" s="4" t="n">
        <v>751</v>
      </c>
      <c r="B754" s="4" t="s">
        <v>100</v>
      </c>
      <c r="C754" s="4" t="s">
        <v>5021</v>
      </c>
      <c r="D754" s="4" t="s">
        <v>4295</v>
      </c>
    </row>
    <row r="755" customFormat="false" ht="15" hidden="false" customHeight="false" outlineLevel="0" collapsed="false">
      <c r="A755" s="4" t="n">
        <v>752</v>
      </c>
      <c r="B755" s="4" t="s">
        <v>103</v>
      </c>
      <c r="C755" s="4" t="s">
        <v>5022</v>
      </c>
      <c r="D755" s="4" t="s">
        <v>4295</v>
      </c>
    </row>
    <row r="756" customFormat="false" ht="15" hidden="false" customHeight="false" outlineLevel="0" collapsed="false">
      <c r="A756" s="4" t="n">
        <v>753</v>
      </c>
      <c r="B756" s="4" t="s">
        <v>101</v>
      </c>
      <c r="C756" s="4" t="s">
        <v>5023</v>
      </c>
      <c r="D756" s="4" t="s">
        <v>4295</v>
      </c>
    </row>
    <row r="757" customFormat="false" ht="15" hidden="false" customHeight="false" outlineLevel="0" collapsed="false">
      <c r="A757" s="4" t="n">
        <v>754</v>
      </c>
      <c r="B757" s="4" t="s">
        <v>100</v>
      </c>
      <c r="C757" s="4" t="s">
        <v>5024</v>
      </c>
      <c r="D757" s="4" t="s">
        <v>4295</v>
      </c>
    </row>
    <row r="758" customFormat="false" ht="15" hidden="false" customHeight="false" outlineLevel="0" collapsed="false">
      <c r="A758" s="4" t="n">
        <v>755</v>
      </c>
      <c r="B758" s="4" t="s">
        <v>102</v>
      </c>
      <c r="C758" s="4" t="s">
        <v>5025</v>
      </c>
      <c r="D758" s="4" t="s">
        <v>4295</v>
      </c>
    </row>
    <row r="759" customFormat="false" ht="15" hidden="false" customHeight="false" outlineLevel="0" collapsed="false">
      <c r="A759" s="4" t="n">
        <v>756</v>
      </c>
      <c r="B759" s="4" t="s">
        <v>101</v>
      </c>
      <c r="C759" s="4" t="s">
        <v>5026</v>
      </c>
      <c r="D759" s="4" t="s">
        <v>4295</v>
      </c>
    </row>
    <row r="760" customFormat="false" ht="15" hidden="false" customHeight="false" outlineLevel="0" collapsed="false">
      <c r="A760" s="4" t="n">
        <v>757</v>
      </c>
      <c r="B760" s="4" t="s">
        <v>103</v>
      </c>
      <c r="C760" s="4" t="s">
        <v>5027</v>
      </c>
      <c r="D760" s="4" t="s">
        <v>4295</v>
      </c>
    </row>
    <row r="761" customFormat="false" ht="15" hidden="false" customHeight="false" outlineLevel="0" collapsed="false">
      <c r="A761" s="4" t="n">
        <v>758</v>
      </c>
      <c r="B761" s="4" t="s">
        <v>100</v>
      </c>
      <c r="C761" s="4" t="s">
        <v>5028</v>
      </c>
      <c r="D761" s="4" t="s">
        <v>4295</v>
      </c>
    </row>
    <row r="762" customFormat="false" ht="15" hidden="false" customHeight="false" outlineLevel="0" collapsed="false">
      <c r="A762" s="4" t="n">
        <v>759</v>
      </c>
      <c r="B762" s="4" t="s">
        <v>99</v>
      </c>
      <c r="C762" s="4" t="s">
        <v>5029</v>
      </c>
      <c r="D762" s="4" t="s">
        <v>4295</v>
      </c>
    </row>
    <row r="763" customFormat="false" ht="15" hidden="false" customHeight="false" outlineLevel="0" collapsed="false">
      <c r="A763" s="4" t="n">
        <v>760</v>
      </c>
      <c r="B763" s="4" t="s">
        <v>101</v>
      </c>
      <c r="C763" s="4" t="s">
        <v>5030</v>
      </c>
      <c r="D763" s="4" t="s">
        <v>4295</v>
      </c>
    </row>
    <row r="764" customFormat="false" ht="15" hidden="false" customHeight="false" outlineLevel="0" collapsed="false">
      <c r="A764" s="4" t="n">
        <v>761</v>
      </c>
      <c r="B764" s="4" t="s">
        <v>104</v>
      </c>
      <c r="C764" s="4" t="s">
        <v>5031</v>
      </c>
      <c r="D764" s="4" t="s">
        <v>4295</v>
      </c>
    </row>
    <row r="765" customFormat="false" ht="15" hidden="false" customHeight="false" outlineLevel="0" collapsed="false">
      <c r="A765" s="4" t="n">
        <v>762</v>
      </c>
      <c r="B765" s="4" t="s">
        <v>102</v>
      </c>
      <c r="C765" s="4" t="s">
        <v>5032</v>
      </c>
      <c r="D765" s="4" t="s">
        <v>4295</v>
      </c>
    </row>
    <row r="766" customFormat="false" ht="15" hidden="false" customHeight="false" outlineLevel="0" collapsed="false">
      <c r="A766" s="4" t="n">
        <v>763</v>
      </c>
      <c r="B766" s="4" t="s">
        <v>100</v>
      </c>
      <c r="C766" s="4" t="s">
        <v>5033</v>
      </c>
      <c r="D766" s="4" t="s">
        <v>4295</v>
      </c>
    </row>
    <row r="767" customFormat="false" ht="15" hidden="false" customHeight="false" outlineLevel="0" collapsed="false">
      <c r="A767" s="4" t="n">
        <v>764</v>
      </c>
      <c r="B767" s="4" t="s">
        <v>103</v>
      </c>
      <c r="C767" s="4" t="s">
        <v>5034</v>
      </c>
      <c r="D767" s="4" t="s">
        <v>4295</v>
      </c>
    </row>
    <row r="768" customFormat="false" ht="15" hidden="false" customHeight="false" outlineLevel="0" collapsed="false">
      <c r="A768" s="4" t="n">
        <v>765</v>
      </c>
      <c r="B768" s="4" t="s">
        <v>101</v>
      </c>
      <c r="C768" s="4" t="s">
        <v>5035</v>
      </c>
      <c r="D768" s="4" t="s">
        <v>4295</v>
      </c>
    </row>
    <row r="769" customFormat="false" ht="15" hidden="false" customHeight="false" outlineLevel="0" collapsed="false">
      <c r="A769" s="4" t="n">
        <v>766</v>
      </c>
      <c r="B769" s="4" t="s">
        <v>104</v>
      </c>
      <c r="C769" s="4" t="s">
        <v>5036</v>
      </c>
      <c r="D769" s="4" t="s">
        <v>4462</v>
      </c>
    </row>
    <row r="770" customFormat="false" ht="15" hidden="false" customHeight="false" outlineLevel="0" collapsed="false">
      <c r="A770" s="4" t="n">
        <v>767</v>
      </c>
      <c r="B770" s="4" t="s">
        <v>100</v>
      </c>
      <c r="C770" s="4" t="s">
        <v>5037</v>
      </c>
      <c r="D770" s="4" t="s">
        <v>4295</v>
      </c>
    </row>
    <row r="771" customFormat="false" ht="15" hidden="false" customHeight="false" outlineLevel="0" collapsed="false">
      <c r="A771" s="4" t="n">
        <v>768</v>
      </c>
      <c r="B771" s="4" t="s">
        <v>102</v>
      </c>
      <c r="C771" s="4" t="s">
        <v>5038</v>
      </c>
      <c r="D771" s="4" t="s">
        <v>4295</v>
      </c>
    </row>
    <row r="772" customFormat="false" ht="15" hidden="false" customHeight="false" outlineLevel="0" collapsed="false">
      <c r="A772" s="4" t="n">
        <v>769</v>
      </c>
      <c r="B772" s="4" t="s">
        <v>101</v>
      </c>
      <c r="C772" s="4" t="s">
        <v>5039</v>
      </c>
      <c r="D772" s="4" t="s">
        <v>4295</v>
      </c>
    </row>
    <row r="773" customFormat="false" ht="15" hidden="false" customHeight="false" outlineLevel="0" collapsed="false">
      <c r="A773" s="4" t="n">
        <v>770</v>
      </c>
      <c r="B773" s="4" t="s">
        <v>103</v>
      </c>
      <c r="C773" s="4" t="s">
        <v>5040</v>
      </c>
      <c r="D773" s="4" t="s">
        <v>4295</v>
      </c>
    </row>
    <row r="774" customFormat="false" ht="15" hidden="false" customHeight="false" outlineLevel="0" collapsed="false">
      <c r="A774" s="4" t="n">
        <v>771</v>
      </c>
      <c r="B774" s="4" t="s">
        <v>100</v>
      </c>
      <c r="C774" s="4" t="s">
        <v>5041</v>
      </c>
      <c r="D774" s="4" t="s">
        <v>4295</v>
      </c>
    </row>
    <row r="775" customFormat="false" ht="15" hidden="false" customHeight="false" outlineLevel="0" collapsed="false">
      <c r="A775" s="4" t="n">
        <v>772</v>
      </c>
      <c r="B775" s="4" t="s">
        <v>101</v>
      </c>
      <c r="C775" s="4" t="s">
        <v>5042</v>
      </c>
      <c r="D775" s="4" t="s">
        <v>4295</v>
      </c>
    </row>
    <row r="776" customFormat="false" ht="15" hidden="false" customHeight="false" outlineLevel="0" collapsed="false">
      <c r="A776" s="4" t="n">
        <v>773</v>
      </c>
      <c r="B776" s="4" t="s">
        <v>104</v>
      </c>
      <c r="C776" s="4" t="s">
        <v>5043</v>
      </c>
      <c r="D776" s="4" t="s">
        <v>4462</v>
      </c>
    </row>
    <row r="777" customFormat="false" ht="15" hidden="false" customHeight="false" outlineLevel="0" collapsed="false">
      <c r="A777" s="4" t="n">
        <v>774</v>
      </c>
      <c r="B777" s="4" t="s">
        <v>102</v>
      </c>
      <c r="C777" s="4" t="s">
        <v>5044</v>
      </c>
      <c r="D777" s="4" t="s">
        <v>4295</v>
      </c>
    </row>
    <row r="778" customFormat="false" ht="15" hidden="false" customHeight="false" outlineLevel="0" collapsed="false">
      <c r="A778" s="4" t="n">
        <v>775</v>
      </c>
      <c r="B778" s="4" t="s">
        <v>100</v>
      </c>
      <c r="C778" s="4" t="s">
        <v>5045</v>
      </c>
      <c r="D778" s="4" t="s">
        <v>4295</v>
      </c>
    </row>
    <row r="779" customFormat="false" ht="15" hidden="false" customHeight="false" outlineLevel="0" collapsed="false">
      <c r="A779" s="4" t="n">
        <v>776</v>
      </c>
      <c r="B779" s="4" t="s">
        <v>103</v>
      </c>
      <c r="C779" s="4" t="s">
        <v>5046</v>
      </c>
      <c r="D779" s="4" t="s">
        <v>4295</v>
      </c>
    </row>
    <row r="780" customFormat="false" ht="15" hidden="false" customHeight="false" outlineLevel="0" collapsed="false">
      <c r="A780" s="4" t="n">
        <v>777</v>
      </c>
      <c r="B780" s="4" t="s">
        <v>101</v>
      </c>
      <c r="C780" s="4" t="s">
        <v>5047</v>
      </c>
      <c r="D780" s="4" t="s">
        <v>4295</v>
      </c>
    </row>
    <row r="781" customFormat="false" ht="15" hidden="false" customHeight="false" outlineLevel="0" collapsed="false">
      <c r="A781" s="4" t="n">
        <v>778</v>
      </c>
      <c r="B781" s="4" t="s">
        <v>100</v>
      </c>
      <c r="C781" s="4" t="s">
        <v>5048</v>
      </c>
      <c r="D781" s="4" t="s">
        <v>4295</v>
      </c>
    </row>
    <row r="782" customFormat="false" ht="15" hidden="false" customHeight="false" outlineLevel="0" collapsed="false">
      <c r="A782" s="4" t="n">
        <v>779</v>
      </c>
      <c r="B782" s="4" t="s">
        <v>102</v>
      </c>
      <c r="C782" s="4" t="s">
        <v>5049</v>
      </c>
      <c r="D782" s="4" t="s">
        <v>4295</v>
      </c>
    </row>
    <row r="783" customFormat="false" ht="15" hidden="false" customHeight="false" outlineLevel="0" collapsed="false">
      <c r="A783" s="4" t="n">
        <v>780</v>
      </c>
      <c r="B783" s="4" t="s">
        <v>101</v>
      </c>
      <c r="C783" s="4" t="s">
        <v>5050</v>
      </c>
      <c r="D783" s="4" t="s">
        <v>4295</v>
      </c>
    </row>
    <row r="784" customFormat="false" ht="15" hidden="false" customHeight="false" outlineLevel="0" collapsed="false">
      <c r="A784" s="4" t="n">
        <v>781</v>
      </c>
      <c r="B784" s="4" t="s">
        <v>103</v>
      </c>
      <c r="C784" s="4" t="s">
        <v>5051</v>
      </c>
      <c r="D784" s="4" t="s">
        <v>4295</v>
      </c>
    </row>
    <row r="785" customFormat="false" ht="15" hidden="false" customHeight="false" outlineLevel="0" collapsed="false">
      <c r="A785" s="4" t="n">
        <v>782</v>
      </c>
      <c r="B785" s="4" t="s">
        <v>100</v>
      </c>
      <c r="C785" s="4" t="s">
        <v>5052</v>
      </c>
      <c r="D785" s="4" t="s">
        <v>4295</v>
      </c>
    </row>
    <row r="786" customFormat="false" ht="15" hidden="false" customHeight="false" outlineLevel="0" collapsed="false">
      <c r="A786" s="4" t="n">
        <v>783</v>
      </c>
      <c r="B786" s="4" t="s">
        <v>99</v>
      </c>
      <c r="C786" s="4" t="s">
        <v>5053</v>
      </c>
      <c r="D786" s="4" t="s">
        <v>4295</v>
      </c>
    </row>
    <row r="787" customFormat="false" ht="15" hidden="false" customHeight="false" outlineLevel="0" collapsed="false">
      <c r="A787" s="4" t="n">
        <v>784</v>
      </c>
      <c r="B787" s="4" t="s">
        <v>101</v>
      </c>
      <c r="C787" s="4" t="s">
        <v>5054</v>
      </c>
      <c r="D787" s="4" t="s">
        <v>4295</v>
      </c>
    </row>
    <row r="788" customFormat="false" ht="15" hidden="false" customHeight="false" outlineLevel="0" collapsed="false">
      <c r="A788" s="4" t="n">
        <v>785</v>
      </c>
      <c r="B788" s="4" t="s">
        <v>104</v>
      </c>
      <c r="C788" s="4" t="s">
        <v>5055</v>
      </c>
      <c r="D788" s="4" t="s">
        <v>4295</v>
      </c>
    </row>
    <row r="789" customFormat="false" ht="15" hidden="false" customHeight="false" outlineLevel="0" collapsed="false">
      <c r="A789" s="4" t="n">
        <v>786</v>
      </c>
      <c r="B789" s="4" t="s">
        <v>102</v>
      </c>
      <c r="C789" s="4" t="s">
        <v>5056</v>
      </c>
      <c r="D789" s="4" t="s">
        <v>4295</v>
      </c>
    </row>
    <row r="790" customFormat="false" ht="15" hidden="false" customHeight="false" outlineLevel="0" collapsed="false">
      <c r="A790" s="4" t="n">
        <v>787</v>
      </c>
      <c r="B790" s="4" t="s">
        <v>102</v>
      </c>
      <c r="C790" s="4" t="s">
        <v>5057</v>
      </c>
      <c r="D790" s="4" t="s">
        <v>4462</v>
      </c>
    </row>
    <row r="791" customFormat="false" ht="15" hidden="false" customHeight="false" outlineLevel="0" collapsed="false">
      <c r="A791" s="4" t="n">
        <v>788</v>
      </c>
      <c r="B791" s="4" t="s">
        <v>100</v>
      </c>
      <c r="C791" s="4" t="s">
        <v>5058</v>
      </c>
      <c r="D791" s="4" t="s">
        <v>4295</v>
      </c>
    </row>
    <row r="792" customFormat="false" ht="15" hidden="false" customHeight="false" outlineLevel="0" collapsed="false">
      <c r="A792" s="4" t="n">
        <v>789</v>
      </c>
      <c r="B792" s="4" t="s">
        <v>103</v>
      </c>
      <c r="C792" s="4" t="s">
        <v>5059</v>
      </c>
      <c r="D792" s="4" t="s">
        <v>4295</v>
      </c>
    </row>
    <row r="793" customFormat="false" ht="15" hidden="false" customHeight="false" outlineLevel="0" collapsed="false">
      <c r="A793" s="4" t="n">
        <v>790</v>
      </c>
      <c r="B793" s="4" t="s">
        <v>101</v>
      </c>
      <c r="C793" s="4" t="s">
        <v>5060</v>
      </c>
      <c r="D793" s="4" t="s">
        <v>4295</v>
      </c>
    </row>
    <row r="794" customFormat="false" ht="15" hidden="false" customHeight="false" outlineLevel="0" collapsed="false">
      <c r="A794" s="4" t="n">
        <v>791</v>
      </c>
      <c r="B794" s="4" t="s">
        <v>100</v>
      </c>
      <c r="C794" s="4" t="s">
        <v>5061</v>
      </c>
      <c r="D794" s="4" t="s">
        <v>4295</v>
      </c>
    </row>
    <row r="795" customFormat="false" ht="15" hidden="false" customHeight="false" outlineLevel="0" collapsed="false">
      <c r="A795" s="4" t="n">
        <v>792</v>
      </c>
      <c r="B795" s="4" t="s">
        <v>102</v>
      </c>
      <c r="C795" s="4" t="s">
        <v>5062</v>
      </c>
      <c r="D795" s="4" t="s">
        <v>4295</v>
      </c>
    </row>
    <row r="796" customFormat="false" ht="15" hidden="false" customHeight="false" outlineLevel="0" collapsed="false">
      <c r="A796" s="4" t="n">
        <v>793</v>
      </c>
      <c r="B796" s="4" t="s">
        <v>101</v>
      </c>
      <c r="C796" s="4" t="s">
        <v>5063</v>
      </c>
      <c r="D796" s="4" t="s">
        <v>4295</v>
      </c>
    </row>
    <row r="797" customFormat="false" ht="15" hidden="false" customHeight="false" outlineLevel="0" collapsed="false">
      <c r="A797" s="4" t="n">
        <v>794</v>
      </c>
      <c r="B797" s="4" t="s">
        <v>103</v>
      </c>
      <c r="C797" s="4" t="s">
        <v>5064</v>
      </c>
      <c r="D797" s="4" t="s">
        <v>4295</v>
      </c>
    </row>
    <row r="798" customFormat="false" ht="15" hidden="false" customHeight="false" outlineLevel="0" collapsed="false">
      <c r="A798" s="4" t="n">
        <v>795</v>
      </c>
      <c r="B798" s="4" t="s">
        <v>100</v>
      </c>
      <c r="C798" s="4" t="s">
        <v>5065</v>
      </c>
      <c r="D798" s="4" t="s">
        <v>4295</v>
      </c>
    </row>
    <row r="799" customFormat="false" ht="15" hidden="false" customHeight="false" outlineLevel="0" collapsed="false">
      <c r="A799" s="4" t="n">
        <v>796</v>
      </c>
      <c r="B799" s="4" t="s">
        <v>101</v>
      </c>
      <c r="C799" s="4" t="s">
        <v>5066</v>
      </c>
      <c r="D799" s="4" t="s">
        <v>4295</v>
      </c>
    </row>
    <row r="800" customFormat="false" ht="15" hidden="false" customHeight="false" outlineLevel="0" collapsed="false">
      <c r="A800" s="4" t="n">
        <v>797</v>
      </c>
      <c r="B800" s="4" t="s">
        <v>104</v>
      </c>
      <c r="C800" s="4" t="s">
        <v>5067</v>
      </c>
      <c r="D800" s="4" t="s">
        <v>4295</v>
      </c>
    </row>
    <row r="801" customFormat="false" ht="15" hidden="false" customHeight="false" outlineLevel="0" collapsed="false">
      <c r="A801" s="4" t="n">
        <v>798</v>
      </c>
      <c r="B801" s="4" t="s">
        <v>102</v>
      </c>
      <c r="C801" s="4" t="s">
        <v>5068</v>
      </c>
      <c r="D801" s="4" t="s">
        <v>4295</v>
      </c>
    </row>
    <row r="802" customFormat="false" ht="15" hidden="false" customHeight="false" outlineLevel="0" collapsed="false">
      <c r="A802" s="4" t="n">
        <v>799</v>
      </c>
      <c r="B802" s="4" t="s">
        <v>100</v>
      </c>
      <c r="C802" s="4" t="s">
        <v>5069</v>
      </c>
      <c r="D802" s="4" t="s">
        <v>4295</v>
      </c>
    </row>
    <row r="803" customFormat="false" ht="15" hidden="false" customHeight="false" outlineLevel="0" collapsed="false">
      <c r="A803" s="4" t="n">
        <v>800</v>
      </c>
      <c r="B803" s="4" t="s">
        <v>103</v>
      </c>
      <c r="C803" s="4" t="s">
        <v>5070</v>
      </c>
      <c r="D803" s="4" t="s">
        <v>4295</v>
      </c>
    </row>
    <row r="804" customFormat="false" ht="15" hidden="false" customHeight="false" outlineLevel="0" collapsed="false">
      <c r="A804" s="4" t="n">
        <v>801</v>
      </c>
      <c r="B804" s="4" t="s">
        <v>101</v>
      </c>
      <c r="C804" s="4" t="s">
        <v>5071</v>
      </c>
      <c r="D804" s="4" t="s">
        <v>4295</v>
      </c>
    </row>
    <row r="805" customFormat="false" ht="15" hidden="false" customHeight="false" outlineLevel="0" collapsed="false">
      <c r="A805" s="4" t="n">
        <v>802</v>
      </c>
      <c r="B805" s="4" t="s">
        <v>100</v>
      </c>
      <c r="C805" s="4" t="s">
        <v>5072</v>
      </c>
      <c r="D805" s="4" t="s">
        <v>4295</v>
      </c>
    </row>
    <row r="806" customFormat="false" ht="15" hidden="false" customHeight="false" outlineLevel="0" collapsed="false">
      <c r="A806" s="4" t="n">
        <v>803</v>
      </c>
      <c r="B806" s="4" t="s">
        <v>102</v>
      </c>
      <c r="C806" s="4" t="s">
        <v>5073</v>
      </c>
      <c r="D806" s="4" t="s">
        <v>4295</v>
      </c>
    </row>
    <row r="807" customFormat="false" ht="15" hidden="false" customHeight="false" outlineLevel="0" collapsed="false">
      <c r="A807" s="4" t="n">
        <v>804</v>
      </c>
      <c r="B807" s="4" t="s">
        <v>101</v>
      </c>
      <c r="C807" s="4" t="s">
        <v>5074</v>
      </c>
      <c r="D807" s="4" t="s">
        <v>4295</v>
      </c>
    </row>
    <row r="808" customFormat="false" ht="15" hidden="false" customHeight="false" outlineLevel="0" collapsed="false">
      <c r="A808" s="4" t="n">
        <v>805</v>
      </c>
      <c r="B808" s="4" t="s">
        <v>103</v>
      </c>
      <c r="C808" s="4" t="s">
        <v>5075</v>
      </c>
      <c r="D808" s="4" t="s">
        <v>4295</v>
      </c>
    </row>
    <row r="809" customFormat="false" ht="15" hidden="false" customHeight="false" outlineLevel="0" collapsed="false">
      <c r="A809" s="4" t="n">
        <v>806</v>
      </c>
      <c r="B809" s="4" t="s">
        <v>100</v>
      </c>
      <c r="C809" s="4" t="s">
        <v>5076</v>
      </c>
      <c r="D809" s="4" t="s">
        <v>4295</v>
      </c>
    </row>
    <row r="810" customFormat="false" ht="15" hidden="false" customHeight="false" outlineLevel="0" collapsed="false">
      <c r="A810" s="4" t="n">
        <v>807</v>
      </c>
      <c r="B810" s="4" t="s">
        <v>99</v>
      </c>
      <c r="C810" s="4" t="s">
        <v>5077</v>
      </c>
      <c r="D810" s="4" t="s">
        <v>4295</v>
      </c>
    </row>
    <row r="811" customFormat="false" ht="15" hidden="false" customHeight="false" outlineLevel="0" collapsed="false">
      <c r="A811" s="4" t="n">
        <v>808</v>
      </c>
      <c r="B811" s="4" t="s">
        <v>101</v>
      </c>
      <c r="C811" s="4" t="s">
        <v>5078</v>
      </c>
      <c r="D811" s="4" t="s">
        <v>4295</v>
      </c>
    </row>
    <row r="812" customFormat="false" ht="15" hidden="false" customHeight="false" outlineLevel="0" collapsed="false">
      <c r="A812" s="4" t="n">
        <v>809</v>
      </c>
      <c r="B812" s="4" t="s">
        <v>104</v>
      </c>
      <c r="C812" s="4" t="s">
        <v>5079</v>
      </c>
      <c r="D812" s="4" t="s">
        <v>4295</v>
      </c>
    </row>
    <row r="813" customFormat="false" ht="15" hidden="false" customHeight="false" outlineLevel="0" collapsed="false">
      <c r="A813" s="4" t="n">
        <v>810</v>
      </c>
      <c r="B813" s="4" t="s">
        <v>102</v>
      </c>
      <c r="C813" s="4" t="s">
        <v>5080</v>
      </c>
      <c r="D813" s="4" t="s">
        <v>4295</v>
      </c>
    </row>
    <row r="814" customFormat="false" ht="15" hidden="false" customHeight="false" outlineLevel="0" collapsed="false">
      <c r="A814" s="4" t="n">
        <v>811</v>
      </c>
      <c r="B814" s="4" t="s">
        <v>100</v>
      </c>
      <c r="C814" s="4" t="s">
        <v>5081</v>
      </c>
      <c r="D814" s="4" t="s">
        <v>4295</v>
      </c>
    </row>
    <row r="815" customFormat="false" ht="15" hidden="false" customHeight="false" outlineLevel="0" collapsed="false">
      <c r="A815" s="4" t="n">
        <v>812</v>
      </c>
      <c r="B815" s="4" t="s">
        <v>103</v>
      </c>
      <c r="C815" s="4" t="s">
        <v>5082</v>
      </c>
      <c r="D815" s="4" t="s">
        <v>4295</v>
      </c>
    </row>
    <row r="816" customFormat="false" ht="15" hidden="false" customHeight="false" outlineLevel="0" collapsed="false">
      <c r="A816" s="4" t="n">
        <v>813</v>
      </c>
      <c r="B816" s="4" t="s">
        <v>101</v>
      </c>
      <c r="C816" s="4" t="s">
        <v>5083</v>
      </c>
      <c r="D816" s="4" t="s">
        <v>4295</v>
      </c>
    </row>
    <row r="817" customFormat="false" ht="15" hidden="false" customHeight="false" outlineLevel="0" collapsed="false">
      <c r="A817" s="4" t="n">
        <v>814</v>
      </c>
      <c r="B817" s="4" t="s">
        <v>100</v>
      </c>
      <c r="C817" s="4" t="s">
        <v>5084</v>
      </c>
      <c r="D817" s="4" t="s">
        <v>4295</v>
      </c>
    </row>
    <row r="818" customFormat="false" ht="15" hidden="false" customHeight="false" outlineLevel="0" collapsed="false">
      <c r="A818" s="4" t="n">
        <v>815</v>
      </c>
      <c r="B818" s="4" t="s">
        <v>102</v>
      </c>
      <c r="C818" s="4" t="s">
        <v>5085</v>
      </c>
      <c r="D818" s="4" t="s">
        <v>4295</v>
      </c>
    </row>
    <row r="819" customFormat="false" ht="15" hidden="false" customHeight="false" outlineLevel="0" collapsed="false">
      <c r="A819" s="4" t="n">
        <v>816</v>
      </c>
      <c r="B819" s="4" t="s">
        <v>101</v>
      </c>
      <c r="C819" s="4" t="s">
        <v>5086</v>
      </c>
      <c r="D819" s="4" t="s">
        <v>4295</v>
      </c>
    </row>
    <row r="820" customFormat="false" ht="15" hidden="false" customHeight="false" outlineLevel="0" collapsed="false">
      <c r="A820" s="4" t="n">
        <v>817</v>
      </c>
      <c r="B820" s="4" t="s">
        <v>103</v>
      </c>
      <c r="C820" s="4" t="s">
        <v>5087</v>
      </c>
      <c r="D820" s="4" t="s">
        <v>4356</v>
      </c>
    </row>
    <row r="821" customFormat="false" ht="15" hidden="false" customHeight="false" outlineLevel="0" collapsed="false">
      <c r="A821" s="4" t="n">
        <v>818</v>
      </c>
      <c r="B821" s="4" t="s">
        <v>103</v>
      </c>
      <c r="C821" s="4" t="s">
        <v>5087</v>
      </c>
      <c r="D821" s="4" t="s">
        <v>4356</v>
      </c>
    </row>
    <row r="822" customFormat="false" ht="15" hidden="false" customHeight="false" outlineLevel="0" collapsed="false">
      <c r="A822" s="4" t="n">
        <v>819</v>
      </c>
      <c r="B822" s="4" t="s">
        <v>103</v>
      </c>
      <c r="C822" s="4" t="s">
        <v>5087</v>
      </c>
      <c r="D822" s="4" t="s">
        <v>4295</v>
      </c>
    </row>
    <row r="823" customFormat="false" ht="15" hidden="false" customHeight="false" outlineLevel="0" collapsed="false">
      <c r="A823" s="4" t="n">
        <v>820</v>
      </c>
      <c r="B823" s="4" t="s">
        <v>100</v>
      </c>
      <c r="C823" s="4" t="s">
        <v>5088</v>
      </c>
      <c r="D823" s="4" t="s">
        <v>4295</v>
      </c>
    </row>
    <row r="824" customFormat="false" ht="15" hidden="false" customHeight="false" outlineLevel="0" collapsed="false">
      <c r="A824" s="4" t="n">
        <v>821</v>
      </c>
      <c r="B824" s="4" t="s">
        <v>101</v>
      </c>
      <c r="C824" s="4" t="s">
        <v>5089</v>
      </c>
      <c r="D824" s="4" t="s">
        <v>4295</v>
      </c>
    </row>
    <row r="825" customFormat="false" ht="15" hidden="false" customHeight="false" outlineLevel="0" collapsed="false">
      <c r="A825" s="4" t="n">
        <v>822</v>
      </c>
      <c r="B825" s="4" t="s">
        <v>104</v>
      </c>
      <c r="C825" s="4" t="s">
        <v>5090</v>
      </c>
      <c r="D825" s="4" t="s">
        <v>4295</v>
      </c>
    </row>
    <row r="826" customFormat="false" ht="15" hidden="false" customHeight="false" outlineLevel="0" collapsed="false">
      <c r="A826" s="4" t="n">
        <v>823</v>
      </c>
      <c r="B826" s="4" t="s">
        <v>102</v>
      </c>
      <c r="C826" s="4" t="s">
        <v>5091</v>
      </c>
      <c r="D826" s="4" t="s">
        <v>4295</v>
      </c>
    </row>
    <row r="827" customFormat="false" ht="15" hidden="false" customHeight="false" outlineLevel="0" collapsed="false">
      <c r="A827" s="4" t="n">
        <v>824</v>
      </c>
      <c r="B827" s="4" t="s">
        <v>100</v>
      </c>
      <c r="C827" s="4" t="s">
        <v>5092</v>
      </c>
      <c r="D827" s="4" t="s">
        <v>4295</v>
      </c>
    </row>
    <row r="828" customFormat="false" ht="15" hidden="false" customHeight="false" outlineLevel="0" collapsed="false">
      <c r="A828" s="4" t="n">
        <v>825</v>
      </c>
      <c r="B828" s="4" t="s">
        <v>103</v>
      </c>
      <c r="C828" s="4" t="s">
        <v>5093</v>
      </c>
      <c r="D828" s="4" t="s">
        <v>4356</v>
      </c>
    </row>
    <row r="829" customFormat="false" ht="15" hidden="false" customHeight="false" outlineLevel="0" collapsed="false">
      <c r="A829" s="4" t="n">
        <v>826</v>
      </c>
      <c r="B829" s="4" t="s">
        <v>103</v>
      </c>
      <c r="C829" s="4" t="s">
        <v>5093</v>
      </c>
      <c r="D829" s="4" t="s">
        <v>4356</v>
      </c>
    </row>
    <row r="830" customFormat="false" ht="15" hidden="false" customHeight="false" outlineLevel="0" collapsed="false">
      <c r="A830" s="4" t="n">
        <v>827</v>
      </c>
      <c r="B830" s="4" t="s">
        <v>103</v>
      </c>
      <c r="C830" s="4" t="s">
        <v>5093</v>
      </c>
      <c r="D830" s="4" t="s">
        <v>4295</v>
      </c>
    </row>
    <row r="831" customFormat="false" ht="15" hidden="false" customHeight="false" outlineLevel="0" collapsed="false">
      <c r="A831" s="4" t="n">
        <v>828</v>
      </c>
      <c r="B831" s="4" t="s">
        <v>101</v>
      </c>
      <c r="C831" s="4" t="s">
        <v>5094</v>
      </c>
      <c r="D831" s="4" t="s">
        <v>4295</v>
      </c>
    </row>
    <row r="832" customFormat="false" ht="15" hidden="false" customHeight="false" outlineLevel="0" collapsed="false">
      <c r="A832" s="4" t="n">
        <v>829</v>
      </c>
      <c r="B832" s="4" t="s">
        <v>100</v>
      </c>
      <c r="C832" s="4" t="s">
        <v>5095</v>
      </c>
      <c r="D832" s="4" t="s">
        <v>4295</v>
      </c>
    </row>
    <row r="833" customFormat="false" ht="15" hidden="false" customHeight="false" outlineLevel="0" collapsed="false">
      <c r="A833" s="4" t="n">
        <v>830</v>
      </c>
      <c r="B833" s="4" t="s">
        <v>102</v>
      </c>
      <c r="C833" s="4" t="s">
        <v>5096</v>
      </c>
      <c r="D833" s="4" t="s">
        <v>4295</v>
      </c>
    </row>
    <row r="834" customFormat="false" ht="15" hidden="false" customHeight="false" outlineLevel="0" collapsed="false">
      <c r="A834" s="4" t="n">
        <v>831</v>
      </c>
      <c r="B834" s="4" t="s">
        <v>101</v>
      </c>
      <c r="C834" s="4" t="s">
        <v>5097</v>
      </c>
      <c r="D834" s="4" t="s">
        <v>4295</v>
      </c>
    </row>
    <row r="835" customFormat="false" ht="15" hidden="false" customHeight="false" outlineLevel="0" collapsed="false">
      <c r="A835" s="4" t="n">
        <v>832</v>
      </c>
      <c r="B835" s="4" t="s">
        <v>103</v>
      </c>
      <c r="C835" s="4" t="s">
        <v>5098</v>
      </c>
      <c r="D835" s="4" t="s">
        <v>4295</v>
      </c>
    </row>
    <row r="836" customFormat="false" ht="15" hidden="false" customHeight="false" outlineLevel="0" collapsed="false">
      <c r="A836" s="4" t="n">
        <v>833</v>
      </c>
      <c r="B836" s="4" t="s">
        <v>100</v>
      </c>
      <c r="C836" s="4" t="s">
        <v>5099</v>
      </c>
      <c r="D836" s="4" t="s">
        <v>4295</v>
      </c>
    </row>
    <row r="837" customFormat="false" ht="15" hidden="false" customHeight="false" outlineLevel="0" collapsed="false">
      <c r="A837" s="4" t="n">
        <v>834</v>
      </c>
      <c r="B837" s="4" t="s">
        <v>99</v>
      </c>
      <c r="C837" s="4" t="s">
        <v>5100</v>
      </c>
      <c r="D837" s="4" t="s">
        <v>4295</v>
      </c>
    </row>
    <row r="838" customFormat="false" ht="15" hidden="false" customHeight="false" outlineLevel="0" collapsed="false">
      <c r="A838" s="4" t="n">
        <v>835</v>
      </c>
      <c r="B838" s="4" t="s">
        <v>101</v>
      </c>
      <c r="C838" s="4" t="s">
        <v>5101</v>
      </c>
      <c r="D838" s="4" t="s">
        <v>4295</v>
      </c>
    </row>
    <row r="839" customFormat="false" ht="15" hidden="false" customHeight="false" outlineLevel="0" collapsed="false">
      <c r="A839" s="4" t="n">
        <v>836</v>
      </c>
      <c r="B839" s="4" t="s">
        <v>104</v>
      </c>
      <c r="C839" s="4" t="s">
        <v>5102</v>
      </c>
      <c r="D839" s="4" t="s">
        <v>4295</v>
      </c>
    </row>
    <row r="840" customFormat="false" ht="15" hidden="false" customHeight="false" outlineLevel="0" collapsed="false">
      <c r="A840" s="4" t="n">
        <v>837</v>
      </c>
      <c r="B840" s="4" t="s">
        <v>104</v>
      </c>
      <c r="C840" s="4" t="s">
        <v>5103</v>
      </c>
      <c r="D840" s="4" t="s">
        <v>4462</v>
      </c>
    </row>
    <row r="841" customFormat="false" ht="15" hidden="false" customHeight="false" outlineLevel="0" collapsed="false">
      <c r="A841" s="4" t="n">
        <v>838</v>
      </c>
      <c r="B841" s="4" t="s">
        <v>102</v>
      </c>
      <c r="C841" s="4" t="s">
        <v>5104</v>
      </c>
      <c r="D841" s="4" t="s">
        <v>4295</v>
      </c>
    </row>
    <row r="842" customFormat="false" ht="15" hidden="false" customHeight="false" outlineLevel="0" collapsed="false">
      <c r="A842" s="4" t="n">
        <v>839</v>
      </c>
      <c r="B842" s="4" t="s">
        <v>100</v>
      </c>
      <c r="C842" s="4" t="s">
        <v>5105</v>
      </c>
      <c r="D842" s="4" t="s">
        <v>4295</v>
      </c>
    </row>
    <row r="843" customFormat="false" ht="15" hidden="false" customHeight="false" outlineLevel="0" collapsed="false">
      <c r="A843" s="4" t="n">
        <v>840</v>
      </c>
      <c r="B843" s="4" t="s">
        <v>103</v>
      </c>
      <c r="C843" s="4" t="s">
        <v>5106</v>
      </c>
      <c r="D843" s="4" t="s">
        <v>4295</v>
      </c>
    </row>
    <row r="844" customFormat="false" ht="15" hidden="false" customHeight="false" outlineLevel="0" collapsed="false">
      <c r="A844" s="4" t="n">
        <v>841</v>
      </c>
      <c r="B844" s="4" t="s">
        <v>101</v>
      </c>
      <c r="C844" s="4" t="s">
        <v>5107</v>
      </c>
      <c r="D844" s="4" t="s">
        <v>4295</v>
      </c>
    </row>
    <row r="845" customFormat="false" ht="15" hidden="false" customHeight="false" outlineLevel="0" collapsed="false">
      <c r="A845" s="4" t="n">
        <v>842</v>
      </c>
      <c r="B845" s="4" t="s">
        <v>100</v>
      </c>
      <c r="C845" s="4" t="s">
        <v>5108</v>
      </c>
      <c r="D845" s="4" t="s">
        <v>4295</v>
      </c>
    </row>
    <row r="846" customFormat="false" ht="15" hidden="false" customHeight="false" outlineLevel="0" collapsed="false">
      <c r="A846" s="4" t="n">
        <v>843</v>
      </c>
      <c r="B846" s="4" t="s">
        <v>102</v>
      </c>
      <c r="C846" s="4" t="s">
        <v>5109</v>
      </c>
      <c r="D846" s="4" t="s">
        <v>4295</v>
      </c>
    </row>
    <row r="847" customFormat="false" ht="15" hidden="false" customHeight="false" outlineLevel="0" collapsed="false">
      <c r="A847" s="4" t="n">
        <v>844</v>
      </c>
      <c r="B847" s="4" t="s">
        <v>103</v>
      </c>
      <c r="C847" s="4" t="s">
        <v>5110</v>
      </c>
      <c r="D847" s="4" t="s">
        <v>4295</v>
      </c>
    </row>
    <row r="848" customFormat="false" ht="15" hidden="false" customHeight="false" outlineLevel="0" collapsed="false">
      <c r="A848" s="4" t="n">
        <v>845</v>
      </c>
      <c r="B848" s="4" t="s">
        <v>100</v>
      </c>
      <c r="C848" s="4" t="s">
        <v>5111</v>
      </c>
      <c r="D848" s="4" t="s">
        <v>4295</v>
      </c>
    </row>
    <row r="849" customFormat="false" ht="15" hidden="false" customHeight="false" outlineLevel="0" collapsed="false">
      <c r="A849" s="4" t="n">
        <v>846</v>
      </c>
      <c r="B849" s="4" t="s">
        <v>101</v>
      </c>
      <c r="C849" s="4" t="s">
        <v>5112</v>
      </c>
      <c r="D849" s="4" t="s">
        <v>4295</v>
      </c>
    </row>
    <row r="850" customFormat="false" ht="15" hidden="false" customHeight="false" outlineLevel="0" collapsed="false">
      <c r="A850" s="4" t="n">
        <v>847</v>
      </c>
      <c r="B850" s="4" t="s">
        <v>101</v>
      </c>
      <c r="C850" s="4" t="s">
        <v>5113</v>
      </c>
      <c r="D850" s="4" t="s">
        <v>4295</v>
      </c>
    </row>
    <row r="851" customFormat="false" ht="15" hidden="false" customHeight="false" outlineLevel="0" collapsed="false">
      <c r="A851" s="4" t="n">
        <v>848</v>
      </c>
      <c r="B851" s="4" t="s">
        <v>104</v>
      </c>
      <c r="C851" s="4" t="s">
        <v>5114</v>
      </c>
      <c r="D851" s="4" t="s">
        <v>4462</v>
      </c>
    </row>
    <row r="852" customFormat="false" ht="15" hidden="false" customHeight="false" outlineLevel="0" collapsed="false">
      <c r="A852" s="4" t="n">
        <v>849</v>
      </c>
      <c r="B852" s="4" t="s">
        <v>102</v>
      </c>
      <c r="C852" s="4" t="s">
        <v>5115</v>
      </c>
      <c r="D852" s="4" t="s">
        <v>4295</v>
      </c>
    </row>
    <row r="853" customFormat="false" ht="15" hidden="false" customHeight="false" outlineLevel="0" collapsed="false">
      <c r="A853" s="4" t="n">
        <v>850</v>
      </c>
      <c r="B853" s="4" t="s">
        <v>100</v>
      </c>
      <c r="C853" s="4" t="s">
        <v>5116</v>
      </c>
      <c r="D853" s="4" t="s">
        <v>4295</v>
      </c>
    </row>
    <row r="854" customFormat="false" ht="15" hidden="false" customHeight="false" outlineLevel="0" collapsed="false">
      <c r="A854" s="4" t="n">
        <v>851</v>
      </c>
      <c r="B854" s="4" t="s">
        <v>103</v>
      </c>
      <c r="C854" s="4" t="s">
        <v>5117</v>
      </c>
      <c r="D854" s="4" t="s">
        <v>4295</v>
      </c>
    </row>
    <row r="855" customFormat="false" ht="15" hidden="false" customHeight="false" outlineLevel="0" collapsed="false">
      <c r="A855" s="4" t="n">
        <v>852</v>
      </c>
      <c r="B855" s="4" t="s">
        <v>101</v>
      </c>
      <c r="C855" s="4" t="s">
        <v>5118</v>
      </c>
      <c r="D855" s="4" t="s">
        <v>4295</v>
      </c>
    </row>
    <row r="856" customFormat="false" ht="15" hidden="false" customHeight="false" outlineLevel="0" collapsed="false">
      <c r="A856" s="4" t="n">
        <v>853</v>
      </c>
      <c r="B856" s="4" t="s">
        <v>100</v>
      </c>
      <c r="C856" s="4" t="s">
        <v>5119</v>
      </c>
      <c r="D856" s="4" t="s">
        <v>4295</v>
      </c>
    </row>
    <row r="857" customFormat="false" ht="15" hidden="false" customHeight="false" outlineLevel="0" collapsed="false">
      <c r="A857" s="4" t="n">
        <v>854</v>
      </c>
      <c r="B857" s="4" t="s">
        <v>102</v>
      </c>
      <c r="C857" s="4" t="s">
        <v>5120</v>
      </c>
      <c r="D857" s="4" t="s">
        <v>4295</v>
      </c>
    </row>
    <row r="858" customFormat="false" ht="15" hidden="false" customHeight="false" outlineLevel="0" collapsed="false">
      <c r="A858" s="4" t="n">
        <v>855</v>
      </c>
      <c r="B858" s="4" t="s">
        <v>101</v>
      </c>
      <c r="C858" s="4" t="s">
        <v>5121</v>
      </c>
      <c r="D858" s="4" t="s">
        <v>4295</v>
      </c>
    </row>
    <row r="859" customFormat="false" ht="15" hidden="false" customHeight="false" outlineLevel="0" collapsed="false">
      <c r="A859" s="4" t="n">
        <v>856</v>
      </c>
      <c r="B859" s="4" t="s">
        <v>103</v>
      </c>
      <c r="C859" s="4" t="s">
        <v>5122</v>
      </c>
      <c r="D859" s="4" t="s">
        <v>4295</v>
      </c>
    </row>
    <row r="860" customFormat="false" ht="15" hidden="false" customHeight="false" outlineLevel="0" collapsed="false">
      <c r="A860" s="4" t="n">
        <v>857</v>
      </c>
      <c r="B860" s="4" t="s">
        <v>100</v>
      </c>
      <c r="C860" s="4" t="s">
        <v>5123</v>
      </c>
      <c r="D860" s="4" t="s">
        <v>4295</v>
      </c>
    </row>
    <row r="861" customFormat="false" ht="15" hidden="false" customHeight="false" outlineLevel="0" collapsed="false">
      <c r="A861" s="4" t="n">
        <v>858</v>
      </c>
      <c r="B861" s="4" t="s">
        <v>99</v>
      </c>
      <c r="C861" s="4" t="s">
        <v>5124</v>
      </c>
      <c r="D861" s="4" t="s">
        <v>4295</v>
      </c>
    </row>
    <row r="862" customFormat="false" ht="15" hidden="false" customHeight="false" outlineLevel="0" collapsed="false">
      <c r="A862" s="4" t="n">
        <v>859</v>
      </c>
      <c r="B862" s="4" t="s">
        <v>101</v>
      </c>
      <c r="C862" s="4" t="s">
        <v>5125</v>
      </c>
      <c r="D862" s="4" t="s">
        <v>4295</v>
      </c>
    </row>
    <row r="863" customFormat="false" ht="15" hidden="false" customHeight="false" outlineLevel="0" collapsed="false">
      <c r="A863" s="4" t="n">
        <v>860</v>
      </c>
      <c r="B863" s="4" t="s">
        <v>104</v>
      </c>
      <c r="C863" s="4" t="s">
        <v>5126</v>
      </c>
      <c r="D863" s="4" t="s">
        <v>4295</v>
      </c>
    </row>
    <row r="864" customFormat="false" ht="15" hidden="false" customHeight="false" outlineLevel="0" collapsed="false">
      <c r="A864" s="4" t="n">
        <v>861</v>
      </c>
      <c r="B864" s="4" t="s">
        <v>102</v>
      </c>
      <c r="C864" s="4" t="s">
        <v>5127</v>
      </c>
      <c r="D864" s="4" t="s">
        <v>4295</v>
      </c>
    </row>
    <row r="865" customFormat="false" ht="15" hidden="false" customHeight="false" outlineLevel="0" collapsed="false">
      <c r="A865" s="4" t="n">
        <v>862</v>
      </c>
      <c r="B865" s="4" t="s">
        <v>100</v>
      </c>
      <c r="C865" s="4" t="s">
        <v>5128</v>
      </c>
      <c r="D865" s="4" t="s">
        <v>4295</v>
      </c>
    </row>
    <row r="866" customFormat="false" ht="15" hidden="false" customHeight="false" outlineLevel="0" collapsed="false">
      <c r="A866" s="4" t="n">
        <v>863</v>
      </c>
      <c r="B866" s="4" t="s">
        <v>103</v>
      </c>
      <c r="C866" s="4" t="s">
        <v>5129</v>
      </c>
      <c r="D866" s="4" t="s">
        <v>4295</v>
      </c>
    </row>
    <row r="867" customFormat="false" ht="15" hidden="false" customHeight="false" outlineLevel="0" collapsed="false">
      <c r="A867" s="4" t="n">
        <v>864</v>
      </c>
      <c r="B867" s="4" t="s">
        <v>101</v>
      </c>
      <c r="C867" s="4" t="s">
        <v>5130</v>
      </c>
      <c r="D867" s="4" t="s">
        <v>4295</v>
      </c>
    </row>
    <row r="868" customFormat="false" ht="15" hidden="false" customHeight="false" outlineLevel="0" collapsed="false">
      <c r="A868" s="4" t="n">
        <v>865</v>
      </c>
      <c r="B868" s="4" t="s">
        <v>100</v>
      </c>
      <c r="C868" s="4" t="s">
        <v>5131</v>
      </c>
      <c r="D868" s="4" t="s">
        <v>4295</v>
      </c>
    </row>
    <row r="869" customFormat="false" ht="15" hidden="false" customHeight="false" outlineLevel="0" collapsed="false">
      <c r="A869" s="4" t="n">
        <v>866</v>
      </c>
      <c r="B869" s="4" t="s">
        <v>102</v>
      </c>
      <c r="C869" s="4" t="s">
        <v>5132</v>
      </c>
      <c r="D869" s="4" t="s">
        <v>4295</v>
      </c>
    </row>
    <row r="870" customFormat="false" ht="15" hidden="false" customHeight="false" outlineLevel="0" collapsed="false">
      <c r="A870" s="4" t="n">
        <v>867</v>
      </c>
      <c r="B870" s="4" t="s">
        <v>101</v>
      </c>
      <c r="C870" s="4" t="s">
        <v>5133</v>
      </c>
      <c r="D870" s="4" t="s">
        <v>4295</v>
      </c>
    </row>
    <row r="871" customFormat="false" ht="15" hidden="false" customHeight="false" outlineLevel="0" collapsed="false">
      <c r="A871" s="4" t="n">
        <v>868</v>
      </c>
      <c r="B871" s="4" t="s">
        <v>103</v>
      </c>
      <c r="C871" s="4" t="s">
        <v>5134</v>
      </c>
      <c r="D871" s="4" t="s">
        <v>4295</v>
      </c>
    </row>
    <row r="872" customFormat="false" ht="15" hidden="false" customHeight="false" outlineLevel="0" collapsed="false">
      <c r="A872" s="4" t="n">
        <v>869</v>
      </c>
      <c r="B872" s="4" t="s">
        <v>100</v>
      </c>
      <c r="C872" s="4" t="s">
        <v>5135</v>
      </c>
      <c r="D872" s="4" t="s">
        <v>4295</v>
      </c>
    </row>
    <row r="873" customFormat="false" ht="15" hidden="false" customHeight="false" outlineLevel="0" collapsed="false">
      <c r="A873" s="4" t="n">
        <v>870</v>
      </c>
      <c r="B873" s="4" t="s">
        <v>101</v>
      </c>
      <c r="C873" s="4" t="s">
        <v>5136</v>
      </c>
      <c r="D873" s="4" t="s">
        <v>4295</v>
      </c>
    </row>
    <row r="874" customFormat="false" ht="15" hidden="false" customHeight="false" outlineLevel="0" collapsed="false">
      <c r="A874" s="4" t="n">
        <v>871</v>
      </c>
      <c r="B874" s="4" t="s">
        <v>104</v>
      </c>
      <c r="C874" s="4" t="s">
        <v>5137</v>
      </c>
      <c r="D874" s="4" t="s">
        <v>4295</v>
      </c>
    </row>
    <row r="875" customFormat="false" ht="15" hidden="false" customHeight="false" outlineLevel="0" collapsed="false">
      <c r="A875" s="4" t="n">
        <v>872</v>
      </c>
      <c r="B875" s="4" t="s">
        <v>102</v>
      </c>
      <c r="C875" s="4" t="s">
        <v>5138</v>
      </c>
      <c r="D875" s="4" t="s">
        <v>4295</v>
      </c>
    </row>
    <row r="876" customFormat="false" ht="15" hidden="false" customHeight="false" outlineLevel="0" collapsed="false">
      <c r="A876" s="4" t="n">
        <v>873</v>
      </c>
      <c r="B876" s="4" t="s">
        <v>100</v>
      </c>
      <c r="C876" s="4" t="s">
        <v>5139</v>
      </c>
      <c r="D876" s="4" t="s">
        <v>4295</v>
      </c>
    </row>
    <row r="877" customFormat="false" ht="15" hidden="false" customHeight="false" outlineLevel="0" collapsed="false">
      <c r="A877" s="4" t="n">
        <v>874</v>
      </c>
      <c r="B877" s="4" t="s">
        <v>103</v>
      </c>
      <c r="C877" s="4" t="s">
        <v>5140</v>
      </c>
      <c r="D877" s="4" t="s">
        <v>4295</v>
      </c>
    </row>
    <row r="878" customFormat="false" ht="15" hidden="false" customHeight="false" outlineLevel="0" collapsed="false">
      <c r="A878" s="4" t="n">
        <v>875</v>
      </c>
      <c r="B878" s="4" t="s">
        <v>101</v>
      </c>
      <c r="C878" s="4" t="s">
        <v>5141</v>
      </c>
      <c r="D878" s="4" t="s">
        <v>4295</v>
      </c>
    </row>
    <row r="879" customFormat="false" ht="15" hidden="false" customHeight="false" outlineLevel="0" collapsed="false">
      <c r="A879" s="4" t="n">
        <v>876</v>
      </c>
      <c r="B879" s="4" t="s">
        <v>100</v>
      </c>
      <c r="C879" s="4" t="s">
        <v>5142</v>
      </c>
      <c r="D879" s="4" t="s">
        <v>4295</v>
      </c>
    </row>
    <row r="880" customFormat="false" ht="15" hidden="false" customHeight="false" outlineLevel="0" collapsed="false">
      <c r="A880" s="4" t="n">
        <v>877</v>
      </c>
      <c r="B880" s="4" t="s">
        <v>102</v>
      </c>
      <c r="C880" s="4" t="s">
        <v>5143</v>
      </c>
      <c r="D880" s="4" t="s">
        <v>4295</v>
      </c>
    </row>
    <row r="881" customFormat="false" ht="15" hidden="false" customHeight="false" outlineLevel="0" collapsed="false">
      <c r="A881" s="4" t="n">
        <v>878</v>
      </c>
      <c r="B881" s="4" t="s">
        <v>101</v>
      </c>
      <c r="C881" s="4" t="s">
        <v>5144</v>
      </c>
      <c r="D881" s="4" t="s">
        <v>4295</v>
      </c>
    </row>
    <row r="882" customFormat="false" ht="15" hidden="false" customHeight="false" outlineLevel="0" collapsed="false">
      <c r="A882" s="4" t="n">
        <v>879</v>
      </c>
      <c r="B882" s="4" t="s">
        <v>101</v>
      </c>
      <c r="C882" s="4" t="s">
        <v>5145</v>
      </c>
      <c r="D882" s="4" t="s">
        <v>4462</v>
      </c>
    </row>
    <row r="883" customFormat="false" ht="15" hidden="false" customHeight="false" outlineLevel="0" collapsed="false">
      <c r="A883" s="4" t="n">
        <v>880</v>
      </c>
      <c r="B883" s="4" t="s">
        <v>103</v>
      </c>
      <c r="C883" s="4" t="s">
        <v>5146</v>
      </c>
      <c r="D883" s="4" t="s">
        <v>4356</v>
      </c>
    </row>
    <row r="884" customFormat="false" ht="15" hidden="false" customHeight="false" outlineLevel="0" collapsed="false">
      <c r="A884" s="4" t="n">
        <v>881</v>
      </c>
      <c r="B884" s="4" t="s">
        <v>103</v>
      </c>
      <c r="C884" s="4" t="s">
        <v>5146</v>
      </c>
      <c r="D884" s="4" t="s">
        <v>4356</v>
      </c>
    </row>
    <row r="885" customFormat="false" ht="15" hidden="false" customHeight="false" outlineLevel="0" collapsed="false">
      <c r="A885" s="4" t="n">
        <v>882</v>
      </c>
      <c r="B885" s="4" t="s">
        <v>103</v>
      </c>
      <c r="C885" s="4" t="s">
        <v>5146</v>
      </c>
      <c r="D885" s="4" t="s">
        <v>4295</v>
      </c>
    </row>
    <row r="886" customFormat="false" ht="15" hidden="false" customHeight="false" outlineLevel="0" collapsed="false">
      <c r="A886" s="4" t="n">
        <v>883</v>
      </c>
      <c r="B886" s="4" t="s">
        <v>100</v>
      </c>
      <c r="C886" s="4" t="s">
        <v>5147</v>
      </c>
      <c r="D886" s="4" t="s">
        <v>4295</v>
      </c>
    </row>
    <row r="887" customFormat="false" ht="15" hidden="false" customHeight="false" outlineLevel="0" collapsed="false">
      <c r="A887" s="4" t="n">
        <v>884</v>
      </c>
      <c r="B887" s="4" t="s">
        <v>99</v>
      </c>
      <c r="C887" s="4" t="s">
        <v>5148</v>
      </c>
      <c r="D887" s="4" t="s">
        <v>4295</v>
      </c>
    </row>
    <row r="888" customFormat="false" ht="15" hidden="false" customHeight="false" outlineLevel="0" collapsed="false">
      <c r="A888" s="4" t="n">
        <v>885</v>
      </c>
      <c r="B888" s="4" t="s">
        <v>101</v>
      </c>
      <c r="C888" s="4" t="s">
        <v>5149</v>
      </c>
      <c r="D888" s="4" t="s">
        <v>4295</v>
      </c>
    </row>
    <row r="889" customFormat="false" ht="15" hidden="false" customHeight="false" outlineLevel="0" collapsed="false">
      <c r="A889" s="4" t="n">
        <v>886</v>
      </c>
      <c r="B889" s="4" t="s">
        <v>104</v>
      </c>
      <c r="C889" s="4" t="s">
        <v>5150</v>
      </c>
      <c r="D889" s="4" t="s">
        <v>4295</v>
      </c>
    </row>
    <row r="890" customFormat="false" ht="15" hidden="false" customHeight="false" outlineLevel="0" collapsed="false">
      <c r="A890" s="4" t="n">
        <v>887</v>
      </c>
      <c r="B890" s="4" t="s">
        <v>102</v>
      </c>
      <c r="C890" s="4" t="s">
        <v>5151</v>
      </c>
      <c r="D890" s="4" t="s">
        <v>4295</v>
      </c>
    </row>
    <row r="891" customFormat="false" ht="15" hidden="false" customHeight="false" outlineLevel="0" collapsed="false">
      <c r="A891" s="4" t="n">
        <v>888</v>
      </c>
      <c r="B891" s="4" t="s">
        <v>100</v>
      </c>
      <c r="C891" s="4" t="s">
        <v>5152</v>
      </c>
      <c r="D891" s="4" t="s">
        <v>4295</v>
      </c>
    </row>
    <row r="892" customFormat="false" ht="15" hidden="false" customHeight="false" outlineLevel="0" collapsed="false">
      <c r="A892" s="4" t="n">
        <v>889</v>
      </c>
      <c r="B892" s="4" t="s">
        <v>103</v>
      </c>
      <c r="C892" s="4" t="s">
        <v>5153</v>
      </c>
      <c r="D892" s="4" t="s">
        <v>4295</v>
      </c>
    </row>
    <row r="893" customFormat="false" ht="15" hidden="false" customHeight="false" outlineLevel="0" collapsed="false">
      <c r="A893" s="4" t="n">
        <v>890</v>
      </c>
      <c r="B893" s="4" t="s">
        <v>101</v>
      </c>
      <c r="C893" s="4" t="s">
        <v>5154</v>
      </c>
      <c r="D893" s="4" t="s">
        <v>4295</v>
      </c>
    </row>
    <row r="894" customFormat="false" ht="15" hidden="false" customHeight="false" outlineLevel="0" collapsed="false">
      <c r="A894" s="4" t="n">
        <v>891</v>
      </c>
      <c r="B894" s="4" t="s">
        <v>100</v>
      </c>
      <c r="C894" s="4" t="s">
        <v>5155</v>
      </c>
      <c r="D894" s="4" t="s">
        <v>4295</v>
      </c>
    </row>
    <row r="895" customFormat="false" ht="15" hidden="false" customHeight="false" outlineLevel="0" collapsed="false">
      <c r="A895" s="4" t="n">
        <v>892</v>
      </c>
      <c r="B895" s="4" t="s">
        <v>102</v>
      </c>
      <c r="C895" s="4" t="s">
        <v>5156</v>
      </c>
      <c r="D895" s="4" t="s">
        <v>4295</v>
      </c>
    </row>
    <row r="896" customFormat="false" ht="15" hidden="false" customHeight="false" outlineLevel="0" collapsed="false">
      <c r="A896" s="4" t="n">
        <v>893</v>
      </c>
      <c r="B896" s="4" t="s">
        <v>101</v>
      </c>
      <c r="C896" s="4" t="s">
        <v>5157</v>
      </c>
      <c r="D896" s="4" t="s">
        <v>4295</v>
      </c>
    </row>
    <row r="897" customFormat="false" ht="15" hidden="false" customHeight="false" outlineLevel="0" collapsed="false">
      <c r="A897" s="4" t="n">
        <v>894</v>
      </c>
      <c r="B897" s="4" t="s">
        <v>103</v>
      </c>
      <c r="C897" s="4" t="s">
        <v>5158</v>
      </c>
      <c r="D897" s="4" t="s">
        <v>4295</v>
      </c>
    </row>
    <row r="898" customFormat="false" ht="15" hidden="false" customHeight="false" outlineLevel="0" collapsed="false">
      <c r="A898" s="4" t="n">
        <v>895</v>
      </c>
      <c r="B898" s="4" t="s">
        <v>100</v>
      </c>
      <c r="C898" s="4" t="s">
        <v>5159</v>
      </c>
      <c r="D898" s="4" t="s">
        <v>4295</v>
      </c>
    </row>
    <row r="899" customFormat="false" ht="15" hidden="false" customHeight="false" outlineLevel="0" collapsed="false">
      <c r="A899" s="4" t="n">
        <v>896</v>
      </c>
      <c r="B899" s="4" t="s">
        <v>101</v>
      </c>
      <c r="C899" s="4" t="s">
        <v>5160</v>
      </c>
      <c r="D899" s="4" t="s">
        <v>4295</v>
      </c>
    </row>
    <row r="900" customFormat="false" ht="15" hidden="false" customHeight="false" outlineLevel="0" collapsed="false">
      <c r="A900" s="4" t="n">
        <v>897</v>
      </c>
      <c r="B900" s="4" t="s">
        <v>104</v>
      </c>
      <c r="C900" s="4" t="s">
        <v>5161</v>
      </c>
      <c r="D900" s="4" t="s">
        <v>4295</v>
      </c>
    </row>
    <row r="901" customFormat="false" ht="15" hidden="false" customHeight="false" outlineLevel="0" collapsed="false">
      <c r="A901" s="4" t="n">
        <v>898</v>
      </c>
      <c r="B901" s="4" t="s">
        <v>102</v>
      </c>
      <c r="C901" s="4" t="s">
        <v>5162</v>
      </c>
      <c r="D901" s="4" t="s">
        <v>4295</v>
      </c>
    </row>
    <row r="902" customFormat="false" ht="15" hidden="false" customHeight="false" outlineLevel="0" collapsed="false">
      <c r="A902" s="4" t="n">
        <v>899</v>
      </c>
      <c r="B902" s="4" t="s">
        <v>100</v>
      </c>
      <c r="C902" s="4" t="s">
        <v>5163</v>
      </c>
      <c r="D902" s="4" t="s">
        <v>4295</v>
      </c>
    </row>
    <row r="903" customFormat="false" ht="15" hidden="false" customHeight="false" outlineLevel="0" collapsed="false">
      <c r="A903" s="4" t="n">
        <v>900</v>
      </c>
      <c r="B903" s="4" t="s">
        <v>103</v>
      </c>
      <c r="C903" s="4" t="s">
        <v>5164</v>
      </c>
      <c r="D903" s="4" t="s">
        <v>4295</v>
      </c>
    </row>
    <row r="904" customFormat="false" ht="15" hidden="false" customHeight="false" outlineLevel="0" collapsed="false">
      <c r="A904" s="4" t="n">
        <v>901</v>
      </c>
      <c r="B904" s="4" t="s">
        <v>101</v>
      </c>
      <c r="C904" s="4" t="s">
        <v>5165</v>
      </c>
      <c r="D904" s="4" t="s">
        <v>4295</v>
      </c>
    </row>
    <row r="905" customFormat="false" ht="15" hidden="false" customHeight="false" outlineLevel="0" collapsed="false">
      <c r="A905" s="4" t="n">
        <v>902</v>
      </c>
      <c r="B905" s="4" t="s">
        <v>100</v>
      </c>
      <c r="C905" s="4" t="s">
        <v>5166</v>
      </c>
      <c r="D905" s="4" t="s">
        <v>4295</v>
      </c>
    </row>
    <row r="906" customFormat="false" ht="15" hidden="false" customHeight="false" outlineLevel="0" collapsed="false">
      <c r="A906" s="4" t="n">
        <v>903</v>
      </c>
      <c r="B906" s="4" t="s">
        <v>102</v>
      </c>
      <c r="C906" s="4" t="s">
        <v>5167</v>
      </c>
      <c r="D906" s="4" t="s">
        <v>4295</v>
      </c>
    </row>
    <row r="907" customFormat="false" ht="15" hidden="false" customHeight="false" outlineLevel="0" collapsed="false">
      <c r="A907" s="4" t="n">
        <v>904</v>
      </c>
      <c r="B907" s="4" t="s">
        <v>104</v>
      </c>
      <c r="C907" s="4" t="s">
        <v>5168</v>
      </c>
      <c r="D907" s="4" t="s">
        <v>4462</v>
      </c>
    </row>
    <row r="908" customFormat="false" ht="15" hidden="false" customHeight="false" outlineLevel="0" collapsed="false">
      <c r="A908" s="4" t="n">
        <v>905</v>
      </c>
      <c r="B908" s="4" t="s">
        <v>101</v>
      </c>
      <c r="C908" s="4" t="s">
        <v>5169</v>
      </c>
      <c r="D908" s="4" t="s">
        <v>4295</v>
      </c>
    </row>
    <row r="909" customFormat="false" ht="15" hidden="false" customHeight="false" outlineLevel="0" collapsed="false">
      <c r="A909" s="4" t="n">
        <v>906</v>
      </c>
      <c r="B909" s="4" t="s">
        <v>103</v>
      </c>
      <c r="C909" s="4" t="s">
        <v>5170</v>
      </c>
      <c r="D909" s="4" t="s">
        <v>4356</v>
      </c>
    </row>
    <row r="910" customFormat="false" ht="15" hidden="false" customHeight="false" outlineLevel="0" collapsed="false">
      <c r="A910" s="4" t="n">
        <v>907</v>
      </c>
      <c r="B910" s="4" t="s">
        <v>103</v>
      </c>
      <c r="C910" s="4" t="s">
        <v>5170</v>
      </c>
      <c r="D910" s="4" t="s">
        <v>4295</v>
      </c>
    </row>
    <row r="911" customFormat="false" ht="15" hidden="false" customHeight="false" outlineLevel="0" collapsed="false">
      <c r="A911" s="4" t="n">
        <v>908</v>
      </c>
      <c r="B911" s="4" t="s">
        <v>100</v>
      </c>
      <c r="C911" s="4" t="s">
        <v>5171</v>
      </c>
      <c r="D911" s="4" t="s">
        <v>4295</v>
      </c>
    </row>
    <row r="912" customFormat="false" ht="15" hidden="false" customHeight="false" outlineLevel="0" collapsed="false">
      <c r="A912" s="4" t="n">
        <v>909</v>
      </c>
      <c r="B912" s="4" t="s">
        <v>99</v>
      </c>
      <c r="C912" s="4" t="s">
        <v>5172</v>
      </c>
      <c r="D912" s="4" t="s">
        <v>4295</v>
      </c>
    </row>
    <row r="913" customFormat="false" ht="15" hidden="false" customHeight="false" outlineLevel="0" collapsed="false">
      <c r="A913" s="4" t="n">
        <v>910</v>
      </c>
      <c r="B913" s="4" t="s">
        <v>101</v>
      </c>
      <c r="C913" s="4" t="s">
        <v>5173</v>
      </c>
      <c r="D913" s="4" t="s">
        <v>4295</v>
      </c>
    </row>
    <row r="914" customFormat="false" ht="15" hidden="false" customHeight="false" outlineLevel="0" collapsed="false">
      <c r="A914" s="4" t="n">
        <v>911</v>
      </c>
      <c r="B914" s="4" t="s">
        <v>104</v>
      </c>
      <c r="C914" s="4" t="s">
        <v>5174</v>
      </c>
      <c r="D914" s="4" t="s">
        <v>4462</v>
      </c>
    </row>
    <row r="915" customFormat="false" ht="15" hidden="false" customHeight="false" outlineLevel="0" collapsed="false">
      <c r="A915" s="4" t="n">
        <v>912</v>
      </c>
      <c r="B915" s="4" t="s">
        <v>102</v>
      </c>
      <c r="C915" s="4" t="s">
        <v>5175</v>
      </c>
      <c r="D915" s="4" t="s">
        <v>4295</v>
      </c>
    </row>
    <row r="916" customFormat="false" ht="15" hidden="false" customHeight="false" outlineLevel="0" collapsed="false">
      <c r="A916" s="4" t="n">
        <v>913</v>
      </c>
      <c r="B916" s="4" t="s">
        <v>100</v>
      </c>
      <c r="C916" s="4" t="s">
        <v>5176</v>
      </c>
      <c r="D916" s="4" t="s">
        <v>4295</v>
      </c>
    </row>
    <row r="917" customFormat="false" ht="15" hidden="false" customHeight="false" outlineLevel="0" collapsed="false">
      <c r="A917" s="4" t="n">
        <v>914</v>
      </c>
      <c r="B917" s="4" t="s">
        <v>103</v>
      </c>
      <c r="C917" s="4" t="s">
        <v>5177</v>
      </c>
      <c r="D917" s="4" t="s">
        <v>4295</v>
      </c>
    </row>
    <row r="918" customFormat="false" ht="15" hidden="false" customHeight="false" outlineLevel="0" collapsed="false">
      <c r="A918" s="4" t="n">
        <v>915</v>
      </c>
      <c r="B918" s="4" t="s">
        <v>101</v>
      </c>
      <c r="C918" s="4" t="s">
        <v>5178</v>
      </c>
      <c r="D918" s="4" t="s">
        <v>4295</v>
      </c>
    </row>
    <row r="919" customFormat="false" ht="15" hidden="false" customHeight="false" outlineLevel="0" collapsed="false">
      <c r="A919" s="4" t="n">
        <v>916</v>
      </c>
      <c r="B919" s="4" t="s">
        <v>100</v>
      </c>
      <c r="C919" s="4" t="s">
        <v>5179</v>
      </c>
      <c r="D919" s="4" t="s">
        <v>4295</v>
      </c>
    </row>
    <row r="920" customFormat="false" ht="15" hidden="false" customHeight="false" outlineLevel="0" collapsed="false">
      <c r="A920" s="4" t="n">
        <v>917</v>
      </c>
      <c r="B920" s="4" t="s">
        <v>102</v>
      </c>
      <c r="C920" s="4" t="s">
        <v>5180</v>
      </c>
      <c r="D920" s="4" t="s">
        <v>4295</v>
      </c>
    </row>
    <row r="921" customFormat="false" ht="15" hidden="false" customHeight="false" outlineLevel="0" collapsed="false">
      <c r="A921" s="4" t="n">
        <v>918</v>
      </c>
      <c r="B921" s="4" t="s">
        <v>101</v>
      </c>
      <c r="C921" s="4" t="s">
        <v>5181</v>
      </c>
      <c r="D921" s="4" t="s">
        <v>4295</v>
      </c>
    </row>
    <row r="922" customFormat="false" ht="15" hidden="false" customHeight="false" outlineLevel="0" collapsed="false">
      <c r="A922" s="4" t="n">
        <v>919</v>
      </c>
      <c r="B922" s="4" t="s">
        <v>103</v>
      </c>
      <c r="C922" s="4" t="s">
        <v>5182</v>
      </c>
      <c r="D922" s="4" t="s">
        <v>4295</v>
      </c>
    </row>
    <row r="923" customFormat="false" ht="15" hidden="false" customHeight="false" outlineLevel="0" collapsed="false">
      <c r="A923" s="4" t="n">
        <v>920</v>
      </c>
      <c r="B923" s="4" t="s">
        <v>100</v>
      </c>
      <c r="C923" s="4" t="s">
        <v>5183</v>
      </c>
      <c r="D923" s="4" t="s">
        <v>4295</v>
      </c>
    </row>
    <row r="924" customFormat="false" ht="15" hidden="false" customHeight="false" outlineLevel="0" collapsed="false">
      <c r="A924" s="4" t="n">
        <v>921</v>
      </c>
      <c r="B924" s="4" t="s">
        <v>101</v>
      </c>
      <c r="C924" s="4" t="s">
        <v>5184</v>
      </c>
      <c r="D924" s="4" t="s">
        <v>4295</v>
      </c>
    </row>
    <row r="925" customFormat="false" ht="15" hidden="false" customHeight="false" outlineLevel="0" collapsed="false">
      <c r="A925" s="4" t="n">
        <v>922</v>
      </c>
      <c r="B925" s="4" t="s">
        <v>104</v>
      </c>
      <c r="C925" s="4" t="s">
        <v>5185</v>
      </c>
      <c r="D925" s="4" t="s">
        <v>4295</v>
      </c>
    </row>
    <row r="926" customFormat="false" ht="15" hidden="false" customHeight="false" outlineLevel="0" collapsed="false">
      <c r="A926" s="4" t="n">
        <v>923</v>
      </c>
      <c r="B926" s="4" t="s">
        <v>102</v>
      </c>
      <c r="C926" s="4" t="s">
        <v>5186</v>
      </c>
      <c r="D926" s="4" t="s">
        <v>4295</v>
      </c>
    </row>
    <row r="927" customFormat="false" ht="15" hidden="false" customHeight="false" outlineLevel="0" collapsed="false">
      <c r="A927" s="4" t="n">
        <v>924</v>
      </c>
      <c r="B927" s="4" t="s">
        <v>100</v>
      </c>
      <c r="C927" s="4" t="s">
        <v>5187</v>
      </c>
      <c r="D927" s="4" t="s">
        <v>4295</v>
      </c>
    </row>
    <row r="928" customFormat="false" ht="15" hidden="false" customHeight="false" outlineLevel="0" collapsed="false">
      <c r="A928" s="4" t="n">
        <v>925</v>
      </c>
      <c r="B928" s="4" t="s">
        <v>103</v>
      </c>
      <c r="C928" s="4" t="s">
        <v>5188</v>
      </c>
      <c r="D928" s="4" t="s">
        <v>4295</v>
      </c>
    </row>
    <row r="929" customFormat="false" ht="15" hidden="false" customHeight="false" outlineLevel="0" collapsed="false">
      <c r="A929" s="4" t="n">
        <v>926</v>
      </c>
      <c r="B929" s="4" t="s">
        <v>101</v>
      </c>
      <c r="C929" s="4" t="s">
        <v>5189</v>
      </c>
      <c r="D929" s="4" t="s">
        <v>4295</v>
      </c>
    </row>
    <row r="930" customFormat="false" ht="15" hidden="false" customHeight="false" outlineLevel="0" collapsed="false">
      <c r="A930" s="4" t="n">
        <v>927</v>
      </c>
      <c r="B930" s="4" t="s">
        <v>100</v>
      </c>
      <c r="C930" s="4" t="s">
        <v>5190</v>
      </c>
      <c r="D930" s="4" t="s">
        <v>4295</v>
      </c>
    </row>
    <row r="931" customFormat="false" ht="15" hidden="false" customHeight="false" outlineLevel="0" collapsed="false">
      <c r="A931" s="4" t="n">
        <v>928</v>
      </c>
      <c r="B931" s="4" t="s">
        <v>102</v>
      </c>
      <c r="C931" s="4" t="s">
        <v>5191</v>
      </c>
      <c r="D931" s="4" t="s">
        <v>4295</v>
      </c>
    </row>
    <row r="932" customFormat="false" ht="15" hidden="false" customHeight="false" outlineLevel="0" collapsed="false">
      <c r="A932" s="4" t="n">
        <v>929</v>
      </c>
      <c r="B932" s="4" t="s">
        <v>101</v>
      </c>
      <c r="C932" s="4" t="s">
        <v>5192</v>
      </c>
      <c r="D932" s="4" t="s">
        <v>4295</v>
      </c>
    </row>
    <row r="933" customFormat="false" ht="15" hidden="false" customHeight="false" outlineLevel="0" collapsed="false">
      <c r="A933" s="4" t="n">
        <v>930</v>
      </c>
      <c r="B933" s="4" t="s">
        <v>103</v>
      </c>
      <c r="C933" s="4" t="s">
        <v>5193</v>
      </c>
      <c r="D933" s="4" t="s">
        <v>4295</v>
      </c>
    </row>
    <row r="934" customFormat="false" ht="15" hidden="false" customHeight="false" outlineLevel="0" collapsed="false">
      <c r="A934" s="4" t="n">
        <v>931</v>
      </c>
      <c r="B934" s="4" t="s">
        <v>100</v>
      </c>
      <c r="C934" s="4" t="s">
        <v>5194</v>
      </c>
      <c r="D934" s="4" t="s">
        <v>4295</v>
      </c>
    </row>
    <row r="935" customFormat="false" ht="15" hidden="false" customHeight="false" outlineLevel="0" collapsed="false">
      <c r="A935" s="4" t="n">
        <v>932</v>
      </c>
      <c r="B935" s="4" t="s">
        <v>99</v>
      </c>
      <c r="C935" s="4" t="s">
        <v>5195</v>
      </c>
      <c r="D935" s="4" t="s">
        <v>4295</v>
      </c>
    </row>
    <row r="936" customFormat="false" ht="15" hidden="false" customHeight="false" outlineLevel="0" collapsed="false">
      <c r="A936" s="4" t="n">
        <v>933</v>
      </c>
      <c r="B936" s="4" t="s">
        <v>101</v>
      </c>
      <c r="C936" s="4" t="s">
        <v>5196</v>
      </c>
      <c r="D936" s="4" t="s">
        <v>4295</v>
      </c>
    </row>
    <row r="937" customFormat="false" ht="15" hidden="false" customHeight="false" outlineLevel="0" collapsed="false">
      <c r="A937" s="4" t="n">
        <v>934</v>
      </c>
      <c r="B937" s="4" t="s">
        <v>104</v>
      </c>
      <c r="C937" s="4" t="s">
        <v>5197</v>
      </c>
      <c r="D937" s="4" t="s">
        <v>4295</v>
      </c>
    </row>
    <row r="938" customFormat="false" ht="15" hidden="false" customHeight="false" outlineLevel="0" collapsed="false">
      <c r="A938" s="4" t="n">
        <v>935</v>
      </c>
      <c r="B938" s="4" t="s">
        <v>102</v>
      </c>
      <c r="C938" s="4" t="s">
        <v>5198</v>
      </c>
      <c r="D938" s="4" t="s">
        <v>4295</v>
      </c>
    </row>
    <row r="939" customFormat="false" ht="15" hidden="false" customHeight="false" outlineLevel="0" collapsed="false">
      <c r="A939" s="4" t="n">
        <v>936</v>
      </c>
      <c r="B939" s="4" t="s">
        <v>100</v>
      </c>
      <c r="C939" s="4" t="s">
        <v>5199</v>
      </c>
      <c r="D939" s="4" t="s">
        <v>4295</v>
      </c>
    </row>
    <row r="940" customFormat="false" ht="15" hidden="false" customHeight="false" outlineLevel="0" collapsed="false">
      <c r="A940" s="4" t="n">
        <v>937</v>
      </c>
      <c r="B940" s="4" t="s">
        <v>103</v>
      </c>
      <c r="C940" s="4" t="s">
        <v>5200</v>
      </c>
      <c r="D940" s="4" t="s">
        <v>4295</v>
      </c>
    </row>
    <row r="941" customFormat="false" ht="15" hidden="false" customHeight="false" outlineLevel="0" collapsed="false">
      <c r="A941" s="4" t="n">
        <v>938</v>
      </c>
      <c r="B941" s="4" t="s">
        <v>101</v>
      </c>
      <c r="C941" s="4" t="s">
        <v>5201</v>
      </c>
      <c r="D941" s="4" t="s">
        <v>4295</v>
      </c>
    </row>
    <row r="942" customFormat="false" ht="15" hidden="false" customHeight="false" outlineLevel="0" collapsed="false">
      <c r="A942" s="4" t="n">
        <v>939</v>
      </c>
      <c r="B942" s="4" t="s">
        <v>100</v>
      </c>
      <c r="C942" s="4" t="s">
        <v>5202</v>
      </c>
      <c r="D942" s="4" t="s">
        <v>4295</v>
      </c>
    </row>
    <row r="943" customFormat="false" ht="15" hidden="false" customHeight="false" outlineLevel="0" collapsed="false">
      <c r="A943" s="4" t="n">
        <v>940</v>
      </c>
      <c r="B943" s="4" t="s">
        <v>102</v>
      </c>
      <c r="C943" s="4" t="s">
        <v>5203</v>
      </c>
      <c r="D943" s="4" t="s">
        <v>4295</v>
      </c>
    </row>
    <row r="944" customFormat="false" ht="15" hidden="false" customHeight="false" outlineLevel="0" collapsed="false">
      <c r="A944" s="4" t="n">
        <v>941</v>
      </c>
      <c r="B944" s="4" t="s">
        <v>101</v>
      </c>
      <c r="C944" s="4" t="s">
        <v>5204</v>
      </c>
      <c r="D944" s="4" t="s">
        <v>4295</v>
      </c>
    </row>
    <row r="945" customFormat="false" ht="15" hidden="false" customHeight="false" outlineLevel="0" collapsed="false">
      <c r="A945" s="4" t="n">
        <v>942</v>
      </c>
      <c r="B945" s="4" t="s">
        <v>103</v>
      </c>
      <c r="C945" s="4" t="s">
        <v>5205</v>
      </c>
      <c r="D945" s="4" t="s">
        <v>4295</v>
      </c>
    </row>
    <row r="946" customFormat="false" ht="15" hidden="false" customHeight="false" outlineLevel="0" collapsed="false">
      <c r="A946" s="4" t="n">
        <v>943</v>
      </c>
      <c r="B946" s="4" t="s">
        <v>100</v>
      </c>
      <c r="C946" s="4" t="s">
        <v>5206</v>
      </c>
      <c r="D946" s="4" t="s">
        <v>4295</v>
      </c>
    </row>
    <row r="947" customFormat="false" ht="15" hidden="false" customHeight="false" outlineLevel="0" collapsed="false">
      <c r="A947" s="4" t="n">
        <v>944</v>
      </c>
      <c r="B947" s="4" t="s">
        <v>101</v>
      </c>
      <c r="C947" s="4" t="s">
        <v>5207</v>
      </c>
      <c r="D947" s="4" t="s">
        <v>4295</v>
      </c>
    </row>
    <row r="948" customFormat="false" ht="15" hidden="false" customHeight="false" outlineLevel="0" collapsed="false">
      <c r="A948" s="4" t="n">
        <v>945</v>
      </c>
      <c r="B948" s="4" t="s">
        <v>104</v>
      </c>
      <c r="C948" s="4" t="s">
        <v>5208</v>
      </c>
      <c r="D948" s="4" t="s">
        <v>4295</v>
      </c>
    </row>
    <row r="949" customFormat="false" ht="15" hidden="false" customHeight="false" outlineLevel="0" collapsed="false">
      <c r="A949" s="4" t="n">
        <v>946</v>
      </c>
      <c r="B949" s="4" t="s">
        <v>102</v>
      </c>
      <c r="C949" s="4" t="s">
        <v>5209</v>
      </c>
      <c r="D949" s="4" t="s">
        <v>4295</v>
      </c>
    </row>
    <row r="950" customFormat="false" ht="15" hidden="false" customHeight="false" outlineLevel="0" collapsed="false">
      <c r="A950" s="4" t="n">
        <v>947</v>
      </c>
      <c r="B950" s="4" t="s">
        <v>100</v>
      </c>
      <c r="C950" s="4" t="s">
        <v>5210</v>
      </c>
      <c r="D950" s="4" t="s">
        <v>4295</v>
      </c>
    </row>
    <row r="951" customFormat="false" ht="15" hidden="false" customHeight="false" outlineLevel="0" collapsed="false">
      <c r="A951" s="4" t="n">
        <v>948</v>
      </c>
      <c r="B951" s="4" t="s">
        <v>103</v>
      </c>
      <c r="C951" s="4" t="s">
        <v>5211</v>
      </c>
      <c r="D951" s="4" t="s">
        <v>4295</v>
      </c>
    </row>
    <row r="952" customFormat="false" ht="15" hidden="false" customHeight="false" outlineLevel="0" collapsed="false">
      <c r="A952" s="4" t="n">
        <v>949</v>
      </c>
      <c r="B952" s="4" t="s">
        <v>101</v>
      </c>
      <c r="C952" s="4" t="s">
        <v>5212</v>
      </c>
      <c r="D952" s="4" t="s">
        <v>4295</v>
      </c>
    </row>
    <row r="953" customFormat="false" ht="15" hidden="false" customHeight="false" outlineLevel="0" collapsed="false">
      <c r="A953" s="4" t="n">
        <v>950</v>
      </c>
      <c r="B953" s="4" t="s">
        <v>100</v>
      </c>
      <c r="C953" s="4" t="s">
        <v>5213</v>
      </c>
      <c r="D953" s="4" t="s">
        <v>4295</v>
      </c>
    </row>
    <row r="954" customFormat="false" ht="15" hidden="false" customHeight="false" outlineLevel="0" collapsed="false">
      <c r="A954" s="4" t="n">
        <v>951</v>
      </c>
      <c r="B954" s="4" t="s">
        <v>102</v>
      </c>
      <c r="C954" s="4" t="s">
        <v>5214</v>
      </c>
      <c r="D954" s="4" t="s">
        <v>4295</v>
      </c>
    </row>
    <row r="955" customFormat="false" ht="15" hidden="false" customHeight="false" outlineLevel="0" collapsed="false">
      <c r="A955" s="4" t="n">
        <v>952</v>
      </c>
      <c r="B955" s="4" t="s">
        <v>101</v>
      </c>
      <c r="C955" s="4" t="s">
        <v>5215</v>
      </c>
      <c r="D955" s="4" t="s">
        <v>4295</v>
      </c>
    </row>
    <row r="956" customFormat="false" ht="15" hidden="false" customHeight="false" outlineLevel="0" collapsed="false">
      <c r="A956" s="4" t="n">
        <v>953</v>
      </c>
      <c r="B956" s="4" t="s">
        <v>103</v>
      </c>
      <c r="C956" s="4" t="s">
        <v>5216</v>
      </c>
      <c r="D956" s="4" t="s">
        <v>4295</v>
      </c>
    </row>
    <row r="957" customFormat="false" ht="15" hidden="false" customHeight="false" outlineLevel="0" collapsed="false">
      <c r="A957" s="4" t="n">
        <v>954</v>
      </c>
      <c r="B957" s="4" t="s">
        <v>100</v>
      </c>
      <c r="C957" s="4" t="s">
        <v>5217</v>
      </c>
      <c r="D957" s="4" t="s">
        <v>4295</v>
      </c>
    </row>
    <row r="958" customFormat="false" ht="15" hidden="false" customHeight="false" outlineLevel="0" collapsed="false">
      <c r="A958" s="4" t="n">
        <v>955</v>
      </c>
      <c r="B958" s="4" t="s">
        <v>99</v>
      </c>
      <c r="C958" s="4" t="s">
        <v>5218</v>
      </c>
      <c r="D958" s="4" t="s">
        <v>4295</v>
      </c>
    </row>
    <row r="959" customFormat="false" ht="15" hidden="false" customHeight="false" outlineLevel="0" collapsed="false">
      <c r="A959" s="4" t="n">
        <v>956</v>
      </c>
      <c r="B959" s="4" t="s">
        <v>101</v>
      </c>
      <c r="C959" s="4" t="s">
        <v>5219</v>
      </c>
      <c r="D959" s="4" t="s">
        <v>4295</v>
      </c>
    </row>
    <row r="960" customFormat="false" ht="15" hidden="false" customHeight="false" outlineLevel="0" collapsed="false">
      <c r="A960" s="4" t="n">
        <v>957</v>
      </c>
      <c r="B960" s="4" t="s">
        <v>104</v>
      </c>
      <c r="C960" s="4" t="s">
        <v>5220</v>
      </c>
      <c r="D960" s="4" t="s">
        <v>4295</v>
      </c>
    </row>
    <row r="961" customFormat="false" ht="15" hidden="false" customHeight="false" outlineLevel="0" collapsed="false">
      <c r="A961" s="4" t="n">
        <v>958</v>
      </c>
      <c r="B961" s="4" t="s">
        <v>102</v>
      </c>
      <c r="C961" s="4" t="s">
        <v>5221</v>
      </c>
      <c r="D961" s="4" t="s">
        <v>4295</v>
      </c>
    </row>
    <row r="962" customFormat="false" ht="15" hidden="false" customHeight="false" outlineLevel="0" collapsed="false">
      <c r="A962" s="4" t="n">
        <v>959</v>
      </c>
      <c r="B962" s="4" t="s">
        <v>100</v>
      </c>
      <c r="C962" s="4" t="s">
        <v>5222</v>
      </c>
      <c r="D962" s="4" t="s">
        <v>4295</v>
      </c>
    </row>
    <row r="963" customFormat="false" ht="15" hidden="false" customHeight="false" outlineLevel="0" collapsed="false">
      <c r="A963" s="4" t="n">
        <v>960</v>
      </c>
      <c r="B963" s="4" t="s">
        <v>103</v>
      </c>
      <c r="C963" s="4" t="s">
        <v>5223</v>
      </c>
      <c r="D963" s="4" t="s">
        <v>4295</v>
      </c>
    </row>
    <row r="964" customFormat="false" ht="15" hidden="false" customHeight="false" outlineLevel="0" collapsed="false">
      <c r="A964" s="4" t="n">
        <v>961</v>
      </c>
      <c r="B964" s="4" t="s">
        <v>101</v>
      </c>
      <c r="C964" s="4" t="s">
        <v>5224</v>
      </c>
      <c r="D964" s="4" t="s">
        <v>4295</v>
      </c>
    </row>
    <row r="965" customFormat="false" ht="15" hidden="false" customHeight="false" outlineLevel="0" collapsed="false">
      <c r="A965" s="4" t="n">
        <v>962</v>
      </c>
      <c r="B965" s="4" t="s">
        <v>100</v>
      </c>
      <c r="C965" s="4" t="s">
        <v>5225</v>
      </c>
      <c r="D965" s="4" t="s">
        <v>4295</v>
      </c>
    </row>
    <row r="966" customFormat="false" ht="15" hidden="false" customHeight="false" outlineLevel="0" collapsed="false">
      <c r="A966" s="4" t="n">
        <v>963</v>
      </c>
      <c r="B966" s="4" t="s">
        <v>102</v>
      </c>
      <c r="C966" s="4" t="s">
        <v>5226</v>
      </c>
      <c r="D966" s="4" t="s">
        <v>4295</v>
      </c>
    </row>
    <row r="967" customFormat="false" ht="15" hidden="false" customHeight="false" outlineLevel="0" collapsed="false">
      <c r="A967" s="4" t="n">
        <v>964</v>
      </c>
      <c r="B967" s="4" t="s">
        <v>101</v>
      </c>
      <c r="C967" s="4" t="s">
        <v>5227</v>
      </c>
      <c r="D967" s="4" t="s">
        <v>4295</v>
      </c>
    </row>
    <row r="968" customFormat="false" ht="15" hidden="false" customHeight="false" outlineLevel="0" collapsed="false">
      <c r="A968" s="4" t="n">
        <v>965</v>
      </c>
      <c r="B968" s="4" t="s">
        <v>103</v>
      </c>
      <c r="C968" s="4" t="s">
        <v>5228</v>
      </c>
      <c r="D968" s="4" t="s">
        <v>4295</v>
      </c>
    </row>
    <row r="969" customFormat="false" ht="15" hidden="false" customHeight="false" outlineLevel="0" collapsed="false">
      <c r="A969" s="4" t="n">
        <v>966</v>
      </c>
      <c r="B969" s="4" t="s">
        <v>100</v>
      </c>
      <c r="C969" s="4" t="s">
        <v>5229</v>
      </c>
      <c r="D969" s="4" t="s">
        <v>4295</v>
      </c>
    </row>
    <row r="970" customFormat="false" ht="15" hidden="false" customHeight="false" outlineLevel="0" collapsed="false">
      <c r="A970" s="4" t="n">
        <v>967</v>
      </c>
      <c r="B970" s="4" t="s">
        <v>101</v>
      </c>
      <c r="C970" s="4" t="s">
        <v>5230</v>
      </c>
      <c r="D970" s="4" t="s">
        <v>4295</v>
      </c>
    </row>
    <row r="971" customFormat="false" ht="15" hidden="false" customHeight="false" outlineLevel="0" collapsed="false">
      <c r="A971" s="4" t="n">
        <v>968</v>
      </c>
      <c r="B971" s="4" t="s">
        <v>104</v>
      </c>
      <c r="C971" s="4" t="s">
        <v>5231</v>
      </c>
      <c r="D971" s="4" t="s">
        <v>4295</v>
      </c>
    </row>
    <row r="972" customFormat="false" ht="15" hidden="false" customHeight="false" outlineLevel="0" collapsed="false">
      <c r="A972" s="4" t="n">
        <v>969</v>
      </c>
      <c r="B972" s="4" t="s">
        <v>102</v>
      </c>
      <c r="C972" s="4" t="s">
        <v>5232</v>
      </c>
      <c r="D972" s="4" t="s">
        <v>4295</v>
      </c>
    </row>
    <row r="973" customFormat="false" ht="15" hidden="false" customHeight="false" outlineLevel="0" collapsed="false">
      <c r="A973" s="4" t="n">
        <v>970</v>
      </c>
      <c r="B973" s="4" t="s">
        <v>100</v>
      </c>
      <c r="C973" s="4" t="s">
        <v>5233</v>
      </c>
      <c r="D973" s="4" t="s">
        <v>4295</v>
      </c>
    </row>
    <row r="974" customFormat="false" ht="15" hidden="false" customHeight="false" outlineLevel="0" collapsed="false">
      <c r="A974" s="4" t="n">
        <v>971</v>
      </c>
      <c r="B974" s="4" t="s">
        <v>103</v>
      </c>
      <c r="C974" s="4" t="s">
        <v>5234</v>
      </c>
      <c r="D974" s="4" t="s">
        <v>4356</v>
      </c>
    </row>
    <row r="975" customFormat="false" ht="15" hidden="false" customHeight="false" outlineLevel="0" collapsed="false">
      <c r="A975" s="4" t="n">
        <v>972</v>
      </c>
      <c r="B975" s="4" t="s">
        <v>103</v>
      </c>
      <c r="C975" s="4" t="s">
        <v>5234</v>
      </c>
      <c r="D975" s="4" t="s">
        <v>4295</v>
      </c>
    </row>
    <row r="976" customFormat="false" ht="15" hidden="false" customHeight="false" outlineLevel="0" collapsed="false">
      <c r="A976" s="4" t="n">
        <v>973</v>
      </c>
      <c r="B976" s="4" t="s">
        <v>101</v>
      </c>
      <c r="C976" s="4" t="s">
        <v>5235</v>
      </c>
      <c r="D976" s="4" t="s">
        <v>4295</v>
      </c>
    </row>
    <row r="977" customFormat="false" ht="15" hidden="false" customHeight="false" outlineLevel="0" collapsed="false">
      <c r="A977" s="4" t="n">
        <v>974</v>
      </c>
      <c r="B977" s="4" t="s">
        <v>100</v>
      </c>
      <c r="C977" s="4" t="s">
        <v>5236</v>
      </c>
      <c r="D977" s="4" t="s">
        <v>4295</v>
      </c>
    </row>
    <row r="978" customFormat="false" ht="15" hidden="false" customHeight="false" outlineLevel="0" collapsed="false">
      <c r="A978" s="4" t="n">
        <v>975</v>
      </c>
      <c r="B978" s="4" t="s">
        <v>102</v>
      </c>
      <c r="C978" s="4" t="s">
        <v>5237</v>
      </c>
      <c r="D978" s="4" t="s">
        <v>4295</v>
      </c>
    </row>
    <row r="979" customFormat="false" ht="15" hidden="false" customHeight="false" outlineLevel="0" collapsed="false">
      <c r="A979" s="4" t="n">
        <v>976</v>
      </c>
      <c r="B979" s="4" t="s">
        <v>101</v>
      </c>
      <c r="C979" s="4" t="s">
        <v>5238</v>
      </c>
      <c r="D979" s="4" t="s">
        <v>4295</v>
      </c>
    </row>
    <row r="980" customFormat="false" ht="15" hidden="false" customHeight="false" outlineLevel="0" collapsed="false">
      <c r="A980" s="4" t="n">
        <v>977</v>
      </c>
      <c r="B980" s="4" t="s">
        <v>103</v>
      </c>
      <c r="C980" s="4" t="s">
        <v>5239</v>
      </c>
      <c r="D980" s="4" t="s">
        <v>4356</v>
      </c>
    </row>
    <row r="981" customFormat="false" ht="15" hidden="false" customHeight="false" outlineLevel="0" collapsed="false">
      <c r="A981" s="4" t="n">
        <v>978</v>
      </c>
      <c r="B981" s="4" t="s">
        <v>103</v>
      </c>
      <c r="C981" s="4" t="s">
        <v>5239</v>
      </c>
      <c r="D981" s="4" t="s">
        <v>4356</v>
      </c>
    </row>
    <row r="982" customFormat="false" ht="15" hidden="false" customHeight="false" outlineLevel="0" collapsed="false">
      <c r="A982" s="4" t="n">
        <v>979</v>
      </c>
      <c r="B982" s="4" t="s">
        <v>103</v>
      </c>
      <c r="C982" s="4" t="s">
        <v>5239</v>
      </c>
      <c r="D982" s="4" t="s">
        <v>4295</v>
      </c>
    </row>
    <row r="983" customFormat="false" ht="15" hidden="false" customHeight="false" outlineLevel="0" collapsed="false">
      <c r="A983" s="4" t="n">
        <v>980</v>
      </c>
      <c r="B983" s="4" t="s">
        <v>100</v>
      </c>
      <c r="C983" s="4" t="s">
        <v>5240</v>
      </c>
      <c r="D983" s="4" t="s">
        <v>4295</v>
      </c>
    </row>
    <row r="984" customFormat="false" ht="15" hidden="false" customHeight="false" outlineLevel="0" collapsed="false">
      <c r="A984" s="4" t="n">
        <v>981</v>
      </c>
      <c r="B984" s="4" t="s">
        <v>99</v>
      </c>
      <c r="C984" s="4" t="s">
        <v>5241</v>
      </c>
      <c r="D984" s="4" t="s">
        <v>4295</v>
      </c>
    </row>
    <row r="985" customFormat="false" ht="15" hidden="false" customHeight="false" outlineLevel="0" collapsed="false">
      <c r="A985" s="4" t="n">
        <v>982</v>
      </c>
      <c r="B985" s="4" t="s">
        <v>101</v>
      </c>
      <c r="C985" s="4" t="s">
        <v>5242</v>
      </c>
      <c r="D985" s="4" t="s">
        <v>4295</v>
      </c>
    </row>
    <row r="986" customFormat="false" ht="15" hidden="false" customHeight="false" outlineLevel="0" collapsed="false">
      <c r="A986" s="4" t="n">
        <v>983</v>
      </c>
      <c r="B986" s="4" t="s">
        <v>104</v>
      </c>
      <c r="C986" s="4" t="s">
        <v>5243</v>
      </c>
      <c r="D986" s="4" t="s">
        <v>4295</v>
      </c>
    </row>
    <row r="987" customFormat="false" ht="15" hidden="false" customHeight="false" outlineLevel="0" collapsed="false">
      <c r="A987" s="4" t="n">
        <v>984</v>
      </c>
      <c r="B987" s="4" t="s">
        <v>102</v>
      </c>
      <c r="C987" s="4" t="s">
        <v>5244</v>
      </c>
      <c r="D987" s="4" t="s">
        <v>4295</v>
      </c>
    </row>
    <row r="988" customFormat="false" ht="15" hidden="false" customHeight="false" outlineLevel="0" collapsed="false">
      <c r="A988" s="4" t="n">
        <v>985</v>
      </c>
      <c r="B988" s="4" t="s">
        <v>100</v>
      </c>
      <c r="C988" s="4" t="s">
        <v>5245</v>
      </c>
      <c r="D988" s="4" t="s">
        <v>4295</v>
      </c>
    </row>
    <row r="989" customFormat="false" ht="15" hidden="false" customHeight="false" outlineLevel="0" collapsed="false">
      <c r="A989" s="4" t="n">
        <v>986</v>
      </c>
      <c r="B989" s="4" t="s">
        <v>103</v>
      </c>
      <c r="C989" s="4" t="s">
        <v>5246</v>
      </c>
      <c r="D989" s="4" t="s">
        <v>4295</v>
      </c>
    </row>
    <row r="990" customFormat="false" ht="15" hidden="false" customHeight="false" outlineLevel="0" collapsed="false">
      <c r="A990" s="4" t="n">
        <v>987</v>
      </c>
      <c r="B990" s="4" t="s">
        <v>101</v>
      </c>
      <c r="C990" s="4" t="s">
        <v>5247</v>
      </c>
      <c r="D990" s="4" t="s">
        <v>4295</v>
      </c>
    </row>
    <row r="991" customFormat="false" ht="15" hidden="false" customHeight="false" outlineLevel="0" collapsed="false">
      <c r="A991" s="4" t="n">
        <v>988</v>
      </c>
      <c r="B991" s="4" t="s">
        <v>100</v>
      </c>
      <c r="C991" s="4" t="s">
        <v>5248</v>
      </c>
      <c r="D991" s="4" t="s">
        <v>4295</v>
      </c>
    </row>
    <row r="992" customFormat="false" ht="15" hidden="false" customHeight="false" outlineLevel="0" collapsed="false">
      <c r="A992" s="4" t="n">
        <v>989</v>
      </c>
      <c r="B992" s="4" t="s">
        <v>102</v>
      </c>
      <c r="C992" s="4" t="s">
        <v>5249</v>
      </c>
      <c r="D992" s="4" t="s">
        <v>4295</v>
      </c>
    </row>
    <row r="993" customFormat="false" ht="15" hidden="false" customHeight="false" outlineLevel="0" collapsed="false">
      <c r="A993" s="4" t="n">
        <v>990</v>
      </c>
      <c r="B993" s="4" t="s">
        <v>101</v>
      </c>
      <c r="C993" s="4" t="s">
        <v>5250</v>
      </c>
      <c r="D993" s="4" t="s">
        <v>4295</v>
      </c>
    </row>
    <row r="994" customFormat="false" ht="15" hidden="false" customHeight="false" outlineLevel="0" collapsed="false">
      <c r="A994" s="4" t="n">
        <v>991</v>
      </c>
      <c r="B994" s="4" t="s">
        <v>103</v>
      </c>
      <c r="C994" s="4" t="s">
        <v>5251</v>
      </c>
      <c r="D994" s="4" t="s">
        <v>4295</v>
      </c>
    </row>
    <row r="995" customFormat="false" ht="15" hidden="false" customHeight="false" outlineLevel="0" collapsed="false">
      <c r="A995" s="4" t="n">
        <v>992</v>
      </c>
      <c r="B995" s="4" t="s">
        <v>100</v>
      </c>
      <c r="C995" s="4" t="s">
        <v>5252</v>
      </c>
      <c r="D995" s="4" t="s">
        <v>4295</v>
      </c>
    </row>
    <row r="996" customFormat="false" ht="15" hidden="false" customHeight="false" outlineLevel="0" collapsed="false">
      <c r="A996" s="4" t="n">
        <v>993</v>
      </c>
      <c r="B996" s="4" t="s">
        <v>101</v>
      </c>
      <c r="C996" s="4" t="s">
        <v>5253</v>
      </c>
      <c r="D996" s="4" t="s">
        <v>4295</v>
      </c>
    </row>
    <row r="997" customFormat="false" ht="15" hidden="false" customHeight="false" outlineLevel="0" collapsed="false">
      <c r="A997" s="4" t="n">
        <v>994</v>
      </c>
      <c r="B997" s="4" t="s">
        <v>104</v>
      </c>
      <c r="C997" s="4" t="s">
        <v>5254</v>
      </c>
      <c r="D997" s="4" t="s">
        <v>4295</v>
      </c>
    </row>
    <row r="998" customFormat="false" ht="15" hidden="false" customHeight="false" outlineLevel="0" collapsed="false">
      <c r="A998" s="4" t="n">
        <v>995</v>
      </c>
      <c r="B998" s="4" t="s">
        <v>102</v>
      </c>
      <c r="C998" s="4" t="s">
        <v>5255</v>
      </c>
      <c r="D998" s="4" t="s">
        <v>4295</v>
      </c>
    </row>
    <row r="999" customFormat="false" ht="15" hidden="false" customHeight="false" outlineLevel="0" collapsed="false">
      <c r="A999" s="4" t="n">
        <v>996</v>
      </c>
      <c r="B999" s="4" t="s">
        <v>100</v>
      </c>
      <c r="C999" s="4" t="s">
        <v>5256</v>
      </c>
      <c r="D999" s="4" t="s">
        <v>4295</v>
      </c>
    </row>
    <row r="1000" customFormat="false" ht="15" hidden="false" customHeight="false" outlineLevel="0" collapsed="false">
      <c r="A1000" s="4" t="n">
        <v>997</v>
      </c>
      <c r="B1000" s="4" t="s">
        <v>103</v>
      </c>
      <c r="C1000" s="4" t="s">
        <v>5257</v>
      </c>
      <c r="D1000" s="4" t="s">
        <v>4356</v>
      </c>
    </row>
    <row r="1001" customFormat="false" ht="15" hidden="false" customHeight="false" outlineLevel="0" collapsed="false">
      <c r="A1001" s="4" t="n">
        <v>998</v>
      </c>
      <c r="B1001" s="4" t="s">
        <v>103</v>
      </c>
      <c r="C1001" s="4" t="s">
        <v>5257</v>
      </c>
      <c r="D1001" s="4" t="s">
        <v>4295</v>
      </c>
    </row>
    <row r="1002" customFormat="false" ht="15" hidden="false" customHeight="false" outlineLevel="0" collapsed="false">
      <c r="A1002" s="4" t="n">
        <v>999</v>
      </c>
      <c r="B1002" s="4" t="s">
        <v>101</v>
      </c>
      <c r="C1002" s="4" t="s">
        <v>5258</v>
      </c>
      <c r="D1002" s="4" t="s">
        <v>4295</v>
      </c>
    </row>
    <row r="1003" customFormat="false" ht="15" hidden="false" customHeight="false" outlineLevel="0" collapsed="false">
      <c r="A1003" s="4" t="n">
        <v>1000</v>
      </c>
      <c r="B1003" s="4" t="s">
        <v>100</v>
      </c>
      <c r="C1003" s="4" t="s">
        <v>5259</v>
      </c>
      <c r="D1003" s="4" t="s">
        <v>4295</v>
      </c>
    </row>
    <row r="1004" customFormat="false" ht="15" hidden="false" customHeight="false" outlineLevel="0" collapsed="false">
      <c r="A1004" s="4" t="n">
        <v>1001</v>
      </c>
      <c r="B1004" s="4" t="s">
        <v>102</v>
      </c>
      <c r="C1004" s="4" t="s">
        <v>5260</v>
      </c>
      <c r="D1004" s="4" t="s">
        <v>4295</v>
      </c>
    </row>
    <row r="1005" customFormat="false" ht="15" hidden="false" customHeight="false" outlineLevel="0" collapsed="false">
      <c r="A1005" s="4" t="n">
        <v>1002</v>
      </c>
      <c r="B1005" s="4" t="s">
        <v>101</v>
      </c>
      <c r="C1005" s="4" t="s">
        <v>5261</v>
      </c>
      <c r="D1005" s="4" t="s">
        <v>4295</v>
      </c>
    </row>
    <row r="1006" customFormat="false" ht="15" hidden="false" customHeight="false" outlineLevel="0" collapsed="false">
      <c r="A1006" s="4" t="n">
        <v>1003</v>
      </c>
      <c r="B1006" s="4" t="s">
        <v>103</v>
      </c>
      <c r="C1006" s="4" t="s">
        <v>5262</v>
      </c>
      <c r="D1006" s="4" t="s">
        <v>4295</v>
      </c>
    </row>
    <row r="1007" customFormat="false" ht="15" hidden="false" customHeight="false" outlineLevel="0" collapsed="false">
      <c r="A1007" s="4" t="n">
        <v>1004</v>
      </c>
      <c r="B1007" s="4" t="s">
        <v>100</v>
      </c>
      <c r="C1007" s="4" t="s">
        <v>5263</v>
      </c>
      <c r="D1007" s="4" t="s">
        <v>4295</v>
      </c>
    </row>
    <row r="1008" customFormat="false" ht="15" hidden="false" customHeight="false" outlineLevel="0" collapsed="false">
      <c r="A1008" s="4" t="n">
        <v>1005</v>
      </c>
      <c r="B1008" s="4" t="s">
        <v>99</v>
      </c>
      <c r="C1008" s="4" t="s">
        <v>5264</v>
      </c>
      <c r="D1008" s="4" t="s">
        <v>4295</v>
      </c>
    </row>
    <row r="1009" customFormat="false" ht="15" hidden="false" customHeight="false" outlineLevel="0" collapsed="false">
      <c r="A1009" s="4" t="n">
        <v>1006</v>
      </c>
      <c r="B1009" s="4" t="s">
        <v>101</v>
      </c>
      <c r="C1009" s="4" t="s">
        <v>5265</v>
      </c>
      <c r="D1009" s="4" t="s">
        <v>4295</v>
      </c>
    </row>
    <row r="1010" customFormat="false" ht="15" hidden="false" customHeight="false" outlineLevel="0" collapsed="false">
      <c r="A1010" s="4" t="n">
        <v>1007</v>
      </c>
      <c r="B1010" s="4" t="s">
        <v>104</v>
      </c>
      <c r="C1010" s="4" t="s">
        <v>5266</v>
      </c>
      <c r="D1010" s="4" t="s">
        <v>4295</v>
      </c>
    </row>
    <row r="1011" customFormat="false" ht="15" hidden="false" customHeight="false" outlineLevel="0" collapsed="false">
      <c r="A1011" s="4" t="n">
        <v>1008</v>
      </c>
      <c r="B1011" s="4" t="s">
        <v>102</v>
      </c>
      <c r="C1011" s="4" t="s">
        <v>5267</v>
      </c>
      <c r="D1011" s="4" t="s">
        <v>4295</v>
      </c>
    </row>
    <row r="1012" customFormat="false" ht="15" hidden="false" customHeight="false" outlineLevel="0" collapsed="false">
      <c r="A1012" s="4" t="n">
        <v>1009</v>
      </c>
      <c r="B1012" s="4" t="s">
        <v>100</v>
      </c>
      <c r="C1012" s="4" t="s">
        <v>5268</v>
      </c>
      <c r="D1012" s="4" t="s">
        <v>4295</v>
      </c>
    </row>
    <row r="1013" customFormat="false" ht="15" hidden="false" customHeight="false" outlineLevel="0" collapsed="false">
      <c r="A1013" s="4" t="n">
        <v>1010</v>
      </c>
      <c r="B1013" s="4" t="s">
        <v>103</v>
      </c>
      <c r="C1013" s="4" t="s">
        <v>5269</v>
      </c>
      <c r="D1013" s="4" t="s">
        <v>4295</v>
      </c>
    </row>
    <row r="1014" customFormat="false" ht="15" hidden="false" customHeight="false" outlineLevel="0" collapsed="false">
      <c r="A1014" s="4" t="n">
        <v>1011</v>
      </c>
      <c r="B1014" s="4" t="s">
        <v>101</v>
      </c>
      <c r="C1014" s="4" t="s">
        <v>5270</v>
      </c>
      <c r="D1014" s="4" t="s">
        <v>4295</v>
      </c>
    </row>
    <row r="1015" customFormat="false" ht="15" hidden="false" customHeight="false" outlineLevel="0" collapsed="false">
      <c r="A1015" s="4" t="n">
        <v>1012</v>
      </c>
      <c r="B1015" s="4" t="s">
        <v>100</v>
      </c>
      <c r="C1015" s="4" t="s">
        <v>5271</v>
      </c>
      <c r="D1015" s="4" t="s">
        <v>4295</v>
      </c>
    </row>
    <row r="1016" customFormat="false" ht="15" hidden="false" customHeight="false" outlineLevel="0" collapsed="false">
      <c r="A1016" s="4" t="n">
        <v>1013</v>
      </c>
      <c r="B1016" s="4" t="s">
        <v>102</v>
      </c>
      <c r="C1016" s="4" t="s">
        <v>5272</v>
      </c>
      <c r="D1016" s="4" t="s">
        <v>4295</v>
      </c>
    </row>
    <row r="1017" customFormat="false" ht="15" hidden="false" customHeight="false" outlineLevel="0" collapsed="false">
      <c r="A1017" s="4" t="n">
        <v>1014</v>
      </c>
      <c r="B1017" s="4" t="s">
        <v>102</v>
      </c>
      <c r="C1017" s="4" t="s">
        <v>5273</v>
      </c>
      <c r="D1017" s="4" t="s">
        <v>4462</v>
      </c>
    </row>
    <row r="1018" customFormat="false" ht="15" hidden="false" customHeight="false" outlineLevel="0" collapsed="false">
      <c r="A1018" s="4" t="n">
        <v>1015</v>
      </c>
      <c r="B1018" s="4" t="s">
        <v>101</v>
      </c>
      <c r="C1018" s="4" t="s">
        <v>5274</v>
      </c>
      <c r="D1018" s="4" t="s">
        <v>4295</v>
      </c>
    </row>
    <row r="1019" customFormat="false" ht="15" hidden="false" customHeight="false" outlineLevel="0" collapsed="false">
      <c r="A1019" s="4" t="n">
        <v>1016</v>
      </c>
      <c r="B1019" s="4" t="s">
        <v>103</v>
      </c>
      <c r="C1019" s="4" t="s">
        <v>5275</v>
      </c>
      <c r="D1019" s="4" t="s">
        <v>4295</v>
      </c>
    </row>
    <row r="1020" customFormat="false" ht="15" hidden="false" customHeight="false" outlineLevel="0" collapsed="false">
      <c r="A1020" s="4" t="n">
        <v>1017</v>
      </c>
      <c r="B1020" s="4" t="s">
        <v>100</v>
      </c>
      <c r="C1020" s="4" t="s">
        <v>5276</v>
      </c>
      <c r="D1020" s="4" t="s">
        <v>4295</v>
      </c>
    </row>
    <row r="1021" customFormat="false" ht="15" hidden="false" customHeight="false" outlineLevel="0" collapsed="false">
      <c r="A1021" s="4" t="n">
        <v>1018</v>
      </c>
      <c r="B1021" s="4" t="s">
        <v>101</v>
      </c>
      <c r="C1021" s="4" t="s">
        <v>5277</v>
      </c>
      <c r="D1021" s="4" t="s">
        <v>4295</v>
      </c>
    </row>
    <row r="1022" customFormat="false" ht="15" hidden="false" customHeight="false" outlineLevel="0" collapsed="false">
      <c r="A1022" s="4" t="n">
        <v>1019</v>
      </c>
      <c r="B1022" s="4" t="s">
        <v>104</v>
      </c>
      <c r="C1022" s="4" t="s">
        <v>5278</v>
      </c>
      <c r="D1022" s="4" t="s">
        <v>4295</v>
      </c>
    </row>
    <row r="1023" customFormat="false" ht="15" hidden="false" customHeight="false" outlineLevel="0" collapsed="false">
      <c r="A1023" s="4" t="n">
        <v>1020</v>
      </c>
      <c r="B1023" s="4" t="s">
        <v>102</v>
      </c>
      <c r="C1023" s="4" t="s">
        <v>5279</v>
      </c>
      <c r="D1023" s="4" t="s">
        <v>4295</v>
      </c>
    </row>
    <row r="1024" customFormat="false" ht="15" hidden="false" customHeight="false" outlineLevel="0" collapsed="false">
      <c r="A1024" s="4" t="n">
        <v>1021</v>
      </c>
      <c r="B1024" s="4" t="s">
        <v>100</v>
      </c>
      <c r="C1024" s="4" t="s">
        <v>5280</v>
      </c>
      <c r="D1024" s="4" t="s">
        <v>4295</v>
      </c>
    </row>
    <row r="1025" customFormat="false" ht="15" hidden="false" customHeight="false" outlineLevel="0" collapsed="false">
      <c r="A1025" s="4" t="n">
        <v>1022</v>
      </c>
      <c r="B1025" s="4" t="s">
        <v>103</v>
      </c>
      <c r="C1025" s="4" t="s">
        <v>5281</v>
      </c>
      <c r="D1025" s="4" t="s">
        <v>4295</v>
      </c>
    </row>
    <row r="1026" customFormat="false" ht="15" hidden="false" customHeight="false" outlineLevel="0" collapsed="false">
      <c r="A1026" s="4" t="n">
        <v>1023</v>
      </c>
      <c r="B1026" s="4" t="s">
        <v>101</v>
      </c>
      <c r="C1026" s="4" t="s">
        <v>5282</v>
      </c>
      <c r="D1026" s="4" t="s">
        <v>4295</v>
      </c>
    </row>
    <row r="1027" customFormat="false" ht="15" hidden="false" customHeight="false" outlineLevel="0" collapsed="false">
      <c r="A1027" s="4" t="n">
        <v>1024</v>
      </c>
      <c r="B1027" s="4" t="s">
        <v>100</v>
      </c>
      <c r="C1027" s="4" t="s">
        <v>5283</v>
      </c>
      <c r="D1027" s="4" t="s">
        <v>4295</v>
      </c>
    </row>
    <row r="1028" customFormat="false" ht="15" hidden="false" customHeight="false" outlineLevel="0" collapsed="false">
      <c r="A1028" s="4" t="n">
        <v>1025</v>
      </c>
      <c r="B1028" s="4" t="s">
        <v>102</v>
      </c>
      <c r="C1028" s="4" t="s">
        <v>5284</v>
      </c>
      <c r="D1028" s="4" t="s">
        <v>4295</v>
      </c>
    </row>
    <row r="1029" customFormat="false" ht="15" hidden="false" customHeight="false" outlineLevel="0" collapsed="false">
      <c r="A1029" s="4" t="n">
        <v>1026</v>
      </c>
      <c r="B1029" s="4" t="s">
        <v>101</v>
      </c>
      <c r="C1029" s="4" t="s">
        <v>5285</v>
      </c>
      <c r="D1029" s="4" t="s">
        <v>4295</v>
      </c>
    </row>
    <row r="1030" customFormat="false" ht="15" hidden="false" customHeight="false" outlineLevel="0" collapsed="false">
      <c r="A1030" s="4" t="n">
        <v>1027</v>
      </c>
      <c r="B1030" s="4" t="s">
        <v>103</v>
      </c>
      <c r="C1030" s="4" t="s">
        <v>5286</v>
      </c>
      <c r="D1030" s="4" t="s">
        <v>4295</v>
      </c>
    </row>
    <row r="1031" customFormat="false" ht="15" hidden="false" customHeight="false" outlineLevel="0" collapsed="false">
      <c r="A1031" s="4" t="n">
        <v>1028</v>
      </c>
      <c r="B1031" s="4" t="s">
        <v>100</v>
      </c>
      <c r="C1031" s="4" t="s">
        <v>5287</v>
      </c>
      <c r="D1031" s="4" t="s">
        <v>4295</v>
      </c>
    </row>
    <row r="1032" customFormat="false" ht="15" hidden="false" customHeight="false" outlineLevel="0" collapsed="false">
      <c r="A1032" s="4" t="n">
        <v>1029</v>
      </c>
      <c r="B1032" s="4" t="s">
        <v>99</v>
      </c>
      <c r="C1032" s="4" t="s">
        <v>5288</v>
      </c>
      <c r="D1032" s="4" t="s">
        <v>4295</v>
      </c>
    </row>
    <row r="1033" customFormat="false" ht="15" hidden="false" customHeight="false" outlineLevel="0" collapsed="false">
      <c r="A1033" s="4" t="n">
        <v>1030</v>
      </c>
      <c r="B1033" s="4" t="s">
        <v>101</v>
      </c>
      <c r="C1033" s="4" t="s">
        <v>5289</v>
      </c>
      <c r="D1033" s="4" t="s">
        <v>4295</v>
      </c>
    </row>
    <row r="1034" customFormat="false" ht="15" hidden="false" customHeight="false" outlineLevel="0" collapsed="false">
      <c r="A1034" s="4" t="n">
        <v>1031</v>
      </c>
      <c r="B1034" s="4" t="s">
        <v>104</v>
      </c>
      <c r="C1034" s="4" t="s">
        <v>5290</v>
      </c>
      <c r="D1034" s="4" t="s">
        <v>4295</v>
      </c>
    </row>
    <row r="1035" customFormat="false" ht="15" hidden="false" customHeight="false" outlineLevel="0" collapsed="false">
      <c r="A1035" s="4" t="n">
        <v>1032</v>
      </c>
      <c r="B1035" s="4" t="s">
        <v>102</v>
      </c>
      <c r="C1035" s="4" t="s">
        <v>5291</v>
      </c>
      <c r="D1035" s="4" t="s">
        <v>4295</v>
      </c>
    </row>
    <row r="1036" customFormat="false" ht="15" hidden="false" customHeight="false" outlineLevel="0" collapsed="false">
      <c r="A1036" s="4" t="n">
        <v>1033</v>
      </c>
      <c r="B1036" s="4" t="s">
        <v>100</v>
      </c>
      <c r="C1036" s="4" t="s">
        <v>5292</v>
      </c>
      <c r="D1036" s="4" t="s">
        <v>4295</v>
      </c>
    </row>
    <row r="1037" customFormat="false" ht="15" hidden="false" customHeight="false" outlineLevel="0" collapsed="false">
      <c r="A1037" s="4" t="n">
        <v>1034</v>
      </c>
      <c r="B1037" s="4" t="s">
        <v>103</v>
      </c>
      <c r="C1037" s="4" t="s">
        <v>5293</v>
      </c>
      <c r="D1037" s="4" t="s">
        <v>4295</v>
      </c>
    </row>
    <row r="1038" customFormat="false" ht="15" hidden="false" customHeight="false" outlineLevel="0" collapsed="false">
      <c r="A1038" s="4" t="n">
        <v>1035</v>
      </c>
      <c r="B1038" s="4" t="s">
        <v>101</v>
      </c>
      <c r="C1038" s="4" t="s">
        <v>5294</v>
      </c>
      <c r="D1038" s="4" t="s">
        <v>4295</v>
      </c>
    </row>
    <row r="1039" customFormat="false" ht="15" hidden="false" customHeight="false" outlineLevel="0" collapsed="false">
      <c r="A1039" s="4" t="n">
        <v>1036</v>
      </c>
      <c r="B1039" s="4" t="s">
        <v>100</v>
      </c>
      <c r="C1039" s="4" t="s">
        <v>5295</v>
      </c>
      <c r="D1039" s="4" t="s">
        <v>4295</v>
      </c>
    </row>
    <row r="1040" customFormat="false" ht="15" hidden="false" customHeight="false" outlineLevel="0" collapsed="false">
      <c r="A1040" s="4" t="n">
        <v>1037</v>
      </c>
      <c r="B1040" s="4" t="s">
        <v>102</v>
      </c>
      <c r="C1040" s="4" t="s">
        <v>5296</v>
      </c>
      <c r="D1040" s="4" t="s">
        <v>4295</v>
      </c>
    </row>
    <row r="1041" customFormat="false" ht="15" hidden="false" customHeight="false" outlineLevel="0" collapsed="false">
      <c r="A1041" s="4" t="n">
        <v>1038</v>
      </c>
      <c r="B1041" s="4" t="s">
        <v>99</v>
      </c>
      <c r="C1041" s="4" t="s">
        <v>5297</v>
      </c>
      <c r="D1041" s="4" t="s">
        <v>4462</v>
      </c>
    </row>
    <row r="1042" customFormat="false" ht="15" hidden="false" customHeight="false" outlineLevel="0" collapsed="false">
      <c r="A1042" s="4" t="n">
        <v>1039</v>
      </c>
      <c r="B1042" s="4" t="s">
        <v>101</v>
      </c>
      <c r="C1042" s="4" t="s">
        <v>5298</v>
      </c>
      <c r="D1042" s="4" t="s">
        <v>4295</v>
      </c>
    </row>
    <row r="1043" customFormat="false" ht="15" hidden="false" customHeight="false" outlineLevel="0" collapsed="false">
      <c r="A1043" s="4" t="n">
        <v>1040</v>
      </c>
      <c r="B1043" s="4" t="s">
        <v>103</v>
      </c>
      <c r="C1043" s="4" t="s">
        <v>5299</v>
      </c>
      <c r="D1043" s="4" t="s">
        <v>4295</v>
      </c>
    </row>
    <row r="1044" customFormat="false" ht="15" hidden="false" customHeight="false" outlineLevel="0" collapsed="false">
      <c r="A1044" s="4" t="n">
        <v>1041</v>
      </c>
      <c r="B1044" s="4" t="s">
        <v>100</v>
      </c>
      <c r="C1044" s="4" t="s">
        <v>5300</v>
      </c>
      <c r="D1044" s="4" t="s">
        <v>4295</v>
      </c>
    </row>
    <row r="1045" customFormat="false" ht="15" hidden="false" customHeight="false" outlineLevel="0" collapsed="false">
      <c r="A1045" s="4" t="n">
        <v>1042</v>
      </c>
      <c r="B1045" s="4" t="s">
        <v>101</v>
      </c>
      <c r="C1045" s="4" t="s">
        <v>5301</v>
      </c>
      <c r="D1045" s="4" t="s">
        <v>4295</v>
      </c>
    </row>
    <row r="1046" customFormat="false" ht="15" hidden="false" customHeight="false" outlineLevel="0" collapsed="false">
      <c r="A1046" s="4" t="n">
        <v>1043</v>
      </c>
      <c r="B1046" s="4" t="s">
        <v>104</v>
      </c>
      <c r="C1046" s="4" t="s">
        <v>5302</v>
      </c>
      <c r="D1046" s="4" t="s">
        <v>4295</v>
      </c>
    </row>
    <row r="1047" customFormat="false" ht="15" hidden="false" customHeight="false" outlineLevel="0" collapsed="false">
      <c r="A1047" s="4" t="n">
        <v>1044</v>
      </c>
      <c r="B1047" s="4" t="s">
        <v>102</v>
      </c>
      <c r="C1047" s="4" t="s">
        <v>5303</v>
      </c>
      <c r="D1047" s="4" t="s">
        <v>4295</v>
      </c>
    </row>
    <row r="1048" customFormat="false" ht="15" hidden="false" customHeight="false" outlineLevel="0" collapsed="false">
      <c r="A1048" s="4" t="n">
        <v>1045</v>
      </c>
      <c r="B1048" s="4" t="s">
        <v>100</v>
      </c>
      <c r="C1048" s="4" t="s">
        <v>5304</v>
      </c>
      <c r="D1048" s="4" t="s">
        <v>4295</v>
      </c>
    </row>
    <row r="1049" customFormat="false" ht="15" hidden="false" customHeight="false" outlineLevel="0" collapsed="false">
      <c r="A1049" s="4" t="n">
        <v>1046</v>
      </c>
      <c r="B1049" s="4" t="s">
        <v>103</v>
      </c>
      <c r="C1049" s="4" t="s">
        <v>5305</v>
      </c>
      <c r="D1049" s="4" t="s">
        <v>4295</v>
      </c>
    </row>
    <row r="1050" customFormat="false" ht="15" hidden="false" customHeight="false" outlineLevel="0" collapsed="false">
      <c r="A1050" s="4" t="n">
        <v>1047</v>
      </c>
      <c r="B1050" s="4" t="s">
        <v>101</v>
      </c>
      <c r="C1050" s="4" t="s">
        <v>5306</v>
      </c>
      <c r="D1050" s="4" t="s">
        <v>4295</v>
      </c>
    </row>
    <row r="1051" customFormat="false" ht="15" hidden="false" customHeight="false" outlineLevel="0" collapsed="false">
      <c r="A1051" s="4" t="n">
        <v>1048</v>
      </c>
      <c r="B1051" s="4" t="s">
        <v>100</v>
      </c>
      <c r="C1051" s="4" t="s">
        <v>5307</v>
      </c>
      <c r="D1051" s="4" t="s">
        <v>4295</v>
      </c>
    </row>
    <row r="1052" customFormat="false" ht="15" hidden="false" customHeight="false" outlineLevel="0" collapsed="false">
      <c r="A1052" s="4" t="n">
        <v>1049</v>
      </c>
      <c r="B1052" s="4" t="s">
        <v>102</v>
      </c>
      <c r="C1052" s="4" t="s">
        <v>5308</v>
      </c>
      <c r="D1052" s="4" t="s">
        <v>4295</v>
      </c>
    </row>
    <row r="1053" customFormat="false" ht="15" hidden="false" customHeight="false" outlineLevel="0" collapsed="false">
      <c r="A1053" s="4" t="n">
        <v>1050</v>
      </c>
      <c r="B1053" s="4" t="s">
        <v>101</v>
      </c>
      <c r="C1053" s="4" t="s">
        <v>5309</v>
      </c>
      <c r="D1053" s="4" t="s">
        <v>4295</v>
      </c>
    </row>
    <row r="1054" customFormat="false" ht="15" hidden="false" customHeight="false" outlineLevel="0" collapsed="false">
      <c r="A1054" s="4" t="n">
        <v>1051</v>
      </c>
      <c r="B1054" s="4" t="s">
        <v>103</v>
      </c>
      <c r="C1054" s="4" t="s">
        <v>5310</v>
      </c>
      <c r="D1054" s="4" t="s">
        <v>4295</v>
      </c>
    </row>
    <row r="1055" customFormat="false" ht="15" hidden="false" customHeight="false" outlineLevel="0" collapsed="false">
      <c r="A1055" s="4" t="n">
        <v>1052</v>
      </c>
      <c r="B1055" s="4" t="s">
        <v>100</v>
      </c>
      <c r="C1055" s="4" t="s">
        <v>5311</v>
      </c>
      <c r="D1055" s="4" t="s">
        <v>4295</v>
      </c>
    </row>
    <row r="1056" customFormat="false" ht="15" hidden="false" customHeight="false" outlineLevel="0" collapsed="false">
      <c r="A1056" s="4" t="n">
        <v>1053</v>
      </c>
      <c r="B1056" s="4" t="s">
        <v>99</v>
      </c>
      <c r="C1056" s="4" t="s">
        <v>5312</v>
      </c>
      <c r="D1056" s="4" t="s">
        <v>4462</v>
      </c>
    </row>
    <row r="1057" customFormat="false" ht="15" hidden="false" customHeight="false" outlineLevel="0" collapsed="false">
      <c r="A1057" s="4" t="n">
        <v>1054</v>
      </c>
      <c r="B1057" s="4" t="s">
        <v>101</v>
      </c>
      <c r="C1057" s="4" t="s">
        <v>5313</v>
      </c>
      <c r="D1057" s="4" t="s">
        <v>4295</v>
      </c>
    </row>
    <row r="1058" customFormat="false" ht="15" hidden="false" customHeight="false" outlineLevel="0" collapsed="false">
      <c r="A1058" s="4" t="n">
        <v>1055</v>
      </c>
      <c r="B1058" s="4" t="s">
        <v>104</v>
      </c>
      <c r="C1058" s="4" t="s">
        <v>5314</v>
      </c>
      <c r="D1058" s="4" t="s">
        <v>4295</v>
      </c>
    </row>
    <row r="1059" customFormat="false" ht="15" hidden="false" customHeight="false" outlineLevel="0" collapsed="false">
      <c r="A1059" s="4" t="n">
        <v>1056</v>
      </c>
      <c r="B1059" s="4" t="s">
        <v>102</v>
      </c>
      <c r="C1059" s="4" t="s">
        <v>5315</v>
      </c>
      <c r="D1059" s="4" t="s">
        <v>4295</v>
      </c>
    </row>
    <row r="1060" customFormat="false" ht="15" hidden="false" customHeight="false" outlineLevel="0" collapsed="false">
      <c r="A1060" s="4" t="n">
        <v>1057</v>
      </c>
      <c r="B1060" s="4" t="s">
        <v>100</v>
      </c>
      <c r="C1060" s="4" t="s">
        <v>5316</v>
      </c>
      <c r="D1060" s="4" t="s">
        <v>4295</v>
      </c>
    </row>
    <row r="1061" customFormat="false" ht="15" hidden="false" customHeight="false" outlineLevel="0" collapsed="false">
      <c r="A1061" s="4" t="n">
        <v>1058</v>
      </c>
      <c r="B1061" s="4" t="s">
        <v>103</v>
      </c>
      <c r="C1061" s="4" t="s">
        <v>5317</v>
      </c>
      <c r="D1061" s="4" t="s">
        <v>4295</v>
      </c>
    </row>
    <row r="1062" customFormat="false" ht="15" hidden="false" customHeight="false" outlineLevel="0" collapsed="false">
      <c r="A1062" s="4" t="n">
        <v>1059</v>
      </c>
      <c r="B1062" s="4" t="s">
        <v>101</v>
      </c>
      <c r="C1062" s="4" t="s">
        <v>5318</v>
      </c>
      <c r="D1062" s="4" t="s">
        <v>4295</v>
      </c>
    </row>
    <row r="1063" customFormat="false" ht="15" hidden="false" customHeight="false" outlineLevel="0" collapsed="false">
      <c r="A1063" s="4" t="n">
        <v>1060</v>
      </c>
      <c r="B1063" s="4" t="s">
        <v>100</v>
      </c>
      <c r="C1063" s="4" t="s">
        <v>5319</v>
      </c>
      <c r="D1063" s="4" t="s">
        <v>4295</v>
      </c>
    </row>
    <row r="1064" customFormat="false" ht="15" hidden="false" customHeight="false" outlineLevel="0" collapsed="false">
      <c r="A1064" s="4" t="n">
        <v>1061</v>
      </c>
      <c r="B1064" s="4" t="s">
        <v>102</v>
      </c>
      <c r="C1064" s="4" t="s">
        <v>5320</v>
      </c>
      <c r="D1064" s="4" t="s">
        <v>4295</v>
      </c>
    </row>
    <row r="1065" customFormat="false" ht="15" hidden="false" customHeight="false" outlineLevel="0" collapsed="false">
      <c r="A1065" s="4" t="n">
        <v>1062</v>
      </c>
      <c r="B1065" s="4" t="s">
        <v>101</v>
      </c>
      <c r="C1065" s="4" t="s">
        <v>5321</v>
      </c>
      <c r="D1065" s="4" t="s">
        <v>4295</v>
      </c>
    </row>
    <row r="1066" customFormat="false" ht="15" hidden="false" customHeight="false" outlineLevel="0" collapsed="false">
      <c r="A1066" s="4" t="n">
        <v>1063</v>
      </c>
      <c r="B1066" s="4" t="s">
        <v>103</v>
      </c>
      <c r="C1066" s="4" t="s">
        <v>5322</v>
      </c>
      <c r="D1066" s="4" t="s">
        <v>4295</v>
      </c>
    </row>
    <row r="1067" customFormat="false" ht="15" hidden="false" customHeight="false" outlineLevel="0" collapsed="false">
      <c r="A1067" s="4" t="n">
        <v>1064</v>
      </c>
      <c r="B1067" s="4" t="s">
        <v>100</v>
      </c>
      <c r="C1067" s="4" t="s">
        <v>5323</v>
      </c>
      <c r="D1067" s="4" t="s">
        <v>4295</v>
      </c>
    </row>
    <row r="1068" customFormat="false" ht="15" hidden="false" customHeight="false" outlineLevel="0" collapsed="false">
      <c r="A1068" s="4" t="n">
        <v>1065</v>
      </c>
      <c r="B1068" s="4" t="s">
        <v>101</v>
      </c>
      <c r="C1068" s="4" t="s">
        <v>5324</v>
      </c>
      <c r="D1068" s="4" t="s">
        <v>4295</v>
      </c>
    </row>
    <row r="1069" customFormat="false" ht="15" hidden="false" customHeight="false" outlineLevel="0" collapsed="false">
      <c r="A1069" s="4" t="n">
        <v>1066</v>
      </c>
      <c r="B1069" s="4" t="s">
        <v>104</v>
      </c>
      <c r="C1069" s="4" t="s">
        <v>5325</v>
      </c>
      <c r="D1069" s="4" t="s">
        <v>4295</v>
      </c>
    </row>
    <row r="1070" customFormat="false" ht="15" hidden="false" customHeight="false" outlineLevel="0" collapsed="false">
      <c r="A1070" s="4" t="n">
        <v>1067</v>
      </c>
      <c r="B1070" s="4" t="s">
        <v>102</v>
      </c>
      <c r="C1070" s="4" t="s">
        <v>5326</v>
      </c>
      <c r="D1070" s="4" t="s">
        <v>4295</v>
      </c>
    </row>
    <row r="1071" customFormat="false" ht="15" hidden="false" customHeight="false" outlineLevel="0" collapsed="false">
      <c r="A1071" s="4" t="n">
        <v>1068</v>
      </c>
      <c r="B1071" s="4" t="s">
        <v>100</v>
      </c>
      <c r="C1071" s="4" t="s">
        <v>5327</v>
      </c>
      <c r="D1071" s="4" t="s">
        <v>4295</v>
      </c>
    </row>
    <row r="1072" customFormat="false" ht="15" hidden="false" customHeight="false" outlineLevel="0" collapsed="false">
      <c r="A1072" s="4" t="n">
        <v>1069</v>
      </c>
      <c r="B1072" s="4" t="s">
        <v>103</v>
      </c>
      <c r="C1072" s="4" t="s">
        <v>5328</v>
      </c>
      <c r="D1072" s="4" t="s">
        <v>4356</v>
      </c>
    </row>
    <row r="1073" customFormat="false" ht="15" hidden="false" customHeight="false" outlineLevel="0" collapsed="false">
      <c r="A1073" s="4" t="n">
        <v>1070</v>
      </c>
      <c r="B1073" s="4" t="s">
        <v>103</v>
      </c>
      <c r="C1073" s="4" t="s">
        <v>5328</v>
      </c>
      <c r="D1073" s="4" t="s">
        <v>4295</v>
      </c>
    </row>
    <row r="1074" customFormat="false" ht="15" hidden="false" customHeight="false" outlineLevel="0" collapsed="false">
      <c r="A1074" s="4" t="n">
        <v>1071</v>
      </c>
      <c r="B1074" s="4" t="s">
        <v>101</v>
      </c>
      <c r="C1074" s="4" t="s">
        <v>5329</v>
      </c>
      <c r="D1074" s="4" t="s">
        <v>4295</v>
      </c>
    </row>
    <row r="1075" customFormat="false" ht="15" hidden="false" customHeight="false" outlineLevel="0" collapsed="false">
      <c r="A1075" s="4" t="n">
        <v>1072</v>
      </c>
      <c r="B1075" s="4" t="s">
        <v>100</v>
      </c>
      <c r="C1075" s="4" t="s">
        <v>5330</v>
      </c>
      <c r="D1075" s="4" t="s">
        <v>4295</v>
      </c>
    </row>
    <row r="1076" customFormat="false" ht="15" hidden="false" customHeight="false" outlineLevel="0" collapsed="false">
      <c r="A1076" s="4" t="n">
        <v>1073</v>
      </c>
      <c r="B1076" s="4" t="s">
        <v>102</v>
      </c>
      <c r="C1076" s="4" t="s">
        <v>5331</v>
      </c>
      <c r="D1076" s="4" t="s">
        <v>4295</v>
      </c>
    </row>
    <row r="1077" customFormat="false" ht="15" hidden="false" customHeight="false" outlineLevel="0" collapsed="false">
      <c r="A1077" s="4" t="n">
        <v>1074</v>
      </c>
      <c r="B1077" s="4" t="s">
        <v>101</v>
      </c>
      <c r="C1077" s="4" t="s">
        <v>5332</v>
      </c>
      <c r="D1077" s="4" t="s">
        <v>4295</v>
      </c>
    </row>
    <row r="1078" customFormat="false" ht="15" hidden="false" customHeight="false" outlineLevel="0" collapsed="false">
      <c r="A1078" s="4" t="n">
        <v>1075</v>
      </c>
      <c r="B1078" s="4" t="s">
        <v>103</v>
      </c>
      <c r="C1078" s="4" t="s">
        <v>5333</v>
      </c>
      <c r="D1078" s="4" t="s">
        <v>4295</v>
      </c>
    </row>
    <row r="1079" customFormat="false" ht="15" hidden="false" customHeight="false" outlineLevel="0" collapsed="false">
      <c r="A1079" s="4" t="n">
        <v>1076</v>
      </c>
      <c r="B1079" s="4" t="s">
        <v>100</v>
      </c>
      <c r="C1079" s="4" t="s">
        <v>5334</v>
      </c>
      <c r="D1079" s="4" t="s">
        <v>4295</v>
      </c>
    </row>
    <row r="1080" customFormat="false" ht="15" hidden="false" customHeight="false" outlineLevel="0" collapsed="false">
      <c r="A1080" s="4" t="n">
        <v>1077</v>
      </c>
      <c r="B1080" s="4" t="s">
        <v>99</v>
      </c>
      <c r="C1080" s="4" t="s">
        <v>5335</v>
      </c>
      <c r="D1080" s="4" t="s">
        <v>4295</v>
      </c>
    </row>
    <row r="1081" customFormat="false" ht="15" hidden="false" customHeight="false" outlineLevel="0" collapsed="false">
      <c r="A1081" s="4" t="n">
        <v>1078</v>
      </c>
      <c r="B1081" s="4" t="s">
        <v>101</v>
      </c>
      <c r="C1081" s="4" t="s">
        <v>5336</v>
      </c>
      <c r="D1081" s="4" t="s">
        <v>4295</v>
      </c>
    </row>
    <row r="1082" customFormat="false" ht="15" hidden="false" customHeight="false" outlineLevel="0" collapsed="false">
      <c r="A1082" s="4" t="n">
        <v>1079</v>
      </c>
      <c r="B1082" s="4" t="s">
        <v>104</v>
      </c>
      <c r="C1082" s="4" t="s">
        <v>5337</v>
      </c>
      <c r="D1082" s="4" t="s">
        <v>4295</v>
      </c>
    </row>
    <row r="1083" customFormat="false" ht="15" hidden="false" customHeight="false" outlineLevel="0" collapsed="false">
      <c r="A1083" s="4" t="n">
        <v>1080</v>
      </c>
      <c r="B1083" s="4" t="s">
        <v>102</v>
      </c>
      <c r="C1083" s="4" t="s">
        <v>5338</v>
      </c>
      <c r="D1083" s="4" t="s">
        <v>4295</v>
      </c>
    </row>
    <row r="1084" customFormat="false" ht="15" hidden="false" customHeight="false" outlineLevel="0" collapsed="false">
      <c r="A1084" s="4" t="n">
        <v>1081</v>
      </c>
      <c r="B1084" s="4" t="s">
        <v>100</v>
      </c>
      <c r="C1084" s="4" t="s">
        <v>5339</v>
      </c>
      <c r="D1084" s="4" t="s">
        <v>4295</v>
      </c>
    </row>
    <row r="1085" customFormat="false" ht="15" hidden="false" customHeight="false" outlineLevel="0" collapsed="false">
      <c r="A1085" s="4" t="n">
        <v>1082</v>
      </c>
      <c r="B1085" s="4" t="s">
        <v>103</v>
      </c>
      <c r="C1085" s="4" t="s">
        <v>5340</v>
      </c>
      <c r="D1085" s="4" t="s">
        <v>4295</v>
      </c>
    </row>
    <row r="1086" customFormat="false" ht="15" hidden="false" customHeight="false" outlineLevel="0" collapsed="false">
      <c r="A1086" s="4" t="n">
        <v>1083</v>
      </c>
      <c r="B1086" s="4" t="s">
        <v>101</v>
      </c>
      <c r="C1086" s="4" t="s">
        <v>5341</v>
      </c>
      <c r="D1086" s="4" t="s">
        <v>4295</v>
      </c>
    </row>
    <row r="1087" customFormat="false" ht="15" hidden="false" customHeight="false" outlineLevel="0" collapsed="false">
      <c r="A1087" s="4" t="n">
        <v>1084</v>
      </c>
      <c r="B1087" s="4" t="s">
        <v>100</v>
      </c>
      <c r="C1087" s="4" t="s">
        <v>5342</v>
      </c>
      <c r="D1087" s="4" t="s">
        <v>4295</v>
      </c>
    </row>
    <row r="1088" customFormat="false" ht="15" hidden="false" customHeight="false" outlineLevel="0" collapsed="false">
      <c r="A1088" s="4" t="n">
        <v>1085</v>
      </c>
      <c r="B1088" s="4" t="s">
        <v>102</v>
      </c>
      <c r="C1088" s="4" t="s">
        <v>5343</v>
      </c>
      <c r="D1088" s="4" t="s">
        <v>4295</v>
      </c>
    </row>
    <row r="1089" customFormat="false" ht="15" hidden="false" customHeight="false" outlineLevel="0" collapsed="false">
      <c r="A1089" s="4" t="n">
        <v>1086</v>
      </c>
      <c r="B1089" s="4" t="s">
        <v>101</v>
      </c>
      <c r="C1089" s="4" t="s">
        <v>5344</v>
      </c>
      <c r="D1089" s="4" t="s">
        <v>4295</v>
      </c>
    </row>
    <row r="1090" customFormat="false" ht="15" hidden="false" customHeight="false" outlineLevel="0" collapsed="false">
      <c r="A1090" s="4" t="n">
        <v>1087</v>
      </c>
      <c r="B1090" s="4" t="s">
        <v>103</v>
      </c>
      <c r="C1090" s="4" t="s">
        <v>5345</v>
      </c>
      <c r="D1090" s="4" t="s">
        <v>4295</v>
      </c>
    </row>
    <row r="1091" customFormat="false" ht="15" hidden="false" customHeight="false" outlineLevel="0" collapsed="false">
      <c r="A1091" s="4" t="n">
        <v>1088</v>
      </c>
      <c r="B1091" s="4" t="s">
        <v>100</v>
      </c>
      <c r="C1091" s="4" t="s">
        <v>5346</v>
      </c>
      <c r="D1091" s="4" t="s">
        <v>4295</v>
      </c>
    </row>
    <row r="1092" customFormat="false" ht="15" hidden="false" customHeight="false" outlineLevel="0" collapsed="false">
      <c r="A1092" s="4" t="n">
        <v>1089</v>
      </c>
      <c r="B1092" s="4" t="s">
        <v>101</v>
      </c>
      <c r="C1092" s="4" t="s">
        <v>5347</v>
      </c>
      <c r="D1092" s="4" t="s">
        <v>4295</v>
      </c>
    </row>
    <row r="1093" customFormat="false" ht="15" hidden="false" customHeight="false" outlineLevel="0" collapsed="false">
      <c r="A1093" s="4" t="n">
        <v>1090</v>
      </c>
      <c r="B1093" s="4" t="s">
        <v>104</v>
      </c>
      <c r="C1093" s="4" t="s">
        <v>5348</v>
      </c>
      <c r="D1093" s="4" t="s">
        <v>4295</v>
      </c>
    </row>
    <row r="1094" customFormat="false" ht="15" hidden="false" customHeight="false" outlineLevel="0" collapsed="false">
      <c r="A1094" s="4" t="n">
        <v>1091</v>
      </c>
      <c r="B1094" s="4" t="s">
        <v>102</v>
      </c>
      <c r="C1094" s="4" t="s">
        <v>5349</v>
      </c>
      <c r="D1094" s="4" t="s">
        <v>4295</v>
      </c>
    </row>
    <row r="1095" customFormat="false" ht="15" hidden="false" customHeight="false" outlineLevel="0" collapsed="false">
      <c r="A1095" s="4" t="n">
        <v>1092</v>
      </c>
      <c r="B1095" s="4" t="s">
        <v>100</v>
      </c>
      <c r="C1095" s="4" t="s">
        <v>5350</v>
      </c>
      <c r="D1095" s="4" t="s">
        <v>4295</v>
      </c>
    </row>
    <row r="1096" customFormat="false" ht="15" hidden="false" customHeight="false" outlineLevel="0" collapsed="false">
      <c r="A1096" s="4" t="n">
        <v>1093</v>
      </c>
      <c r="B1096" s="4" t="s">
        <v>103</v>
      </c>
      <c r="C1096" s="4" t="s">
        <v>5351</v>
      </c>
      <c r="D1096" s="4" t="s">
        <v>4295</v>
      </c>
    </row>
    <row r="1097" customFormat="false" ht="15" hidden="false" customHeight="false" outlineLevel="0" collapsed="false">
      <c r="A1097" s="4" t="n">
        <v>1094</v>
      </c>
      <c r="B1097" s="4" t="s">
        <v>101</v>
      </c>
      <c r="C1097" s="4" t="s">
        <v>5352</v>
      </c>
      <c r="D1097" s="4" t="s">
        <v>4295</v>
      </c>
    </row>
    <row r="1098" customFormat="false" ht="15" hidden="false" customHeight="false" outlineLevel="0" collapsed="false">
      <c r="A1098" s="4" t="n">
        <v>1095</v>
      </c>
      <c r="B1098" s="4" t="s">
        <v>100</v>
      </c>
      <c r="C1098" s="4" t="s">
        <v>5353</v>
      </c>
      <c r="D1098" s="4" t="s">
        <v>4295</v>
      </c>
    </row>
    <row r="1099" customFormat="false" ht="15" hidden="false" customHeight="false" outlineLevel="0" collapsed="false">
      <c r="A1099" s="4" t="n">
        <v>1096</v>
      </c>
      <c r="B1099" s="4" t="s">
        <v>102</v>
      </c>
      <c r="C1099" s="4" t="s">
        <v>5354</v>
      </c>
      <c r="D1099" s="4" t="s">
        <v>4295</v>
      </c>
    </row>
    <row r="1100" customFormat="false" ht="15" hidden="false" customHeight="false" outlineLevel="0" collapsed="false">
      <c r="A1100" s="4" t="n">
        <v>1097</v>
      </c>
      <c r="B1100" s="4" t="s">
        <v>101</v>
      </c>
      <c r="C1100" s="4" t="s">
        <v>5355</v>
      </c>
      <c r="D1100" s="4" t="s">
        <v>4295</v>
      </c>
    </row>
    <row r="1101" customFormat="false" ht="15" hidden="false" customHeight="false" outlineLevel="0" collapsed="false">
      <c r="A1101" s="4" t="n">
        <v>1098</v>
      </c>
      <c r="B1101" s="4" t="s">
        <v>103</v>
      </c>
      <c r="C1101" s="4" t="s">
        <v>5356</v>
      </c>
      <c r="D1101" s="4" t="s">
        <v>4295</v>
      </c>
    </row>
    <row r="1102" customFormat="false" ht="15" hidden="false" customHeight="false" outlineLevel="0" collapsed="false">
      <c r="A1102" s="4" t="n">
        <v>1099</v>
      </c>
      <c r="B1102" s="4" t="s">
        <v>100</v>
      </c>
      <c r="C1102" s="4" t="s">
        <v>5357</v>
      </c>
      <c r="D1102" s="4" t="s">
        <v>4295</v>
      </c>
    </row>
    <row r="1103" customFormat="false" ht="15" hidden="false" customHeight="false" outlineLevel="0" collapsed="false">
      <c r="A1103" s="4" t="n">
        <v>1100</v>
      </c>
      <c r="B1103" s="4" t="s">
        <v>99</v>
      </c>
      <c r="C1103" s="4" t="s">
        <v>5358</v>
      </c>
      <c r="D1103" s="4" t="s">
        <v>4295</v>
      </c>
    </row>
    <row r="1104" customFormat="false" ht="15" hidden="false" customHeight="false" outlineLevel="0" collapsed="false">
      <c r="A1104" s="4" t="n">
        <v>1101</v>
      </c>
      <c r="B1104" s="4" t="s">
        <v>101</v>
      </c>
      <c r="C1104" s="4" t="s">
        <v>5359</v>
      </c>
      <c r="D1104" s="4" t="s">
        <v>4295</v>
      </c>
    </row>
    <row r="1105" customFormat="false" ht="15" hidden="false" customHeight="false" outlineLevel="0" collapsed="false">
      <c r="A1105" s="4" t="n">
        <v>1102</v>
      </c>
      <c r="B1105" s="4" t="s">
        <v>104</v>
      </c>
      <c r="C1105" s="4" t="s">
        <v>5360</v>
      </c>
      <c r="D1105" s="4" t="s">
        <v>4295</v>
      </c>
    </row>
    <row r="1106" customFormat="false" ht="15" hidden="false" customHeight="false" outlineLevel="0" collapsed="false">
      <c r="A1106" s="4" t="n">
        <v>1103</v>
      </c>
      <c r="B1106" s="4" t="s">
        <v>103</v>
      </c>
      <c r="C1106" s="4" t="s">
        <v>5361</v>
      </c>
      <c r="D1106" s="4" t="s">
        <v>4462</v>
      </c>
    </row>
    <row r="1107" customFormat="false" ht="15" hidden="false" customHeight="false" outlineLevel="0" collapsed="false">
      <c r="A1107" s="4" t="n">
        <v>1104</v>
      </c>
      <c r="B1107" s="4" t="s">
        <v>102</v>
      </c>
      <c r="C1107" s="4" t="s">
        <v>5362</v>
      </c>
      <c r="D1107" s="4" t="s">
        <v>4295</v>
      </c>
    </row>
    <row r="1108" customFormat="false" ht="15" hidden="false" customHeight="false" outlineLevel="0" collapsed="false">
      <c r="A1108" s="4" t="n">
        <v>1105</v>
      </c>
      <c r="B1108" s="4" t="s">
        <v>100</v>
      </c>
      <c r="C1108" s="4" t="s">
        <v>5363</v>
      </c>
      <c r="D1108" s="4" t="s">
        <v>4295</v>
      </c>
    </row>
    <row r="1109" customFormat="false" ht="15" hidden="false" customHeight="false" outlineLevel="0" collapsed="false">
      <c r="A1109" s="4" t="n">
        <v>1106</v>
      </c>
      <c r="B1109" s="4" t="s">
        <v>103</v>
      </c>
      <c r="C1109" s="4" t="s">
        <v>5364</v>
      </c>
      <c r="D1109" s="4" t="s">
        <v>4462</v>
      </c>
    </row>
    <row r="1110" customFormat="false" ht="15" hidden="false" customHeight="false" outlineLevel="0" collapsed="false">
      <c r="A1110" s="4" t="n">
        <v>1107</v>
      </c>
      <c r="B1110" s="4" t="s">
        <v>101</v>
      </c>
      <c r="C1110" s="4" t="s">
        <v>5365</v>
      </c>
      <c r="D1110" s="4" t="s">
        <v>4295</v>
      </c>
    </row>
    <row r="1111" customFormat="false" ht="15" hidden="false" customHeight="false" outlineLevel="0" collapsed="false">
      <c r="A1111" s="4" t="n">
        <v>1108</v>
      </c>
      <c r="B1111" s="4" t="s">
        <v>100</v>
      </c>
      <c r="C1111" s="4" t="s">
        <v>5366</v>
      </c>
      <c r="D1111" s="4" t="s">
        <v>4295</v>
      </c>
    </row>
    <row r="1112" customFormat="false" ht="15" hidden="false" customHeight="false" outlineLevel="0" collapsed="false">
      <c r="A1112" s="4" t="n">
        <v>1109</v>
      </c>
      <c r="B1112" s="4" t="s">
        <v>102</v>
      </c>
      <c r="C1112" s="4" t="s">
        <v>5367</v>
      </c>
      <c r="D1112" s="4" t="s">
        <v>4295</v>
      </c>
    </row>
    <row r="1113" customFormat="false" ht="15" hidden="false" customHeight="false" outlineLevel="0" collapsed="false">
      <c r="A1113" s="4" t="n">
        <v>1110</v>
      </c>
      <c r="B1113" s="4" t="s">
        <v>101</v>
      </c>
      <c r="C1113" s="4" t="s">
        <v>5368</v>
      </c>
      <c r="D1113" s="4" t="s">
        <v>4295</v>
      </c>
    </row>
    <row r="1114" customFormat="false" ht="15" hidden="false" customHeight="false" outlineLevel="0" collapsed="false">
      <c r="A1114" s="4" t="n">
        <v>1111</v>
      </c>
      <c r="B1114" s="4" t="s">
        <v>103</v>
      </c>
      <c r="C1114" s="4" t="s">
        <v>5369</v>
      </c>
      <c r="D1114" s="4" t="s">
        <v>4295</v>
      </c>
    </row>
    <row r="1115" customFormat="false" ht="15" hidden="false" customHeight="false" outlineLevel="0" collapsed="false">
      <c r="A1115" s="4" t="n">
        <v>1112</v>
      </c>
      <c r="B1115" s="4" t="s">
        <v>100</v>
      </c>
      <c r="C1115" s="4" t="s">
        <v>5370</v>
      </c>
      <c r="D1115" s="4" t="s">
        <v>4295</v>
      </c>
    </row>
    <row r="1116" customFormat="false" ht="15" hidden="false" customHeight="false" outlineLevel="0" collapsed="false">
      <c r="A1116" s="4" t="n">
        <v>1113</v>
      </c>
      <c r="B1116" s="4" t="s">
        <v>101</v>
      </c>
      <c r="C1116" s="4" t="s">
        <v>5371</v>
      </c>
      <c r="D1116" s="4" t="s">
        <v>4295</v>
      </c>
    </row>
    <row r="1117" customFormat="false" ht="15" hidden="false" customHeight="false" outlineLevel="0" collapsed="false">
      <c r="A1117" s="4" t="n">
        <v>1114</v>
      </c>
      <c r="B1117" s="4" t="s">
        <v>104</v>
      </c>
      <c r="C1117" s="4" t="s">
        <v>5372</v>
      </c>
      <c r="D1117" s="4" t="s">
        <v>4295</v>
      </c>
    </row>
    <row r="1118" customFormat="false" ht="15" hidden="false" customHeight="false" outlineLevel="0" collapsed="false">
      <c r="A1118" s="4" t="n">
        <v>1115</v>
      </c>
      <c r="B1118" s="4" t="s">
        <v>102</v>
      </c>
      <c r="C1118" s="4" t="s">
        <v>5373</v>
      </c>
      <c r="D1118" s="4" t="s">
        <v>4295</v>
      </c>
    </row>
    <row r="1119" customFormat="false" ht="15" hidden="false" customHeight="false" outlineLevel="0" collapsed="false">
      <c r="A1119" s="4" t="n">
        <v>1116</v>
      </c>
      <c r="B1119" s="4" t="s">
        <v>100</v>
      </c>
      <c r="C1119" s="4" t="s">
        <v>5374</v>
      </c>
      <c r="D1119" s="4" t="s">
        <v>4295</v>
      </c>
    </row>
    <row r="1120" customFormat="false" ht="15" hidden="false" customHeight="false" outlineLevel="0" collapsed="false">
      <c r="A1120" s="4" t="n">
        <v>1117</v>
      </c>
      <c r="B1120" s="4" t="s">
        <v>103</v>
      </c>
      <c r="C1120" s="4" t="s">
        <v>5375</v>
      </c>
      <c r="D1120" s="4" t="s">
        <v>4295</v>
      </c>
    </row>
    <row r="1121" customFormat="false" ht="15" hidden="false" customHeight="false" outlineLevel="0" collapsed="false">
      <c r="A1121" s="4" t="n">
        <v>1118</v>
      </c>
      <c r="B1121" s="4" t="s">
        <v>101</v>
      </c>
      <c r="C1121" s="4" t="s">
        <v>5376</v>
      </c>
      <c r="D1121" s="4" t="s">
        <v>4295</v>
      </c>
    </row>
    <row r="1122" customFormat="false" ht="15" hidden="false" customHeight="false" outlineLevel="0" collapsed="false">
      <c r="A1122" s="4" t="n">
        <v>1119</v>
      </c>
      <c r="B1122" s="4" t="s">
        <v>100</v>
      </c>
      <c r="C1122" s="4" t="s">
        <v>5377</v>
      </c>
      <c r="D1122" s="4" t="s">
        <v>4295</v>
      </c>
    </row>
    <row r="1123" customFormat="false" ht="15" hidden="false" customHeight="false" outlineLevel="0" collapsed="false">
      <c r="A1123" s="4" t="n">
        <v>1120</v>
      </c>
      <c r="B1123" s="4" t="s">
        <v>102</v>
      </c>
      <c r="C1123" s="4" t="s">
        <v>5378</v>
      </c>
      <c r="D1123" s="4" t="s">
        <v>4295</v>
      </c>
    </row>
    <row r="1124" customFormat="false" ht="15" hidden="false" customHeight="false" outlineLevel="0" collapsed="false">
      <c r="A1124" s="4" t="n">
        <v>1121</v>
      </c>
      <c r="B1124" s="4" t="s">
        <v>101</v>
      </c>
      <c r="C1124" s="4" t="s">
        <v>5379</v>
      </c>
      <c r="D1124" s="4" t="s">
        <v>4295</v>
      </c>
    </row>
    <row r="1125" customFormat="false" ht="15" hidden="false" customHeight="false" outlineLevel="0" collapsed="false">
      <c r="A1125" s="4" t="n">
        <v>1122</v>
      </c>
      <c r="B1125" s="4" t="s">
        <v>103</v>
      </c>
      <c r="C1125" s="4" t="s">
        <v>5380</v>
      </c>
      <c r="D1125" s="4" t="s">
        <v>4295</v>
      </c>
    </row>
    <row r="1126" customFormat="false" ht="15" hidden="false" customHeight="false" outlineLevel="0" collapsed="false">
      <c r="A1126" s="4" t="n">
        <v>1123</v>
      </c>
      <c r="B1126" s="4" t="s">
        <v>100</v>
      </c>
      <c r="C1126" s="4" t="s">
        <v>5381</v>
      </c>
      <c r="D1126" s="4" t="s">
        <v>4295</v>
      </c>
    </row>
    <row r="1127" customFormat="false" ht="15" hidden="false" customHeight="false" outlineLevel="0" collapsed="false">
      <c r="A1127" s="4" t="n">
        <v>1124</v>
      </c>
      <c r="B1127" s="4" t="s">
        <v>99</v>
      </c>
      <c r="C1127" s="4" t="s">
        <v>5382</v>
      </c>
      <c r="D1127" s="4" t="s">
        <v>4295</v>
      </c>
    </row>
    <row r="1128" customFormat="false" ht="15" hidden="false" customHeight="false" outlineLevel="0" collapsed="false">
      <c r="A1128" s="4" t="n">
        <v>1125</v>
      </c>
      <c r="B1128" s="4" t="s">
        <v>101</v>
      </c>
      <c r="C1128" s="4" t="s">
        <v>5383</v>
      </c>
      <c r="D1128" s="4" t="s">
        <v>4295</v>
      </c>
    </row>
    <row r="1129" customFormat="false" ht="15" hidden="false" customHeight="false" outlineLevel="0" collapsed="false">
      <c r="A1129" s="4" t="n">
        <v>1126</v>
      </c>
      <c r="B1129" s="4" t="s">
        <v>104</v>
      </c>
      <c r="C1129" s="4" t="s">
        <v>5384</v>
      </c>
      <c r="D1129" s="4" t="s">
        <v>4295</v>
      </c>
    </row>
    <row r="1130" customFormat="false" ht="15" hidden="false" customHeight="false" outlineLevel="0" collapsed="false">
      <c r="A1130" s="4" t="n">
        <v>1127</v>
      </c>
      <c r="B1130" s="4" t="s">
        <v>102</v>
      </c>
      <c r="C1130" s="4" t="s">
        <v>5385</v>
      </c>
      <c r="D1130" s="4" t="s">
        <v>4295</v>
      </c>
    </row>
    <row r="1131" customFormat="false" ht="15" hidden="false" customHeight="false" outlineLevel="0" collapsed="false">
      <c r="A1131" s="4" t="n">
        <v>1128</v>
      </c>
      <c r="B1131" s="4" t="s">
        <v>100</v>
      </c>
      <c r="C1131" s="4" t="s">
        <v>5386</v>
      </c>
      <c r="D1131" s="4" t="s">
        <v>4295</v>
      </c>
    </row>
    <row r="1132" customFormat="false" ht="15" hidden="false" customHeight="false" outlineLevel="0" collapsed="false">
      <c r="A1132" s="4" t="n">
        <v>1129</v>
      </c>
      <c r="B1132" s="4" t="s">
        <v>103</v>
      </c>
      <c r="C1132" s="4" t="s">
        <v>5387</v>
      </c>
      <c r="D1132" s="4" t="s">
        <v>4295</v>
      </c>
    </row>
    <row r="1133" customFormat="false" ht="15" hidden="false" customHeight="false" outlineLevel="0" collapsed="false">
      <c r="A1133" s="4" t="n">
        <v>1130</v>
      </c>
      <c r="B1133" s="4" t="s">
        <v>101</v>
      </c>
      <c r="C1133" s="4" t="s">
        <v>5388</v>
      </c>
      <c r="D1133" s="4" t="s">
        <v>4295</v>
      </c>
    </row>
    <row r="1134" customFormat="false" ht="15" hidden="false" customHeight="false" outlineLevel="0" collapsed="false">
      <c r="A1134" s="4" t="n">
        <v>1131</v>
      </c>
      <c r="B1134" s="4" t="s">
        <v>100</v>
      </c>
      <c r="C1134" s="4" t="s">
        <v>5389</v>
      </c>
      <c r="D1134" s="4" t="s">
        <v>4295</v>
      </c>
    </row>
    <row r="1135" customFormat="false" ht="15" hidden="false" customHeight="false" outlineLevel="0" collapsed="false">
      <c r="A1135" s="4" t="n">
        <v>1132</v>
      </c>
      <c r="B1135" s="4" t="s">
        <v>102</v>
      </c>
      <c r="C1135" s="4" t="s">
        <v>5390</v>
      </c>
      <c r="D1135" s="4" t="s">
        <v>4295</v>
      </c>
    </row>
    <row r="1136" customFormat="false" ht="15" hidden="false" customHeight="false" outlineLevel="0" collapsed="false">
      <c r="A1136" s="4" t="n">
        <v>1133</v>
      </c>
      <c r="B1136" s="4" t="s">
        <v>101</v>
      </c>
      <c r="C1136" s="4" t="s">
        <v>5391</v>
      </c>
      <c r="D1136" s="4" t="s">
        <v>4295</v>
      </c>
    </row>
    <row r="1137" customFormat="false" ht="15" hidden="false" customHeight="false" outlineLevel="0" collapsed="false">
      <c r="A1137" s="4" t="n">
        <v>1134</v>
      </c>
      <c r="B1137" s="4" t="s">
        <v>103</v>
      </c>
      <c r="C1137" s="4" t="s">
        <v>5392</v>
      </c>
      <c r="D1137" s="4" t="s">
        <v>4295</v>
      </c>
    </row>
    <row r="1138" customFormat="false" ht="15" hidden="false" customHeight="false" outlineLevel="0" collapsed="false">
      <c r="A1138" s="4" t="n">
        <v>1135</v>
      </c>
      <c r="B1138" s="4" t="s">
        <v>100</v>
      </c>
      <c r="C1138" s="4" t="s">
        <v>5393</v>
      </c>
      <c r="D1138" s="4" t="s">
        <v>4295</v>
      </c>
    </row>
    <row r="1139" customFormat="false" ht="15" hidden="false" customHeight="false" outlineLevel="0" collapsed="false">
      <c r="A1139" s="4" t="n">
        <v>1136</v>
      </c>
      <c r="B1139" s="4" t="s">
        <v>101</v>
      </c>
      <c r="C1139" s="4" t="s">
        <v>5394</v>
      </c>
      <c r="D1139" s="4" t="s">
        <v>4295</v>
      </c>
    </row>
    <row r="1140" customFormat="false" ht="15" hidden="false" customHeight="false" outlineLevel="0" collapsed="false">
      <c r="A1140" s="4" t="n">
        <v>1137</v>
      </c>
      <c r="B1140" s="4" t="s">
        <v>104</v>
      </c>
      <c r="C1140" s="4" t="s">
        <v>5395</v>
      </c>
      <c r="D1140" s="4" t="s">
        <v>4295</v>
      </c>
    </row>
    <row r="1141" customFormat="false" ht="15" hidden="false" customHeight="false" outlineLevel="0" collapsed="false">
      <c r="A1141" s="4" t="n">
        <v>1138</v>
      </c>
      <c r="B1141" s="4" t="s">
        <v>102</v>
      </c>
      <c r="C1141" s="4" t="s">
        <v>5396</v>
      </c>
      <c r="D1141" s="4" t="s">
        <v>4295</v>
      </c>
    </row>
    <row r="1142" customFormat="false" ht="15" hidden="false" customHeight="false" outlineLevel="0" collapsed="false">
      <c r="A1142" s="4" t="n">
        <v>1139</v>
      </c>
      <c r="B1142" s="4" t="s">
        <v>100</v>
      </c>
      <c r="C1142" s="4" t="s">
        <v>5397</v>
      </c>
      <c r="D1142" s="4" t="s">
        <v>4295</v>
      </c>
    </row>
    <row r="1143" customFormat="false" ht="15" hidden="false" customHeight="false" outlineLevel="0" collapsed="false">
      <c r="A1143" s="4" t="n">
        <v>1140</v>
      </c>
      <c r="B1143" s="4" t="s">
        <v>103</v>
      </c>
      <c r="C1143" s="4" t="s">
        <v>5398</v>
      </c>
      <c r="D1143" s="4" t="s">
        <v>4295</v>
      </c>
    </row>
    <row r="1144" customFormat="false" ht="15" hidden="false" customHeight="false" outlineLevel="0" collapsed="false">
      <c r="A1144" s="4" t="n">
        <v>1141</v>
      </c>
      <c r="B1144" s="4" t="s">
        <v>101</v>
      </c>
      <c r="C1144" s="4" t="s">
        <v>5399</v>
      </c>
      <c r="D1144" s="4" t="s">
        <v>4295</v>
      </c>
    </row>
    <row r="1145" customFormat="false" ht="15" hidden="false" customHeight="false" outlineLevel="0" collapsed="false">
      <c r="A1145" s="4" t="n">
        <v>1142</v>
      </c>
      <c r="B1145" s="4" t="s">
        <v>100</v>
      </c>
      <c r="C1145" s="4" t="s">
        <v>5400</v>
      </c>
      <c r="D1145" s="4" t="s">
        <v>4295</v>
      </c>
    </row>
    <row r="1146" customFormat="false" ht="15" hidden="false" customHeight="false" outlineLevel="0" collapsed="false">
      <c r="A1146" s="4" t="n">
        <v>1143</v>
      </c>
      <c r="B1146" s="4" t="s">
        <v>102</v>
      </c>
      <c r="C1146" s="4" t="s">
        <v>5401</v>
      </c>
      <c r="D1146" s="4" t="s">
        <v>4295</v>
      </c>
    </row>
    <row r="1147" customFormat="false" ht="15" hidden="false" customHeight="false" outlineLevel="0" collapsed="false">
      <c r="A1147" s="4" t="n">
        <v>1144</v>
      </c>
      <c r="B1147" s="4" t="s">
        <v>101</v>
      </c>
      <c r="C1147" s="4" t="s">
        <v>5402</v>
      </c>
      <c r="D1147" s="4" t="s">
        <v>4295</v>
      </c>
    </row>
    <row r="1148" customFormat="false" ht="15" hidden="false" customHeight="false" outlineLevel="0" collapsed="false">
      <c r="A1148" s="4" t="n">
        <v>1145</v>
      </c>
      <c r="B1148" s="4" t="s">
        <v>103</v>
      </c>
      <c r="C1148" s="4" t="s">
        <v>5403</v>
      </c>
      <c r="D1148" s="4" t="s">
        <v>4295</v>
      </c>
    </row>
    <row r="1149" customFormat="false" ht="15" hidden="false" customHeight="false" outlineLevel="0" collapsed="false">
      <c r="A1149" s="4" t="n">
        <v>1146</v>
      </c>
      <c r="B1149" s="4" t="s">
        <v>100</v>
      </c>
      <c r="C1149" s="4" t="s">
        <v>5404</v>
      </c>
      <c r="D1149" s="4" t="s">
        <v>4295</v>
      </c>
    </row>
    <row r="1150" customFormat="false" ht="15" hidden="false" customHeight="false" outlineLevel="0" collapsed="false">
      <c r="A1150" s="4" t="n">
        <v>1147</v>
      </c>
      <c r="B1150" s="4" t="s">
        <v>99</v>
      </c>
      <c r="C1150" s="4" t="s">
        <v>5405</v>
      </c>
      <c r="D1150" s="4" t="s">
        <v>4295</v>
      </c>
    </row>
    <row r="1151" customFormat="false" ht="15" hidden="false" customHeight="false" outlineLevel="0" collapsed="false">
      <c r="A1151" s="4" t="n">
        <v>1148</v>
      </c>
      <c r="B1151" s="4" t="s">
        <v>101</v>
      </c>
      <c r="C1151" s="4" t="s">
        <v>5406</v>
      </c>
      <c r="D1151" s="4" t="s">
        <v>4295</v>
      </c>
    </row>
    <row r="1152" customFormat="false" ht="15" hidden="false" customHeight="false" outlineLevel="0" collapsed="false">
      <c r="A1152" s="4" t="n">
        <v>1149</v>
      </c>
      <c r="B1152" s="4" t="s">
        <v>104</v>
      </c>
      <c r="C1152" s="4" t="s">
        <v>5407</v>
      </c>
      <c r="D1152" s="4" t="s">
        <v>4295</v>
      </c>
    </row>
    <row r="1153" customFormat="false" ht="15" hidden="false" customHeight="false" outlineLevel="0" collapsed="false">
      <c r="A1153" s="4" t="n">
        <v>1150</v>
      </c>
      <c r="B1153" s="4" t="s">
        <v>102</v>
      </c>
      <c r="C1153" s="4" t="s">
        <v>5408</v>
      </c>
      <c r="D1153" s="4" t="s">
        <v>4295</v>
      </c>
    </row>
    <row r="1154" customFormat="false" ht="15" hidden="false" customHeight="false" outlineLevel="0" collapsed="false">
      <c r="A1154" s="4" t="n">
        <v>1151</v>
      </c>
      <c r="B1154" s="4" t="s">
        <v>100</v>
      </c>
      <c r="C1154" s="4" t="s">
        <v>5409</v>
      </c>
      <c r="D1154" s="4" t="s">
        <v>4295</v>
      </c>
    </row>
    <row r="1155" customFormat="false" ht="15" hidden="false" customHeight="false" outlineLevel="0" collapsed="false">
      <c r="A1155" s="4" t="n">
        <v>1152</v>
      </c>
      <c r="B1155" s="4" t="s">
        <v>103</v>
      </c>
      <c r="C1155" s="4" t="s">
        <v>5410</v>
      </c>
      <c r="D1155" s="4" t="s">
        <v>4295</v>
      </c>
    </row>
    <row r="1156" customFormat="false" ht="15" hidden="false" customHeight="false" outlineLevel="0" collapsed="false">
      <c r="A1156" s="4" t="n">
        <v>1153</v>
      </c>
      <c r="B1156" s="4" t="s">
        <v>101</v>
      </c>
      <c r="C1156" s="4" t="s">
        <v>5411</v>
      </c>
      <c r="D1156" s="4" t="s">
        <v>4295</v>
      </c>
    </row>
    <row r="1157" customFormat="false" ht="15" hidden="false" customHeight="false" outlineLevel="0" collapsed="false">
      <c r="A1157" s="4" t="n">
        <v>1154</v>
      </c>
      <c r="B1157" s="4" t="s">
        <v>100</v>
      </c>
      <c r="C1157" s="4" t="s">
        <v>5412</v>
      </c>
      <c r="D1157" s="4" t="s">
        <v>4295</v>
      </c>
    </row>
    <row r="1158" customFormat="false" ht="15" hidden="false" customHeight="false" outlineLevel="0" collapsed="false">
      <c r="A1158" s="4" t="n">
        <v>1155</v>
      </c>
      <c r="B1158" s="4" t="s">
        <v>102</v>
      </c>
      <c r="C1158" s="4" t="s">
        <v>5413</v>
      </c>
      <c r="D1158" s="4" t="s">
        <v>4295</v>
      </c>
    </row>
    <row r="1159" customFormat="false" ht="15" hidden="false" customHeight="false" outlineLevel="0" collapsed="false">
      <c r="A1159" s="4" t="n">
        <v>1156</v>
      </c>
      <c r="B1159" s="4" t="s">
        <v>101</v>
      </c>
      <c r="C1159" s="4" t="s">
        <v>5414</v>
      </c>
      <c r="D1159" s="4" t="s">
        <v>4295</v>
      </c>
    </row>
    <row r="1160" customFormat="false" ht="15" hidden="false" customHeight="false" outlineLevel="0" collapsed="false">
      <c r="A1160" s="4" t="n">
        <v>1157</v>
      </c>
      <c r="B1160" s="4" t="s">
        <v>103</v>
      </c>
      <c r="C1160" s="4" t="s">
        <v>5415</v>
      </c>
      <c r="D1160" s="4" t="s">
        <v>4295</v>
      </c>
    </row>
    <row r="1161" customFormat="false" ht="15" hidden="false" customHeight="false" outlineLevel="0" collapsed="false">
      <c r="A1161" s="4" t="n">
        <v>1158</v>
      </c>
      <c r="B1161" s="4" t="s">
        <v>101</v>
      </c>
      <c r="C1161" s="4" t="s">
        <v>5416</v>
      </c>
      <c r="D1161" s="4" t="s">
        <v>4295</v>
      </c>
    </row>
    <row r="1162" customFormat="false" ht="15" hidden="false" customHeight="false" outlineLevel="0" collapsed="false">
      <c r="A1162" s="4" t="n">
        <v>1159</v>
      </c>
      <c r="B1162" s="4" t="s">
        <v>104</v>
      </c>
      <c r="C1162" s="4" t="s">
        <v>5417</v>
      </c>
      <c r="D1162" s="4" t="s">
        <v>4295</v>
      </c>
    </row>
    <row r="1163" customFormat="false" ht="15" hidden="false" customHeight="false" outlineLevel="0" collapsed="false">
      <c r="A1163" s="4" t="n">
        <v>1160</v>
      </c>
      <c r="B1163" s="4" t="s">
        <v>100</v>
      </c>
      <c r="C1163" s="4" t="s">
        <v>5418</v>
      </c>
      <c r="D1163" s="4" t="s">
        <v>4295</v>
      </c>
    </row>
    <row r="1164" customFormat="false" ht="15" hidden="false" customHeight="false" outlineLevel="0" collapsed="false">
      <c r="A1164" s="4" t="n">
        <v>1161</v>
      </c>
      <c r="B1164" s="4" t="s">
        <v>102</v>
      </c>
      <c r="C1164" s="4" t="s">
        <v>5419</v>
      </c>
      <c r="D1164" s="4" t="s">
        <v>4295</v>
      </c>
    </row>
    <row r="1165" customFormat="false" ht="15" hidden="false" customHeight="false" outlineLevel="0" collapsed="false">
      <c r="A1165" s="4" t="n">
        <v>1162</v>
      </c>
      <c r="B1165" s="4" t="s">
        <v>100</v>
      </c>
      <c r="C1165" s="4" t="s">
        <v>5420</v>
      </c>
      <c r="D1165" s="4" t="s">
        <v>4295</v>
      </c>
    </row>
    <row r="1166" customFormat="false" ht="15" hidden="false" customHeight="false" outlineLevel="0" collapsed="false">
      <c r="A1166" s="4" t="n">
        <v>1163</v>
      </c>
      <c r="B1166" s="4" t="s">
        <v>103</v>
      </c>
      <c r="C1166" s="4" t="s">
        <v>5421</v>
      </c>
      <c r="D1166" s="4" t="s">
        <v>4295</v>
      </c>
    </row>
    <row r="1167" customFormat="false" ht="15" hidden="false" customHeight="false" outlineLevel="0" collapsed="false">
      <c r="A1167" s="4" t="n">
        <v>1164</v>
      </c>
      <c r="B1167" s="4" t="s">
        <v>101</v>
      </c>
      <c r="C1167" s="4" t="s">
        <v>5422</v>
      </c>
      <c r="D1167" s="4" t="s">
        <v>4295</v>
      </c>
    </row>
    <row r="1168" customFormat="false" ht="15" hidden="false" customHeight="false" outlineLevel="0" collapsed="false">
      <c r="A1168" s="4" t="n">
        <v>1165</v>
      </c>
      <c r="B1168" s="4" t="s">
        <v>102</v>
      </c>
      <c r="C1168" s="4" t="s">
        <v>5423</v>
      </c>
      <c r="D1168" s="4" t="s">
        <v>4462</v>
      </c>
    </row>
    <row r="1169" customFormat="false" ht="15" hidden="false" customHeight="false" outlineLevel="0" collapsed="false">
      <c r="A1169" s="4" t="n">
        <v>1166</v>
      </c>
      <c r="B1169" s="4" t="s">
        <v>100</v>
      </c>
      <c r="C1169" s="4" t="s">
        <v>5424</v>
      </c>
      <c r="D1169" s="4" t="s">
        <v>4295</v>
      </c>
    </row>
    <row r="1170" customFormat="false" ht="15" hidden="false" customHeight="false" outlineLevel="0" collapsed="false">
      <c r="A1170" s="4" t="n">
        <v>1167</v>
      </c>
      <c r="B1170" s="4" t="s">
        <v>102</v>
      </c>
      <c r="C1170" s="4" t="s">
        <v>5425</v>
      </c>
      <c r="D1170" s="4" t="s">
        <v>4462</v>
      </c>
    </row>
    <row r="1171" customFormat="false" ht="15" hidden="false" customHeight="false" outlineLevel="0" collapsed="false">
      <c r="A1171" s="4" t="n">
        <v>1168</v>
      </c>
      <c r="B1171" s="4" t="s">
        <v>102</v>
      </c>
      <c r="C1171" s="4" t="s">
        <v>5426</v>
      </c>
      <c r="D1171" s="4" t="s">
        <v>4462</v>
      </c>
    </row>
    <row r="1172" customFormat="false" ht="15" hidden="false" customHeight="false" outlineLevel="0" collapsed="false">
      <c r="A1172" s="4" t="n">
        <v>1169</v>
      </c>
      <c r="B1172" s="4" t="s">
        <v>101</v>
      </c>
      <c r="C1172" s="4" t="s">
        <v>5427</v>
      </c>
      <c r="D1172" s="4" t="s">
        <v>4295</v>
      </c>
    </row>
    <row r="1173" customFormat="false" ht="15" hidden="false" customHeight="false" outlineLevel="0" collapsed="false">
      <c r="A1173" s="4" t="n">
        <v>1170</v>
      </c>
      <c r="B1173" s="4" t="s">
        <v>103</v>
      </c>
      <c r="C1173" s="4" t="s">
        <v>5428</v>
      </c>
      <c r="D1173" s="4" t="s">
        <v>4295</v>
      </c>
    </row>
    <row r="1174" customFormat="false" ht="15" hidden="false" customHeight="false" outlineLevel="0" collapsed="false">
      <c r="A1174" s="4" t="n">
        <v>1171</v>
      </c>
      <c r="B1174" s="4" t="s">
        <v>100</v>
      </c>
      <c r="C1174" s="4" t="s">
        <v>5429</v>
      </c>
      <c r="D1174" s="4" t="s">
        <v>4295</v>
      </c>
    </row>
    <row r="1175" customFormat="false" ht="15" hidden="false" customHeight="false" outlineLevel="0" collapsed="false">
      <c r="A1175" s="4" t="n">
        <v>1172</v>
      </c>
      <c r="B1175" s="4" t="s">
        <v>99</v>
      </c>
      <c r="C1175" s="4" t="s">
        <v>5430</v>
      </c>
      <c r="D1175" s="4" t="s">
        <v>4295</v>
      </c>
    </row>
    <row r="1176" customFormat="false" ht="15" hidden="false" customHeight="false" outlineLevel="0" collapsed="false">
      <c r="A1176" s="4" t="n">
        <v>1173</v>
      </c>
      <c r="B1176" s="4" t="s">
        <v>101</v>
      </c>
      <c r="C1176" s="4" t="s">
        <v>5431</v>
      </c>
      <c r="D1176" s="4" t="s">
        <v>4295</v>
      </c>
    </row>
    <row r="1177" customFormat="false" ht="15" hidden="false" customHeight="false" outlineLevel="0" collapsed="false">
      <c r="A1177" s="4" t="n">
        <v>1174</v>
      </c>
      <c r="B1177" s="4" t="s">
        <v>104</v>
      </c>
      <c r="C1177" s="4" t="s">
        <v>5432</v>
      </c>
      <c r="D1177" s="4" t="s">
        <v>4295</v>
      </c>
    </row>
    <row r="1178" customFormat="false" ht="15" hidden="false" customHeight="false" outlineLevel="0" collapsed="false">
      <c r="A1178" s="4" t="n">
        <v>1175</v>
      </c>
      <c r="B1178" s="4" t="s">
        <v>102</v>
      </c>
      <c r="C1178" s="4" t="s">
        <v>5433</v>
      </c>
      <c r="D1178" s="4" t="s">
        <v>4295</v>
      </c>
    </row>
    <row r="1179" customFormat="false" ht="15" hidden="false" customHeight="false" outlineLevel="0" collapsed="false">
      <c r="A1179" s="4" t="n">
        <v>1176</v>
      </c>
      <c r="B1179" s="4" t="s">
        <v>100</v>
      </c>
      <c r="C1179" s="4" t="s">
        <v>5434</v>
      </c>
      <c r="D1179" s="4" t="s">
        <v>4295</v>
      </c>
    </row>
    <row r="1180" customFormat="false" ht="15" hidden="false" customHeight="false" outlineLevel="0" collapsed="false">
      <c r="A1180" s="4" t="n">
        <v>1177</v>
      </c>
      <c r="B1180" s="4" t="s">
        <v>103</v>
      </c>
      <c r="C1180" s="4" t="s">
        <v>5435</v>
      </c>
      <c r="D1180" s="4" t="s">
        <v>4356</v>
      </c>
    </row>
    <row r="1181" customFormat="false" ht="15" hidden="false" customHeight="false" outlineLevel="0" collapsed="false">
      <c r="A1181" s="4" t="n">
        <v>1178</v>
      </c>
      <c r="B1181" s="4" t="s">
        <v>103</v>
      </c>
      <c r="C1181" s="4" t="s">
        <v>5435</v>
      </c>
      <c r="D1181" s="4" t="s">
        <v>4356</v>
      </c>
    </row>
    <row r="1182" customFormat="false" ht="15" hidden="false" customHeight="false" outlineLevel="0" collapsed="false">
      <c r="A1182" s="4" t="n">
        <v>1179</v>
      </c>
      <c r="B1182" s="4" t="s">
        <v>103</v>
      </c>
      <c r="C1182" s="4" t="s">
        <v>5435</v>
      </c>
      <c r="D1182" s="4" t="s">
        <v>4295</v>
      </c>
    </row>
    <row r="1183" customFormat="false" ht="15" hidden="false" customHeight="false" outlineLevel="0" collapsed="false">
      <c r="A1183" s="4" t="n">
        <v>1180</v>
      </c>
      <c r="B1183" s="4" t="s">
        <v>101</v>
      </c>
      <c r="C1183" s="4" t="s">
        <v>5436</v>
      </c>
      <c r="D1183" s="4" t="s">
        <v>4295</v>
      </c>
    </row>
    <row r="1184" customFormat="false" ht="15" hidden="false" customHeight="false" outlineLevel="0" collapsed="false">
      <c r="A1184" s="4" t="n">
        <v>1181</v>
      </c>
      <c r="B1184" s="4" t="s">
        <v>100</v>
      </c>
      <c r="C1184" s="4" t="s">
        <v>5437</v>
      </c>
      <c r="D1184" s="4" t="s">
        <v>4295</v>
      </c>
    </row>
    <row r="1185" customFormat="false" ht="15" hidden="false" customHeight="false" outlineLevel="0" collapsed="false">
      <c r="A1185" s="4" t="n">
        <v>1182</v>
      </c>
      <c r="B1185" s="4" t="s">
        <v>102</v>
      </c>
      <c r="C1185" s="4" t="s">
        <v>5438</v>
      </c>
      <c r="D1185" s="4" t="s">
        <v>4295</v>
      </c>
    </row>
    <row r="1186" customFormat="false" ht="15" hidden="false" customHeight="false" outlineLevel="0" collapsed="false">
      <c r="A1186" s="4" t="n">
        <v>1183</v>
      </c>
      <c r="B1186" s="4" t="s">
        <v>101</v>
      </c>
      <c r="C1186" s="4" t="s">
        <v>5439</v>
      </c>
      <c r="D1186" s="4" t="s">
        <v>4295</v>
      </c>
    </row>
    <row r="1187" customFormat="false" ht="15" hidden="false" customHeight="false" outlineLevel="0" collapsed="false">
      <c r="A1187" s="4" t="n">
        <v>1184</v>
      </c>
      <c r="B1187" s="4" t="s">
        <v>103</v>
      </c>
      <c r="C1187" s="4" t="s">
        <v>5440</v>
      </c>
      <c r="D1187" s="4" t="s">
        <v>4295</v>
      </c>
    </row>
    <row r="1188" customFormat="false" ht="15" hidden="false" customHeight="false" outlineLevel="0" collapsed="false">
      <c r="A1188" s="4" t="n">
        <v>1185</v>
      </c>
      <c r="B1188" s="4" t="s">
        <v>100</v>
      </c>
      <c r="C1188" s="4" t="s">
        <v>5441</v>
      </c>
      <c r="D1188" s="4" t="s">
        <v>4295</v>
      </c>
    </row>
    <row r="1189" customFormat="false" ht="15" hidden="false" customHeight="false" outlineLevel="0" collapsed="false">
      <c r="A1189" s="4" t="n">
        <v>1186</v>
      </c>
      <c r="B1189" s="4" t="s">
        <v>101</v>
      </c>
      <c r="C1189" s="4" t="s">
        <v>5442</v>
      </c>
      <c r="D1189" s="4" t="s">
        <v>4295</v>
      </c>
    </row>
    <row r="1190" customFormat="false" ht="15" hidden="false" customHeight="false" outlineLevel="0" collapsed="false">
      <c r="A1190" s="4" t="n">
        <v>1187</v>
      </c>
      <c r="B1190" s="4" t="s">
        <v>104</v>
      </c>
      <c r="C1190" s="4" t="s">
        <v>5443</v>
      </c>
      <c r="D1190" s="4" t="s">
        <v>4295</v>
      </c>
    </row>
    <row r="1191" customFormat="false" ht="15" hidden="false" customHeight="false" outlineLevel="0" collapsed="false">
      <c r="A1191" s="4" t="n">
        <v>1188</v>
      </c>
      <c r="B1191" s="4" t="s">
        <v>102</v>
      </c>
      <c r="C1191" s="4" t="s">
        <v>5444</v>
      </c>
      <c r="D1191" s="4" t="s">
        <v>4295</v>
      </c>
    </row>
    <row r="1192" customFormat="false" ht="15" hidden="false" customHeight="false" outlineLevel="0" collapsed="false">
      <c r="A1192" s="4" t="n">
        <v>1189</v>
      </c>
      <c r="B1192" s="4" t="s">
        <v>100</v>
      </c>
      <c r="C1192" s="4" t="s">
        <v>5445</v>
      </c>
      <c r="D1192" s="4" t="s">
        <v>4295</v>
      </c>
    </row>
    <row r="1193" customFormat="false" ht="15" hidden="false" customHeight="false" outlineLevel="0" collapsed="false">
      <c r="A1193" s="4" t="n">
        <v>1190</v>
      </c>
      <c r="B1193" s="4" t="s">
        <v>103</v>
      </c>
      <c r="C1193" s="4" t="s">
        <v>5446</v>
      </c>
      <c r="D1193" s="4" t="s">
        <v>4295</v>
      </c>
    </row>
    <row r="1194" customFormat="false" ht="15" hidden="false" customHeight="false" outlineLevel="0" collapsed="false">
      <c r="A1194" s="4" t="n">
        <v>1191</v>
      </c>
      <c r="B1194" s="4" t="s">
        <v>101</v>
      </c>
      <c r="C1194" s="4" t="s">
        <v>5447</v>
      </c>
      <c r="D1194" s="4" t="s">
        <v>4295</v>
      </c>
    </row>
    <row r="1195" customFormat="false" ht="15" hidden="false" customHeight="false" outlineLevel="0" collapsed="false">
      <c r="A1195" s="4" t="n">
        <v>1192</v>
      </c>
      <c r="B1195" s="4" t="s">
        <v>100</v>
      </c>
      <c r="C1195" s="4" t="s">
        <v>5448</v>
      </c>
      <c r="D1195" s="4" t="s">
        <v>4295</v>
      </c>
    </row>
    <row r="1196" customFormat="false" ht="15" hidden="false" customHeight="false" outlineLevel="0" collapsed="false">
      <c r="A1196" s="4" t="n">
        <v>1193</v>
      </c>
      <c r="B1196" s="4" t="s">
        <v>102</v>
      </c>
      <c r="C1196" s="4" t="s">
        <v>5449</v>
      </c>
      <c r="D1196" s="4" t="s">
        <v>4295</v>
      </c>
    </row>
    <row r="1197" customFormat="false" ht="15" hidden="false" customHeight="false" outlineLevel="0" collapsed="false">
      <c r="A1197" s="4" t="n">
        <v>1194</v>
      </c>
      <c r="B1197" s="4" t="s">
        <v>101</v>
      </c>
      <c r="C1197" s="4" t="s">
        <v>5450</v>
      </c>
      <c r="D1197" s="4" t="s">
        <v>4295</v>
      </c>
    </row>
    <row r="1198" customFormat="false" ht="15" hidden="false" customHeight="false" outlineLevel="0" collapsed="false">
      <c r="A1198" s="4" t="n">
        <v>1195</v>
      </c>
      <c r="B1198" s="4" t="s">
        <v>103</v>
      </c>
      <c r="C1198" s="4" t="s">
        <v>5451</v>
      </c>
      <c r="D1198" s="4" t="s">
        <v>4295</v>
      </c>
    </row>
    <row r="1199" customFormat="false" ht="15" hidden="false" customHeight="false" outlineLevel="0" collapsed="false">
      <c r="A1199" s="4" t="n">
        <v>1196</v>
      </c>
      <c r="B1199" s="4" t="s">
        <v>100</v>
      </c>
      <c r="C1199" s="4" t="s">
        <v>5452</v>
      </c>
      <c r="D1199" s="4" t="s">
        <v>4295</v>
      </c>
    </row>
    <row r="1200" customFormat="false" ht="15" hidden="false" customHeight="false" outlineLevel="0" collapsed="false">
      <c r="A1200" s="4" t="n">
        <v>1197</v>
      </c>
      <c r="B1200" s="4" t="s">
        <v>99</v>
      </c>
      <c r="C1200" s="4" t="s">
        <v>5453</v>
      </c>
      <c r="D1200" s="4" t="s">
        <v>4295</v>
      </c>
    </row>
    <row r="1201" customFormat="false" ht="15" hidden="false" customHeight="false" outlineLevel="0" collapsed="false">
      <c r="A1201" s="4" t="n">
        <v>1198</v>
      </c>
      <c r="B1201" s="4" t="s">
        <v>101</v>
      </c>
      <c r="C1201" s="4" t="s">
        <v>5454</v>
      </c>
      <c r="D1201" s="4" t="s">
        <v>4295</v>
      </c>
    </row>
    <row r="1202" customFormat="false" ht="15" hidden="false" customHeight="false" outlineLevel="0" collapsed="false">
      <c r="A1202" s="4" t="n">
        <v>1199</v>
      </c>
      <c r="B1202" s="4" t="s">
        <v>104</v>
      </c>
      <c r="C1202" s="4" t="s">
        <v>5455</v>
      </c>
      <c r="D1202" s="4" t="s">
        <v>4295</v>
      </c>
    </row>
    <row r="1203" customFormat="false" ht="15" hidden="false" customHeight="false" outlineLevel="0" collapsed="false">
      <c r="A1203" s="4" t="n">
        <v>1200</v>
      </c>
      <c r="B1203" s="4" t="s">
        <v>102</v>
      </c>
      <c r="C1203" s="4" t="s">
        <v>5456</v>
      </c>
      <c r="D1203" s="4" t="s">
        <v>4295</v>
      </c>
    </row>
    <row r="1204" customFormat="false" ht="15" hidden="false" customHeight="false" outlineLevel="0" collapsed="false">
      <c r="A1204" s="4" t="n">
        <v>1201</v>
      </c>
      <c r="B1204" s="4" t="s">
        <v>100</v>
      </c>
      <c r="C1204" s="4" t="s">
        <v>5457</v>
      </c>
      <c r="D1204" s="4" t="s">
        <v>4295</v>
      </c>
    </row>
    <row r="1205" customFormat="false" ht="15" hidden="false" customHeight="false" outlineLevel="0" collapsed="false">
      <c r="A1205" s="4" t="n">
        <v>1202</v>
      </c>
      <c r="B1205" s="4" t="s">
        <v>103</v>
      </c>
      <c r="C1205" s="4" t="s">
        <v>5458</v>
      </c>
      <c r="D1205" s="4" t="s">
        <v>4356</v>
      </c>
    </row>
    <row r="1206" customFormat="false" ht="15" hidden="false" customHeight="false" outlineLevel="0" collapsed="false">
      <c r="A1206" s="4" t="n">
        <v>1203</v>
      </c>
      <c r="B1206" s="4" t="s">
        <v>103</v>
      </c>
      <c r="C1206" s="4" t="s">
        <v>5458</v>
      </c>
      <c r="D1206" s="4" t="s">
        <v>4295</v>
      </c>
    </row>
    <row r="1207" customFormat="false" ht="15" hidden="false" customHeight="false" outlineLevel="0" collapsed="false">
      <c r="A1207" s="4" t="n">
        <v>1204</v>
      </c>
      <c r="B1207" s="4" t="s">
        <v>101</v>
      </c>
      <c r="C1207" s="4" t="s">
        <v>5459</v>
      </c>
      <c r="D1207" s="4" t="s">
        <v>4295</v>
      </c>
    </row>
    <row r="1208" customFormat="false" ht="15" hidden="false" customHeight="false" outlineLevel="0" collapsed="false">
      <c r="A1208" s="4" t="n">
        <v>1205</v>
      </c>
      <c r="B1208" s="4" t="s">
        <v>100</v>
      </c>
      <c r="C1208" s="4" t="s">
        <v>5460</v>
      </c>
      <c r="D1208" s="4" t="s">
        <v>4295</v>
      </c>
    </row>
    <row r="1209" customFormat="false" ht="15" hidden="false" customHeight="false" outlineLevel="0" collapsed="false">
      <c r="A1209" s="4" t="n">
        <v>1206</v>
      </c>
      <c r="B1209" s="4" t="s">
        <v>102</v>
      </c>
      <c r="C1209" s="4" t="s">
        <v>5461</v>
      </c>
      <c r="D1209" s="4" t="s">
        <v>4295</v>
      </c>
    </row>
    <row r="1210" customFormat="false" ht="15" hidden="false" customHeight="false" outlineLevel="0" collapsed="false">
      <c r="A1210" s="4" t="n">
        <v>1207</v>
      </c>
      <c r="B1210" s="4" t="s">
        <v>101</v>
      </c>
      <c r="C1210" s="4" t="s">
        <v>5462</v>
      </c>
      <c r="D1210" s="4" t="s">
        <v>4295</v>
      </c>
    </row>
    <row r="1211" customFormat="false" ht="15" hidden="false" customHeight="false" outlineLevel="0" collapsed="false">
      <c r="A1211" s="4" t="n">
        <v>1208</v>
      </c>
      <c r="B1211" s="4" t="s">
        <v>103</v>
      </c>
      <c r="C1211" s="4" t="s">
        <v>5463</v>
      </c>
      <c r="D1211" s="4" t="s">
        <v>4356</v>
      </c>
    </row>
    <row r="1212" customFormat="false" ht="15" hidden="false" customHeight="false" outlineLevel="0" collapsed="false">
      <c r="A1212" s="4" t="n">
        <v>1209</v>
      </c>
      <c r="B1212" s="4" t="s">
        <v>103</v>
      </c>
      <c r="C1212" s="4" t="s">
        <v>5463</v>
      </c>
      <c r="D1212" s="4" t="s">
        <v>4295</v>
      </c>
    </row>
    <row r="1213" customFormat="false" ht="15" hidden="false" customHeight="false" outlineLevel="0" collapsed="false">
      <c r="A1213" s="4" t="n">
        <v>1210</v>
      </c>
      <c r="B1213" s="4" t="s">
        <v>100</v>
      </c>
      <c r="C1213" s="4" t="s">
        <v>5464</v>
      </c>
      <c r="D1213" s="4" t="s">
        <v>4295</v>
      </c>
    </row>
    <row r="1214" customFormat="false" ht="15" hidden="false" customHeight="false" outlineLevel="0" collapsed="false">
      <c r="A1214" s="4" t="n">
        <v>1211</v>
      </c>
      <c r="B1214" s="4" t="s">
        <v>101</v>
      </c>
      <c r="C1214" s="4" t="s">
        <v>5465</v>
      </c>
      <c r="D1214" s="4" t="s">
        <v>4295</v>
      </c>
    </row>
    <row r="1215" customFormat="false" ht="15" hidden="false" customHeight="false" outlineLevel="0" collapsed="false">
      <c r="A1215" s="4" t="n">
        <v>1212</v>
      </c>
      <c r="B1215" s="4" t="s">
        <v>104</v>
      </c>
      <c r="C1215" s="4" t="s">
        <v>5466</v>
      </c>
      <c r="D1215" s="4" t="s">
        <v>4295</v>
      </c>
    </row>
    <row r="1216" customFormat="false" ht="15" hidden="false" customHeight="false" outlineLevel="0" collapsed="false">
      <c r="A1216" s="4" t="n">
        <v>1213</v>
      </c>
      <c r="B1216" s="4" t="s">
        <v>102</v>
      </c>
      <c r="C1216" s="4" t="s">
        <v>5467</v>
      </c>
      <c r="D1216" s="4" t="s">
        <v>4295</v>
      </c>
    </row>
    <row r="1217" customFormat="false" ht="15" hidden="false" customHeight="false" outlineLevel="0" collapsed="false">
      <c r="A1217" s="4" t="n">
        <v>1214</v>
      </c>
      <c r="B1217" s="4" t="s">
        <v>100</v>
      </c>
      <c r="C1217" s="4" t="s">
        <v>5468</v>
      </c>
      <c r="D1217" s="4" t="s">
        <v>4295</v>
      </c>
    </row>
    <row r="1218" customFormat="false" ht="15" hidden="false" customHeight="false" outlineLevel="0" collapsed="false">
      <c r="A1218" s="4" t="n">
        <v>1215</v>
      </c>
      <c r="B1218" s="4" t="s">
        <v>103</v>
      </c>
      <c r="C1218" s="4" t="s">
        <v>5469</v>
      </c>
      <c r="D1218" s="4" t="s">
        <v>4295</v>
      </c>
    </row>
    <row r="1219" customFormat="false" ht="15" hidden="false" customHeight="false" outlineLevel="0" collapsed="false">
      <c r="A1219" s="4" t="n">
        <v>1216</v>
      </c>
      <c r="B1219" s="4" t="s">
        <v>101</v>
      </c>
      <c r="C1219" s="4" t="s">
        <v>5470</v>
      </c>
      <c r="D1219" s="4" t="s">
        <v>4295</v>
      </c>
    </row>
    <row r="1220" customFormat="false" ht="15" hidden="false" customHeight="false" outlineLevel="0" collapsed="false">
      <c r="A1220" s="4" t="n">
        <v>1217</v>
      </c>
      <c r="B1220" s="4" t="s">
        <v>100</v>
      </c>
      <c r="C1220" s="4" t="s">
        <v>5471</v>
      </c>
      <c r="D1220" s="4" t="s">
        <v>4295</v>
      </c>
    </row>
    <row r="1221" customFormat="false" ht="15" hidden="false" customHeight="false" outlineLevel="0" collapsed="false">
      <c r="A1221" s="4" t="n">
        <v>1218</v>
      </c>
      <c r="B1221" s="4" t="s">
        <v>102</v>
      </c>
      <c r="C1221" s="4" t="s">
        <v>5472</v>
      </c>
      <c r="D1221" s="4" t="s">
        <v>4295</v>
      </c>
    </row>
    <row r="1222" customFormat="false" ht="15" hidden="false" customHeight="false" outlineLevel="0" collapsed="false">
      <c r="A1222" s="4" t="n">
        <v>1219</v>
      </c>
      <c r="B1222" s="4" t="s">
        <v>101</v>
      </c>
      <c r="C1222" s="4" t="s">
        <v>5473</v>
      </c>
      <c r="D1222" s="4" t="s">
        <v>4295</v>
      </c>
    </row>
    <row r="1223" customFormat="false" ht="15" hidden="false" customHeight="false" outlineLevel="0" collapsed="false">
      <c r="A1223" s="4" t="n">
        <v>1220</v>
      </c>
      <c r="B1223" s="4" t="s">
        <v>103</v>
      </c>
      <c r="C1223" s="4" t="s">
        <v>5474</v>
      </c>
      <c r="D1223" s="4" t="s">
        <v>4356</v>
      </c>
    </row>
    <row r="1224" customFormat="false" ht="15" hidden="false" customHeight="false" outlineLevel="0" collapsed="false">
      <c r="A1224" s="4" t="n">
        <v>1221</v>
      </c>
      <c r="B1224" s="4" t="s">
        <v>103</v>
      </c>
      <c r="C1224" s="4" t="s">
        <v>5474</v>
      </c>
      <c r="D1224" s="4" t="s">
        <v>4356</v>
      </c>
    </row>
    <row r="1225" customFormat="false" ht="15" hidden="false" customHeight="false" outlineLevel="0" collapsed="false">
      <c r="A1225" s="4" t="n">
        <v>1222</v>
      </c>
      <c r="B1225" s="4" t="s">
        <v>103</v>
      </c>
      <c r="C1225" s="4" t="s">
        <v>5474</v>
      </c>
      <c r="D1225" s="4" t="s">
        <v>4295</v>
      </c>
    </row>
    <row r="1226" customFormat="false" ht="15" hidden="false" customHeight="false" outlineLevel="0" collapsed="false">
      <c r="A1226" s="4" t="n">
        <v>1223</v>
      </c>
      <c r="B1226" s="4" t="s">
        <v>100</v>
      </c>
      <c r="C1226" s="4" t="s">
        <v>5475</v>
      </c>
      <c r="D1226" s="4" t="s">
        <v>4295</v>
      </c>
    </row>
    <row r="1227" customFormat="false" ht="15" hidden="false" customHeight="false" outlineLevel="0" collapsed="false">
      <c r="A1227" s="4" t="n">
        <v>1224</v>
      </c>
      <c r="B1227" s="4" t="s">
        <v>99</v>
      </c>
      <c r="C1227" s="4" t="s">
        <v>5476</v>
      </c>
      <c r="D1227" s="4" t="s">
        <v>4295</v>
      </c>
    </row>
    <row r="1228" customFormat="false" ht="15" hidden="false" customHeight="false" outlineLevel="0" collapsed="false">
      <c r="A1228" s="4" t="n">
        <v>1225</v>
      </c>
      <c r="B1228" s="4" t="s">
        <v>101</v>
      </c>
      <c r="C1228" s="4" t="s">
        <v>5477</v>
      </c>
      <c r="D1228" s="4" t="s">
        <v>4295</v>
      </c>
    </row>
    <row r="1229" customFormat="false" ht="15" hidden="false" customHeight="false" outlineLevel="0" collapsed="false">
      <c r="A1229" s="4" t="n">
        <v>1226</v>
      </c>
      <c r="B1229" s="4" t="s">
        <v>104</v>
      </c>
      <c r="C1229" s="4" t="s">
        <v>5478</v>
      </c>
      <c r="D1229" s="4" t="s">
        <v>4295</v>
      </c>
    </row>
    <row r="1230" customFormat="false" ht="15" hidden="false" customHeight="false" outlineLevel="0" collapsed="false">
      <c r="A1230" s="4" t="n">
        <v>1227</v>
      </c>
      <c r="B1230" s="4" t="s">
        <v>102</v>
      </c>
      <c r="C1230" s="4" t="s">
        <v>5479</v>
      </c>
      <c r="D1230" s="4" t="s">
        <v>4295</v>
      </c>
    </row>
    <row r="1231" customFormat="false" ht="15" hidden="false" customHeight="false" outlineLevel="0" collapsed="false">
      <c r="A1231" s="4" t="n">
        <v>1228</v>
      </c>
      <c r="B1231" s="4" t="s">
        <v>100</v>
      </c>
      <c r="C1231" s="4" t="s">
        <v>5480</v>
      </c>
      <c r="D1231" s="4" t="s">
        <v>4295</v>
      </c>
    </row>
    <row r="1232" customFormat="false" ht="15" hidden="false" customHeight="false" outlineLevel="0" collapsed="false">
      <c r="A1232" s="4" t="n">
        <v>1229</v>
      </c>
      <c r="B1232" s="4" t="s">
        <v>103</v>
      </c>
      <c r="C1232" s="4" t="s">
        <v>5481</v>
      </c>
      <c r="D1232" s="4" t="s">
        <v>4295</v>
      </c>
    </row>
    <row r="1233" customFormat="false" ht="15" hidden="false" customHeight="false" outlineLevel="0" collapsed="false">
      <c r="A1233" s="4" t="n">
        <v>1230</v>
      </c>
      <c r="B1233" s="4" t="s">
        <v>101</v>
      </c>
      <c r="C1233" s="4" t="s">
        <v>5482</v>
      </c>
      <c r="D1233" s="4" t="s">
        <v>4295</v>
      </c>
    </row>
    <row r="1234" customFormat="false" ht="15" hidden="false" customHeight="false" outlineLevel="0" collapsed="false">
      <c r="A1234" s="4" t="n">
        <v>1231</v>
      </c>
      <c r="B1234" s="4" t="s">
        <v>100</v>
      </c>
      <c r="C1234" s="4" t="s">
        <v>5483</v>
      </c>
      <c r="D1234" s="4" t="s">
        <v>4295</v>
      </c>
    </row>
    <row r="1235" customFormat="false" ht="15" hidden="false" customHeight="false" outlineLevel="0" collapsed="false">
      <c r="A1235" s="4" t="n">
        <v>1232</v>
      </c>
      <c r="B1235" s="4" t="s">
        <v>102</v>
      </c>
      <c r="C1235" s="4" t="s">
        <v>5484</v>
      </c>
      <c r="D1235" s="4" t="s">
        <v>4295</v>
      </c>
    </row>
    <row r="1236" customFormat="false" ht="15" hidden="false" customHeight="false" outlineLevel="0" collapsed="false">
      <c r="A1236" s="4" t="n">
        <v>1233</v>
      </c>
      <c r="B1236" s="4" t="s">
        <v>101</v>
      </c>
      <c r="C1236" s="4" t="s">
        <v>5485</v>
      </c>
      <c r="D1236" s="4" t="s">
        <v>4295</v>
      </c>
    </row>
    <row r="1237" customFormat="false" ht="15" hidden="false" customHeight="false" outlineLevel="0" collapsed="false">
      <c r="A1237" s="4" t="n">
        <v>1234</v>
      </c>
      <c r="B1237" s="4" t="s">
        <v>103</v>
      </c>
      <c r="C1237" s="4" t="s">
        <v>5486</v>
      </c>
      <c r="D1237" s="4" t="s">
        <v>4295</v>
      </c>
    </row>
    <row r="1238" customFormat="false" ht="15" hidden="false" customHeight="false" outlineLevel="0" collapsed="false">
      <c r="A1238" s="4" t="n">
        <v>1235</v>
      </c>
      <c r="B1238" s="4" t="s">
        <v>100</v>
      </c>
      <c r="C1238" s="4" t="s">
        <v>5487</v>
      </c>
      <c r="D1238" s="4" t="s">
        <v>4295</v>
      </c>
    </row>
    <row r="1239" customFormat="false" ht="15" hidden="false" customHeight="false" outlineLevel="0" collapsed="false">
      <c r="A1239" s="4" t="n">
        <v>1236</v>
      </c>
      <c r="B1239" s="4" t="s">
        <v>101</v>
      </c>
      <c r="C1239" s="4" t="s">
        <v>5488</v>
      </c>
      <c r="D1239" s="4" t="s">
        <v>4295</v>
      </c>
    </row>
    <row r="1240" customFormat="false" ht="15" hidden="false" customHeight="false" outlineLevel="0" collapsed="false">
      <c r="A1240" s="4" t="n">
        <v>1237</v>
      </c>
      <c r="B1240" s="4" t="s">
        <v>104</v>
      </c>
      <c r="C1240" s="4" t="s">
        <v>5489</v>
      </c>
      <c r="D1240" s="4" t="s">
        <v>4295</v>
      </c>
    </row>
    <row r="1241" customFormat="false" ht="15" hidden="false" customHeight="false" outlineLevel="0" collapsed="false">
      <c r="A1241" s="4" t="n">
        <v>1238</v>
      </c>
      <c r="B1241" s="4" t="s">
        <v>102</v>
      </c>
      <c r="C1241" s="4" t="s">
        <v>5490</v>
      </c>
      <c r="D1241" s="4" t="s">
        <v>4295</v>
      </c>
    </row>
    <row r="1242" customFormat="false" ht="15" hidden="false" customHeight="false" outlineLevel="0" collapsed="false">
      <c r="A1242" s="4" t="n">
        <v>1239</v>
      </c>
      <c r="B1242" s="4" t="s">
        <v>100</v>
      </c>
      <c r="C1242" s="4" t="s">
        <v>5491</v>
      </c>
      <c r="D1242" s="4" t="s">
        <v>4295</v>
      </c>
    </row>
    <row r="1243" customFormat="false" ht="15" hidden="false" customHeight="false" outlineLevel="0" collapsed="false">
      <c r="A1243" s="4" t="n">
        <v>1240</v>
      </c>
      <c r="B1243" s="4" t="s">
        <v>103</v>
      </c>
      <c r="C1243" s="4" t="s">
        <v>5492</v>
      </c>
      <c r="D1243" s="4" t="s">
        <v>4356</v>
      </c>
    </row>
    <row r="1244" customFormat="false" ht="15" hidden="false" customHeight="false" outlineLevel="0" collapsed="false">
      <c r="A1244" s="4" t="n">
        <v>1241</v>
      </c>
      <c r="B1244" s="4" t="s">
        <v>103</v>
      </c>
      <c r="C1244" s="4" t="s">
        <v>5492</v>
      </c>
      <c r="D1244" s="4" t="s">
        <v>4295</v>
      </c>
    </row>
    <row r="1245" customFormat="false" ht="15" hidden="false" customHeight="false" outlineLevel="0" collapsed="false">
      <c r="A1245" s="4" t="n">
        <v>1242</v>
      </c>
      <c r="B1245" s="4" t="s">
        <v>101</v>
      </c>
      <c r="C1245" s="4" t="s">
        <v>5493</v>
      </c>
      <c r="D1245" s="4" t="s">
        <v>4295</v>
      </c>
    </row>
    <row r="1246" customFormat="false" ht="15" hidden="false" customHeight="false" outlineLevel="0" collapsed="false">
      <c r="A1246" s="4" t="n">
        <v>1243</v>
      </c>
      <c r="B1246" s="4" t="s">
        <v>100</v>
      </c>
      <c r="C1246" s="4" t="s">
        <v>5494</v>
      </c>
      <c r="D1246" s="4" t="s">
        <v>4295</v>
      </c>
    </row>
    <row r="1247" customFormat="false" ht="15" hidden="false" customHeight="false" outlineLevel="0" collapsed="false">
      <c r="A1247" s="4" t="n">
        <v>1244</v>
      </c>
      <c r="B1247" s="4" t="s">
        <v>102</v>
      </c>
      <c r="C1247" s="4" t="s">
        <v>5495</v>
      </c>
      <c r="D1247" s="4" t="s">
        <v>4295</v>
      </c>
    </row>
    <row r="1248" customFormat="false" ht="15" hidden="false" customHeight="false" outlineLevel="0" collapsed="false">
      <c r="A1248" s="4" t="n">
        <v>1245</v>
      </c>
      <c r="B1248" s="4" t="s">
        <v>101</v>
      </c>
      <c r="C1248" s="4" t="s">
        <v>5496</v>
      </c>
      <c r="D1248" s="4" t="s">
        <v>4295</v>
      </c>
    </row>
    <row r="1249" customFormat="false" ht="15" hidden="false" customHeight="false" outlineLevel="0" collapsed="false">
      <c r="A1249" s="4" t="n">
        <v>1246</v>
      </c>
      <c r="B1249" s="4" t="s">
        <v>103</v>
      </c>
      <c r="C1249" s="4" t="s">
        <v>5497</v>
      </c>
      <c r="D1249" s="4" t="s">
        <v>4295</v>
      </c>
    </row>
    <row r="1250" customFormat="false" ht="15" hidden="false" customHeight="false" outlineLevel="0" collapsed="false">
      <c r="A1250" s="4" t="n">
        <v>1247</v>
      </c>
      <c r="B1250" s="4" t="s">
        <v>100</v>
      </c>
      <c r="C1250" s="4" t="s">
        <v>5498</v>
      </c>
      <c r="D1250" s="4" t="s">
        <v>4295</v>
      </c>
    </row>
    <row r="1251" customFormat="false" ht="15" hidden="false" customHeight="false" outlineLevel="0" collapsed="false">
      <c r="A1251" s="4" t="n">
        <v>1248</v>
      </c>
      <c r="B1251" s="4" t="s">
        <v>99</v>
      </c>
      <c r="C1251" s="4" t="s">
        <v>5499</v>
      </c>
      <c r="D1251" s="4" t="s">
        <v>4295</v>
      </c>
    </row>
    <row r="1252" customFormat="false" ht="15" hidden="false" customHeight="false" outlineLevel="0" collapsed="false">
      <c r="A1252" s="4" t="n">
        <v>1249</v>
      </c>
      <c r="B1252" s="4" t="s">
        <v>101</v>
      </c>
      <c r="C1252" s="4" t="s">
        <v>5500</v>
      </c>
      <c r="D1252" s="4" t="s">
        <v>4295</v>
      </c>
    </row>
    <row r="1253" customFormat="false" ht="15" hidden="false" customHeight="false" outlineLevel="0" collapsed="false">
      <c r="A1253" s="4" t="n">
        <v>1250</v>
      </c>
      <c r="B1253" s="4" t="s">
        <v>104</v>
      </c>
      <c r="C1253" s="4" t="s">
        <v>5501</v>
      </c>
      <c r="D1253" s="4" t="s">
        <v>4295</v>
      </c>
    </row>
    <row r="1254" customFormat="false" ht="15" hidden="false" customHeight="false" outlineLevel="0" collapsed="false">
      <c r="A1254" s="4" t="n">
        <v>1251</v>
      </c>
      <c r="B1254" s="4" t="s">
        <v>102</v>
      </c>
      <c r="C1254" s="4" t="s">
        <v>5502</v>
      </c>
      <c r="D1254" s="4" t="s">
        <v>4295</v>
      </c>
    </row>
    <row r="1255" customFormat="false" ht="15" hidden="false" customHeight="false" outlineLevel="0" collapsed="false">
      <c r="A1255" s="4" t="n">
        <v>1252</v>
      </c>
      <c r="B1255" s="4" t="s">
        <v>100</v>
      </c>
      <c r="C1255" s="4" t="s">
        <v>5503</v>
      </c>
      <c r="D1255" s="4" t="s">
        <v>4295</v>
      </c>
    </row>
    <row r="1256" customFormat="false" ht="15" hidden="false" customHeight="false" outlineLevel="0" collapsed="false">
      <c r="A1256" s="4" t="n">
        <v>1253</v>
      </c>
      <c r="B1256" s="4" t="s">
        <v>103</v>
      </c>
      <c r="C1256" s="4" t="s">
        <v>5504</v>
      </c>
      <c r="D1256" s="4" t="s">
        <v>4356</v>
      </c>
    </row>
    <row r="1257" customFormat="false" ht="15" hidden="false" customHeight="false" outlineLevel="0" collapsed="false">
      <c r="A1257" s="4" t="n">
        <v>1254</v>
      </c>
      <c r="B1257" s="4" t="s">
        <v>103</v>
      </c>
      <c r="C1257" s="4" t="s">
        <v>5504</v>
      </c>
      <c r="D1257" s="4" t="s">
        <v>4356</v>
      </c>
    </row>
    <row r="1258" customFormat="false" ht="15" hidden="false" customHeight="false" outlineLevel="0" collapsed="false">
      <c r="A1258" s="4" t="n">
        <v>1255</v>
      </c>
      <c r="B1258" s="4" t="s">
        <v>103</v>
      </c>
      <c r="C1258" s="4" t="s">
        <v>5504</v>
      </c>
      <c r="D1258" s="4" t="s">
        <v>4295</v>
      </c>
    </row>
    <row r="1259" customFormat="false" ht="15" hidden="false" customHeight="false" outlineLevel="0" collapsed="false">
      <c r="A1259" s="4" t="n">
        <v>1256</v>
      </c>
      <c r="B1259" s="4" t="s">
        <v>101</v>
      </c>
      <c r="C1259" s="4" t="s">
        <v>5505</v>
      </c>
      <c r="D1259" s="4" t="s">
        <v>4295</v>
      </c>
    </row>
    <row r="1260" customFormat="false" ht="15" hidden="false" customHeight="false" outlineLevel="0" collapsed="false">
      <c r="A1260" s="4" t="n">
        <v>1257</v>
      </c>
      <c r="B1260" s="4" t="s">
        <v>100</v>
      </c>
      <c r="C1260" s="4" t="s">
        <v>5506</v>
      </c>
      <c r="D1260" s="4" t="s">
        <v>4295</v>
      </c>
    </row>
    <row r="1261" customFormat="false" ht="15" hidden="false" customHeight="false" outlineLevel="0" collapsed="false">
      <c r="A1261" s="4" t="n">
        <v>1258</v>
      </c>
      <c r="B1261" s="4" t="s">
        <v>102</v>
      </c>
      <c r="C1261" s="4" t="s">
        <v>5507</v>
      </c>
      <c r="D1261" s="4" t="s">
        <v>4295</v>
      </c>
    </row>
    <row r="1262" customFormat="false" ht="15" hidden="false" customHeight="false" outlineLevel="0" collapsed="false">
      <c r="A1262" s="4" t="n">
        <v>1259</v>
      </c>
      <c r="B1262" s="4" t="s">
        <v>101</v>
      </c>
      <c r="C1262" s="4" t="s">
        <v>5508</v>
      </c>
      <c r="D1262" s="4" t="s">
        <v>4295</v>
      </c>
    </row>
    <row r="1263" customFormat="false" ht="15" hidden="false" customHeight="false" outlineLevel="0" collapsed="false">
      <c r="A1263" s="4" t="n">
        <v>1260</v>
      </c>
      <c r="B1263" s="4" t="s">
        <v>103</v>
      </c>
      <c r="C1263" s="4" t="s">
        <v>5509</v>
      </c>
      <c r="D1263" s="4" t="s">
        <v>4295</v>
      </c>
    </row>
    <row r="1264" customFormat="false" ht="15" hidden="false" customHeight="false" outlineLevel="0" collapsed="false">
      <c r="A1264" s="4" t="n">
        <v>1261</v>
      </c>
      <c r="B1264" s="4" t="s">
        <v>100</v>
      </c>
      <c r="C1264" s="4" t="s">
        <v>5510</v>
      </c>
      <c r="D1264" s="4" t="s">
        <v>4295</v>
      </c>
    </row>
    <row r="1265" customFormat="false" ht="15" hidden="false" customHeight="false" outlineLevel="0" collapsed="false">
      <c r="A1265" s="4" t="n">
        <v>1262</v>
      </c>
      <c r="B1265" s="4" t="s">
        <v>101</v>
      </c>
      <c r="C1265" s="4" t="s">
        <v>5511</v>
      </c>
      <c r="D1265" s="4" t="s">
        <v>4295</v>
      </c>
    </row>
    <row r="1266" customFormat="false" ht="15" hidden="false" customHeight="false" outlineLevel="0" collapsed="false">
      <c r="A1266" s="4" t="n">
        <v>1263</v>
      </c>
      <c r="B1266" s="4" t="s">
        <v>104</v>
      </c>
      <c r="C1266" s="4" t="s">
        <v>5512</v>
      </c>
      <c r="D1266" s="4" t="s">
        <v>4295</v>
      </c>
    </row>
    <row r="1267" customFormat="false" ht="15" hidden="false" customHeight="false" outlineLevel="0" collapsed="false">
      <c r="A1267" s="4" t="n">
        <v>1264</v>
      </c>
      <c r="B1267" s="4" t="s">
        <v>102</v>
      </c>
      <c r="C1267" s="4" t="s">
        <v>5513</v>
      </c>
      <c r="D1267" s="4" t="s">
        <v>4295</v>
      </c>
    </row>
    <row r="1268" customFormat="false" ht="15" hidden="false" customHeight="false" outlineLevel="0" collapsed="false">
      <c r="A1268" s="4" t="n">
        <v>1265</v>
      </c>
      <c r="B1268" s="4" t="s">
        <v>100</v>
      </c>
      <c r="C1268" s="4" t="s">
        <v>5514</v>
      </c>
      <c r="D1268" s="4" t="s">
        <v>4295</v>
      </c>
    </row>
    <row r="1269" customFormat="false" ht="15" hidden="false" customHeight="false" outlineLevel="0" collapsed="false">
      <c r="A1269" s="4" t="n">
        <v>1266</v>
      </c>
      <c r="B1269" s="4" t="s">
        <v>103</v>
      </c>
      <c r="C1269" s="4" t="s">
        <v>5515</v>
      </c>
      <c r="D1269" s="4" t="s">
        <v>4295</v>
      </c>
    </row>
    <row r="1270" customFormat="false" ht="15" hidden="false" customHeight="false" outlineLevel="0" collapsed="false">
      <c r="A1270" s="4" t="n">
        <v>1267</v>
      </c>
      <c r="B1270" s="4" t="s">
        <v>101</v>
      </c>
      <c r="C1270" s="4" t="s">
        <v>5516</v>
      </c>
      <c r="D1270" s="4" t="s">
        <v>4295</v>
      </c>
    </row>
    <row r="1271" customFormat="false" ht="15" hidden="false" customHeight="false" outlineLevel="0" collapsed="false">
      <c r="A1271" s="4" t="n">
        <v>1268</v>
      </c>
      <c r="B1271" s="4" t="s">
        <v>100</v>
      </c>
      <c r="C1271" s="4" t="s">
        <v>5517</v>
      </c>
      <c r="D1271" s="4" t="s">
        <v>4295</v>
      </c>
    </row>
    <row r="1272" customFormat="false" ht="15" hidden="false" customHeight="false" outlineLevel="0" collapsed="false">
      <c r="A1272" s="4" t="n">
        <v>1269</v>
      </c>
      <c r="B1272" s="4" t="s">
        <v>102</v>
      </c>
      <c r="C1272" s="4" t="s">
        <v>5518</v>
      </c>
      <c r="D1272" s="4" t="s">
        <v>4295</v>
      </c>
    </row>
    <row r="1273" customFormat="false" ht="15" hidden="false" customHeight="false" outlineLevel="0" collapsed="false">
      <c r="A1273" s="4" t="n">
        <v>1270</v>
      </c>
      <c r="B1273" s="4" t="s">
        <v>101</v>
      </c>
      <c r="C1273" s="4" t="s">
        <v>5519</v>
      </c>
      <c r="D1273" s="4" t="s">
        <v>4295</v>
      </c>
    </row>
    <row r="1274" customFormat="false" ht="15" hidden="false" customHeight="false" outlineLevel="0" collapsed="false">
      <c r="A1274" s="4" t="n">
        <v>1271</v>
      </c>
      <c r="B1274" s="4" t="s">
        <v>103</v>
      </c>
      <c r="C1274" s="4" t="s">
        <v>5520</v>
      </c>
      <c r="D1274" s="4" t="s">
        <v>4295</v>
      </c>
    </row>
    <row r="1275" customFormat="false" ht="15" hidden="false" customHeight="false" outlineLevel="0" collapsed="false">
      <c r="A1275" s="4" t="n">
        <v>1272</v>
      </c>
      <c r="B1275" s="4" t="s">
        <v>100</v>
      </c>
      <c r="C1275" s="4" t="s">
        <v>5521</v>
      </c>
      <c r="D1275" s="4" t="s">
        <v>4295</v>
      </c>
    </row>
    <row r="1276" customFormat="false" ht="15" hidden="false" customHeight="false" outlineLevel="0" collapsed="false">
      <c r="A1276" s="4" t="n">
        <v>1273</v>
      </c>
      <c r="B1276" s="4" t="s">
        <v>99</v>
      </c>
      <c r="C1276" s="4" t="s">
        <v>5522</v>
      </c>
      <c r="D1276" s="4" t="s">
        <v>4295</v>
      </c>
    </row>
    <row r="1277" customFormat="false" ht="15" hidden="false" customHeight="false" outlineLevel="0" collapsed="false">
      <c r="A1277" s="4" t="n">
        <v>1274</v>
      </c>
      <c r="B1277" s="4" t="s">
        <v>101</v>
      </c>
      <c r="C1277" s="4" t="s">
        <v>5523</v>
      </c>
      <c r="D1277" s="4" t="s">
        <v>4295</v>
      </c>
    </row>
    <row r="1278" customFormat="false" ht="15" hidden="false" customHeight="false" outlineLevel="0" collapsed="false">
      <c r="A1278" s="4" t="n">
        <v>1275</v>
      </c>
      <c r="B1278" s="4" t="s">
        <v>104</v>
      </c>
      <c r="C1278" s="4" t="s">
        <v>5524</v>
      </c>
      <c r="D1278" s="4" t="s">
        <v>4295</v>
      </c>
    </row>
    <row r="1279" customFormat="false" ht="15" hidden="false" customHeight="false" outlineLevel="0" collapsed="false">
      <c r="A1279" s="4" t="n">
        <v>1276</v>
      </c>
      <c r="B1279" s="4" t="s">
        <v>102</v>
      </c>
      <c r="C1279" s="4" t="s">
        <v>5525</v>
      </c>
      <c r="D1279" s="4" t="s">
        <v>4295</v>
      </c>
    </row>
    <row r="1280" customFormat="false" ht="15" hidden="false" customHeight="false" outlineLevel="0" collapsed="false">
      <c r="A1280" s="4" t="n">
        <v>1277</v>
      </c>
      <c r="B1280" s="4" t="s">
        <v>100</v>
      </c>
      <c r="C1280" s="4" t="s">
        <v>5526</v>
      </c>
      <c r="D1280" s="4" t="s">
        <v>4295</v>
      </c>
    </row>
    <row r="1281" customFormat="false" ht="15" hidden="false" customHeight="false" outlineLevel="0" collapsed="false">
      <c r="A1281" s="4" t="n">
        <v>1278</v>
      </c>
      <c r="B1281" s="4" t="s">
        <v>103</v>
      </c>
      <c r="C1281" s="4" t="s">
        <v>5527</v>
      </c>
      <c r="D1281" s="4" t="s">
        <v>4295</v>
      </c>
    </row>
    <row r="1282" customFormat="false" ht="15" hidden="false" customHeight="false" outlineLevel="0" collapsed="false">
      <c r="A1282" s="4" t="n">
        <v>1279</v>
      </c>
      <c r="B1282" s="4" t="s">
        <v>101</v>
      </c>
      <c r="C1282" s="4" t="s">
        <v>5528</v>
      </c>
      <c r="D1282" s="4" t="s">
        <v>4295</v>
      </c>
    </row>
    <row r="1283" customFormat="false" ht="15" hidden="false" customHeight="false" outlineLevel="0" collapsed="false">
      <c r="A1283" s="4" t="n">
        <v>1280</v>
      </c>
      <c r="B1283" s="4" t="s">
        <v>100</v>
      </c>
      <c r="C1283" s="4" t="s">
        <v>5529</v>
      </c>
      <c r="D1283" s="4" t="s">
        <v>4295</v>
      </c>
    </row>
    <row r="1284" customFormat="false" ht="15" hidden="false" customHeight="false" outlineLevel="0" collapsed="false">
      <c r="A1284" s="4" t="n">
        <v>1281</v>
      </c>
      <c r="B1284" s="4" t="s">
        <v>102</v>
      </c>
      <c r="C1284" s="4" t="s">
        <v>5530</v>
      </c>
      <c r="D1284" s="4" t="s">
        <v>4295</v>
      </c>
    </row>
    <row r="1285" customFormat="false" ht="15" hidden="false" customHeight="false" outlineLevel="0" collapsed="false">
      <c r="A1285" s="4" t="n">
        <v>1282</v>
      </c>
      <c r="B1285" s="4" t="s">
        <v>101</v>
      </c>
      <c r="C1285" s="4" t="s">
        <v>5531</v>
      </c>
      <c r="D1285" s="4" t="s">
        <v>4295</v>
      </c>
    </row>
    <row r="1286" customFormat="false" ht="15" hidden="false" customHeight="false" outlineLevel="0" collapsed="false">
      <c r="A1286" s="4" t="n">
        <v>1283</v>
      </c>
      <c r="B1286" s="4" t="s">
        <v>103</v>
      </c>
      <c r="C1286" s="4" t="s">
        <v>5532</v>
      </c>
      <c r="D1286" s="4" t="s">
        <v>4295</v>
      </c>
    </row>
    <row r="1287" customFormat="false" ht="15" hidden="false" customHeight="false" outlineLevel="0" collapsed="false">
      <c r="A1287" s="4" t="n">
        <v>1284</v>
      </c>
      <c r="B1287" s="4" t="s">
        <v>100</v>
      </c>
      <c r="C1287" s="4" t="s">
        <v>5533</v>
      </c>
      <c r="D1287" s="4" t="s">
        <v>4295</v>
      </c>
    </row>
    <row r="1288" customFormat="false" ht="15" hidden="false" customHeight="false" outlineLevel="0" collapsed="false">
      <c r="A1288" s="4" t="n">
        <v>1285</v>
      </c>
      <c r="B1288" s="4" t="s">
        <v>101</v>
      </c>
      <c r="C1288" s="4" t="s">
        <v>5534</v>
      </c>
      <c r="D1288" s="4" t="s">
        <v>4295</v>
      </c>
    </row>
    <row r="1289" customFormat="false" ht="15" hidden="false" customHeight="false" outlineLevel="0" collapsed="false">
      <c r="A1289" s="4" t="n">
        <v>1286</v>
      </c>
      <c r="B1289" s="4" t="s">
        <v>104</v>
      </c>
      <c r="C1289" s="4" t="s">
        <v>5535</v>
      </c>
      <c r="D1289" s="4" t="s">
        <v>4295</v>
      </c>
    </row>
    <row r="1290" customFormat="false" ht="15" hidden="false" customHeight="false" outlineLevel="0" collapsed="false">
      <c r="A1290" s="4" t="n">
        <v>1287</v>
      </c>
      <c r="B1290" s="4" t="s">
        <v>102</v>
      </c>
      <c r="C1290" s="4" t="s">
        <v>5536</v>
      </c>
      <c r="D1290" s="4" t="s">
        <v>4295</v>
      </c>
    </row>
    <row r="1291" customFormat="false" ht="15" hidden="false" customHeight="false" outlineLevel="0" collapsed="false">
      <c r="A1291" s="4" t="n">
        <v>1288</v>
      </c>
      <c r="B1291" s="4" t="s">
        <v>100</v>
      </c>
      <c r="C1291" s="4" t="s">
        <v>5537</v>
      </c>
      <c r="D1291" s="4" t="s">
        <v>4295</v>
      </c>
    </row>
    <row r="1292" customFormat="false" ht="15" hidden="false" customHeight="false" outlineLevel="0" collapsed="false">
      <c r="A1292" s="4" t="n">
        <v>1289</v>
      </c>
      <c r="B1292" s="4" t="s">
        <v>103</v>
      </c>
      <c r="C1292" s="4" t="s">
        <v>5538</v>
      </c>
      <c r="D1292" s="4" t="s">
        <v>4295</v>
      </c>
    </row>
    <row r="1293" customFormat="false" ht="15" hidden="false" customHeight="false" outlineLevel="0" collapsed="false">
      <c r="A1293" s="4" t="n">
        <v>1290</v>
      </c>
      <c r="B1293" s="4" t="s">
        <v>101</v>
      </c>
      <c r="C1293" s="4" t="s">
        <v>5539</v>
      </c>
      <c r="D1293" s="4" t="s">
        <v>4295</v>
      </c>
    </row>
    <row r="1294" customFormat="false" ht="15" hidden="false" customHeight="false" outlineLevel="0" collapsed="false">
      <c r="A1294" s="4" t="n">
        <v>1291</v>
      </c>
      <c r="B1294" s="4" t="s">
        <v>100</v>
      </c>
      <c r="C1294" s="4" t="s">
        <v>5540</v>
      </c>
      <c r="D1294" s="4" t="s">
        <v>4295</v>
      </c>
    </row>
    <row r="1295" customFormat="false" ht="15" hidden="false" customHeight="false" outlineLevel="0" collapsed="false">
      <c r="A1295" s="4" t="n">
        <v>1292</v>
      </c>
      <c r="B1295" s="4" t="s">
        <v>102</v>
      </c>
      <c r="C1295" s="4" t="s">
        <v>5541</v>
      </c>
      <c r="D1295" s="4" t="s">
        <v>4295</v>
      </c>
    </row>
    <row r="1296" customFormat="false" ht="15" hidden="false" customHeight="false" outlineLevel="0" collapsed="false">
      <c r="A1296" s="4" t="n">
        <v>1293</v>
      </c>
      <c r="B1296" s="4" t="s">
        <v>101</v>
      </c>
      <c r="C1296" s="4" t="s">
        <v>5542</v>
      </c>
      <c r="D1296" s="4" t="s">
        <v>4295</v>
      </c>
    </row>
    <row r="1297" customFormat="false" ht="15" hidden="false" customHeight="false" outlineLevel="0" collapsed="false">
      <c r="A1297" s="4" t="n">
        <v>1294</v>
      </c>
      <c r="B1297" s="4" t="s">
        <v>103</v>
      </c>
      <c r="C1297" s="4" t="s">
        <v>5543</v>
      </c>
      <c r="D1297" s="4" t="s">
        <v>4295</v>
      </c>
    </row>
    <row r="1298" customFormat="false" ht="15" hidden="false" customHeight="false" outlineLevel="0" collapsed="false">
      <c r="A1298" s="4" t="n">
        <v>1295</v>
      </c>
      <c r="B1298" s="4" t="s">
        <v>100</v>
      </c>
      <c r="C1298" s="4" t="s">
        <v>5544</v>
      </c>
      <c r="D1298" s="4" t="s">
        <v>4295</v>
      </c>
    </row>
    <row r="1299" customFormat="false" ht="15" hidden="false" customHeight="false" outlineLevel="0" collapsed="false">
      <c r="A1299" s="4" t="n">
        <v>1296</v>
      </c>
      <c r="B1299" s="4" t="s">
        <v>99</v>
      </c>
      <c r="C1299" s="4" t="s">
        <v>5545</v>
      </c>
      <c r="D1299" s="4" t="s">
        <v>4295</v>
      </c>
    </row>
    <row r="1300" customFormat="false" ht="15" hidden="false" customHeight="false" outlineLevel="0" collapsed="false">
      <c r="A1300" s="4" t="n">
        <v>1297</v>
      </c>
      <c r="B1300" s="4" t="s">
        <v>101</v>
      </c>
      <c r="C1300" s="4" t="s">
        <v>5546</v>
      </c>
      <c r="D1300" s="4" t="s">
        <v>4295</v>
      </c>
    </row>
    <row r="1301" customFormat="false" ht="15" hidden="false" customHeight="false" outlineLevel="0" collapsed="false">
      <c r="A1301" s="4" t="n">
        <v>1298</v>
      </c>
      <c r="B1301" s="4" t="s">
        <v>104</v>
      </c>
      <c r="C1301" s="4" t="s">
        <v>5547</v>
      </c>
      <c r="D1301" s="4" t="s">
        <v>4295</v>
      </c>
    </row>
    <row r="1302" customFormat="false" ht="15" hidden="false" customHeight="false" outlineLevel="0" collapsed="false">
      <c r="A1302" s="4" t="n">
        <v>1299</v>
      </c>
      <c r="B1302" s="4" t="s">
        <v>102</v>
      </c>
      <c r="C1302" s="4" t="s">
        <v>5548</v>
      </c>
      <c r="D1302" s="4" t="s">
        <v>4462</v>
      </c>
    </row>
    <row r="1303" customFormat="false" ht="15" hidden="false" customHeight="false" outlineLevel="0" collapsed="false">
      <c r="A1303" s="4" t="n">
        <v>1300</v>
      </c>
      <c r="B1303" s="4" t="s">
        <v>100</v>
      </c>
      <c r="C1303" s="4" t="s">
        <v>5549</v>
      </c>
      <c r="D1303" s="4" t="s">
        <v>4295</v>
      </c>
    </row>
    <row r="1304" customFormat="false" ht="15" hidden="false" customHeight="false" outlineLevel="0" collapsed="false">
      <c r="A1304" s="4" t="n">
        <v>1301</v>
      </c>
      <c r="B1304" s="4" t="s">
        <v>103</v>
      </c>
      <c r="C1304" s="4" t="s">
        <v>5550</v>
      </c>
      <c r="D1304" s="4" t="s">
        <v>4295</v>
      </c>
    </row>
    <row r="1305" customFormat="false" ht="15" hidden="false" customHeight="false" outlineLevel="0" collapsed="false">
      <c r="A1305" s="4" t="n">
        <v>1302</v>
      </c>
      <c r="B1305" s="4" t="s">
        <v>101</v>
      </c>
      <c r="C1305" s="4" t="s">
        <v>5551</v>
      </c>
      <c r="D1305" s="4" t="s">
        <v>4295</v>
      </c>
    </row>
    <row r="1306" customFormat="false" ht="15" hidden="false" customHeight="false" outlineLevel="0" collapsed="false">
      <c r="A1306" s="4" t="n">
        <v>1303</v>
      </c>
      <c r="B1306" s="4" t="s">
        <v>100</v>
      </c>
      <c r="C1306" s="4" t="s">
        <v>5552</v>
      </c>
      <c r="D1306" s="4" t="s">
        <v>4295</v>
      </c>
    </row>
    <row r="1307" customFormat="false" ht="15" hidden="false" customHeight="false" outlineLevel="0" collapsed="false">
      <c r="A1307" s="4" t="n">
        <v>1304</v>
      </c>
      <c r="B1307" s="4" t="s">
        <v>102</v>
      </c>
      <c r="C1307" s="4" t="s">
        <v>5553</v>
      </c>
      <c r="D1307" s="4" t="s">
        <v>4462</v>
      </c>
    </row>
    <row r="1308" customFormat="false" ht="15" hidden="false" customHeight="false" outlineLevel="0" collapsed="false">
      <c r="A1308" s="4" t="n">
        <v>1305</v>
      </c>
      <c r="B1308" s="4" t="s">
        <v>101</v>
      </c>
      <c r="C1308" s="4" t="s">
        <v>5554</v>
      </c>
      <c r="D1308" s="4" t="s">
        <v>4295</v>
      </c>
    </row>
    <row r="1309" customFormat="false" ht="15" hidden="false" customHeight="false" outlineLevel="0" collapsed="false">
      <c r="A1309" s="4" t="n">
        <v>1306</v>
      </c>
      <c r="B1309" s="4" t="s">
        <v>103</v>
      </c>
      <c r="C1309" s="4" t="s">
        <v>5555</v>
      </c>
      <c r="D1309" s="4" t="s">
        <v>4295</v>
      </c>
    </row>
    <row r="1310" customFormat="false" ht="15" hidden="false" customHeight="false" outlineLevel="0" collapsed="false">
      <c r="A1310" s="4" t="n">
        <v>1307</v>
      </c>
      <c r="B1310" s="4" t="s">
        <v>100</v>
      </c>
      <c r="C1310" s="4" t="s">
        <v>5556</v>
      </c>
      <c r="D1310" s="4" t="s">
        <v>4295</v>
      </c>
    </row>
    <row r="1311" customFormat="false" ht="15" hidden="false" customHeight="false" outlineLevel="0" collapsed="false">
      <c r="A1311" s="4" t="n">
        <v>1308</v>
      </c>
      <c r="B1311" s="4" t="s">
        <v>101</v>
      </c>
      <c r="C1311" s="4" t="s">
        <v>5557</v>
      </c>
      <c r="D1311" s="4" t="s">
        <v>4295</v>
      </c>
    </row>
    <row r="1312" customFormat="false" ht="15" hidden="false" customHeight="false" outlineLevel="0" collapsed="false">
      <c r="A1312" s="4" t="n">
        <v>1309</v>
      </c>
      <c r="B1312" s="4" t="s">
        <v>104</v>
      </c>
      <c r="C1312" s="4" t="s">
        <v>5558</v>
      </c>
      <c r="D1312" s="4" t="s">
        <v>4295</v>
      </c>
    </row>
    <row r="1313" customFormat="false" ht="15" hidden="false" customHeight="false" outlineLevel="0" collapsed="false">
      <c r="A1313" s="4" t="n">
        <v>1310</v>
      </c>
      <c r="B1313" s="4" t="s">
        <v>102</v>
      </c>
      <c r="C1313" s="4" t="s">
        <v>5559</v>
      </c>
      <c r="D1313" s="4" t="s">
        <v>4462</v>
      </c>
    </row>
    <row r="1314" customFormat="false" ht="15" hidden="false" customHeight="false" outlineLevel="0" collapsed="false">
      <c r="A1314" s="4" t="n">
        <v>1311</v>
      </c>
      <c r="B1314" s="4" t="s">
        <v>100</v>
      </c>
      <c r="C1314" s="4" t="s">
        <v>5560</v>
      </c>
      <c r="D1314" s="4" t="s">
        <v>4295</v>
      </c>
    </row>
    <row r="1315" customFormat="false" ht="15" hidden="false" customHeight="false" outlineLevel="0" collapsed="false">
      <c r="A1315" s="4" t="n">
        <v>1312</v>
      </c>
      <c r="B1315" s="4" t="s">
        <v>103</v>
      </c>
      <c r="C1315" s="4" t="s">
        <v>5561</v>
      </c>
      <c r="D1315" s="4" t="s">
        <v>4295</v>
      </c>
    </row>
    <row r="1316" customFormat="false" ht="15" hidden="false" customHeight="false" outlineLevel="0" collapsed="false">
      <c r="A1316" s="4" t="n">
        <v>1313</v>
      </c>
      <c r="B1316" s="4" t="s">
        <v>101</v>
      </c>
      <c r="C1316" s="4" t="s">
        <v>5562</v>
      </c>
      <c r="D1316" s="4" t="s">
        <v>4295</v>
      </c>
    </row>
    <row r="1317" customFormat="false" ht="15" hidden="false" customHeight="false" outlineLevel="0" collapsed="false">
      <c r="A1317" s="4" t="n">
        <v>1314</v>
      </c>
      <c r="B1317" s="4" t="s">
        <v>100</v>
      </c>
      <c r="C1317" s="4" t="s">
        <v>5563</v>
      </c>
      <c r="D1317" s="4" t="s">
        <v>4295</v>
      </c>
    </row>
    <row r="1318" customFormat="false" ht="15" hidden="false" customHeight="false" outlineLevel="0" collapsed="false">
      <c r="A1318" s="4" t="n">
        <v>1315</v>
      </c>
      <c r="B1318" s="4" t="s">
        <v>102</v>
      </c>
      <c r="C1318" s="4" t="s">
        <v>5564</v>
      </c>
      <c r="D1318" s="4" t="s">
        <v>4462</v>
      </c>
    </row>
    <row r="1319" customFormat="false" ht="15" hidden="false" customHeight="false" outlineLevel="0" collapsed="false">
      <c r="A1319" s="4" t="n">
        <v>1316</v>
      </c>
      <c r="B1319" s="4" t="s">
        <v>101</v>
      </c>
      <c r="C1319" s="4" t="s">
        <v>5565</v>
      </c>
      <c r="D1319" s="4" t="s">
        <v>4295</v>
      </c>
    </row>
    <row r="1320" customFormat="false" ht="15" hidden="false" customHeight="false" outlineLevel="0" collapsed="false">
      <c r="A1320" s="4" t="n">
        <v>1317</v>
      </c>
      <c r="B1320" s="4" t="s">
        <v>103</v>
      </c>
      <c r="C1320" s="4" t="s">
        <v>5566</v>
      </c>
      <c r="D1320" s="4" t="s">
        <v>4295</v>
      </c>
    </row>
    <row r="1321" customFormat="false" ht="15" hidden="false" customHeight="false" outlineLevel="0" collapsed="false">
      <c r="A1321" s="4" t="n">
        <v>1318</v>
      </c>
      <c r="B1321" s="4" t="s">
        <v>100</v>
      </c>
      <c r="C1321" s="4" t="s">
        <v>5567</v>
      </c>
      <c r="D1321" s="4" t="s">
        <v>4295</v>
      </c>
    </row>
    <row r="1322" customFormat="false" ht="15" hidden="false" customHeight="false" outlineLevel="0" collapsed="false">
      <c r="A1322" s="4" t="n">
        <v>1319</v>
      </c>
      <c r="B1322" s="4" t="s">
        <v>99</v>
      </c>
      <c r="C1322" s="4" t="s">
        <v>5568</v>
      </c>
      <c r="D1322" s="4" t="s">
        <v>4295</v>
      </c>
    </row>
    <row r="1323" customFormat="false" ht="15" hidden="false" customHeight="false" outlineLevel="0" collapsed="false">
      <c r="A1323" s="4" t="n">
        <v>1320</v>
      </c>
      <c r="B1323" s="4" t="s">
        <v>101</v>
      </c>
      <c r="C1323" s="4" t="s">
        <v>5569</v>
      </c>
      <c r="D1323" s="4" t="s">
        <v>4295</v>
      </c>
    </row>
    <row r="1324" customFormat="false" ht="15" hidden="false" customHeight="false" outlineLevel="0" collapsed="false">
      <c r="A1324" s="4" t="n">
        <v>1321</v>
      </c>
      <c r="B1324" s="4" t="s">
        <v>104</v>
      </c>
      <c r="C1324" s="4" t="s">
        <v>5570</v>
      </c>
      <c r="D1324" s="4" t="s">
        <v>4295</v>
      </c>
    </row>
    <row r="1325" customFormat="false" ht="15" hidden="false" customHeight="false" outlineLevel="0" collapsed="false">
      <c r="A1325" s="4" t="n">
        <v>1322</v>
      </c>
      <c r="B1325" s="4" t="s">
        <v>102</v>
      </c>
      <c r="C1325" s="4" t="s">
        <v>5571</v>
      </c>
      <c r="D1325" s="4" t="s">
        <v>4462</v>
      </c>
    </row>
    <row r="1326" customFormat="false" ht="15" hidden="false" customHeight="false" outlineLevel="0" collapsed="false">
      <c r="A1326" s="4" t="n">
        <v>1323</v>
      </c>
      <c r="B1326" s="4" t="s">
        <v>100</v>
      </c>
      <c r="C1326" s="4" t="s">
        <v>5572</v>
      </c>
      <c r="D1326" s="4" t="s">
        <v>4295</v>
      </c>
    </row>
    <row r="1327" customFormat="false" ht="15" hidden="false" customHeight="false" outlineLevel="0" collapsed="false">
      <c r="A1327" s="4" t="n">
        <v>1324</v>
      </c>
      <c r="B1327" s="4" t="s">
        <v>103</v>
      </c>
      <c r="C1327" s="4" t="s">
        <v>5573</v>
      </c>
      <c r="D1327" s="4" t="s">
        <v>4356</v>
      </c>
    </row>
    <row r="1328" customFormat="false" ht="15" hidden="false" customHeight="false" outlineLevel="0" collapsed="false">
      <c r="A1328" s="4" t="n">
        <v>1325</v>
      </c>
      <c r="B1328" s="4" t="s">
        <v>103</v>
      </c>
      <c r="C1328" s="4" t="s">
        <v>5573</v>
      </c>
      <c r="D1328" s="4" t="s">
        <v>4356</v>
      </c>
    </row>
    <row r="1329" customFormat="false" ht="15" hidden="false" customHeight="false" outlineLevel="0" collapsed="false">
      <c r="A1329" s="4" t="n">
        <v>1326</v>
      </c>
      <c r="B1329" s="4" t="s">
        <v>103</v>
      </c>
      <c r="C1329" s="4" t="s">
        <v>5573</v>
      </c>
      <c r="D1329" s="4" t="s">
        <v>4295</v>
      </c>
    </row>
    <row r="1330" customFormat="false" ht="15" hidden="false" customHeight="false" outlineLevel="0" collapsed="false">
      <c r="A1330" s="4" t="n">
        <v>1327</v>
      </c>
      <c r="B1330" s="4" t="s">
        <v>101</v>
      </c>
      <c r="C1330" s="4" t="s">
        <v>5574</v>
      </c>
      <c r="D1330" s="4" t="s">
        <v>4295</v>
      </c>
    </row>
    <row r="1331" customFormat="false" ht="15" hidden="false" customHeight="false" outlineLevel="0" collapsed="false">
      <c r="A1331" s="4" t="n">
        <v>1328</v>
      </c>
      <c r="B1331" s="4" t="s">
        <v>100</v>
      </c>
      <c r="C1331" s="4" t="s">
        <v>5575</v>
      </c>
      <c r="D1331" s="4" t="s">
        <v>4295</v>
      </c>
    </row>
    <row r="1332" customFormat="false" ht="15" hidden="false" customHeight="false" outlineLevel="0" collapsed="false">
      <c r="A1332" s="4" t="n">
        <v>1329</v>
      </c>
      <c r="B1332" s="4" t="s">
        <v>102</v>
      </c>
      <c r="C1332" s="4" t="s">
        <v>5576</v>
      </c>
      <c r="D1332" s="4" t="s">
        <v>4462</v>
      </c>
    </row>
    <row r="1333" customFormat="false" ht="15" hidden="false" customHeight="false" outlineLevel="0" collapsed="false">
      <c r="A1333" s="4" t="n">
        <v>1330</v>
      </c>
      <c r="B1333" s="4" t="s">
        <v>101</v>
      </c>
      <c r="C1333" s="4" t="s">
        <v>5577</v>
      </c>
      <c r="D1333" s="4" t="s">
        <v>4295</v>
      </c>
    </row>
    <row r="1334" customFormat="false" ht="15" hidden="false" customHeight="false" outlineLevel="0" collapsed="false">
      <c r="A1334" s="4" t="n">
        <v>1331</v>
      </c>
      <c r="B1334" s="4" t="s">
        <v>103</v>
      </c>
      <c r="C1334" s="4" t="s">
        <v>5578</v>
      </c>
      <c r="D1334" s="4" t="s">
        <v>4295</v>
      </c>
    </row>
    <row r="1335" customFormat="false" ht="15" hidden="false" customHeight="false" outlineLevel="0" collapsed="false">
      <c r="A1335" s="4" t="n">
        <v>1332</v>
      </c>
      <c r="B1335" s="4" t="s">
        <v>100</v>
      </c>
      <c r="C1335" s="4" t="s">
        <v>5579</v>
      </c>
      <c r="D1335" s="4" t="s">
        <v>4295</v>
      </c>
    </row>
    <row r="1336" customFormat="false" ht="15" hidden="false" customHeight="false" outlineLevel="0" collapsed="false">
      <c r="A1336" s="4" t="n">
        <v>1333</v>
      </c>
      <c r="B1336" s="4" t="s">
        <v>101</v>
      </c>
      <c r="C1336" s="4" t="s">
        <v>5580</v>
      </c>
      <c r="D1336" s="4" t="s">
        <v>4295</v>
      </c>
    </row>
    <row r="1337" customFormat="false" ht="15" hidden="false" customHeight="false" outlineLevel="0" collapsed="false">
      <c r="A1337" s="4" t="n">
        <v>1334</v>
      </c>
      <c r="B1337" s="4" t="s">
        <v>104</v>
      </c>
      <c r="C1337" s="4" t="s">
        <v>5581</v>
      </c>
      <c r="D1337" s="4" t="s">
        <v>4295</v>
      </c>
    </row>
    <row r="1338" customFormat="false" ht="15" hidden="false" customHeight="false" outlineLevel="0" collapsed="false">
      <c r="A1338" s="4" t="n">
        <v>1335</v>
      </c>
      <c r="B1338" s="4" t="s">
        <v>102</v>
      </c>
      <c r="C1338" s="4" t="s">
        <v>5582</v>
      </c>
      <c r="D1338" s="4" t="s">
        <v>4462</v>
      </c>
    </row>
    <row r="1339" customFormat="false" ht="15" hidden="false" customHeight="false" outlineLevel="0" collapsed="false">
      <c r="A1339" s="4" t="n">
        <v>1336</v>
      </c>
      <c r="B1339" s="4" t="s">
        <v>100</v>
      </c>
      <c r="C1339" s="4" t="s">
        <v>5583</v>
      </c>
      <c r="D1339" s="4" t="s">
        <v>4295</v>
      </c>
    </row>
    <row r="1340" customFormat="false" ht="15" hidden="false" customHeight="false" outlineLevel="0" collapsed="false">
      <c r="A1340" s="4" t="n">
        <v>1337</v>
      </c>
      <c r="B1340" s="4" t="s">
        <v>103</v>
      </c>
      <c r="C1340" s="4" t="s">
        <v>5584</v>
      </c>
      <c r="D1340" s="4" t="s">
        <v>4295</v>
      </c>
    </row>
    <row r="1341" customFormat="false" ht="15" hidden="false" customHeight="false" outlineLevel="0" collapsed="false">
      <c r="A1341" s="4" t="n">
        <v>1338</v>
      </c>
      <c r="B1341" s="4" t="s">
        <v>101</v>
      </c>
      <c r="C1341" s="4" t="s">
        <v>5585</v>
      </c>
      <c r="D1341" s="4" t="s">
        <v>4295</v>
      </c>
    </row>
    <row r="1342" customFormat="false" ht="15" hidden="false" customHeight="false" outlineLevel="0" collapsed="false">
      <c r="A1342" s="4" t="n">
        <v>1339</v>
      </c>
      <c r="B1342" s="4" t="s">
        <v>100</v>
      </c>
      <c r="C1342" s="4" t="s">
        <v>5586</v>
      </c>
      <c r="D1342" s="4" t="s">
        <v>4295</v>
      </c>
    </row>
    <row r="1343" customFormat="false" ht="15" hidden="false" customHeight="false" outlineLevel="0" collapsed="false">
      <c r="A1343" s="4" t="n">
        <v>1340</v>
      </c>
      <c r="B1343" s="4" t="s">
        <v>102</v>
      </c>
      <c r="C1343" s="4" t="s">
        <v>5587</v>
      </c>
      <c r="D1343" s="4" t="s">
        <v>4462</v>
      </c>
    </row>
    <row r="1344" customFormat="false" ht="15" hidden="false" customHeight="false" outlineLevel="0" collapsed="false">
      <c r="A1344" s="4" t="n">
        <v>1341</v>
      </c>
      <c r="B1344" s="4" t="s">
        <v>101</v>
      </c>
      <c r="C1344" s="4" t="s">
        <v>5588</v>
      </c>
      <c r="D1344" s="4" t="s">
        <v>4295</v>
      </c>
    </row>
    <row r="1345" customFormat="false" ht="15" hidden="false" customHeight="false" outlineLevel="0" collapsed="false">
      <c r="A1345" s="4" t="n">
        <v>1342</v>
      </c>
      <c r="B1345" s="4" t="s">
        <v>103</v>
      </c>
      <c r="C1345" s="4" t="s">
        <v>5589</v>
      </c>
      <c r="D1345" s="4" t="s">
        <v>4295</v>
      </c>
    </row>
    <row r="1346" customFormat="false" ht="15" hidden="false" customHeight="false" outlineLevel="0" collapsed="false">
      <c r="A1346" s="4" t="n">
        <v>1343</v>
      </c>
      <c r="B1346" s="4" t="s">
        <v>100</v>
      </c>
      <c r="C1346" s="4" t="s">
        <v>5590</v>
      </c>
      <c r="D1346" s="4" t="s">
        <v>4295</v>
      </c>
    </row>
    <row r="1347" customFormat="false" ht="15" hidden="false" customHeight="false" outlineLevel="0" collapsed="false">
      <c r="A1347" s="4" t="n">
        <v>1344</v>
      </c>
      <c r="B1347" s="4" t="s">
        <v>99</v>
      </c>
      <c r="C1347" s="4" t="s">
        <v>5591</v>
      </c>
      <c r="D1347" s="4" t="s">
        <v>4295</v>
      </c>
    </row>
    <row r="1348" customFormat="false" ht="15" hidden="false" customHeight="false" outlineLevel="0" collapsed="false">
      <c r="A1348" s="4" t="n">
        <v>1345</v>
      </c>
      <c r="B1348" s="4" t="s">
        <v>101</v>
      </c>
      <c r="C1348" s="4" t="s">
        <v>5592</v>
      </c>
      <c r="D1348" s="4" t="s">
        <v>4295</v>
      </c>
    </row>
    <row r="1349" customFormat="false" ht="15" hidden="false" customHeight="false" outlineLevel="0" collapsed="false">
      <c r="A1349" s="4" t="n">
        <v>1346</v>
      </c>
      <c r="B1349" s="4" t="s">
        <v>104</v>
      </c>
      <c r="C1349" s="4" t="s">
        <v>5593</v>
      </c>
      <c r="D1349" s="4" t="s">
        <v>4295</v>
      </c>
    </row>
    <row r="1350" customFormat="false" ht="15" hidden="false" customHeight="false" outlineLevel="0" collapsed="false">
      <c r="A1350" s="4" t="n">
        <v>1347</v>
      </c>
      <c r="B1350" s="4" t="s">
        <v>102</v>
      </c>
      <c r="C1350" s="4" t="s">
        <v>5594</v>
      </c>
      <c r="D1350" s="4" t="s">
        <v>4462</v>
      </c>
    </row>
    <row r="1351" customFormat="false" ht="15" hidden="false" customHeight="false" outlineLevel="0" collapsed="false">
      <c r="A1351" s="4" t="n">
        <v>1348</v>
      </c>
      <c r="B1351" s="4" t="s">
        <v>100</v>
      </c>
      <c r="C1351" s="4" t="s">
        <v>5595</v>
      </c>
      <c r="D1351" s="4" t="s">
        <v>4295</v>
      </c>
    </row>
    <row r="1352" customFormat="false" ht="15" hidden="false" customHeight="false" outlineLevel="0" collapsed="false">
      <c r="A1352" s="4" t="n">
        <v>1349</v>
      </c>
      <c r="B1352" s="4" t="s">
        <v>103</v>
      </c>
      <c r="C1352" s="4" t="s">
        <v>5596</v>
      </c>
      <c r="D1352" s="4" t="s">
        <v>4295</v>
      </c>
    </row>
    <row r="1353" customFormat="false" ht="15" hidden="false" customHeight="false" outlineLevel="0" collapsed="false">
      <c r="A1353" s="4" t="n">
        <v>1350</v>
      </c>
      <c r="B1353" s="4" t="s">
        <v>101</v>
      </c>
      <c r="C1353" s="4" t="s">
        <v>5597</v>
      </c>
      <c r="D1353" s="4" t="s">
        <v>4295</v>
      </c>
    </row>
    <row r="1354" customFormat="false" ht="15" hidden="false" customHeight="false" outlineLevel="0" collapsed="false">
      <c r="A1354" s="4" t="n">
        <v>1351</v>
      </c>
      <c r="B1354" s="4" t="s">
        <v>100</v>
      </c>
      <c r="C1354" s="4" t="s">
        <v>5598</v>
      </c>
      <c r="D1354" s="4" t="s">
        <v>4295</v>
      </c>
    </row>
    <row r="1355" customFormat="false" ht="15" hidden="false" customHeight="false" outlineLevel="0" collapsed="false">
      <c r="A1355" s="4" t="n">
        <v>1352</v>
      </c>
      <c r="B1355" s="4" t="s">
        <v>102</v>
      </c>
      <c r="C1355" s="4" t="s">
        <v>5599</v>
      </c>
      <c r="D1355" s="4" t="s">
        <v>4462</v>
      </c>
    </row>
    <row r="1356" customFormat="false" ht="15" hidden="false" customHeight="false" outlineLevel="0" collapsed="false">
      <c r="A1356" s="4" t="n">
        <v>1353</v>
      </c>
      <c r="B1356" s="4" t="s">
        <v>101</v>
      </c>
      <c r="C1356" s="4" t="s">
        <v>5600</v>
      </c>
      <c r="D1356" s="4" t="s">
        <v>4295</v>
      </c>
    </row>
    <row r="1357" customFormat="false" ht="15" hidden="false" customHeight="false" outlineLevel="0" collapsed="false">
      <c r="A1357" s="4" t="n">
        <v>1354</v>
      </c>
      <c r="B1357" s="4" t="s">
        <v>103</v>
      </c>
      <c r="C1357" s="4" t="s">
        <v>5601</v>
      </c>
      <c r="D1357" s="4" t="s">
        <v>4295</v>
      </c>
    </row>
    <row r="1358" customFormat="false" ht="15" hidden="false" customHeight="false" outlineLevel="0" collapsed="false">
      <c r="A1358" s="4" t="n">
        <v>1355</v>
      </c>
      <c r="B1358" s="4" t="s">
        <v>100</v>
      </c>
      <c r="C1358" s="4" t="s">
        <v>5602</v>
      </c>
      <c r="D1358" s="4" t="s">
        <v>4295</v>
      </c>
    </row>
    <row r="1359" customFormat="false" ht="15" hidden="false" customHeight="false" outlineLevel="0" collapsed="false">
      <c r="A1359" s="4" t="n">
        <v>1356</v>
      </c>
      <c r="B1359" s="4" t="s">
        <v>101</v>
      </c>
      <c r="C1359" s="4" t="s">
        <v>5603</v>
      </c>
      <c r="D1359" s="4" t="s">
        <v>4295</v>
      </c>
    </row>
    <row r="1360" customFormat="false" ht="15" hidden="false" customHeight="false" outlineLevel="0" collapsed="false">
      <c r="A1360" s="4" t="n">
        <v>1357</v>
      </c>
      <c r="B1360" s="4" t="s">
        <v>104</v>
      </c>
      <c r="C1360" s="4" t="s">
        <v>5604</v>
      </c>
      <c r="D1360" s="4" t="s">
        <v>4295</v>
      </c>
    </row>
    <row r="1361" customFormat="false" ht="15" hidden="false" customHeight="false" outlineLevel="0" collapsed="false">
      <c r="A1361" s="4" t="n">
        <v>1358</v>
      </c>
      <c r="B1361" s="4" t="s">
        <v>102</v>
      </c>
      <c r="C1361" s="4" t="s">
        <v>5605</v>
      </c>
      <c r="D1361" s="4" t="s">
        <v>4462</v>
      </c>
    </row>
    <row r="1362" customFormat="false" ht="15" hidden="false" customHeight="false" outlineLevel="0" collapsed="false">
      <c r="A1362" s="4" t="n">
        <v>1359</v>
      </c>
      <c r="B1362" s="4" t="s">
        <v>100</v>
      </c>
      <c r="C1362" s="4" t="s">
        <v>5606</v>
      </c>
      <c r="D1362" s="4" t="s">
        <v>4295</v>
      </c>
    </row>
    <row r="1363" customFormat="false" ht="15" hidden="false" customHeight="false" outlineLevel="0" collapsed="false">
      <c r="A1363" s="4" t="n">
        <v>1360</v>
      </c>
      <c r="B1363" s="4" t="s">
        <v>103</v>
      </c>
      <c r="C1363" s="4" t="s">
        <v>5607</v>
      </c>
      <c r="D1363" s="4" t="s">
        <v>4295</v>
      </c>
    </row>
    <row r="1364" customFormat="false" ht="15" hidden="false" customHeight="false" outlineLevel="0" collapsed="false">
      <c r="A1364" s="4" t="n">
        <v>1361</v>
      </c>
      <c r="B1364" s="4" t="s">
        <v>101</v>
      </c>
      <c r="C1364" s="4" t="s">
        <v>5608</v>
      </c>
      <c r="D1364" s="4" t="s">
        <v>4295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11" min="11" style="0" width="56"/>
  </cols>
  <sheetData>
    <row r="1" customFormat="false" ht="17.35" hidden="false" customHeight="false" outlineLevel="0" collapsed="false">
      <c r="A1" s="1" t="s">
        <v>5609</v>
      </c>
    </row>
    <row r="2" customFormat="false" ht="15" hidden="false" customHeight="false" outlineLevel="0" collapsed="false">
      <c r="A2" s="0" t="s">
        <v>5610</v>
      </c>
    </row>
    <row r="3" customFormat="false" ht="41.75" hidden="false" customHeight="false" outlineLevel="0" collapsed="false">
      <c r="A3" s="9" t="s">
        <v>80</v>
      </c>
      <c r="B3" s="9" t="s">
        <v>84</v>
      </c>
      <c r="C3" s="9" t="s">
        <v>85</v>
      </c>
      <c r="D3" s="9" t="s">
        <v>86</v>
      </c>
      <c r="E3" s="9" t="s">
        <v>87</v>
      </c>
      <c r="F3" s="9" t="s">
        <v>89</v>
      </c>
      <c r="G3" s="9" t="s">
        <v>90</v>
      </c>
      <c r="H3" s="9" t="s">
        <v>93</v>
      </c>
      <c r="I3" s="9" t="s">
        <v>94</v>
      </c>
      <c r="J3" s="9" t="s">
        <v>98</v>
      </c>
      <c r="K3" s="9" t="s">
        <v>5611</v>
      </c>
    </row>
    <row r="4" customFormat="false" ht="15" hidden="false" customHeight="false" outlineLevel="0" collapsed="false">
      <c r="A4" s="4" t="s">
        <v>99</v>
      </c>
      <c r="B4" s="4" t="n">
        <v>1723</v>
      </c>
      <c r="C4" s="4" t="n">
        <v>1630</v>
      </c>
      <c r="D4" s="4" t="n">
        <v>72</v>
      </c>
      <c r="E4" s="4" t="n">
        <v>21</v>
      </c>
      <c r="F4" s="4" t="n">
        <v>0.012188</v>
      </c>
      <c r="G4" s="4" t="n">
        <v>0.041788</v>
      </c>
      <c r="H4" s="4" t="n">
        <v>67674</v>
      </c>
      <c r="I4" s="4" t="n">
        <v>79203</v>
      </c>
      <c r="J4" s="4" t="n">
        <v>0.990881</v>
      </c>
      <c r="K4" s="4" t="s">
        <v>5612</v>
      </c>
    </row>
    <row r="5" customFormat="false" ht="15" hidden="false" customHeight="false" outlineLevel="0" collapsed="false">
      <c r="A5" s="4" t="s">
        <v>100</v>
      </c>
      <c r="B5" s="4" t="n">
        <v>16815</v>
      </c>
      <c r="C5" s="4" t="n">
        <v>16066</v>
      </c>
      <c r="D5" s="4" t="n">
        <v>502</v>
      </c>
      <c r="E5" s="4" t="n">
        <v>181</v>
      </c>
      <c r="F5" s="4" t="n">
        <v>0.010764</v>
      </c>
      <c r="G5" s="4" t="n">
        <v>0.029854</v>
      </c>
      <c r="H5" s="4" t="n">
        <v>13887</v>
      </c>
      <c r="I5" s="4" t="n">
        <v>14514</v>
      </c>
      <c r="J5" s="4" t="n">
        <v>0.9932</v>
      </c>
      <c r="K5" s="4" t="s">
        <v>5612</v>
      </c>
    </row>
    <row r="6" customFormat="false" ht="15" hidden="false" customHeight="false" outlineLevel="0" collapsed="false">
      <c r="A6" s="4" t="s">
        <v>101</v>
      </c>
      <c r="B6" s="4" t="n">
        <v>10805</v>
      </c>
      <c r="C6" s="4" t="n">
        <v>10125</v>
      </c>
      <c r="D6" s="4" t="n">
        <v>522</v>
      </c>
      <c r="E6" s="4" t="n">
        <v>123</v>
      </c>
      <c r="F6" s="4" t="n">
        <v>0.011384</v>
      </c>
      <c r="G6" s="4" t="n">
        <v>0.048311</v>
      </c>
      <c r="H6" s="4" t="n">
        <v>6638</v>
      </c>
      <c r="I6" s="4" t="n">
        <v>7766</v>
      </c>
      <c r="J6" s="4" t="n">
        <v>0.991966</v>
      </c>
      <c r="K6" s="4" t="s">
        <v>5612</v>
      </c>
    </row>
    <row r="7" customFormat="false" ht="15" hidden="false" customHeight="false" outlineLevel="0" collapsed="false">
      <c r="A7" s="4" t="s">
        <v>102</v>
      </c>
      <c r="B7" s="4" t="n">
        <v>4295</v>
      </c>
      <c r="C7" s="4" t="n">
        <v>3785</v>
      </c>
      <c r="D7" s="4" t="n">
        <v>468</v>
      </c>
      <c r="E7" s="4" t="n">
        <v>42</v>
      </c>
      <c r="F7" s="4" t="n">
        <v>0.009779</v>
      </c>
      <c r="G7" s="4" t="n">
        <v>0.108964</v>
      </c>
      <c r="H7" s="4" t="n">
        <v>17363</v>
      </c>
      <c r="I7" s="4" t="n">
        <v>262378</v>
      </c>
      <c r="J7" s="4" t="n">
        <v>0.945541</v>
      </c>
      <c r="K7" s="4" t="s">
        <v>5612</v>
      </c>
    </row>
    <row r="8" customFormat="false" ht="15" hidden="false" customHeight="false" outlineLevel="0" collapsed="false">
      <c r="A8" s="4" t="s">
        <v>103</v>
      </c>
      <c r="B8" s="4" t="n">
        <v>4410</v>
      </c>
      <c r="C8" s="4" t="n">
        <v>3985</v>
      </c>
      <c r="D8" s="4" t="n">
        <v>368</v>
      </c>
      <c r="E8" s="4" t="n">
        <v>35</v>
      </c>
      <c r="F8" s="4" t="n">
        <v>0.007937</v>
      </c>
      <c r="G8" s="4" t="n">
        <v>0.083447</v>
      </c>
      <c r="H8" s="4" t="n">
        <v>9931</v>
      </c>
      <c r="I8" s="4" t="n">
        <v>11789</v>
      </c>
      <c r="J8" s="4" t="n">
        <v>0.995255</v>
      </c>
      <c r="K8" s="4" t="s">
        <v>5612</v>
      </c>
    </row>
    <row r="9" customFormat="false" ht="15" hidden="false" customHeight="false" outlineLevel="0" collapsed="false">
      <c r="A9" s="4" t="s">
        <v>104</v>
      </c>
      <c r="B9" s="4" t="n">
        <v>1853</v>
      </c>
      <c r="C9" s="4" t="n">
        <v>1657</v>
      </c>
      <c r="D9" s="4" t="n">
        <v>169</v>
      </c>
      <c r="E9" s="4" t="n">
        <v>27</v>
      </c>
      <c r="F9" s="4" t="n">
        <v>0.014571</v>
      </c>
      <c r="G9" s="4" t="n">
        <v>0.091203</v>
      </c>
      <c r="H9" s="4" t="n">
        <v>20724</v>
      </c>
      <c r="I9" s="4" t="n">
        <v>21398</v>
      </c>
      <c r="J9" s="4" t="n">
        <v>0.987485</v>
      </c>
      <c r="K9" s="4" t="s">
        <v>5612</v>
      </c>
    </row>
    <row r="11" customFormat="false" ht="15" hidden="false" customHeight="false" outlineLevel="0" collapsed="false">
      <c r="A11" s="2" t="s">
        <v>5613</v>
      </c>
    </row>
    <row r="12" customFormat="false" ht="41.75" hidden="false" customHeight="false" outlineLevel="0" collapsed="false">
      <c r="A12" s="9" t="s">
        <v>49</v>
      </c>
      <c r="B12" s="9" t="s">
        <v>5614</v>
      </c>
      <c r="C12" s="9" t="s">
        <v>51</v>
      </c>
      <c r="D12" s="9" t="s">
        <v>5615</v>
      </c>
      <c r="E12" s="9" t="s">
        <v>5616</v>
      </c>
      <c r="F12" s="9" t="s">
        <v>5617</v>
      </c>
      <c r="G12" s="9" t="s">
        <v>5618</v>
      </c>
      <c r="H12" s="9" t="s">
        <v>1536</v>
      </c>
      <c r="I12" s="9" t="s">
        <v>1538</v>
      </c>
    </row>
    <row r="13" customFormat="false" ht="15" hidden="false" customHeight="false" outlineLevel="0" collapsed="false">
      <c r="A13" s="4" t="n">
        <v>1343</v>
      </c>
      <c r="B13" s="4" t="n">
        <v>1328</v>
      </c>
      <c r="C13" s="4" t="n">
        <v>1318</v>
      </c>
      <c r="D13" s="4" t="n">
        <v>10</v>
      </c>
      <c r="E13" s="4" t="n">
        <v>15</v>
      </c>
      <c r="F13" s="4" t="n">
        <v>0.995311</v>
      </c>
      <c r="G13" s="4" t="n">
        <v>0.971622</v>
      </c>
      <c r="H13" s="4" t="n">
        <v>5332</v>
      </c>
      <c r="I13" s="4" t="n">
        <v>5462</v>
      </c>
    </row>
    <row r="15" customFormat="false" ht="15" hidden="false" customHeight="false" outlineLevel="0" collapsed="false">
      <c r="A15" s="2" t="s">
        <v>5619</v>
      </c>
    </row>
    <row r="16" customFormat="false" ht="41.75" hidden="false" customHeight="false" outlineLevel="0" collapsed="false">
      <c r="A16" s="9" t="s">
        <v>67</v>
      </c>
      <c r="B16" s="9" t="s">
        <v>5620</v>
      </c>
      <c r="C16" s="9" t="s">
        <v>5621</v>
      </c>
      <c r="D16" s="9" t="s">
        <v>5622</v>
      </c>
      <c r="E16" s="9" t="s">
        <v>5623</v>
      </c>
      <c r="F16" s="9" t="s">
        <v>5624</v>
      </c>
      <c r="G16" s="9" t="s">
        <v>4356</v>
      </c>
      <c r="H16" s="9" t="s">
        <v>5625</v>
      </c>
      <c r="I16" s="9" t="s">
        <v>5626</v>
      </c>
    </row>
    <row r="17" customFormat="false" ht="15" hidden="false" customHeight="false" outlineLevel="0" collapsed="false">
      <c r="A17" s="4" t="n">
        <v>25</v>
      </c>
      <c r="B17" s="4" t="n">
        <v>60.6827</v>
      </c>
      <c r="C17" s="4" t="n">
        <v>15</v>
      </c>
      <c r="D17" s="4" t="n">
        <v>11</v>
      </c>
      <c r="E17" s="4" t="n">
        <v>0.733333</v>
      </c>
      <c r="F17" s="4" t="n">
        <v>2</v>
      </c>
      <c r="G17" s="4" t="n">
        <v>49</v>
      </c>
      <c r="H17" s="4" t="n">
        <v>49</v>
      </c>
      <c r="I17" s="4" t="s">
        <v>4209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s>
  <sheetData>
    <row r="1" customFormat="false" ht="17.35" hidden="false" customHeight="false" outlineLevel="0" collapsed="false">
      <c r="A1" s="1" t="s">
        <v>5627</v>
      </c>
    </row>
    <row r="2" customFormat="false" ht="15" hidden="false" customHeight="false" outlineLevel="0" collapsed="false">
      <c r="A2" s="0" t="s">
        <v>5628</v>
      </c>
    </row>
    <row r="4" customFormat="false" ht="15" hidden="false" customHeight="false" outlineLevel="0" collapsed="false">
      <c r="A4" s="0" t="s">
        <v>5629</v>
      </c>
    </row>
    <row r="6" customFormat="false" ht="15" hidden="false" customHeight="false" outlineLevel="0" collapsed="false">
      <c r="A6" s="2" t="s">
        <v>5630</v>
      </c>
    </row>
    <row r="7" customFormat="false" ht="41.75" hidden="false" customHeight="false" outlineLevel="0" collapsed="false">
      <c r="A7" s="9" t="s">
        <v>83</v>
      </c>
      <c r="B7" s="9" t="s">
        <v>84</v>
      </c>
      <c r="C7" s="9" t="s">
        <v>85</v>
      </c>
      <c r="D7" s="9" t="s">
        <v>86</v>
      </c>
      <c r="E7" s="9" t="s">
        <v>87</v>
      </c>
      <c r="F7" s="9" t="s">
        <v>88</v>
      </c>
      <c r="G7" s="9" t="s">
        <v>89</v>
      </c>
      <c r="H7" s="9" t="s">
        <v>90</v>
      </c>
      <c r="I7" s="9" t="s">
        <v>5631</v>
      </c>
    </row>
    <row r="8" customFormat="false" ht="15" hidden="false" customHeight="false" outlineLevel="0" collapsed="false">
      <c r="A8" s="4" t="n">
        <v>1302</v>
      </c>
      <c r="B8" s="4" t="n">
        <v>39901</v>
      </c>
      <c r="C8" s="4" t="n">
        <v>37248</v>
      </c>
      <c r="D8" s="4" t="n">
        <v>2101</v>
      </c>
      <c r="E8" s="4" t="n">
        <v>429</v>
      </c>
      <c r="F8" s="4" t="n">
        <v>123</v>
      </c>
      <c r="G8" s="4" t="n">
        <v>0.010752</v>
      </c>
      <c r="H8" s="4" t="n">
        <v>0.052655</v>
      </c>
      <c r="I8" s="4" t="n">
        <v>0</v>
      </c>
    </row>
    <row r="10" customFormat="false" ht="15" hidden="false" customHeight="false" outlineLevel="0" collapsed="false">
      <c r="A10" s="2" t="s">
        <v>5632</v>
      </c>
    </row>
    <row r="11" customFormat="false" ht="41.75" hidden="false" customHeight="false" outlineLevel="0" collapsed="false">
      <c r="A11" s="9" t="s">
        <v>49</v>
      </c>
      <c r="B11" s="9" t="s">
        <v>5614</v>
      </c>
      <c r="C11" s="9" t="s">
        <v>51</v>
      </c>
      <c r="D11" s="9" t="s">
        <v>5615</v>
      </c>
      <c r="E11" s="9" t="s">
        <v>5616</v>
      </c>
      <c r="F11" s="9" t="s">
        <v>5633</v>
      </c>
      <c r="G11" s="9" t="s">
        <v>1901</v>
      </c>
      <c r="H11" s="9" t="s">
        <v>54</v>
      </c>
      <c r="I11" s="9" t="s">
        <v>5634</v>
      </c>
    </row>
    <row r="12" customFormat="false" ht="15" hidden="false" customHeight="false" outlineLevel="0" collapsed="false">
      <c r="A12" s="4" t="n">
        <v>1343</v>
      </c>
      <c r="B12" s="4" t="n">
        <v>1328</v>
      </c>
      <c r="C12" s="4" t="n">
        <v>1318</v>
      </c>
      <c r="D12" s="4" t="n">
        <v>10</v>
      </c>
      <c r="E12" s="4" t="n">
        <v>15</v>
      </c>
      <c r="F12" s="4" t="n">
        <v>1318</v>
      </c>
      <c r="G12" s="4" t="n">
        <v>25</v>
      </c>
      <c r="H12" s="4" t="n">
        <v>1318</v>
      </c>
      <c r="I12" s="4" t="n">
        <v>13</v>
      </c>
    </row>
    <row r="14" customFormat="false" ht="15" hidden="false" customHeight="false" outlineLevel="0" collapsed="false">
      <c r="A14" s="2" t="s">
        <v>5635</v>
      </c>
    </row>
    <row r="15" customFormat="false" ht="41.75" hidden="false" customHeight="false" outlineLevel="0" collapsed="false">
      <c r="A15" s="9" t="s">
        <v>1536</v>
      </c>
      <c r="B15" s="9" t="s">
        <v>1537</v>
      </c>
      <c r="C15" s="9" t="s">
        <v>5617</v>
      </c>
      <c r="D15" s="9" t="s">
        <v>1538</v>
      </c>
      <c r="E15" s="9" t="s">
        <v>1539</v>
      </c>
      <c r="F15" s="9" t="s">
        <v>5618</v>
      </c>
      <c r="G15" s="9" t="s">
        <v>5636</v>
      </c>
      <c r="H15" s="9" t="s">
        <v>5637</v>
      </c>
    </row>
    <row r="16" customFormat="false" ht="15" hidden="false" customHeight="false" outlineLevel="0" collapsed="false">
      <c r="A16" s="4" t="n">
        <v>5332</v>
      </c>
      <c r="B16" s="4" t="n">
        <v>5307</v>
      </c>
      <c r="C16" s="4" t="n">
        <v>0.995311</v>
      </c>
      <c r="D16" s="4" t="n">
        <v>5462</v>
      </c>
      <c r="E16" s="4" t="n">
        <v>5307</v>
      </c>
      <c r="F16" s="4" t="n">
        <v>0.971622</v>
      </c>
      <c r="G16" s="4" t="n">
        <v>115</v>
      </c>
      <c r="H16" s="4" t="n">
        <v>100</v>
      </c>
    </row>
    <row r="18" customFormat="false" ht="15" hidden="false" customHeight="false" outlineLevel="0" collapsed="false">
      <c r="A18" s="2" t="s">
        <v>5638</v>
      </c>
    </row>
    <row r="19" customFormat="false" ht="55.2" hidden="false" customHeight="false" outlineLevel="0" collapsed="false">
      <c r="A19" s="9" t="s">
        <v>80</v>
      </c>
      <c r="B19" s="9" t="s">
        <v>5639</v>
      </c>
      <c r="C19" s="9" t="s">
        <v>5640</v>
      </c>
      <c r="D19" s="9" t="s">
        <v>5641</v>
      </c>
      <c r="E19" s="9" t="s">
        <v>5642</v>
      </c>
      <c r="F19" s="9" t="s">
        <v>5643</v>
      </c>
      <c r="G19" s="9" t="s">
        <v>5644</v>
      </c>
      <c r="H19" s="9" t="s">
        <v>5645</v>
      </c>
      <c r="I19" s="9" t="s">
        <v>5646</v>
      </c>
      <c r="J19" s="9" t="s">
        <v>5647</v>
      </c>
    </row>
    <row r="20" customFormat="false" ht="15" hidden="false" customHeight="false" outlineLevel="0" collapsed="false">
      <c r="A20" s="4" t="s">
        <v>102</v>
      </c>
      <c r="B20" s="4" t="s">
        <v>5648</v>
      </c>
      <c r="C20" s="4" t="n">
        <v>72</v>
      </c>
      <c r="D20" s="4" t="n">
        <v>72</v>
      </c>
      <c r="E20" s="4" t="n">
        <v>72</v>
      </c>
      <c r="F20" s="4" t="n">
        <v>72</v>
      </c>
      <c r="G20" s="4" t="n">
        <v>12</v>
      </c>
      <c r="H20" s="4" t="n">
        <v>11</v>
      </c>
      <c r="I20" s="4" t="n">
        <v>16</v>
      </c>
      <c r="J20" s="4" t="n">
        <v>156</v>
      </c>
    </row>
    <row r="22" customFormat="false" ht="15" hidden="false" customHeight="false" outlineLevel="0" collapsed="false">
      <c r="A22" s="2" t="s">
        <v>5649</v>
      </c>
    </row>
    <row r="23" customFormat="false" ht="68.65" hidden="false" customHeight="false" outlineLevel="0" collapsed="false">
      <c r="A23" s="9" t="s">
        <v>49</v>
      </c>
      <c r="B23" s="9" t="s">
        <v>5650</v>
      </c>
      <c r="C23" s="9" t="s">
        <v>5651</v>
      </c>
      <c r="D23" s="9" t="s">
        <v>5652</v>
      </c>
      <c r="E23" s="9" t="s">
        <v>5626</v>
      </c>
      <c r="F23" s="9" t="s">
        <v>5653</v>
      </c>
      <c r="G23" s="9" t="s">
        <v>5654</v>
      </c>
      <c r="H23" s="9" t="s">
        <v>5655</v>
      </c>
      <c r="I23" s="9" t="s">
        <v>5656</v>
      </c>
      <c r="J23" s="9" t="s">
        <v>5657</v>
      </c>
    </row>
    <row r="24" customFormat="false" ht="15" hidden="false" customHeight="false" outlineLevel="0" collapsed="false">
      <c r="A24" s="4" t="n">
        <v>1343</v>
      </c>
      <c r="B24" s="4" t="n">
        <v>1318</v>
      </c>
      <c r="C24" s="4" t="n">
        <v>1318</v>
      </c>
      <c r="D24" s="4" t="n">
        <v>25</v>
      </c>
      <c r="E24" s="4" t="s">
        <v>4209</v>
      </c>
      <c r="F24" s="4" t="s">
        <v>4208</v>
      </c>
      <c r="G24" s="4" t="s">
        <v>4209</v>
      </c>
      <c r="H24" s="4" t="n">
        <v>0</v>
      </c>
      <c r="I24" s="4" t="s">
        <v>5658</v>
      </c>
      <c r="J24" s="4" t="s">
        <v>5659</v>
      </c>
    </row>
    <row r="26" customFormat="false" ht="15" hidden="false" customHeight="false" outlineLevel="0" collapsed="false">
      <c r="A26" s="2" t="s">
        <v>5660</v>
      </c>
    </row>
    <row r="27" customFormat="false" ht="41.75" hidden="false" customHeight="false" outlineLevel="0" collapsed="false">
      <c r="A27" s="9" t="s">
        <v>67</v>
      </c>
      <c r="B27" s="9" t="s">
        <v>5661</v>
      </c>
      <c r="C27" s="9" t="s">
        <v>5662</v>
      </c>
      <c r="D27" s="9" t="s">
        <v>4247</v>
      </c>
      <c r="E27" s="9" t="s">
        <v>5663</v>
      </c>
      <c r="F27" s="9" t="s">
        <v>5620</v>
      </c>
      <c r="G27" s="9" t="s">
        <v>5664</v>
      </c>
      <c r="H27" s="9" t="s">
        <v>5665</v>
      </c>
    </row>
    <row r="28" customFormat="false" ht="15" hidden="false" customHeight="false" outlineLevel="0" collapsed="false">
      <c r="A28" s="4" t="n">
        <v>25</v>
      </c>
      <c r="B28" s="4" t="n">
        <v>0</v>
      </c>
      <c r="C28" s="4" t="n">
        <v>25</v>
      </c>
      <c r="D28" s="4" t="n">
        <v>25</v>
      </c>
      <c r="E28" s="4" t="n">
        <v>25</v>
      </c>
      <c r="F28" s="4" t="n">
        <v>60.6827</v>
      </c>
      <c r="G28" s="4" t="n">
        <v>50.75</v>
      </c>
      <c r="H28" s="4" t="n">
        <v>72.4</v>
      </c>
    </row>
    <row r="30" customFormat="false" ht="15" hidden="false" customHeight="false" outlineLevel="0" collapsed="false">
      <c r="A30" s="2" t="s">
        <v>5666</v>
      </c>
    </row>
    <row r="31" customFormat="false" ht="41.75" hidden="false" customHeight="false" outlineLevel="0" collapsed="false">
      <c r="A31" s="9" t="s">
        <v>5667</v>
      </c>
      <c r="B31" s="9" t="s">
        <v>5668</v>
      </c>
      <c r="C31" s="9" t="s">
        <v>5669</v>
      </c>
      <c r="D31" s="9" t="s">
        <v>72</v>
      </c>
      <c r="E31" s="9" t="s">
        <v>5624</v>
      </c>
      <c r="F31" s="9" t="s">
        <v>5670</v>
      </c>
      <c r="G31" s="9" t="s">
        <v>5671</v>
      </c>
      <c r="H31" s="9" t="s">
        <v>5672</v>
      </c>
      <c r="I31" s="9" t="s">
        <v>5634</v>
      </c>
    </row>
    <row r="32" customFormat="false" ht="15" hidden="false" customHeight="false" outlineLevel="0" collapsed="false">
      <c r="A32" s="4" t="n">
        <v>13</v>
      </c>
      <c r="B32" s="4" t="n">
        <v>15</v>
      </c>
      <c r="C32" s="4" t="n">
        <v>11</v>
      </c>
      <c r="D32" s="4" t="n">
        <v>0.733333</v>
      </c>
      <c r="E32" s="4" t="n">
        <v>2</v>
      </c>
      <c r="F32" s="4" t="n">
        <v>4</v>
      </c>
      <c r="G32" s="4" t="n">
        <v>9</v>
      </c>
      <c r="H32" s="4" t="n">
        <v>4</v>
      </c>
      <c r="I32" s="4" t="n">
        <v>13</v>
      </c>
    </row>
    <row r="34" customFormat="false" ht="15" hidden="false" customHeight="false" outlineLevel="0" collapsed="false">
      <c r="A34" s="2" t="s">
        <v>5673</v>
      </c>
    </row>
    <row r="35" customFormat="false" ht="55.2" hidden="false" customHeight="false" outlineLevel="0" collapsed="false">
      <c r="A35" s="9" t="s">
        <v>5674</v>
      </c>
      <c r="B35" s="9" t="s">
        <v>5675</v>
      </c>
      <c r="C35" s="9" t="s">
        <v>5676</v>
      </c>
      <c r="D35" s="9" t="s">
        <v>5677</v>
      </c>
      <c r="E35" s="9" t="s">
        <v>5678</v>
      </c>
      <c r="F35" s="9" t="s">
        <v>5679</v>
      </c>
      <c r="G35" s="9" t="s">
        <v>5680</v>
      </c>
      <c r="H35" s="9" t="s">
        <v>5681</v>
      </c>
      <c r="I35" s="9" t="s">
        <v>80</v>
      </c>
      <c r="J35" s="9" t="s">
        <v>5682</v>
      </c>
    </row>
    <row r="36" customFormat="false" ht="15" hidden="false" customHeight="false" outlineLevel="0" collapsed="false">
      <c r="A36" s="4" t="n">
        <v>49</v>
      </c>
      <c r="B36" s="4" t="n">
        <v>49</v>
      </c>
      <c r="C36" s="4" t="n">
        <v>49</v>
      </c>
      <c r="D36" s="4" t="n">
        <v>0</v>
      </c>
      <c r="E36" s="4" t="n">
        <v>0</v>
      </c>
      <c r="F36" s="4" t="n">
        <v>25</v>
      </c>
      <c r="G36" s="4" t="n">
        <v>33</v>
      </c>
      <c r="H36" s="4" t="n">
        <v>1</v>
      </c>
      <c r="I36" s="4" t="s">
        <v>103</v>
      </c>
      <c r="J36" s="4" t="n">
        <v>16</v>
      </c>
    </row>
    <row r="38" customFormat="false" ht="15" hidden="false" customHeight="false" outlineLevel="0" collapsed="false">
      <c r="A38" s="2" t="s">
        <v>5683</v>
      </c>
    </row>
    <row r="39" customFormat="false" ht="41.75" hidden="false" customHeight="false" outlineLevel="0" collapsed="false">
      <c r="A39" s="9" t="s">
        <v>5684</v>
      </c>
      <c r="B39" s="9" t="s">
        <v>84</v>
      </c>
      <c r="C39" s="9" t="s">
        <v>85</v>
      </c>
      <c r="D39" s="9" t="s">
        <v>86</v>
      </c>
      <c r="E39" s="9" t="s">
        <v>87</v>
      </c>
      <c r="F39" s="9" t="s">
        <v>89</v>
      </c>
      <c r="G39" s="9" t="s">
        <v>90</v>
      </c>
    </row>
    <row r="40" customFormat="false" ht="15" hidden="false" customHeight="false" outlineLevel="0" collapsed="false">
      <c r="A40" s="4" t="s">
        <v>5685</v>
      </c>
      <c r="B40" s="4" t="n">
        <v>39901</v>
      </c>
      <c r="C40" s="4" t="n">
        <v>37248</v>
      </c>
      <c r="D40" s="4" t="n">
        <v>2101</v>
      </c>
      <c r="E40" s="4" t="n">
        <v>429</v>
      </c>
      <c r="F40" s="4" t="n">
        <v>0.010752</v>
      </c>
      <c r="G40" s="4" t="n">
        <v>0.052655</v>
      </c>
    </row>
    <row r="41" customFormat="false" ht="15" hidden="false" customHeight="false" outlineLevel="0" collapsed="false">
      <c r="A41" s="4" t="s">
        <v>5686</v>
      </c>
      <c r="B41" s="4" t="n">
        <v>1878</v>
      </c>
      <c r="C41" s="4" t="n">
        <v>1769</v>
      </c>
      <c r="D41" s="4" t="n">
        <v>76</v>
      </c>
      <c r="E41" s="4" t="n">
        <v>30</v>
      </c>
      <c r="F41" s="4" t="n">
        <v>0.015974</v>
      </c>
      <c r="G41" s="4" t="n">
        <v>0.040469</v>
      </c>
    </row>
    <row r="42" customFormat="false" ht="15" hidden="false" customHeight="false" outlineLevel="0" collapsed="false">
      <c r="A42" s="4" t="s">
        <v>5687</v>
      </c>
      <c r="B42" s="4" t="n">
        <v>1878</v>
      </c>
      <c r="C42" s="4" t="n">
        <v>1822</v>
      </c>
      <c r="D42" s="4" t="n">
        <v>23</v>
      </c>
      <c r="E42" s="4" t="n">
        <v>32</v>
      </c>
      <c r="F42" s="4" t="n">
        <v>0.017039</v>
      </c>
      <c r="G42" s="4" t="n">
        <v>0.012247</v>
      </c>
    </row>
    <row r="44" customFormat="false" ht="15" hidden="false" customHeight="false" outlineLevel="0" collapsed="false">
      <c r="A44" s="2" t="s">
        <v>5688</v>
      </c>
    </row>
    <row r="45" customFormat="false" ht="41.75" hidden="false" customHeight="false" outlineLevel="0" collapsed="false">
      <c r="A45" s="9" t="s">
        <v>1536</v>
      </c>
      <c r="B45" s="9" t="s">
        <v>1537</v>
      </c>
      <c r="C45" s="9" t="s">
        <v>5617</v>
      </c>
      <c r="D45" s="9" t="s">
        <v>1538</v>
      </c>
      <c r="E45" s="9" t="s">
        <v>1539</v>
      </c>
      <c r="F45" s="9" t="s">
        <v>5618</v>
      </c>
    </row>
    <row r="46" customFormat="false" ht="15" hidden="false" customHeight="false" outlineLevel="0" collapsed="false">
      <c r="A46" s="4" t="n">
        <v>11</v>
      </c>
      <c r="B46" s="4" t="n">
        <v>10</v>
      </c>
      <c r="C46" s="4" t="n">
        <v>0.909091</v>
      </c>
      <c r="D46" s="4" t="n">
        <v>12</v>
      </c>
      <c r="E46" s="4" t="n">
        <v>10</v>
      </c>
      <c r="F46" s="4" t="n">
        <v>0.833333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2026-10-27T08:36:26Z</dcterms:created>
  <dc:creator>openpyxl</dc:creator>
  <dc:description/>
  <dc:language>en-US</dc:language>
  <cp:lastModifiedBy/>
  <dcterms:modified xsi:type="dcterms:W3CDTF">2026-10-27T08:36:27Z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