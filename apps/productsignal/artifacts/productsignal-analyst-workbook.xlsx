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Cutoff" sheetId="2" state="visible" r:id="rId4"/>
    <sheet name="Metrics" sheetId="3" state="visible" r:id="rId5"/>
    <sheet name="Domain reference" sheetId="4" state="visible" r:id="rId6"/>
    <sheet name="Golden case" sheetId="5" state="visible" r:id="rId7"/>
    <sheet name="Plan x segment" sheetId="6" state="visible" r:id="rId8"/>
    <sheet name="Assumptions" sheetId="7" state="visible" r:id="rId9"/>
    <sheet name="Assignments" sheetId="8" state="visible" r:id="rId10"/>
    <sheet name="Subscriptions" sheetId="9" state="visible" r:id="rId11"/>
    <sheet name="Accounts" sheetId="10" state="visible" r:id="rId12"/>
    <sheet name="Runs" sheetId="11" state="visible" r:id="rId13"/>
    <sheet name="Plans" sheetId="12" state="visible" r:id="rId14"/>
    <sheet name="SQL results (pasted)" sheetId="13" state="visible" r:id="rId15"/>
  </sheet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<sst xmlns="http://schemas.openxmlformats.org/spreadsheetml/2006/main" count="6100" uniqueCount="1813">
  <si>
    <t xml:space="preserve">ProductSignal analyst workbook (P06-ART-05)</t>
  </si>
  <si>
    <t xml:space="preserve">SYNTHETIC DATA: every account, user and event is generated (seed 20261026); nothing describes a real product, customer or measurement.</t>
  </si>
  <si>
    <t xml:space="preserve">What it is</t>
  </si>
  <si>
    <t xml:space="preserve">A formula-driven workbook over the published synthetic snapshot of ProductSignal (600 accounts, 554 experiment assignments in two versions of one onboarding experiment). It recomputes the experiment read of any of the five logged analysis runs with live formulas: conversions, absolute and relative lift, Wilson and Newcombe intervals, the chi-square sample-ratio statistic, exposure, the guardrail, revenue per assigned account and the conclusive rule.</t>
  </si>
  <si>
    <t xml:space="preserve">The decision it supports</t>
  </si>
  <si>
    <t xml:space="preserve">Should an onboarding change ship, stop, or receive more investigation? Metrics shows, for the selected run, what the evidence was at that cutoff, and the check column compares every figure with the Python domain's value for the same run.</t>
  </si>
  <si>
    <t xml:space="preserve">How to read it without installing anything</t>
  </si>
  <si>
    <t xml:space="preserve">Open the .xlsx in any spreadsheet application, or read docs/workbook.md (it lists every sheet and the checked values). The delivered file already carries values calculated by LibreOffice for run an-004 (the final run of v1).</t>
  </si>
  <si>
    <t xml:space="preserve">How to use the switch</t>
  </si>
  <si>
    <t xml:space="preserve">Cutoff!B3 takes an-001, an-002, an-003, an-004 or an-005 (a list): the four v1 runs (an-001, an-002, an-003 are interim, an-004 is the final run at planned_end) and v2's one run (an-005). Every figure on Metrics follows it, including which assignments existed (the cutoff rule D-08).</t>
  </si>
  <si>
    <t xml:space="preserve">The sample ratio comes first</t>
  </si>
  <si>
    <t xml:space="preserve">When the sample-ratio verdict is MISMATCH (v2, an-005) every outcome row of Metrics shows the word withheld, as the site does: no lift of v2 is shown or decided on. The domain's figures are not pasted for those rows.</t>
  </si>
  <si>
    <t xml:space="preserve">Observed, constructed, hypothetical</t>
  </si>
  <si>
    <t xml:space="preserve">Everything here is OBSERVED in one draw of a synthetic world. The generator built the treatment effect (a designed +8.00 percentage points), a designed sample-ratio mismatch in v2 and an injected instrumentation gap (INJ-10) that reaches the published v1 lift: published +9.50, drawn +11.50, +9.96 excluding the 11 gap accounts. Four generator choices were made after looking at earlier drafts (docs/executive-memo.md). Nothing is a benefit to a real product. The v1 result is conclusive by a hair: the lower bound of the Newcombe interval is +0.000812.</t>
  </si>
  <si>
    <t xml:space="preserve">Inputs (blue) and formulas (black)</t>
  </si>
  <si>
    <t xml:space="preserve">Blue cells are typed inputs: the accounts, the assignments with their signup, activation, error and exposure instants (epoch seconds), the subscriptions, the runs and the plans. Black cells are formulas.</t>
  </si>
  <si>
    <t xml:space="preserve">What the formulas do NOT do</t>
  </si>
  <si>
    <t xml:space="preserve">They do not canonicalise the event log (received by the cutoff, deduplicated, identity forward only, bots and internal accounts excluded) or take the plan's sha256: the instants of the first signup, the activation and the first error inside the guardrail window are typed from the independent Python side. A signup whose earliest event arrives late while a later one arrives earlier would be read differently; none exists in this snapshot at the five runs (limit W-02, checked at build time).</t>
  </si>
  <si>
    <t xml:space="preserve">Provenance</t>
  </si>
  <si>
    <t xml:space="preserve">Dataset hash 12672f9c39402517083bbbbe9164cbefe3435361dff086eb0d9e16e60f9b66f8 (generator, seed 20261026, dataset ps-20261026-20261026), contract v1, code revision fdf911a. Built by artifacts/build_workbook.py with openpyxl 3.1.5.</t>
  </si>
  <si>
    <t xml:space="preserve">Recalculation status</t>
  </si>
  <si>
    <t xml:space="preserve">openpyxl wrote formulas only; LibreOffice (headless) recalculated the delivered file. Microsoft Excel was NOT run: nothing here was opened or recalculated by Excel (docs/workbook.md).</t>
  </si>
  <si>
    <t xml:space="preserve">The cutoff switch</t>
  </si>
  <si>
    <t xml:space="preserve">Type an-001 .. an-005 in B3 (a list). Every figure on Metrics and every flag column of Assignments follows it.</t>
  </si>
  <si>
    <t xml:space="preserve">selected run</t>
  </si>
  <si>
    <t xml:space="preserve">an-004</t>
  </si>
  <si>
    <t xml:space="preserve">selected cutoff (epoch seconds, UTC)</t>
  </si>
  <si>
    <t xml:space="preserve">selected position in Runs</t>
  </si>
  <si>
    <t xml:space="preserve">selected experiment version</t>
  </si>
  <si>
    <t xml:space="preserve">selected planned_end (epoch)</t>
  </si>
  <si>
    <t xml:space="preserve">as-of epoch (2026-10-05T00:00:00Z), used by Accounts</t>
  </si>
  <si>
    <t xml:space="preserve">selected run is interim (cutoff before planned_end)</t>
  </si>
  <si>
    <t xml:space="preserve">activation window (seconds)</t>
  </si>
  <si>
    <t xml:space="preserve">guardrail window (seconds)</t>
  </si>
  <si>
    <t xml:space="preserve">z of the plan</t>
  </si>
  <si>
    <t xml:space="preserve">alpha (1 - confidence)</t>
  </si>
  <si>
    <t xml:space="preserve">allocation control</t>
  </si>
  <si>
    <t xml:space="preserve">allocation treatment</t>
  </si>
  <si>
    <t xml:space="preserve">SRM p threshold</t>
  </si>
  <si>
    <t xml:space="preserve">SRM minimum expected cell</t>
  </si>
  <si>
    <t xml:space="preserve">revenue window from (epoch)</t>
  </si>
  <si>
    <t xml:space="preserve">revenue window to (epoch)</t>
  </si>
  <si>
    <t xml:space="preserve">plan frozen before the first logged run</t>
  </si>
  <si>
    <t xml:space="preserve">plan hash valid (typed)</t>
  </si>
  <si>
    <t xml:space="preserve">Experiment read for the selected run (live formulas)</t>
  </si>
  <si>
    <t xml:space="preserve">Run: Cutoff!B3. Control, treatment and a combined/difference column. 'check' is TRUE when every figure of the row equals the Python domain's value for the same run within the tolerance (pasted on 'Domain reference'; for a sample-ratio MISMATCH the reference is the word withheld).</t>
  </si>
  <si>
    <t xml:space="preserve">all checks TRUE</t>
  </si>
  <si>
    <t xml:space="preserve">outcomes withheld (sample ratio is a MISMATCH)</t>
  </si>
  <si>
    <t xml:space="preserve">metric id</t>
  </si>
  <si>
    <t xml:space="preserve">metric</t>
  </si>
  <si>
    <t xml:space="preserve">unit</t>
  </si>
  <si>
    <t xml:space="preserve">control</t>
  </si>
  <si>
    <t xml:space="preserve">treatment</t>
  </si>
  <si>
    <t xml:space="preserve">combined / difference</t>
  </si>
  <si>
    <t xml:space="preserve">definition</t>
  </si>
  <si>
    <t xml:space="preserve">tolerance</t>
  </si>
  <si>
    <t xml:space="preserve">check</t>
  </si>
  <si>
    <t xml:space="preserve">assigned_accounts</t>
  </si>
  <si>
    <t xml:space="preserve">assigned accounts</t>
  </si>
  <si>
    <t xml:space="preserve">accounts</t>
  </si>
  <si>
    <t xml:space="preserve">Assignments of the selected version with assigned_at &lt;= the cutoff (D-08): the first assignment of each account is its assignment.</t>
  </si>
  <si>
    <t xml:space="preserve">mature_accounts</t>
  </si>
  <si>
    <t xml:space="preserve">mature assigned accounts</t>
  </si>
  <si>
    <t xml:space="preserve">Assigned accounts whose signup (the earliest signup event received by the cutoff) + 7 x 24 h &lt;= the cutoff.</t>
  </si>
  <si>
    <t xml:space="preserve">immature_or_unobserved</t>
  </si>
  <si>
    <t xml:space="preserve">assigned, not yet mature</t>
  </si>
  <si>
    <t xml:space="preserve">Assigned minus mature: counted apart and in no rate.</t>
  </si>
  <si>
    <t xml:space="preserve">srm_expected</t>
  </si>
  <si>
    <t xml:space="preserve">expected assignments under the allocation</t>
  </si>
  <si>
    <t xml:space="preserve">Total assigned x the plan's allocation of the arm.</t>
  </si>
  <si>
    <t xml:space="preserve">srm_statistic</t>
  </si>
  <si>
    <t xml:space="preserve">sample-ratio chi-square statistic</t>
  </si>
  <si>
    <t xml:space="preserve">chi-square, df 1</t>
  </si>
  <si>
    <t xml:space="preserve">Sum of (observed - expected)^2 / expected over the two arms.</t>
  </si>
  <si>
    <t xml:space="preserve">srm_p_value</t>
  </si>
  <si>
    <t xml:space="preserve">sample-ratio p-value</t>
  </si>
  <si>
    <t xml:space="preserve">probability</t>
  </si>
  <si>
    <t xml:space="preserve">CHIDIST(statistic, 1); the domain publishes it to six decimals.</t>
  </si>
  <si>
    <t xml:space="preserve">srm_verdict</t>
  </si>
  <si>
    <t xml:space="preserve">sample-ratio verdict</t>
  </si>
  <si>
    <t xml:space="preserve">text</t>
  </si>
  <si>
    <t xml:space="preserve">INSUFFICIENT when an expected cell is below the plan's minimum, MISMATCH when p is below the plan's threshold, else OK.</t>
  </si>
  <si>
    <t xml:space="preserve">exposure_rate</t>
  </si>
  <si>
    <t xml:space="preserve">exposure rate</t>
  </si>
  <si>
    <t xml:space="preserve">share</t>
  </si>
  <si>
    <t xml:space="preserve">Mature assigned accounts with an exposure by the cutoff / mature assigned accounts (reported beside intention to treat, never a denominator).</t>
  </si>
  <si>
    <t xml:space="preserve">activated_accounts</t>
  </si>
  <si>
    <t xml:space="preserve">activated within 7 days</t>
  </si>
  <si>
    <t xml:space="preserve">Mature accounts with an activation at or after max(signup, assigned_at) and before signup + 7 x 24 h, received by the cutoff (D-10).</t>
  </si>
  <si>
    <t xml:space="preserve">conversion_rate</t>
  </si>
  <si>
    <t xml:space="preserve">activation conversion (intention to treat)</t>
  </si>
  <si>
    <t xml:space="preserve">Activated / mature assigned accounts, six decimals in the domain.</t>
  </si>
  <si>
    <t xml:space="preserve">wilson_low</t>
  </si>
  <si>
    <t xml:space="preserve">Wilson 95% low</t>
  </si>
  <si>
    <t xml:space="preserve">Wilson score interval of the arm's conversion at the plan's z.</t>
  </si>
  <si>
    <t xml:space="preserve">wilson_high</t>
  </si>
  <si>
    <t xml:space="preserve">Wilson 95% high</t>
  </si>
  <si>
    <t xml:space="preserve">As above.</t>
  </si>
  <si>
    <t xml:space="preserve">absolute_lift_pp</t>
  </si>
  <si>
    <t xml:space="preserve">absolute lift (treatment - control)</t>
  </si>
  <si>
    <t xml:space="preserve">percentage points</t>
  </si>
  <si>
    <t xml:space="preserve">(treatment conversion - control conversion) x 100.</t>
  </si>
  <si>
    <t xml:space="preserve">relative_lift</t>
  </si>
  <si>
    <t xml:space="preserve">relative lift</t>
  </si>
  <si>
    <t xml:space="preserve">ratio</t>
  </si>
  <si>
    <t xml:space="preserve">Absolute lift / control conversion; blank when the control conversion is 0.</t>
  </si>
  <si>
    <t xml:space="preserve">newcombe_low</t>
  </si>
  <si>
    <t xml:space="preserve">Newcombe 95% low (difference)</t>
  </si>
  <si>
    <t xml:space="preserve">share difference</t>
  </si>
  <si>
    <t xml:space="preserve">Newcombe hybrid score interval of treatment minus control from the two Wilson intervals.</t>
  </si>
  <si>
    <t xml:space="preserve">newcombe_high</t>
  </si>
  <si>
    <t xml:space="preserve">Newcombe 95% high (difference)</t>
  </si>
  <si>
    <t xml:space="preserve">interval_includes_zero</t>
  </si>
  <si>
    <t xml:space="preserve">interval includes 0</t>
  </si>
  <si>
    <t xml:space="preserve">TRUE/FALSE</t>
  </si>
  <si>
    <t xml:space="preserve">low &lt;= 0 &lt;= high.</t>
  </si>
  <si>
    <t xml:space="preserve">interim</t>
  </si>
  <si>
    <t xml:space="preserve">interim run (cutoff before planned_end)</t>
  </si>
  <si>
    <t xml:space="preserve">The cutoff is before the plan's planned_end; an interim run cannot support a ship decision.</t>
  </si>
  <si>
    <t xml:space="preserve">plan_frozen</t>
  </si>
  <si>
    <t xml:space="preserve">plan frozen before the first run</t>
  </si>
  <si>
    <t xml:space="preserve">The plan's frozen_at is at or before the creation of the version's first logged run (typed from the plan and the run log).</t>
  </si>
  <si>
    <t xml:space="preserve">plan_hash_valid</t>
  </si>
  <si>
    <t xml:space="preserve">plan hash valid</t>
  </si>
  <si>
    <t xml:space="preserve">config_hash is the sha256 of the key-sorted compact plan (typed: a spreadsheet cannot take a sha256; the domain and SQL do).</t>
  </si>
  <si>
    <t xml:space="preserve">conclusive</t>
  </si>
  <si>
    <t xml:space="preserve">conclusive (D-10)</t>
  </si>
  <si>
    <t xml:space="preserve">The interval excludes 0 AND a final run AND a valid plan hash AND a plan frozen before the first run AND a sample-ratio verdict of OK.</t>
  </si>
  <si>
    <t xml:space="preserve">guardrail_eligible</t>
  </si>
  <si>
    <t xml:space="preserve">guardrail: eligible accounts</t>
  </si>
  <si>
    <t xml:space="preserve">Mature accounts whose 7 x 24 h guardrail window is complete at the cutoff (D-10).</t>
  </si>
  <si>
    <t xml:space="preserve">guardrail_errors</t>
  </si>
  <si>
    <t xml:space="preserve">guardrail: accounts with a product_error</t>
  </si>
  <si>
    <t xml:space="preserve">An analysed product_error in [assigned_at, assigned_at + 7 x 24 h), received by the cutoff.</t>
  </si>
  <si>
    <t xml:space="preserve">guardrail_error_rate</t>
  </si>
  <si>
    <t xml:space="preserve">guardrail: error rate</t>
  </si>
  <si>
    <t xml:space="preserve">Errors / eligible.</t>
  </si>
  <si>
    <t xml:space="preserve">guardrail_wilson_low</t>
  </si>
  <si>
    <t xml:space="preserve">guardrail: Wilson 95% low</t>
  </si>
  <si>
    <t xml:space="preserve">Wilson interval of the error rate (intermediate for the Newcombe interval).</t>
  </si>
  <si>
    <t xml:space="preserve">guardrail_wilson_high</t>
  </si>
  <si>
    <t xml:space="preserve">guardrail: Wilson 95% high</t>
  </si>
  <si>
    <t xml:space="preserve">guardrail_difference_pp</t>
  </si>
  <si>
    <t xml:space="preserve">guardrail: error-rate difference (treatment - control)</t>
  </si>
  <si>
    <t xml:space="preserve">(treatment rate - control rate) x 100.</t>
  </si>
  <si>
    <t xml:space="preserve">guardrail_newcombe_low</t>
  </si>
  <si>
    <t xml:space="preserve">guardrail: Newcombe 95% low</t>
  </si>
  <si>
    <t xml:space="preserve">Newcombe interval of the error-rate difference.</t>
  </si>
  <si>
    <t xml:space="preserve">guardrail_newcombe_high</t>
  </si>
  <si>
    <t xml:space="preserve">guardrail: Newcombe 95% high</t>
  </si>
  <si>
    <t xml:space="preserve">guardrail_verdict</t>
  </si>
  <si>
    <t xml:space="preserve">guardrail verdict (C09)</t>
  </si>
  <si>
    <t xml:space="preserve">HARMFUL when the whole interval is above 0, INSUFFICIENT when an arm has no eligible account, else OK.</t>
  </si>
  <si>
    <t xml:space="preserve">revenue_total</t>
  </si>
  <si>
    <t xml:space="preserve">revenue (USD)</t>
  </si>
  <si>
    <t xml:space="preserve">USD</t>
  </si>
  <si>
    <t xml:space="preserve">Subscriptions active or ended, starts_at inside the plan's revenue window and &lt;= the cutoff, of the mature assigned accounts.</t>
  </si>
  <si>
    <t xml:space="preserve">revenue_per_assigned_account</t>
  </si>
  <si>
    <t xml:space="preserve">revenue per assigned account (USD)</t>
  </si>
  <si>
    <t xml:space="preserve">USD per account</t>
  </si>
  <si>
    <t xml:space="preserve">Revenue / mature assigned accounts, zeros included.</t>
  </si>
  <si>
    <t xml:space="preserve">revenue_variance</t>
  </si>
  <si>
    <t xml:space="preserve">revenue: sample variance</t>
  </si>
  <si>
    <t xml:space="preserve">USD squared</t>
  </si>
  <si>
    <t xml:space="preserve">Sum of squared deviations of the account-level revenue / (n - 1).</t>
  </si>
  <si>
    <t xml:space="preserve">revenue_t_low</t>
  </si>
  <si>
    <t xml:space="preserve">revenue: t interval low</t>
  </si>
  <si>
    <t xml:space="preserve">mean - t(0.975, n - 1) x sqrt(variance / n).</t>
  </si>
  <si>
    <t xml:space="preserve">revenue_t_high</t>
  </si>
  <si>
    <t xml:space="preserve">revenue: t interval high</t>
  </si>
  <si>
    <t xml:space="preserve">mean + t(0.975, n - 1) x sqrt(variance / n).</t>
  </si>
  <si>
    <t xml:space="preserve">revenue_difference</t>
  </si>
  <si>
    <t xml:space="preserve">revenue difference of means (treatment - control)</t>
  </si>
  <si>
    <t xml:space="preserve">Treatment mean - control mean.</t>
  </si>
  <si>
    <t xml:space="preserve">welch_df</t>
  </si>
  <si>
    <t xml:space="preserve">Welch degrees of freedom (rounded down)</t>
  </si>
  <si>
    <t xml:space="preserve">df</t>
  </si>
  <si>
    <t xml:space="preserve">Welch-Satterthwaite, rounded down so the interval is never narrower than the exact t.</t>
  </si>
  <si>
    <t xml:space="preserve">welch_low</t>
  </si>
  <si>
    <t xml:space="preserve">revenue difference: Welch 95% low</t>
  </si>
  <si>
    <t xml:space="preserve">difference - t(0.975, df) x sqrt(se^2).</t>
  </si>
  <si>
    <t xml:space="preserve">welch_high</t>
  </si>
  <si>
    <t xml:space="preserve">revenue difference: Welch 95% high</t>
  </si>
  <si>
    <t xml:space="preserve">PASTED VALUES from the Python domain (run_pipeline, guardrail_review, revenue_difference), not formulas</t>
  </si>
  <si>
    <t xml:space="preserve">One column per run and scope: the domain's figure over web/public/data, exact decimals as numbers. Metrics reads these only for its check column. Blank = the domain publishes no such figure; the word withheld = an outcome of a run whose sample ratio is a MISMATCH.</t>
  </si>
  <si>
    <t xml:space="preserve">an-001|control</t>
  </si>
  <si>
    <t xml:space="preserve">an-001|treatment</t>
  </si>
  <si>
    <t xml:space="preserve">an-001|combined</t>
  </si>
  <si>
    <t xml:space="preserve">an-002|control</t>
  </si>
  <si>
    <t xml:space="preserve">an-002|treatment</t>
  </si>
  <si>
    <t xml:space="preserve">an-002|combined</t>
  </si>
  <si>
    <t xml:space="preserve">an-003|control</t>
  </si>
  <si>
    <t xml:space="preserve">an-003|treatment</t>
  </si>
  <si>
    <t xml:space="preserve">an-003|combined</t>
  </si>
  <si>
    <t xml:space="preserve">an-004|control</t>
  </si>
  <si>
    <t xml:space="preserve">an-004|treatment</t>
  </si>
  <si>
    <t xml:space="preserve">an-004|combined</t>
  </si>
  <si>
    <t xml:space="preserve">an-005|control</t>
  </si>
  <si>
    <t xml:space="preserve">an-005|treatment</t>
  </si>
  <si>
    <t xml:space="preserve">an-005|combined</t>
  </si>
  <si>
    <t xml:space="preserve">OK</t>
  </si>
  <si>
    <t xml:space="preserve">MISMATCH</t>
  </si>
  <si>
    <t xml:space="preserve">withheld</t>
  </si>
  <si>
    <t xml:space="preserve">The known answer, with formulas (P06-GOLD-01)</t>
  </si>
  <si>
    <t xml:space="preserve">20 of 100 control and 30 of 100 treatment mature assigned accounts activate: 0.200000 and 0.300000, +10.00 pp, relative lift 0.500000, Newcombe [-0.020249, 0.216734] includes 0, not conclusive; the sample ratio 100/100 against 0.50/0.50 gives chi-square 0. Blue = typed inputs, black = formulas, column C = tests/fixtures/golden/expected.json.</t>
  </si>
  <si>
    <t xml:space="preserve">input</t>
  </si>
  <si>
    <t xml:space="preserve">value</t>
  </si>
  <si>
    <t xml:space="preserve">control mature assigned accounts</t>
  </si>
  <si>
    <t xml:space="preserve">control activated</t>
  </si>
  <si>
    <t xml:space="preserve">treatment mature assigned accounts</t>
  </si>
  <si>
    <t xml:space="preserve">treatment activated</t>
  </si>
  <si>
    <t xml:space="preserve">z</t>
  </si>
  <si>
    <t xml:space="preserve">control assigned</t>
  </si>
  <si>
    <t xml:space="preserve">treatment assigned</t>
  </si>
  <si>
    <t xml:space="preserve">figure</t>
  </si>
  <si>
    <t xml:space="preserve">formula</t>
  </si>
  <si>
    <t xml:space="preserve">expected.json</t>
  </si>
  <si>
    <t xml:space="preserve">control conversion</t>
  </si>
  <si>
    <t xml:space="preserve">treatment conversion</t>
  </si>
  <si>
    <t xml:space="preserve">control Wilson low</t>
  </si>
  <si>
    <t xml:space="preserve">control Wilson high</t>
  </si>
  <si>
    <t xml:space="preserve">treatment Wilson low</t>
  </si>
  <si>
    <t xml:space="preserve">treatment Wilson high</t>
  </si>
  <si>
    <t xml:space="preserve">absolute lift (percentage points)</t>
  </si>
  <si>
    <t xml:space="preserve">Newcombe low</t>
  </si>
  <si>
    <t xml:space="preserve">Newcombe high</t>
  </si>
  <si>
    <t xml:space="preserve">sample-ratio chi-square</t>
  </si>
  <si>
    <t xml:space="preserve">all golden checks TRUE</t>
  </si>
  <si>
    <t xml:space="preserve">Seven-day activation by plan and segment at the as-of (live formulas over Accounts)</t>
  </si>
  <si>
    <t xml:space="preserve">Internal accounts excluded. Mature = signup + 7 x 24 h &lt;= 2026-10-05T00:00:00Z; the rate has the mature accounts as denominator. Equals investigation 01 (docs/sql-analysis.md); observed, not experimental.</t>
  </si>
  <si>
    <t xml:space="preserve">plan</t>
  </si>
  <si>
    <t xml:space="preserve">segment</t>
  </si>
  <si>
    <t xml:space="preserve">signed up</t>
  </si>
  <si>
    <t xml:space="preserve">mature</t>
  </si>
  <si>
    <t xml:space="preserve">activated</t>
  </si>
  <si>
    <t xml:space="preserve">activation rate</t>
  </si>
  <si>
    <t xml:space="preserve">immature (signed up, not mature)</t>
  </si>
  <si>
    <t xml:space="preserve">business</t>
  </si>
  <si>
    <t xml:space="preserve">enterprise</t>
  </si>
  <si>
    <t xml:space="preserve">mid</t>
  </si>
  <si>
    <t xml:space="preserve">smb</t>
  </si>
  <si>
    <t xml:space="preserve">ALL</t>
  </si>
  <si>
    <t xml:space="preserve">free</t>
  </si>
  <si>
    <t xml:space="preserve">team</t>
  </si>
  <si>
    <t xml:space="preserve">Decisions applied (docs/contracts.md) and the workbook's own limits</t>
  </si>
  <si>
    <t xml:space="preserve">id</t>
  </si>
  <si>
    <t xml:space="preserve">statement</t>
  </si>
  <si>
    <t xml:space="preserve">D-01</t>
  </si>
  <si>
    <t xml:space="preserve">Canonical events are received by the cutoff and deduplicated (the earliest received wins); an identity link attributes anonymous events forward only; bots, internal accounts and unknown identities are excluded and counted.</t>
  </si>
  <si>
    <t xml:space="preserve">D-02</t>
  </si>
  <si>
    <t xml:space="preserve">The unit is the account. Signup = the earliest signup event of its non-bot users. Activation within [signup, signup + 7 x 24 h); a signup is mature when signup + 7 x 24 h &lt;= the cutoff; immature signups are counted apart.</t>
  </si>
  <si>
    <t xml:space="preserve">D-03</t>
  </si>
  <si>
    <t xml:space="preserve">Intention to treat on mature assigned accounts; the exposure rate is reported beside it. Sample ratio: chi-square against the plan's allocation (df 1); MISMATCH when p &lt; 0.001, INSUFFICIENT when an expected cell &lt; 5. Wilson per arm, Newcombe for treatment minus control (z = 1.959964); relative lift is blank when the control conversion is 0.</t>
  </si>
  <si>
    <t xml:space="preserve">D-05</t>
  </si>
  <si>
    <t xml:space="preserve">Rounding half up once on unrounded values (the domain); this workbook keeps double precision and is compared within 5E-7 for six-decimal figures.</t>
  </si>
  <si>
    <t xml:space="preserve">D-07</t>
  </si>
  <si>
    <t xml:space="preserve">Synthetic world, seed 20261026, 26 weeks, as-of 2026-10-05T00:00:00Z; v1 (400 assigned, permuted blocks of four) and v2 (154 assigned, 3 of 5 to treatment against a 0.40 plan). Four generator choices were made after seeing earlier draws; the realised results are one draw.</t>
  </si>
  <si>
    <t xml:space="preserve">D-08</t>
  </si>
  <si>
    <t xml:space="preserve">A run at cutoff C sees only the facts that existed by C: assignments with assigned_at &lt;= C, exposures with exposed_at &lt;= C, subscriptions with starts_at &lt;= C, events received by C.</t>
  </si>
  <si>
    <t xml:space="preserve">D-10</t>
  </si>
  <si>
    <t xml:space="preserve">conclusive = the interval excludes 0, a final run, a valid plan hash, a plan frozen before the first logged run and an OK sample ratio. An activation counts only at or after the assignment; the guardrail counts only accounts whose 7-day window is complete. The INJ-10 instrumentation gap sits inside the published v1 lift (published +9.50, drawn +11.50, +9.96 excluding the gap accounts).</t>
  </si>
  <si>
    <t xml:space="preserve">W-01</t>
  </si>
  <si>
    <t xml:space="preserve">The sample ratio comes first: when it is a MISMATCH the outcome rows show the word withheld; no lift of v2 is shown.</t>
  </si>
  <si>
    <t xml:space="preserve">W-02</t>
  </si>
  <si>
    <t xml:space="preserve">The first signup instant (and its received instant), the activation and the first error received inside the guardrail window are TYPED from the independent Python side: the event canonicalisation (duplicates, identity, bots) is not replayed by formulas. An account whose earliest signup event arrives late while a later one arrives earlier would be read differently; build_workbook.py asserts that no such case exists at the five runs, and every run is compared with the domain after recalculation.</t>
  </si>
  <si>
    <t xml:space="preserve">W-03</t>
  </si>
  <si>
    <t xml:space="preserve">The plan hash is typed (a spreadsheet has no sha256). Recalculation: openpyxl writes formulas only; the delivered file was recalculated by LibreOffice headless and carries its cached values; Excel was NOT run. fullCalcOnLoad is set so Excel recalculates on open. Functions used: SUMIFS, COUNTIFS, SUMPRODUCT, INDEX, MATCH, IF, ABS, SQRT, INT, CHIDIST and TINV (the legacy forms, no _xlfn prefix, in Excel and LibreOffice).</t>
  </si>
  <si>
    <t xml:space="preserve">W-04</t>
  </si>
  <si>
    <t xml:space="preserve">Floating point: formulas use double precision. The domain publishes six decimals (two for money); the check column allows 5E-7 on six-decimal figures and 0.005 on money and percentage points.</t>
  </si>
  <si>
    <t xml:space="preserve">W-05</t>
  </si>
  <si>
    <t xml:space="preserve">The revenue t interval and the Welch interval use TINV(0.05, df): LibreOffice's quantile agrees with the domain's fixed-point quantile to the printed two decimals (the test compares all five runs).</t>
  </si>
  <si>
    <t xml:space="preserve">assignment_id</t>
  </si>
  <si>
    <t xml:space="preserve">version</t>
  </si>
  <si>
    <t xml:space="preserve">unit_id</t>
  </si>
  <si>
    <t xml:space="preserve">variant</t>
  </si>
  <si>
    <t xml:space="preserve">assigned_epoch</t>
  </si>
  <si>
    <t xml:space="preserve">signup_epoch</t>
  </si>
  <si>
    <t xml:space="preserve">signup_received_epoch</t>
  </si>
  <si>
    <t xml:space="preserve">activation_epoch</t>
  </si>
  <si>
    <t xml:space="preserve">activation_received_epoch</t>
  </si>
  <si>
    <t xml:space="preserve">exposed_epoch</t>
  </si>
  <si>
    <t xml:space="preserve">first_error_received_epoch (inside the 7-day guardrail window)</t>
  </si>
  <si>
    <t xml:space="preserve">in_read</t>
  </si>
  <si>
    <t xml:space="preserve">signup_known</t>
  </si>
  <si>
    <t xml:space="preserve">exposed</t>
  </si>
  <si>
    <t xml:space="preserve">errored</t>
  </si>
  <si>
    <t xml:space="preserve">revenue_usd</t>
  </si>
  <si>
    <t xml:space="preserve">as-0001</t>
  </si>
  <si>
    <t xml:space="preserve">xv-001</t>
  </si>
  <si>
    <t xml:space="preserve">acc-0001</t>
  </si>
  <si>
    <t xml:space="preserve">as-0002</t>
  </si>
  <si>
    <t xml:space="preserve">acc-0002</t>
  </si>
  <si>
    <t xml:space="preserve">as-0003</t>
  </si>
  <si>
    <t xml:space="preserve">acc-0003</t>
  </si>
  <si>
    <t xml:space="preserve">as-0004</t>
  </si>
  <si>
    <t xml:space="preserve">acc-0004</t>
  </si>
  <si>
    <t xml:space="preserve">as-0005</t>
  </si>
  <si>
    <t xml:space="preserve">acc-0005</t>
  </si>
  <si>
    <t xml:space="preserve">as-0006</t>
  </si>
  <si>
    <t xml:space="preserve">acc-0006</t>
  </si>
  <si>
    <t xml:space="preserve">as-0007</t>
  </si>
  <si>
    <t xml:space="preserve">acc-0007</t>
  </si>
  <si>
    <t xml:space="preserve">as-0008</t>
  </si>
  <si>
    <t xml:space="preserve">acc-0008</t>
  </si>
  <si>
    <t xml:space="preserve">as-0009</t>
  </si>
  <si>
    <t xml:space="preserve">acc-0009</t>
  </si>
  <si>
    <t xml:space="preserve">as-0010</t>
  </si>
  <si>
    <t xml:space="preserve">acc-0010</t>
  </si>
  <si>
    <t xml:space="preserve">as-0011</t>
  </si>
  <si>
    <t xml:space="preserve">acc-0011</t>
  </si>
  <si>
    <t xml:space="preserve">as-0012</t>
  </si>
  <si>
    <t xml:space="preserve">acc-0012</t>
  </si>
  <si>
    <t xml:space="preserve">as-0013</t>
  </si>
  <si>
    <t xml:space="preserve">acc-0013</t>
  </si>
  <si>
    <t xml:space="preserve">as-0014</t>
  </si>
  <si>
    <t xml:space="preserve">acc-0014</t>
  </si>
  <si>
    <t xml:space="preserve">as-0015</t>
  </si>
  <si>
    <t xml:space="preserve">acc-0015</t>
  </si>
  <si>
    <t xml:space="preserve">as-0016</t>
  </si>
  <si>
    <t xml:space="preserve">acc-0016</t>
  </si>
  <si>
    <t xml:space="preserve">as-0017</t>
  </si>
  <si>
    <t xml:space="preserve">acc-0017</t>
  </si>
  <si>
    <t xml:space="preserve">as-0018</t>
  </si>
  <si>
    <t xml:space="preserve">acc-0018</t>
  </si>
  <si>
    <t xml:space="preserve">as-0019</t>
  </si>
  <si>
    <t xml:space="preserve">acc-0019</t>
  </si>
  <si>
    <t xml:space="preserve">as-0020</t>
  </si>
  <si>
    <t xml:space="preserve">acc-0020</t>
  </si>
  <si>
    <t xml:space="preserve">as-0021</t>
  </si>
  <si>
    <t xml:space="preserve">acc-0021</t>
  </si>
  <si>
    <t xml:space="preserve">as-0022</t>
  </si>
  <si>
    <t xml:space="preserve">acc-0022</t>
  </si>
  <si>
    <t xml:space="preserve">as-0023</t>
  </si>
  <si>
    <t xml:space="preserve">acc-0023</t>
  </si>
  <si>
    <t xml:space="preserve">as-0024</t>
  </si>
  <si>
    <t xml:space="preserve">acc-0024</t>
  </si>
  <si>
    <t xml:space="preserve">as-0025</t>
  </si>
  <si>
    <t xml:space="preserve">acc-0025</t>
  </si>
  <si>
    <t xml:space="preserve">as-0026</t>
  </si>
  <si>
    <t xml:space="preserve">acc-0026</t>
  </si>
  <si>
    <t xml:space="preserve">as-0027</t>
  </si>
  <si>
    <t xml:space="preserve">acc-0027</t>
  </si>
  <si>
    <t xml:space="preserve">as-0028</t>
  </si>
  <si>
    <t xml:space="preserve">acc-0028</t>
  </si>
  <si>
    <t xml:space="preserve">as-0029</t>
  </si>
  <si>
    <t xml:space="preserve">acc-0029</t>
  </si>
  <si>
    <t xml:space="preserve">as-0030</t>
  </si>
  <si>
    <t xml:space="preserve">acc-0030</t>
  </si>
  <si>
    <t xml:space="preserve">as-0031</t>
  </si>
  <si>
    <t xml:space="preserve">acc-0031</t>
  </si>
  <si>
    <t xml:space="preserve">as-0032</t>
  </si>
  <si>
    <t xml:space="preserve">acc-0032</t>
  </si>
  <si>
    <t xml:space="preserve">as-0033</t>
  </si>
  <si>
    <t xml:space="preserve">acc-0033</t>
  </si>
  <si>
    <t xml:space="preserve">as-0034</t>
  </si>
  <si>
    <t xml:space="preserve">acc-0034</t>
  </si>
  <si>
    <t xml:space="preserve">as-0035</t>
  </si>
  <si>
    <t xml:space="preserve">acc-0035</t>
  </si>
  <si>
    <t xml:space="preserve">as-0036</t>
  </si>
  <si>
    <t xml:space="preserve">acc-0036</t>
  </si>
  <si>
    <t xml:space="preserve">as-0037</t>
  </si>
  <si>
    <t xml:space="preserve">acc-0037</t>
  </si>
  <si>
    <t xml:space="preserve">as-0038</t>
  </si>
  <si>
    <t xml:space="preserve">acc-0038</t>
  </si>
  <si>
    <t xml:space="preserve">as-0039</t>
  </si>
  <si>
    <t xml:space="preserve">acc-0039</t>
  </si>
  <si>
    <t xml:space="preserve">as-0040</t>
  </si>
  <si>
    <t xml:space="preserve">acc-0040</t>
  </si>
  <si>
    <t xml:space="preserve">as-0041</t>
  </si>
  <si>
    <t xml:space="preserve">acc-0041</t>
  </si>
  <si>
    <t xml:space="preserve">as-0042</t>
  </si>
  <si>
    <t xml:space="preserve">acc-0042</t>
  </si>
  <si>
    <t xml:space="preserve">as-0043</t>
  </si>
  <si>
    <t xml:space="preserve">acc-0043</t>
  </si>
  <si>
    <t xml:space="preserve">as-0044</t>
  </si>
  <si>
    <t xml:space="preserve">acc-0044</t>
  </si>
  <si>
    <t xml:space="preserve">as-0045</t>
  </si>
  <si>
    <t xml:space="preserve">acc-0045</t>
  </si>
  <si>
    <t xml:space="preserve">as-0046</t>
  </si>
  <si>
    <t xml:space="preserve">acc-0046</t>
  </si>
  <si>
    <t xml:space="preserve">as-0047</t>
  </si>
  <si>
    <t xml:space="preserve">acc-0047</t>
  </si>
  <si>
    <t xml:space="preserve">as-0048</t>
  </si>
  <si>
    <t xml:space="preserve">acc-0048</t>
  </si>
  <si>
    <t xml:space="preserve">as-0049</t>
  </si>
  <si>
    <t xml:space="preserve">acc-0049</t>
  </si>
  <si>
    <t xml:space="preserve">as-0050</t>
  </si>
  <si>
    <t xml:space="preserve">acc-0050</t>
  </si>
  <si>
    <t xml:space="preserve">as-0051</t>
  </si>
  <si>
    <t xml:space="preserve">acc-0051</t>
  </si>
  <si>
    <t xml:space="preserve">as-0052</t>
  </si>
  <si>
    <t xml:space="preserve">acc-0052</t>
  </si>
  <si>
    <t xml:space="preserve">as-0053</t>
  </si>
  <si>
    <t xml:space="preserve">acc-0053</t>
  </si>
  <si>
    <t xml:space="preserve">as-0054</t>
  </si>
  <si>
    <t xml:space="preserve">acc-0054</t>
  </si>
  <si>
    <t xml:space="preserve">as-0055</t>
  </si>
  <si>
    <t xml:space="preserve">acc-0055</t>
  </si>
  <si>
    <t xml:space="preserve">as-0056</t>
  </si>
  <si>
    <t xml:space="preserve">acc-0056</t>
  </si>
  <si>
    <t xml:space="preserve">as-0057</t>
  </si>
  <si>
    <t xml:space="preserve">acc-0058</t>
  </si>
  <si>
    <t xml:space="preserve">as-0058</t>
  </si>
  <si>
    <t xml:space="preserve">acc-0059</t>
  </si>
  <si>
    <t xml:space="preserve">as-0059</t>
  </si>
  <si>
    <t xml:space="preserve">acc-0060</t>
  </si>
  <si>
    <t xml:space="preserve">as-0060</t>
  </si>
  <si>
    <t xml:space="preserve">acc-0061</t>
  </si>
  <si>
    <t xml:space="preserve">as-0061</t>
  </si>
  <si>
    <t xml:space="preserve">acc-0062</t>
  </si>
  <si>
    <t xml:space="preserve">as-0062</t>
  </si>
  <si>
    <t xml:space="preserve">acc-0063</t>
  </si>
  <si>
    <t xml:space="preserve">as-0063</t>
  </si>
  <si>
    <t xml:space="preserve">acc-0064</t>
  </si>
  <si>
    <t xml:space="preserve">as-0064</t>
  </si>
  <si>
    <t xml:space="preserve">acc-0065</t>
  </si>
  <si>
    <t xml:space="preserve">as-0065</t>
  </si>
  <si>
    <t xml:space="preserve">acc-0066</t>
  </si>
  <si>
    <t xml:space="preserve">as-0066</t>
  </si>
  <si>
    <t xml:space="preserve">acc-0067</t>
  </si>
  <si>
    <t xml:space="preserve">as-0067</t>
  </si>
  <si>
    <t xml:space="preserve">acc-0068</t>
  </si>
  <si>
    <t xml:space="preserve">as-0068</t>
  </si>
  <si>
    <t xml:space="preserve">acc-0069</t>
  </si>
  <si>
    <t xml:space="preserve">as-0069</t>
  </si>
  <si>
    <t xml:space="preserve">acc-0070</t>
  </si>
  <si>
    <t xml:space="preserve">as-0070</t>
  </si>
  <si>
    <t xml:space="preserve">acc-0071</t>
  </si>
  <si>
    <t xml:space="preserve">as-0071</t>
  </si>
  <si>
    <t xml:space="preserve">acc-0072</t>
  </si>
  <si>
    <t xml:space="preserve">as-0072</t>
  </si>
  <si>
    <t xml:space="preserve">acc-0073</t>
  </si>
  <si>
    <t xml:space="preserve">as-0073</t>
  </si>
  <si>
    <t xml:space="preserve">acc-0074</t>
  </si>
  <si>
    <t xml:space="preserve">as-0074</t>
  </si>
  <si>
    <t xml:space="preserve">acc-0075</t>
  </si>
  <si>
    <t xml:space="preserve">as-0075</t>
  </si>
  <si>
    <t xml:space="preserve">acc-0076</t>
  </si>
  <si>
    <t xml:space="preserve">as-0076</t>
  </si>
  <si>
    <t xml:space="preserve">acc-0077</t>
  </si>
  <si>
    <t xml:space="preserve">as-0077</t>
  </si>
  <si>
    <t xml:space="preserve">acc-0078</t>
  </si>
  <si>
    <t xml:space="preserve">as-0078</t>
  </si>
  <si>
    <t xml:space="preserve">acc-0079</t>
  </si>
  <si>
    <t xml:space="preserve">as-0079</t>
  </si>
  <si>
    <t xml:space="preserve">acc-0080</t>
  </si>
  <si>
    <t xml:space="preserve">as-0080</t>
  </si>
  <si>
    <t xml:space="preserve">acc-0081</t>
  </si>
  <si>
    <t xml:space="preserve">as-0081</t>
  </si>
  <si>
    <t xml:space="preserve">acc-0082</t>
  </si>
  <si>
    <t xml:space="preserve">as-0082</t>
  </si>
  <si>
    <t xml:space="preserve">acc-0083</t>
  </si>
  <si>
    <t xml:space="preserve">as-0083</t>
  </si>
  <si>
    <t xml:space="preserve">acc-0084</t>
  </si>
  <si>
    <t xml:space="preserve">as-0084</t>
  </si>
  <si>
    <t xml:space="preserve">acc-0085</t>
  </si>
  <si>
    <t xml:space="preserve">as-0085</t>
  </si>
  <si>
    <t xml:space="preserve">acc-0086</t>
  </si>
  <si>
    <t xml:space="preserve">as-0086</t>
  </si>
  <si>
    <t xml:space="preserve">acc-0087</t>
  </si>
  <si>
    <t xml:space="preserve">as-0087</t>
  </si>
  <si>
    <t xml:space="preserve">acc-0088</t>
  </si>
  <si>
    <t xml:space="preserve">as-0088</t>
  </si>
  <si>
    <t xml:space="preserve">acc-0089</t>
  </si>
  <si>
    <t xml:space="preserve">as-0089</t>
  </si>
  <si>
    <t xml:space="preserve">acc-0090</t>
  </si>
  <si>
    <t xml:space="preserve">as-0090</t>
  </si>
  <si>
    <t xml:space="preserve">acc-0091</t>
  </si>
  <si>
    <t xml:space="preserve">as-0091</t>
  </si>
  <si>
    <t xml:space="preserve">acc-0092</t>
  </si>
  <si>
    <t xml:space="preserve">as-0092</t>
  </si>
  <si>
    <t xml:space="preserve">acc-0093</t>
  </si>
  <si>
    <t xml:space="preserve">as-0093</t>
  </si>
  <si>
    <t xml:space="preserve">acc-0094</t>
  </si>
  <si>
    <t xml:space="preserve">as-0094</t>
  </si>
  <si>
    <t xml:space="preserve">acc-0095</t>
  </si>
  <si>
    <t xml:space="preserve">as-0095</t>
  </si>
  <si>
    <t xml:space="preserve">acc-0096</t>
  </si>
  <si>
    <t xml:space="preserve">as-0096</t>
  </si>
  <si>
    <t xml:space="preserve">acc-0097</t>
  </si>
  <si>
    <t xml:space="preserve">as-0097</t>
  </si>
  <si>
    <t xml:space="preserve">acc-0098</t>
  </si>
  <si>
    <t xml:space="preserve">as-0098</t>
  </si>
  <si>
    <t xml:space="preserve">acc-0099</t>
  </si>
  <si>
    <t xml:space="preserve">as-0099</t>
  </si>
  <si>
    <t xml:space="preserve">acc-0100</t>
  </si>
  <si>
    <t xml:space="preserve">as-0100</t>
  </si>
  <si>
    <t xml:space="preserve">acc-0101</t>
  </si>
  <si>
    <t xml:space="preserve">as-0101</t>
  </si>
  <si>
    <t xml:space="preserve">acc-0102</t>
  </si>
  <si>
    <t xml:space="preserve">as-0102</t>
  </si>
  <si>
    <t xml:space="preserve">acc-0103</t>
  </si>
  <si>
    <t xml:space="preserve">as-0103</t>
  </si>
  <si>
    <t xml:space="preserve">acc-0104</t>
  </si>
  <si>
    <t xml:space="preserve">as-0104</t>
  </si>
  <si>
    <t xml:space="preserve">acc-0105</t>
  </si>
  <si>
    <t xml:space="preserve">as-0105</t>
  </si>
  <si>
    <t xml:space="preserve">acc-0106</t>
  </si>
  <si>
    <t xml:space="preserve">as-0106</t>
  </si>
  <si>
    <t xml:space="preserve">acc-0107</t>
  </si>
  <si>
    <t xml:space="preserve">as-0107</t>
  </si>
  <si>
    <t xml:space="preserve">acc-0108</t>
  </si>
  <si>
    <t xml:space="preserve">as-0108</t>
  </si>
  <si>
    <t xml:space="preserve">acc-0109</t>
  </si>
  <si>
    <t xml:space="preserve">as-0109</t>
  </si>
  <si>
    <t xml:space="preserve">acc-0110</t>
  </si>
  <si>
    <t xml:space="preserve">as-0110</t>
  </si>
  <si>
    <t xml:space="preserve">acc-0111</t>
  </si>
  <si>
    <t xml:space="preserve">as-0111</t>
  </si>
  <si>
    <t xml:space="preserve">acc-0112</t>
  </si>
  <si>
    <t xml:space="preserve">as-0112</t>
  </si>
  <si>
    <t xml:space="preserve">acc-0113</t>
  </si>
  <si>
    <t xml:space="preserve">as-0113</t>
  </si>
  <si>
    <t xml:space="preserve">acc-0114</t>
  </si>
  <si>
    <t xml:space="preserve">as-0114</t>
  </si>
  <si>
    <t xml:space="preserve">acc-0115</t>
  </si>
  <si>
    <t xml:space="preserve">as-0115</t>
  </si>
  <si>
    <t xml:space="preserve">acc-0116</t>
  </si>
  <si>
    <t xml:space="preserve">as-0116</t>
  </si>
  <si>
    <t xml:space="preserve">acc-0117</t>
  </si>
  <si>
    <t xml:space="preserve">as-0117</t>
  </si>
  <si>
    <t xml:space="preserve">acc-0118</t>
  </si>
  <si>
    <t xml:space="preserve">as-0118</t>
  </si>
  <si>
    <t xml:space="preserve">acc-0119</t>
  </si>
  <si>
    <t xml:space="preserve">as-0119</t>
  </si>
  <si>
    <t xml:space="preserve">acc-0120</t>
  </si>
  <si>
    <t xml:space="preserve">as-0120</t>
  </si>
  <si>
    <t xml:space="preserve">acc-0121</t>
  </si>
  <si>
    <t xml:space="preserve">as-0121</t>
  </si>
  <si>
    <t xml:space="preserve">acc-0122</t>
  </si>
  <si>
    <t xml:space="preserve">as-0122</t>
  </si>
  <si>
    <t xml:space="preserve">acc-0123</t>
  </si>
  <si>
    <t xml:space="preserve">as-0123</t>
  </si>
  <si>
    <t xml:space="preserve">acc-0124</t>
  </si>
  <si>
    <t xml:space="preserve">as-0124</t>
  </si>
  <si>
    <t xml:space="preserve">acc-0125</t>
  </si>
  <si>
    <t xml:space="preserve">as-0125</t>
  </si>
  <si>
    <t xml:space="preserve">acc-0126</t>
  </si>
  <si>
    <t xml:space="preserve">as-0126</t>
  </si>
  <si>
    <t xml:space="preserve">acc-0127</t>
  </si>
  <si>
    <t xml:space="preserve">as-0127</t>
  </si>
  <si>
    <t xml:space="preserve">acc-0128</t>
  </si>
  <si>
    <t xml:space="preserve">as-0128</t>
  </si>
  <si>
    <t xml:space="preserve">acc-0129</t>
  </si>
  <si>
    <t xml:space="preserve">as-0129</t>
  </si>
  <si>
    <t xml:space="preserve">acc-0130</t>
  </si>
  <si>
    <t xml:space="preserve">as-0130</t>
  </si>
  <si>
    <t xml:space="preserve">acc-0131</t>
  </si>
  <si>
    <t xml:space="preserve">as-0131</t>
  </si>
  <si>
    <t xml:space="preserve">acc-0132</t>
  </si>
  <si>
    <t xml:space="preserve">as-0132</t>
  </si>
  <si>
    <t xml:space="preserve">acc-0133</t>
  </si>
  <si>
    <t xml:space="preserve">as-0133</t>
  </si>
  <si>
    <t xml:space="preserve">acc-0134</t>
  </si>
  <si>
    <t xml:space="preserve">as-0134</t>
  </si>
  <si>
    <t xml:space="preserve">acc-0135</t>
  </si>
  <si>
    <t xml:space="preserve">as-0135</t>
  </si>
  <si>
    <t xml:space="preserve">acc-0136</t>
  </si>
  <si>
    <t xml:space="preserve">as-0136</t>
  </si>
  <si>
    <t xml:space="preserve">acc-0137</t>
  </si>
  <si>
    <t xml:space="preserve">as-0137</t>
  </si>
  <si>
    <t xml:space="preserve">acc-0138</t>
  </si>
  <si>
    <t xml:space="preserve">as-0138</t>
  </si>
  <si>
    <t xml:space="preserve">acc-0139</t>
  </si>
  <si>
    <t xml:space="preserve">as-0139</t>
  </si>
  <si>
    <t xml:space="preserve">acc-0140</t>
  </si>
  <si>
    <t xml:space="preserve">as-0140</t>
  </si>
  <si>
    <t xml:space="preserve">acc-0141</t>
  </si>
  <si>
    <t xml:space="preserve">as-0141</t>
  </si>
  <si>
    <t xml:space="preserve">acc-0142</t>
  </si>
  <si>
    <t xml:space="preserve">as-0142</t>
  </si>
  <si>
    <t xml:space="preserve">acc-0143</t>
  </si>
  <si>
    <t xml:space="preserve">as-0143</t>
  </si>
  <si>
    <t xml:space="preserve">acc-0144</t>
  </si>
  <si>
    <t xml:space="preserve">as-0144</t>
  </si>
  <si>
    <t xml:space="preserve">acc-0145</t>
  </si>
  <si>
    <t xml:space="preserve">as-0145</t>
  </si>
  <si>
    <t xml:space="preserve">acc-0146</t>
  </si>
  <si>
    <t xml:space="preserve">as-0146</t>
  </si>
  <si>
    <t xml:space="preserve">acc-0147</t>
  </si>
  <si>
    <t xml:space="preserve">as-0147</t>
  </si>
  <si>
    <t xml:space="preserve">acc-0148</t>
  </si>
  <si>
    <t xml:space="preserve">as-0148</t>
  </si>
  <si>
    <t xml:space="preserve">acc-0149</t>
  </si>
  <si>
    <t xml:space="preserve">as-0149</t>
  </si>
  <si>
    <t xml:space="preserve">acc-0150</t>
  </si>
  <si>
    <t xml:space="preserve">as-0150</t>
  </si>
  <si>
    <t xml:space="preserve">acc-0151</t>
  </si>
  <si>
    <t xml:space="preserve">as-0151</t>
  </si>
  <si>
    <t xml:space="preserve">acc-0152</t>
  </si>
  <si>
    <t xml:space="preserve">as-0152</t>
  </si>
  <si>
    <t xml:space="preserve">acc-0153</t>
  </si>
  <si>
    <t xml:space="preserve">as-0153</t>
  </si>
  <si>
    <t xml:space="preserve">acc-0154</t>
  </si>
  <si>
    <t xml:space="preserve">as-0154</t>
  </si>
  <si>
    <t xml:space="preserve">acc-0155</t>
  </si>
  <si>
    <t xml:space="preserve">as-0155</t>
  </si>
  <si>
    <t xml:space="preserve">acc-0156</t>
  </si>
  <si>
    <t xml:space="preserve">as-0156</t>
  </si>
  <si>
    <t xml:space="preserve">acc-0157</t>
  </si>
  <si>
    <t xml:space="preserve">as-0157</t>
  </si>
  <si>
    <t xml:space="preserve">acc-0158</t>
  </si>
  <si>
    <t xml:space="preserve">as-0158</t>
  </si>
  <si>
    <t xml:space="preserve">acc-0160</t>
  </si>
  <si>
    <t xml:space="preserve">as-0159</t>
  </si>
  <si>
    <t xml:space="preserve">acc-0161</t>
  </si>
  <si>
    <t xml:space="preserve">as-0160</t>
  </si>
  <si>
    <t xml:space="preserve">acc-0162</t>
  </si>
  <si>
    <t xml:space="preserve">as-0161</t>
  </si>
  <si>
    <t xml:space="preserve">acc-0163</t>
  </si>
  <si>
    <t xml:space="preserve">as-0162</t>
  </si>
  <si>
    <t xml:space="preserve">acc-0164</t>
  </si>
  <si>
    <t xml:space="preserve">as-0163</t>
  </si>
  <si>
    <t xml:space="preserve">acc-0165</t>
  </si>
  <si>
    <t xml:space="preserve">as-0164</t>
  </si>
  <si>
    <t xml:space="preserve">acc-0166</t>
  </si>
  <si>
    <t xml:space="preserve">as-0165</t>
  </si>
  <si>
    <t xml:space="preserve">acc-0167</t>
  </si>
  <si>
    <t xml:space="preserve">as-0166</t>
  </si>
  <si>
    <t xml:space="preserve">acc-0169</t>
  </si>
  <si>
    <t xml:space="preserve">as-0167</t>
  </si>
  <si>
    <t xml:space="preserve">acc-0170</t>
  </si>
  <si>
    <t xml:space="preserve">as-0168</t>
  </si>
  <si>
    <t xml:space="preserve">acc-0171</t>
  </si>
  <si>
    <t xml:space="preserve">as-0169</t>
  </si>
  <si>
    <t xml:space="preserve">acc-0172</t>
  </si>
  <si>
    <t xml:space="preserve">as-0170</t>
  </si>
  <si>
    <t xml:space="preserve">acc-0174</t>
  </si>
  <si>
    <t xml:space="preserve">as-0171</t>
  </si>
  <si>
    <t xml:space="preserve">acc-0175</t>
  </si>
  <si>
    <t xml:space="preserve">as-0172</t>
  </si>
  <si>
    <t xml:space="preserve">acc-0176</t>
  </si>
  <si>
    <t xml:space="preserve">as-0173</t>
  </si>
  <si>
    <t xml:space="preserve">acc-0177</t>
  </si>
  <si>
    <t xml:space="preserve">as-0174</t>
  </si>
  <si>
    <t xml:space="preserve">acc-0178</t>
  </si>
  <si>
    <t xml:space="preserve">as-0175</t>
  </si>
  <si>
    <t xml:space="preserve">acc-0179</t>
  </si>
  <si>
    <t xml:space="preserve">as-0176</t>
  </si>
  <si>
    <t xml:space="preserve">acc-0180</t>
  </si>
  <si>
    <t xml:space="preserve">as-0177</t>
  </si>
  <si>
    <t xml:space="preserve">acc-0181</t>
  </si>
  <si>
    <t xml:space="preserve">as-0178</t>
  </si>
  <si>
    <t xml:space="preserve">acc-0182</t>
  </si>
  <si>
    <t xml:space="preserve">as-0179</t>
  </si>
  <si>
    <t xml:space="preserve">acc-0183</t>
  </si>
  <si>
    <t xml:space="preserve">as-0180</t>
  </si>
  <si>
    <t xml:space="preserve">acc-0184</t>
  </si>
  <si>
    <t xml:space="preserve">as-0181</t>
  </si>
  <si>
    <t xml:space="preserve">acc-0185</t>
  </si>
  <si>
    <t xml:space="preserve">as-0182</t>
  </si>
  <si>
    <t xml:space="preserve">acc-0186</t>
  </si>
  <si>
    <t xml:space="preserve">as-0183</t>
  </si>
  <si>
    <t xml:space="preserve">acc-0188</t>
  </si>
  <si>
    <t xml:space="preserve">as-0184</t>
  </si>
  <si>
    <t xml:space="preserve">acc-0187</t>
  </si>
  <si>
    <t xml:space="preserve">as-0185</t>
  </si>
  <si>
    <t xml:space="preserve">acc-0189</t>
  </si>
  <si>
    <t xml:space="preserve">as-0186</t>
  </si>
  <si>
    <t xml:space="preserve">acc-0190</t>
  </si>
  <si>
    <t xml:space="preserve">as-0187</t>
  </si>
  <si>
    <t xml:space="preserve">acc-0191</t>
  </si>
  <si>
    <t xml:space="preserve">as-0188</t>
  </si>
  <si>
    <t xml:space="preserve">acc-0192</t>
  </si>
  <si>
    <t xml:space="preserve">as-0189</t>
  </si>
  <si>
    <t xml:space="preserve">acc-0193</t>
  </si>
  <si>
    <t xml:space="preserve">as-0190</t>
  </si>
  <si>
    <t xml:space="preserve">acc-0194</t>
  </si>
  <si>
    <t xml:space="preserve">as-0191</t>
  </si>
  <si>
    <t xml:space="preserve">acc-0195</t>
  </si>
  <si>
    <t xml:space="preserve">as-0192</t>
  </si>
  <si>
    <t xml:space="preserve">acc-0196</t>
  </si>
  <si>
    <t xml:space="preserve">as-0193</t>
  </si>
  <si>
    <t xml:space="preserve">acc-0197</t>
  </si>
  <si>
    <t xml:space="preserve">as-0194</t>
  </si>
  <si>
    <t xml:space="preserve">acc-0198</t>
  </si>
  <si>
    <t xml:space="preserve">as-0195</t>
  </si>
  <si>
    <t xml:space="preserve">acc-0199</t>
  </si>
  <si>
    <t xml:space="preserve">as-0196</t>
  </si>
  <si>
    <t xml:space="preserve">acc-0200</t>
  </si>
  <si>
    <t xml:space="preserve">as-0197</t>
  </si>
  <si>
    <t xml:space="preserve">acc-0201</t>
  </si>
  <si>
    <t xml:space="preserve">as-0198</t>
  </si>
  <si>
    <t xml:space="preserve">acc-0202</t>
  </si>
  <si>
    <t xml:space="preserve">as-0199</t>
  </si>
  <si>
    <t xml:space="preserve">acc-0203</t>
  </si>
  <si>
    <t xml:space="preserve">as-0200</t>
  </si>
  <si>
    <t xml:space="preserve">acc-0204</t>
  </si>
  <si>
    <t xml:space="preserve">as-0201</t>
  </si>
  <si>
    <t xml:space="preserve">acc-0205</t>
  </si>
  <si>
    <t xml:space="preserve">as-0202</t>
  </si>
  <si>
    <t xml:space="preserve">acc-0206</t>
  </si>
  <si>
    <t xml:space="preserve">as-0203</t>
  </si>
  <si>
    <t xml:space="preserve">acc-0207</t>
  </si>
  <si>
    <t xml:space="preserve">as-0204</t>
  </si>
  <si>
    <t xml:space="preserve">acc-0208</t>
  </si>
  <si>
    <t xml:space="preserve">as-0205</t>
  </si>
  <si>
    <t xml:space="preserve">acc-0209</t>
  </si>
  <si>
    <t xml:space="preserve">as-0206</t>
  </si>
  <si>
    <t xml:space="preserve">acc-0210</t>
  </si>
  <si>
    <t xml:space="preserve">as-0207</t>
  </si>
  <si>
    <t xml:space="preserve">acc-0211</t>
  </si>
  <si>
    <t xml:space="preserve">as-0208</t>
  </si>
  <si>
    <t xml:space="preserve">acc-0212</t>
  </si>
  <si>
    <t xml:space="preserve">as-0209</t>
  </si>
  <si>
    <t xml:space="preserve">acc-0213</t>
  </si>
  <si>
    <t xml:space="preserve">as-0210</t>
  </si>
  <si>
    <t xml:space="preserve">acc-0214</t>
  </si>
  <si>
    <t xml:space="preserve">as-0211</t>
  </si>
  <si>
    <t xml:space="preserve">acc-0215</t>
  </si>
  <si>
    <t xml:space="preserve">as-0212</t>
  </si>
  <si>
    <t xml:space="preserve">acc-0216</t>
  </si>
  <si>
    <t xml:space="preserve">as-0213</t>
  </si>
  <si>
    <t xml:space="preserve">acc-0217</t>
  </si>
  <si>
    <t xml:space="preserve">as-0214</t>
  </si>
  <si>
    <t xml:space="preserve">acc-0218</t>
  </si>
  <si>
    <t xml:space="preserve">as-0215</t>
  </si>
  <si>
    <t xml:space="preserve">acc-0219</t>
  </si>
  <si>
    <t xml:space="preserve">as-0216</t>
  </si>
  <si>
    <t xml:space="preserve">acc-0220</t>
  </si>
  <si>
    <t xml:space="preserve">as-0217</t>
  </si>
  <si>
    <t xml:space="preserve">acc-0221</t>
  </si>
  <si>
    <t xml:space="preserve">as-0218</t>
  </si>
  <si>
    <t xml:space="preserve">acc-0222</t>
  </si>
  <si>
    <t xml:space="preserve">as-0219</t>
  </si>
  <si>
    <t xml:space="preserve">acc-0223</t>
  </si>
  <si>
    <t xml:space="preserve">as-0220</t>
  </si>
  <si>
    <t xml:space="preserve">acc-0224</t>
  </si>
  <si>
    <t xml:space="preserve">as-0221</t>
  </si>
  <si>
    <t xml:space="preserve">acc-0225</t>
  </si>
  <si>
    <t xml:space="preserve">as-0222</t>
  </si>
  <si>
    <t xml:space="preserve">acc-0226</t>
  </si>
  <si>
    <t xml:space="preserve">as-0223</t>
  </si>
  <si>
    <t xml:space="preserve">acc-0227</t>
  </si>
  <si>
    <t xml:space="preserve">as-0224</t>
  </si>
  <si>
    <t xml:space="preserve">acc-0228</t>
  </si>
  <si>
    <t xml:space="preserve">as-0225</t>
  </si>
  <si>
    <t xml:space="preserve">acc-0229</t>
  </si>
  <si>
    <t xml:space="preserve">as-0226</t>
  </si>
  <si>
    <t xml:space="preserve">acc-0231</t>
  </si>
  <si>
    <t xml:space="preserve">as-0227</t>
  </si>
  <si>
    <t xml:space="preserve">acc-0232</t>
  </si>
  <si>
    <t xml:space="preserve">as-0228</t>
  </si>
  <si>
    <t xml:space="preserve">acc-0233</t>
  </si>
  <si>
    <t xml:space="preserve">as-0229</t>
  </si>
  <si>
    <t xml:space="preserve">acc-0234</t>
  </si>
  <si>
    <t xml:space="preserve">as-0230</t>
  </si>
  <si>
    <t xml:space="preserve">acc-0235</t>
  </si>
  <si>
    <t xml:space="preserve">as-0231</t>
  </si>
  <si>
    <t xml:space="preserve">acc-0236</t>
  </si>
  <si>
    <t xml:space="preserve">as-0232</t>
  </si>
  <si>
    <t xml:space="preserve">acc-0237</t>
  </si>
  <si>
    <t xml:space="preserve">as-0233</t>
  </si>
  <si>
    <t xml:space="preserve">acc-0238</t>
  </si>
  <si>
    <t xml:space="preserve">as-0234</t>
  </si>
  <si>
    <t xml:space="preserve">acc-0239</t>
  </si>
  <si>
    <t xml:space="preserve">as-0235</t>
  </si>
  <si>
    <t xml:space="preserve">acc-0240</t>
  </si>
  <si>
    <t xml:space="preserve">as-0236</t>
  </si>
  <si>
    <t xml:space="preserve">acc-0241</t>
  </si>
  <si>
    <t xml:space="preserve">as-0237</t>
  </si>
  <si>
    <t xml:space="preserve">acc-0242</t>
  </si>
  <si>
    <t xml:space="preserve">as-0238</t>
  </si>
  <si>
    <t xml:space="preserve">acc-0243</t>
  </si>
  <si>
    <t xml:space="preserve">as-0239</t>
  </si>
  <si>
    <t xml:space="preserve">acc-0244</t>
  </si>
  <si>
    <t xml:space="preserve">as-0240</t>
  </si>
  <si>
    <t xml:space="preserve">acc-0245</t>
  </si>
  <si>
    <t xml:space="preserve">as-0241</t>
  </si>
  <si>
    <t xml:space="preserve">acc-0246</t>
  </si>
  <si>
    <t xml:space="preserve">as-0242</t>
  </si>
  <si>
    <t xml:space="preserve">acc-0247</t>
  </si>
  <si>
    <t xml:space="preserve">as-0243</t>
  </si>
  <si>
    <t xml:space="preserve">acc-0248</t>
  </si>
  <si>
    <t xml:space="preserve">as-0244</t>
  </si>
  <si>
    <t xml:space="preserve">acc-0249</t>
  </si>
  <si>
    <t xml:space="preserve">as-0245</t>
  </si>
  <si>
    <t xml:space="preserve">acc-0250</t>
  </si>
  <si>
    <t xml:space="preserve">as-0246</t>
  </si>
  <si>
    <t xml:space="preserve">acc-0251</t>
  </si>
  <si>
    <t xml:space="preserve">as-0247</t>
  </si>
  <si>
    <t xml:space="preserve">acc-0252</t>
  </si>
  <si>
    <t xml:space="preserve">as-0248</t>
  </si>
  <si>
    <t xml:space="preserve">acc-0253</t>
  </si>
  <si>
    <t xml:space="preserve">as-0249</t>
  </si>
  <si>
    <t xml:space="preserve">acc-0254</t>
  </si>
  <si>
    <t xml:space="preserve">as-0250</t>
  </si>
  <si>
    <t xml:space="preserve">acc-0255</t>
  </si>
  <si>
    <t xml:space="preserve">as-0251</t>
  </si>
  <si>
    <t xml:space="preserve">acc-0256</t>
  </si>
  <si>
    <t xml:space="preserve">as-0252</t>
  </si>
  <si>
    <t xml:space="preserve">acc-0257</t>
  </si>
  <si>
    <t xml:space="preserve">as-0253</t>
  </si>
  <si>
    <t xml:space="preserve">acc-0258</t>
  </si>
  <si>
    <t xml:space="preserve">as-0254</t>
  </si>
  <si>
    <t xml:space="preserve">acc-0259</t>
  </si>
  <si>
    <t xml:space="preserve">as-0255</t>
  </si>
  <si>
    <t xml:space="preserve">acc-0260</t>
  </si>
  <si>
    <t xml:space="preserve">as-0256</t>
  </si>
  <si>
    <t xml:space="preserve">acc-0261</t>
  </si>
  <si>
    <t xml:space="preserve">as-0257</t>
  </si>
  <si>
    <t xml:space="preserve">acc-0262</t>
  </si>
  <si>
    <t xml:space="preserve">as-0258</t>
  </si>
  <si>
    <t xml:space="preserve">acc-0263</t>
  </si>
  <si>
    <t xml:space="preserve">as-0259</t>
  </si>
  <si>
    <t xml:space="preserve">acc-0264</t>
  </si>
  <si>
    <t xml:space="preserve">as-0260</t>
  </si>
  <si>
    <t xml:space="preserve">acc-0265</t>
  </si>
  <si>
    <t xml:space="preserve">as-0261</t>
  </si>
  <si>
    <t xml:space="preserve">acc-0266</t>
  </si>
  <si>
    <t xml:space="preserve">as-0262</t>
  </si>
  <si>
    <t xml:space="preserve">acc-0267</t>
  </si>
  <si>
    <t xml:space="preserve">as-0263</t>
  </si>
  <si>
    <t xml:space="preserve">acc-0268</t>
  </si>
  <si>
    <t xml:space="preserve">as-0264</t>
  </si>
  <si>
    <t xml:space="preserve">acc-0269</t>
  </si>
  <si>
    <t xml:space="preserve">as-0265</t>
  </si>
  <si>
    <t xml:space="preserve">acc-0270</t>
  </si>
  <si>
    <t xml:space="preserve">as-0266</t>
  </si>
  <si>
    <t xml:space="preserve">acc-0271</t>
  </si>
  <si>
    <t xml:space="preserve">as-0267</t>
  </si>
  <si>
    <t xml:space="preserve">acc-0272</t>
  </si>
  <si>
    <t xml:space="preserve">as-0268</t>
  </si>
  <si>
    <t xml:space="preserve">acc-0273</t>
  </si>
  <si>
    <t xml:space="preserve">as-0269</t>
  </si>
  <si>
    <t xml:space="preserve">acc-0274</t>
  </si>
  <si>
    <t xml:space="preserve">as-0270</t>
  </si>
  <si>
    <t xml:space="preserve">acc-0275</t>
  </si>
  <si>
    <t xml:space="preserve">as-0271</t>
  </si>
  <si>
    <t xml:space="preserve">acc-0276</t>
  </si>
  <si>
    <t xml:space="preserve">as-0272</t>
  </si>
  <si>
    <t xml:space="preserve">acc-0277</t>
  </si>
  <si>
    <t xml:space="preserve">as-0273</t>
  </si>
  <si>
    <t xml:space="preserve">acc-0278</t>
  </si>
  <si>
    <t xml:space="preserve">as-0274</t>
  </si>
  <si>
    <t xml:space="preserve">acc-0279</t>
  </si>
  <si>
    <t xml:space="preserve">as-0275</t>
  </si>
  <si>
    <t xml:space="preserve">acc-0280</t>
  </si>
  <si>
    <t xml:space="preserve">as-0276</t>
  </si>
  <si>
    <t xml:space="preserve">acc-0281</t>
  </si>
  <si>
    <t xml:space="preserve">as-0277</t>
  </si>
  <si>
    <t xml:space="preserve">acc-0282</t>
  </si>
  <si>
    <t xml:space="preserve">as-0278</t>
  </si>
  <si>
    <t xml:space="preserve">acc-0283</t>
  </si>
  <si>
    <t xml:space="preserve">as-0279</t>
  </si>
  <si>
    <t xml:space="preserve">acc-0284</t>
  </si>
  <si>
    <t xml:space="preserve">as-0280</t>
  </si>
  <si>
    <t xml:space="preserve">acc-0285</t>
  </si>
  <si>
    <t xml:space="preserve">as-0281</t>
  </si>
  <si>
    <t xml:space="preserve">acc-0286</t>
  </si>
  <si>
    <t xml:space="preserve">as-0282</t>
  </si>
  <si>
    <t xml:space="preserve">acc-0287</t>
  </si>
  <si>
    <t xml:space="preserve">as-0283</t>
  </si>
  <si>
    <t xml:space="preserve">acc-0288</t>
  </si>
  <si>
    <t xml:space="preserve">as-0284</t>
  </si>
  <si>
    <t xml:space="preserve">acc-0289</t>
  </si>
  <si>
    <t xml:space="preserve">as-0285</t>
  </si>
  <si>
    <t xml:space="preserve">acc-0290</t>
  </si>
  <si>
    <t xml:space="preserve">as-0286</t>
  </si>
  <si>
    <t xml:space="preserve">acc-0291</t>
  </si>
  <si>
    <t xml:space="preserve">as-0287</t>
  </si>
  <si>
    <t xml:space="preserve">acc-0292</t>
  </si>
  <si>
    <t xml:space="preserve">as-0288</t>
  </si>
  <si>
    <t xml:space="preserve">acc-0293</t>
  </si>
  <si>
    <t xml:space="preserve">as-0289</t>
  </si>
  <si>
    <t xml:space="preserve">acc-0294</t>
  </si>
  <si>
    <t xml:space="preserve">as-0290</t>
  </si>
  <si>
    <t xml:space="preserve">acc-0295</t>
  </si>
  <si>
    <t xml:space="preserve">as-0291</t>
  </si>
  <si>
    <t xml:space="preserve">acc-0296</t>
  </si>
  <si>
    <t xml:space="preserve">as-0292</t>
  </si>
  <si>
    <t xml:space="preserve">acc-0297</t>
  </si>
  <si>
    <t xml:space="preserve">as-0293</t>
  </si>
  <si>
    <t xml:space="preserve">acc-0298</t>
  </si>
  <si>
    <t xml:space="preserve">as-0294</t>
  </si>
  <si>
    <t xml:space="preserve">acc-0299</t>
  </si>
  <si>
    <t xml:space="preserve">as-0295</t>
  </si>
  <si>
    <t xml:space="preserve">acc-0300</t>
  </si>
  <si>
    <t xml:space="preserve">as-0296</t>
  </si>
  <si>
    <t xml:space="preserve">acc-0301</t>
  </si>
  <si>
    <t xml:space="preserve">as-0297</t>
  </si>
  <si>
    <t xml:space="preserve">acc-0302</t>
  </si>
  <si>
    <t xml:space="preserve">as-0298</t>
  </si>
  <si>
    <t xml:space="preserve">acc-0304</t>
  </si>
  <si>
    <t xml:space="preserve">as-0299</t>
  </si>
  <si>
    <t xml:space="preserve">acc-0303</t>
  </si>
  <si>
    <t xml:space="preserve">as-0300</t>
  </si>
  <si>
    <t xml:space="preserve">acc-0305</t>
  </si>
  <si>
    <t xml:space="preserve">as-0301</t>
  </si>
  <si>
    <t xml:space="preserve">acc-0306</t>
  </si>
  <si>
    <t xml:space="preserve">as-0302</t>
  </si>
  <si>
    <t xml:space="preserve">acc-0308</t>
  </si>
  <si>
    <t xml:space="preserve">as-0303</t>
  </si>
  <si>
    <t xml:space="preserve">acc-0309</t>
  </si>
  <si>
    <t xml:space="preserve">as-0304</t>
  </si>
  <si>
    <t xml:space="preserve">acc-0310</t>
  </si>
  <si>
    <t xml:space="preserve">as-0305</t>
  </si>
  <si>
    <t xml:space="preserve">acc-0311</t>
  </si>
  <si>
    <t xml:space="preserve">as-0306</t>
  </si>
  <si>
    <t xml:space="preserve">acc-0312</t>
  </si>
  <si>
    <t xml:space="preserve">as-0307</t>
  </si>
  <si>
    <t xml:space="preserve">acc-0313</t>
  </si>
  <si>
    <t xml:space="preserve">as-0308</t>
  </si>
  <si>
    <t xml:space="preserve">acc-0314</t>
  </si>
  <si>
    <t xml:space="preserve">as-0309</t>
  </si>
  <si>
    <t xml:space="preserve">acc-0315</t>
  </si>
  <si>
    <t xml:space="preserve">as-0310</t>
  </si>
  <si>
    <t xml:space="preserve">acc-0316</t>
  </si>
  <si>
    <t xml:space="preserve">as-0311</t>
  </si>
  <si>
    <t xml:space="preserve">acc-0317</t>
  </si>
  <si>
    <t xml:space="preserve">as-0312</t>
  </si>
  <si>
    <t xml:space="preserve">acc-0318</t>
  </si>
  <si>
    <t xml:space="preserve">as-0313</t>
  </si>
  <si>
    <t xml:space="preserve">acc-0319</t>
  </si>
  <si>
    <t xml:space="preserve">as-0314</t>
  </si>
  <si>
    <t xml:space="preserve">acc-0320</t>
  </si>
  <si>
    <t xml:space="preserve">as-0315</t>
  </si>
  <si>
    <t xml:space="preserve">acc-0321</t>
  </si>
  <si>
    <t xml:space="preserve">as-0316</t>
  </si>
  <si>
    <t xml:space="preserve">acc-0322</t>
  </si>
  <si>
    <t xml:space="preserve">as-0317</t>
  </si>
  <si>
    <t xml:space="preserve">acc-0323</t>
  </si>
  <si>
    <t xml:space="preserve">as-0318</t>
  </si>
  <si>
    <t xml:space="preserve">acc-0324</t>
  </si>
  <si>
    <t xml:space="preserve">as-0319</t>
  </si>
  <si>
    <t xml:space="preserve">acc-0325</t>
  </si>
  <si>
    <t xml:space="preserve">as-0320</t>
  </si>
  <si>
    <t xml:space="preserve">acc-0326</t>
  </si>
  <si>
    <t xml:space="preserve">as-0321</t>
  </si>
  <si>
    <t xml:space="preserve">acc-0327</t>
  </si>
  <si>
    <t xml:space="preserve">as-0322</t>
  </si>
  <si>
    <t xml:space="preserve">acc-0328</t>
  </si>
  <si>
    <t xml:space="preserve">as-0323</t>
  </si>
  <si>
    <t xml:space="preserve">acc-0329</t>
  </si>
  <si>
    <t xml:space="preserve">as-0324</t>
  </si>
  <si>
    <t xml:space="preserve">acc-0330</t>
  </si>
  <si>
    <t xml:space="preserve">as-0325</t>
  </si>
  <si>
    <t xml:space="preserve">acc-0331</t>
  </si>
  <si>
    <t xml:space="preserve">as-0326</t>
  </si>
  <si>
    <t xml:space="preserve">acc-0332</t>
  </si>
  <si>
    <t xml:space="preserve">as-0327</t>
  </si>
  <si>
    <t xml:space="preserve">acc-0333</t>
  </si>
  <si>
    <t xml:space="preserve">as-0328</t>
  </si>
  <si>
    <t xml:space="preserve">acc-0334</t>
  </si>
  <si>
    <t xml:space="preserve">as-0329</t>
  </si>
  <si>
    <t xml:space="preserve">acc-0335</t>
  </si>
  <si>
    <t xml:space="preserve">as-0330</t>
  </si>
  <si>
    <t xml:space="preserve">acc-0336</t>
  </si>
  <si>
    <t xml:space="preserve">as-0331</t>
  </si>
  <si>
    <t xml:space="preserve">acc-0337</t>
  </si>
  <si>
    <t xml:space="preserve">as-0332</t>
  </si>
  <si>
    <t xml:space="preserve">acc-0338</t>
  </si>
  <si>
    <t xml:space="preserve">as-0333</t>
  </si>
  <si>
    <t xml:space="preserve">acc-0339</t>
  </si>
  <si>
    <t xml:space="preserve">as-0334</t>
  </si>
  <si>
    <t xml:space="preserve">acc-0340</t>
  </si>
  <si>
    <t xml:space="preserve">as-0335</t>
  </si>
  <si>
    <t xml:space="preserve">acc-0341</t>
  </si>
  <si>
    <t xml:space="preserve">as-0336</t>
  </si>
  <si>
    <t xml:space="preserve">acc-0342</t>
  </si>
  <si>
    <t xml:space="preserve">as-0337</t>
  </si>
  <si>
    <t xml:space="preserve">acc-0343</t>
  </si>
  <si>
    <t xml:space="preserve">as-0338</t>
  </si>
  <si>
    <t xml:space="preserve">acc-0344</t>
  </si>
  <si>
    <t xml:space="preserve">as-0339</t>
  </si>
  <si>
    <t xml:space="preserve">acc-0345</t>
  </si>
  <si>
    <t xml:space="preserve">as-0340</t>
  </si>
  <si>
    <t xml:space="preserve">acc-0346</t>
  </si>
  <si>
    <t xml:space="preserve">as-0341</t>
  </si>
  <si>
    <t xml:space="preserve">acc-0347</t>
  </si>
  <si>
    <t xml:space="preserve">as-0342</t>
  </si>
  <si>
    <t xml:space="preserve">acc-0348</t>
  </si>
  <si>
    <t xml:space="preserve">as-0343</t>
  </si>
  <si>
    <t xml:space="preserve">acc-0350</t>
  </si>
  <si>
    <t xml:space="preserve">as-0344</t>
  </si>
  <si>
    <t xml:space="preserve">acc-0351</t>
  </si>
  <si>
    <t xml:space="preserve">as-0345</t>
  </si>
  <si>
    <t xml:space="preserve">acc-0352</t>
  </si>
  <si>
    <t xml:space="preserve">as-0346</t>
  </si>
  <si>
    <t xml:space="preserve">acc-0353</t>
  </si>
  <si>
    <t xml:space="preserve">as-0347</t>
  </si>
  <si>
    <t xml:space="preserve">acc-0354</t>
  </si>
  <si>
    <t xml:space="preserve">as-0348</t>
  </si>
  <si>
    <t xml:space="preserve">acc-0355</t>
  </si>
  <si>
    <t xml:space="preserve">as-0349</t>
  </si>
  <si>
    <t xml:space="preserve">acc-0356</t>
  </si>
  <si>
    <t xml:space="preserve">as-0350</t>
  </si>
  <si>
    <t xml:space="preserve">acc-0357</t>
  </si>
  <si>
    <t xml:space="preserve">as-0351</t>
  </si>
  <si>
    <t xml:space="preserve">acc-0358</t>
  </si>
  <si>
    <t xml:space="preserve">as-0352</t>
  </si>
  <si>
    <t xml:space="preserve">acc-0359</t>
  </si>
  <si>
    <t xml:space="preserve">as-0353</t>
  </si>
  <si>
    <t xml:space="preserve">acc-0360</t>
  </si>
  <si>
    <t xml:space="preserve">as-0354</t>
  </si>
  <si>
    <t xml:space="preserve">acc-0361</t>
  </si>
  <si>
    <t xml:space="preserve">as-0355</t>
  </si>
  <si>
    <t xml:space="preserve">acc-0362</t>
  </si>
  <si>
    <t xml:space="preserve">as-0356</t>
  </si>
  <si>
    <t xml:space="preserve">acc-0363</t>
  </si>
  <si>
    <t xml:space="preserve">as-0357</t>
  </si>
  <si>
    <t xml:space="preserve">acc-0364</t>
  </si>
  <si>
    <t xml:space="preserve">as-0358</t>
  </si>
  <si>
    <t xml:space="preserve">acc-0365</t>
  </si>
  <si>
    <t xml:space="preserve">as-0359</t>
  </si>
  <si>
    <t xml:space="preserve">acc-0366</t>
  </si>
  <si>
    <t xml:space="preserve">as-0360</t>
  </si>
  <si>
    <t xml:space="preserve">acc-0367</t>
  </si>
  <si>
    <t xml:space="preserve">as-0361</t>
  </si>
  <si>
    <t xml:space="preserve">acc-0368</t>
  </si>
  <si>
    <t xml:space="preserve">as-0362</t>
  </si>
  <si>
    <t xml:space="preserve">acc-0369</t>
  </si>
  <si>
    <t xml:space="preserve">as-0363</t>
  </si>
  <si>
    <t xml:space="preserve">acc-0370</t>
  </si>
  <si>
    <t xml:space="preserve">as-0364</t>
  </si>
  <si>
    <t xml:space="preserve">acc-0371</t>
  </si>
  <si>
    <t xml:space="preserve">as-0365</t>
  </si>
  <si>
    <t xml:space="preserve">acc-0372</t>
  </si>
  <si>
    <t xml:space="preserve">as-0366</t>
  </si>
  <si>
    <t xml:space="preserve">acc-0373</t>
  </si>
  <si>
    <t xml:space="preserve">as-0367</t>
  </si>
  <si>
    <t xml:space="preserve">acc-0374</t>
  </si>
  <si>
    <t xml:space="preserve">as-0368</t>
  </si>
  <si>
    <t xml:space="preserve">acc-0375</t>
  </si>
  <si>
    <t xml:space="preserve">as-0369</t>
  </si>
  <si>
    <t xml:space="preserve">acc-0376</t>
  </si>
  <si>
    <t xml:space="preserve">as-0370</t>
  </si>
  <si>
    <t xml:space="preserve">acc-0377</t>
  </si>
  <si>
    <t xml:space="preserve">as-0371</t>
  </si>
  <si>
    <t xml:space="preserve">acc-0378</t>
  </si>
  <si>
    <t xml:space="preserve">as-0372</t>
  </si>
  <si>
    <t xml:space="preserve">acc-0379</t>
  </si>
  <si>
    <t xml:space="preserve">as-0373</t>
  </si>
  <si>
    <t xml:space="preserve">acc-0380</t>
  </si>
  <si>
    <t xml:space="preserve">as-0374</t>
  </si>
  <si>
    <t xml:space="preserve">acc-0381</t>
  </si>
  <si>
    <t xml:space="preserve">as-0375</t>
  </si>
  <si>
    <t xml:space="preserve">acc-0382</t>
  </si>
  <si>
    <t xml:space="preserve">as-0376</t>
  </si>
  <si>
    <t xml:space="preserve">acc-0383</t>
  </si>
  <si>
    <t xml:space="preserve">as-0377</t>
  </si>
  <si>
    <t xml:space="preserve">acc-0384</t>
  </si>
  <si>
    <t xml:space="preserve">as-0378</t>
  </si>
  <si>
    <t xml:space="preserve">acc-0385</t>
  </si>
  <si>
    <t xml:space="preserve">as-0379</t>
  </si>
  <si>
    <t xml:space="preserve">acc-0386</t>
  </si>
  <si>
    <t xml:space="preserve">as-0380</t>
  </si>
  <si>
    <t xml:space="preserve">acc-0387</t>
  </si>
  <si>
    <t xml:space="preserve">as-0381</t>
  </si>
  <si>
    <t xml:space="preserve">acc-0388</t>
  </si>
  <si>
    <t xml:space="preserve">as-0382</t>
  </si>
  <si>
    <t xml:space="preserve">acc-0389</t>
  </si>
  <si>
    <t xml:space="preserve">as-0383</t>
  </si>
  <si>
    <t xml:space="preserve">acc-0390</t>
  </si>
  <si>
    <t xml:space="preserve">as-0384</t>
  </si>
  <si>
    <t xml:space="preserve">acc-0391</t>
  </si>
  <si>
    <t xml:space="preserve">as-0385</t>
  </si>
  <si>
    <t xml:space="preserve">acc-0392</t>
  </si>
  <si>
    <t xml:space="preserve">as-0386</t>
  </si>
  <si>
    <t xml:space="preserve">acc-0393</t>
  </si>
  <si>
    <t xml:space="preserve">as-0387</t>
  </si>
  <si>
    <t xml:space="preserve">acc-0394</t>
  </si>
  <si>
    <t xml:space="preserve">as-0388</t>
  </si>
  <si>
    <t xml:space="preserve">acc-0395</t>
  </si>
  <si>
    <t xml:space="preserve">as-0389</t>
  </si>
  <si>
    <t xml:space="preserve">acc-0396</t>
  </si>
  <si>
    <t xml:space="preserve">as-0390</t>
  </si>
  <si>
    <t xml:space="preserve">acc-0397</t>
  </si>
  <si>
    <t xml:space="preserve">as-0391</t>
  </si>
  <si>
    <t xml:space="preserve">acc-0398</t>
  </si>
  <si>
    <t xml:space="preserve">as-0392</t>
  </si>
  <si>
    <t xml:space="preserve">acc-0399</t>
  </si>
  <si>
    <t xml:space="preserve">as-0393</t>
  </si>
  <si>
    <t xml:space="preserve">acc-0400</t>
  </si>
  <si>
    <t xml:space="preserve">as-0394</t>
  </si>
  <si>
    <t xml:space="preserve">acc-0401</t>
  </si>
  <si>
    <t xml:space="preserve">as-0395</t>
  </si>
  <si>
    <t xml:space="preserve">acc-0402</t>
  </si>
  <si>
    <t xml:space="preserve">as-0396</t>
  </si>
  <si>
    <t xml:space="preserve">acc-0403</t>
  </si>
  <si>
    <t xml:space="preserve">as-0397</t>
  </si>
  <si>
    <t xml:space="preserve">acc-0405</t>
  </si>
  <si>
    <t xml:space="preserve">as-0398</t>
  </si>
  <si>
    <t xml:space="preserve">acc-0406</t>
  </si>
  <si>
    <t xml:space="preserve">as-0399</t>
  </si>
  <si>
    <t xml:space="preserve">acc-0407</t>
  </si>
  <si>
    <t xml:space="preserve">as-0400</t>
  </si>
  <si>
    <t xml:space="preserve">acc-0408</t>
  </si>
  <si>
    <t xml:space="preserve">as-0401</t>
  </si>
  <si>
    <t xml:space="preserve">xv-002</t>
  </si>
  <si>
    <t xml:space="preserve">acc-0436</t>
  </si>
  <si>
    <t xml:space="preserve">as-0402</t>
  </si>
  <si>
    <t xml:space="preserve">acc-0437</t>
  </si>
  <si>
    <t xml:space="preserve">as-0403</t>
  </si>
  <si>
    <t xml:space="preserve">acc-0438</t>
  </si>
  <si>
    <t xml:space="preserve">as-0404</t>
  </si>
  <si>
    <t xml:space="preserve">acc-0439</t>
  </si>
  <si>
    <t xml:space="preserve">as-0405</t>
  </si>
  <si>
    <t xml:space="preserve">acc-0440</t>
  </si>
  <si>
    <t xml:space="preserve">as-0406</t>
  </si>
  <si>
    <t xml:space="preserve">acc-0441</t>
  </si>
  <si>
    <t xml:space="preserve">as-0407</t>
  </si>
  <si>
    <t xml:space="preserve">acc-0442</t>
  </si>
  <si>
    <t xml:space="preserve">as-0408</t>
  </si>
  <si>
    <t xml:space="preserve">acc-0443</t>
  </si>
  <si>
    <t xml:space="preserve">as-0409</t>
  </si>
  <si>
    <t xml:space="preserve">acc-0444</t>
  </si>
  <si>
    <t xml:space="preserve">as-0410</t>
  </si>
  <si>
    <t xml:space="preserve">acc-0445</t>
  </si>
  <si>
    <t xml:space="preserve">as-0411</t>
  </si>
  <si>
    <t xml:space="preserve">acc-0446</t>
  </si>
  <si>
    <t xml:space="preserve">as-0412</t>
  </si>
  <si>
    <t xml:space="preserve">acc-0447</t>
  </si>
  <si>
    <t xml:space="preserve">as-0413</t>
  </si>
  <si>
    <t xml:space="preserve">acc-0448</t>
  </si>
  <si>
    <t xml:space="preserve">as-0414</t>
  </si>
  <si>
    <t xml:space="preserve">acc-0449</t>
  </si>
  <si>
    <t xml:space="preserve">as-0415</t>
  </si>
  <si>
    <t xml:space="preserve">acc-0450</t>
  </si>
  <si>
    <t xml:space="preserve">as-0416</t>
  </si>
  <si>
    <t xml:space="preserve">acc-0451</t>
  </si>
  <si>
    <t xml:space="preserve">as-0417</t>
  </si>
  <si>
    <t xml:space="preserve">acc-0452</t>
  </si>
  <si>
    <t xml:space="preserve">as-0418</t>
  </si>
  <si>
    <t xml:space="preserve">acc-0453</t>
  </si>
  <si>
    <t xml:space="preserve">as-0419</t>
  </si>
  <si>
    <t xml:space="preserve">acc-0454</t>
  </si>
  <si>
    <t xml:space="preserve">as-0420</t>
  </si>
  <si>
    <t xml:space="preserve">acc-0455</t>
  </si>
  <si>
    <t xml:space="preserve">as-0421</t>
  </si>
  <si>
    <t xml:space="preserve">acc-0456</t>
  </si>
  <si>
    <t xml:space="preserve">as-0422</t>
  </si>
  <si>
    <t xml:space="preserve">acc-0457</t>
  </si>
  <si>
    <t xml:space="preserve">as-0423</t>
  </si>
  <si>
    <t xml:space="preserve">acc-0458</t>
  </si>
  <si>
    <t xml:space="preserve">as-0424</t>
  </si>
  <si>
    <t xml:space="preserve">acc-0459</t>
  </si>
  <si>
    <t xml:space="preserve">as-0425</t>
  </si>
  <si>
    <t xml:space="preserve">acc-0460</t>
  </si>
  <si>
    <t xml:space="preserve">as-0426</t>
  </si>
  <si>
    <t xml:space="preserve">acc-0461</t>
  </si>
  <si>
    <t xml:space="preserve">as-0427</t>
  </si>
  <si>
    <t xml:space="preserve">acc-0462</t>
  </si>
  <si>
    <t xml:space="preserve">as-0428</t>
  </si>
  <si>
    <t xml:space="preserve">acc-0463</t>
  </si>
  <si>
    <t xml:space="preserve">as-0429</t>
  </si>
  <si>
    <t xml:space="preserve">acc-0464</t>
  </si>
  <si>
    <t xml:space="preserve">as-0430</t>
  </si>
  <si>
    <t xml:space="preserve">acc-0465</t>
  </si>
  <si>
    <t xml:space="preserve">as-0431</t>
  </si>
  <si>
    <t xml:space="preserve">acc-0466</t>
  </si>
  <si>
    <t xml:space="preserve">as-0432</t>
  </si>
  <si>
    <t xml:space="preserve">acc-0467</t>
  </si>
  <si>
    <t xml:space="preserve">as-0433</t>
  </si>
  <si>
    <t xml:space="preserve">acc-0468</t>
  </si>
  <si>
    <t xml:space="preserve">as-0434</t>
  </si>
  <si>
    <t xml:space="preserve">acc-0469</t>
  </si>
  <si>
    <t xml:space="preserve">as-0435</t>
  </si>
  <si>
    <t xml:space="preserve">acc-0470</t>
  </si>
  <si>
    <t xml:space="preserve">as-0436</t>
  </si>
  <si>
    <t xml:space="preserve">acc-0471</t>
  </si>
  <si>
    <t xml:space="preserve">as-0437</t>
  </si>
  <si>
    <t xml:space="preserve">acc-0472</t>
  </si>
  <si>
    <t xml:space="preserve">as-0438</t>
  </si>
  <si>
    <t xml:space="preserve">acc-0473</t>
  </si>
  <si>
    <t xml:space="preserve">as-0439</t>
  </si>
  <si>
    <t xml:space="preserve">acc-0474</t>
  </si>
  <si>
    <t xml:space="preserve">as-0440</t>
  </si>
  <si>
    <t xml:space="preserve">acc-0475</t>
  </si>
  <si>
    <t xml:space="preserve">as-0441</t>
  </si>
  <si>
    <t xml:space="preserve">acc-0476</t>
  </si>
  <si>
    <t xml:space="preserve">as-0442</t>
  </si>
  <si>
    <t xml:space="preserve">acc-0477</t>
  </si>
  <si>
    <t xml:space="preserve">as-0443</t>
  </si>
  <si>
    <t xml:space="preserve">acc-0478</t>
  </si>
  <si>
    <t xml:space="preserve">as-0444</t>
  </si>
  <si>
    <t xml:space="preserve">acc-0479</t>
  </si>
  <si>
    <t xml:space="preserve">as-0445</t>
  </si>
  <si>
    <t xml:space="preserve">acc-0481</t>
  </si>
  <si>
    <t xml:space="preserve">as-0446</t>
  </si>
  <si>
    <t xml:space="preserve">acc-0482</t>
  </si>
  <si>
    <t xml:space="preserve">as-0447</t>
  </si>
  <si>
    <t xml:space="preserve">acc-0483</t>
  </si>
  <si>
    <t xml:space="preserve">as-0448</t>
  </si>
  <si>
    <t xml:space="preserve">acc-0484</t>
  </si>
  <si>
    <t xml:space="preserve">as-0449</t>
  </si>
  <si>
    <t xml:space="preserve">acc-0485</t>
  </si>
  <si>
    <t xml:space="preserve">as-0450</t>
  </si>
  <si>
    <t xml:space="preserve">acc-0486</t>
  </si>
  <si>
    <t xml:space="preserve">as-0451</t>
  </si>
  <si>
    <t xml:space="preserve">acc-0487</t>
  </si>
  <si>
    <t xml:space="preserve">as-0452</t>
  </si>
  <si>
    <t xml:space="preserve">acc-0488</t>
  </si>
  <si>
    <t xml:space="preserve">as-0453</t>
  </si>
  <si>
    <t xml:space="preserve">acc-0489</t>
  </si>
  <si>
    <t xml:space="preserve">as-0454</t>
  </si>
  <si>
    <t xml:space="preserve">acc-0490</t>
  </si>
  <si>
    <t xml:space="preserve">as-0455</t>
  </si>
  <si>
    <t xml:space="preserve">acc-0491</t>
  </si>
  <si>
    <t xml:space="preserve">as-0456</t>
  </si>
  <si>
    <t xml:space="preserve">acc-0492</t>
  </si>
  <si>
    <t xml:space="preserve">as-0457</t>
  </si>
  <si>
    <t xml:space="preserve">acc-0493</t>
  </si>
  <si>
    <t xml:space="preserve">as-0458</t>
  </si>
  <si>
    <t xml:space="preserve">acc-0494</t>
  </si>
  <si>
    <t xml:space="preserve">as-0459</t>
  </si>
  <si>
    <t xml:space="preserve">acc-0495</t>
  </si>
  <si>
    <t xml:space="preserve">as-0460</t>
  </si>
  <si>
    <t xml:space="preserve">acc-0496</t>
  </si>
  <si>
    <t xml:space="preserve">as-0461</t>
  </si>
  <si>
    <t xml:space="preserve">acc-0497</t>
  </si>
  <si>
    <t xml:space="preserve">as-0462</t>
  </si>
  <si>
    <t xml:space="preserve">acc-0498</t>
  </si>
  <si>
    <t xml:space="preserve">as-0463</t>
  </si>
  <si>
    <t xml:space="preserve">acc-0500</t>
  </si>
  <si>
    <t xml:space="preserve">as-0464</t>
  </si>
  <si>
    <t xml:space="preserve">acc-0501</t>
  </si>
  <si>
    <t xml:space="preserve">as-0465</t>
  </si>
  <si>
    <t xml:space="preserve">acc-0502</t>
  </si>
  <si>
    <t xml:space="preserve">as-0466</t>
  </si>
  <si>
    <t xml:space="preserve">acc-0503</t>
  </si>
  <si>
    <t xml:space="preserve">as-0467</t>
  </si>
  <si>
    <t xml:space="preserve">acc-0504</t>
  </si>
  <si>
    <t xml:space="preserve">as-0468</t>
  </si>
  <si>
    <t xml:space="preserve">acc-0505</t>
  </si>
  <si>
    <t xml:space="preserve">as-0469</t>
  </si>
  <si>
    <t xml:space="preserve">acc-0506</t>
  </si>
  <si>
    <t xml:space="preserve">as-0470</t>
  </si>
  <si>
    <t xml:space="preserve">acc-0507</t>
  </si>
  <si>
    <t xml:space="preserve">as-0471</t>
  </si>
  <si>
    <t xml:space="preserve">acc-0508</t>
  </si>
  <si>
    <t xml:space="preserve">as-0472</t>
  </si>
  <si>
    <t xml:space="preserve">acc-0509</t>
  </si>
  <si>
    <t xml:space="preserve">as-0473</t>
  </si>
  <si>
    <t xml:space="preserve">acc-0510</t>
  </si>
  <si>
    <t xml:space="preserve">as-0474</t>
  </si>
  <si>
    <t xml:space="preserve">acc-0511</t>
  </si>
  <si>
    <t xml:space="preserve">as-0475</t>
  </si>
  <si>
    <t xml:space="preserve">acc-0512</t>
  </si>
  <si>
    <t xml:space="preserve">as-0476</t>
  </si>
  <si>
    <t xml:space="preserve">acc-0513</t>
  </si>
  <si>
    <t xml:space="preserve">as-0477</t>
  </si>
  <si>
    <t xml:space="preserve">acc-0514</t>
  </si>
  <si>
    <t xml:space="preserve">as-0478</t>
  </si>
  <si>
    <t xml:space="preserve">acc-0515</t>
  </si>
  <si>
    <t xml:space="preserve">as-0479</t>
  </si>
  <si>
    <t xml:space="preserve">acc-0516</t>
  </si>
  <si>
    <t xml:space="preserve">as-0480</t>
  </si>
  <si>
    <t xml:space="preserve">acc-0517</t>
  </si>
  <si>
    <t xml:space="preserve">as-0481</t>
  </si>
  <si>
    <t xml:space="preserve">acc-0518</t>
  </si>
  <si>
    <t xml:space="preserve">as-0482</t>
  </si>
  <si>
    <t xml:space="preserve">acc-0519</t>
  </si>
  <si>
    <t xml:space="preserve">as-0483</t>
  </si>
  <si>
    <t xml:space="preserve">acc-0520</t>
  </si>
  <si>
    <t xml:space="preserve">as-0484</t>
  </si>
  <si>
    <t xml:space="preserve">acc-0521</t>
  </si>
  <si>
    <t xml:space="preserve">as-0485</t>
  </si>
  <si>
    <t xml:space="preserve">acc-0522</t>
  </si>
  <si>
    <t xml:space="preserve">as-0486</t>
  </si>
  <si>
    <t xml:space="preserve">acc-0523</t>
  </si>
  <si>
    <t xml:space="preserve">as-0487</t>
  </si>
  <si>
    <t xml:space="preserve">acc-0524</t>
  </si>
  <si>
    <t xml:space="preserve">as-0488</t>
  </si>
  <si>
    <t xml:space="preserve">acc-0525</t>
  </si>
  <si>
    <t xml:space="preserve">as-0489</t>
  </si>
  <si>
    <t xml:space="preserve">acc-0526</t>
  </si>
  <si>
    <t xml:space="preserve">as-0490</t>
  </si>
  <si>
    <t xml:space="preserve">acc-0527</t>
  </si>
  <si>
    <t xml:space="preserve">as-0491</t>
  </si>
  <si>
    <t xml:space="preserve">acc-0528</t>
  </si>
  <si>
    <t xml:space="preserve">as-0492</t>
  </si>
  <si>
    <t xml:space="preserve">acc-0529</t>
  </si>
  <si>
    <t xml:space="preserve">as-0493</t>
  </si>
  <si>
    <t xml:space="preserve">acc-0530</t>
  </si>
  <si>
    <t xml:space="preserve">as-0494</t>
  </si>
  <si>
    <t xml:space="preserve">acc-0531</t>
  </si>
  <si>
    <t xml:space="preserve">as-0495</t>
  </si>
  <si>
    <t xml:space="preserve">acc-0532</t>
  </si>
  <si>
    <t xml:space="preserve">as-0496</t>
  </si>
  <si>
    <t xml:space="preserve">acc-0533</t>
  </si>
  <si>
    <t xml:space="preserve">as-0497</t>
  </si>
  <si>
    <t xml:space="preserve">acc-0534</t>
  </si>
  <si>
    <t xml:space="preserve">as-0498</t>
  </si>
  <si>
    <t xml:space="preserve">acc-0535</t>
  </si>
  <si>
    <t xml:space="preserve">as-0499</t>
  </si>
  <si>
    <t xml:space="preserve">acc-0536</t>
  </si>
  <si>
    <t xml:space="preserve">as-0500</t>
  </si>
  <si>
    <t xml:space="preserve">acc-0537</t>
  </si>
  <si>
    <t xml:space="preserve">as-0501</t>
  </si>
  <si>
    <t xml:space="preserve">acc-0538</t>
  </si>
  <si>
    <t xml:space="preserve">as-0502</t>
  </si>
  <si>
    <t xml:space="preserve">acc-0539</t>
  </si>
  <si>
    <t xml:space="preserve">as-0503</t>
  </si>
  <si>
    <t xml:space="preserve">acc-0540</t>
  </si>
  <si>
    <t xml:space="preserve">as-0504</t>
  </si>
  <si>
    <t xml:space="preserve">acc-0541</t>
  </si>
  <si>
    <t xml:space="preserve">as-0505</t>
  </si>
  <si>
    <t xml:space="preserve">acc-0542</t>
  </si>
  <si>
    <t xml:space="preserve">as-0506</t>
  </si>
  <si>
    <t xml:space="preserve">acc-0543</t>
  </si>
  <si>
    <t xml:space="preserve">as-0507</t>
  </si>
  <si>
    <t xml:space="preserve">acc-0544</t>
  </si>
  <si>
    <t xml:space="preserve">as-0508</t>
  </si>
  <si>
    <t xml:space="preserve">acc-0545</t>
  </si>
  <si>
    <t xml:space="preserve">as-0509</t>
  </si>
  <si>
    <t xml:space="preserve">acc-0546</t>
  </si>
  <si>
    <t xml:space="preserve">as-0510</t>
  </si>
  <si>
    <t xml:space="preserve">acc-0547</t>
  </si>
  <si>
    <t xml:space="preserve">as-0511</t>
  </si>
  <si>
    <t xml:space="preserve">acc-0548</t>
  </si>
  <si>
    <t xml:space="preserve">as-0512</t>
  </si>
  <si>
    <t xml:space="preserve">acc-0550</t>
  </si>
  <si>
    <t xml:space="preserve">as-0513</t>
  </si>
  <si>
    <t xml:space="preserve">acc-0551</t>
  </si>
  <si>
    <t xml:space="preserve">as-0514</t>
  </si>
  <si>
    <t xml:space="preserve">acc-0552</t>
  </si>
  <si>
    <t xml:space="preserve">as-0515</t>
  </si>
  <si>
    <t xml:space="preserve">acc-0553</t>
  </si>
  <si>
    <t xml:space="preserve">as-0516</t>
  </si>
  <si>
    <t xml:space="preserve">acc-0554</t>
  </si>
  <si>
    <t xml:space="preserve">as-0517</t>
  </si>
  <si>
    <t xml:space="preserve">acc-0555</t>
  </si>
  <si>
    <t xml:space="preserve">as-0518</t>
  </si>
  <si>
    <t xml:space="preserve">acc-0556</t>
  </si>
  <si>
    <t xml:space="preserve">as-0519</t>
  </si>
  <si>
    <t xml:space="preserve">acc-0557</t>
  </si>
  <si>
    <t xml:space="preserve">as-0520</t>
  </si>
  <si>
    <t xml:space="preserve">acc-0558</t>
  </si>
  <si>
    <t xml:space="preserve">as-0521</t>
  </si>
  <si>
    <t xml:space="preserve">acc-0559</t>
  </si>
  <si>
    <t xml:space="preserve">as-0522</t>
  </si>
  <si>
    <t xml:space="preserve">acc-0560</t>
  </si>
  <si>
    <t xml:space="preserve">as-0523</t>
  </si>
  <si>
    <t xml:space="preserve">acc-0561</t>
  </si>
  <si>
    <t xml:space="preserve">as-0524</t>
  </si>
  <si>
    <t xml:space="preserve">acc-0562</t>
  </si>
  <si>
    <t xml:space="preserve">as-0525</t>
  </si>
  <si>
    <t xml:space="preserve">acc-0563</t>
  </si>
  <si>
    <t xml:space="preserve">as-0526</t>
  </si>
  <si>
    <t xml:space="preserve">acc-0564</t>
  </si>
  <si>
    <t xml:space="preserve">as-0527</t>
  </si>
  <si>
    <t xml:space="preserve">acc-0565</t>
  </si>
  <si>
    <t xml:space="preserve">as-0528</t>
  </si>
  <si>
    <t xml:space="preserve">acc-0566</t>
  </si>
  <si>
    <t xml:space="preserve">as-0529</t>
  </si>
  <si>
    <t xml:space="preserve">acc-0567</t>
  </si>
  <si>
    <t xml:space="preserve">as-0530</t>
  </si>
  <si>
    <t xml:space="preserve">acc-0568</t>
  </si>
  <si>
    <t xml:space="preserve">as-0531</t>
  </si>
  <si>
    <t xml:space="preserve">acc-0569</t>
  </si>
  <si>
    <t xml:space="preserve">as-0532</t>
  </si>
  <si>
    <t xml:space="preserve">acc-0570</t>
  </si>
  <si>
    <t xml:space="preserve">as-0533</t>
  </si>
  <si>
    <t xml:space="preserve">acc-0571</t>
  </si>
  <si>
    <t xml:space="preserve">as-0534</t>
  </si>
  <si>
    <t xml:space="preserve">acc-0572</t>
  </si>
  <si>
    <t xml:space="preserve">as-0535</t>
  </si>
  <si>
    <t xml:space="preserve">acc-0573</t>
  </si>
  <si>
    <t xml:space="preserve">as-0536</t>
  </si>
  <si>
    <t xml:space="preserve">acc-0574</t>
  </si>
  <si>
    <t xml:space="preserve">as-0537</t>
  </si>
  <si>
    <t xml:space="preserve">acc-0575</t>
  </si>
  <si>
    <t xml:space="preserve">as-0538</t>
  </si>
  <si>
    <t xml:space="preserve">acc-0576</t>
  </si>
  <si>
    <t xml:space="preserve">as-0539</t>
  </si>
  <si>
    <t xml:space="preserve">acc-0577</t>
  </si>
  <si>
    <t xml:space="preserve">as-0540</t>
  </si>
  <si>
    <t xml:space="preserve">acc-0578</t>
  </si>
  <si>
    <t xml:space="preserve">as-0541</t>
  </si>
  <si>
    <t xml:space="preserve">acc-0579</t>
  </si>
  <si>
    <t xml:space="preserve">as-0542</t>
  </si>
  <si>
    <t xml:space="preserve">acc-0580</t>
  </si>
  <si>
    <t xml:space="preserve">as-0543</t>
  </si>
  <si>
    <t xml:space="preserve">acc-0581</t>
  </si>
  <si>
    <t xml:space="preserve">as-0544</t>
  </si>
  <si>
    <t xml:space="preserve">acc-0582</t>
  </si>
  <si>
    <t xml:space="preserve">as-0545</t>
  </si>
  <si>
    <t xml:space="preserve">acc-0585</t>
  </si>
  <si>
    <t xml:space="preserve">as-0546</t>
  </si>
  <si>
    <t xml:space="preserve">acc-0584</t>
  </si>
  <si>
    <t xml:space="preserve">as-0547</t>
  </si>
  <si>
    <t xml:space="preserve">acc-0586</t>
  </si>
  <si>
    <t xml:space="preserve">as-0548</t>
  </si>
  <si>
    <t xml:space="preserve">acc-0587</t>
  </si>
  <si>
    <t xml:space="preserve">as-0549</t>
  </si>
  <si>
    <t xml:space="preserve">acc-0588</t>
  </si>
  <si>
    <t xml:space="preserve">as-0550</t>
  </si>
  <si>
    <t xml:space="preserve">acc-0589</t>
  </si>
  <si>
    <t xml:space="preserve">as-0551</t>
  </si>
  <si>
    <t xml:space="preserve">acc-0590</t>
  </si>
  <si>
    <t xml:space="preserve">as-0552</t>
  </si>
  <si>
    <t xml:space="preserve">acc-0591</t>
  </si>
  <si>
    <t xml:space="preserve">as-0553</t>
  </si>
  <si>
    <t xml:space="preserve">acc-0592</t>
  </si>
  <si>
    <t xml:space="preserve">as-0554</t>
  </si>
  <si>
    <t xml:space="preserve">acc-0593</t>
  </si>
  <si>
    <t xml:space="preserve">account_id</t>
  </si>
  <si>
    <t xml:space="preserve">starts_epoch</t>
  </si>
  <si>
    <t xml:space="preserve">status</t>
  </si>
  <si>
    <t xml:space="preserve">amount_usd</t>
  </si>
  <si>
    <t xml:space="preserve">carries_revenue (active or ended = 1)</t>
  </si>
  <si>
    <t xml:space="preserve">subscription_id</t>
  </si>
  <si>
    <t xml:space="preserve">active</t>
  </si>
  <si>
    <t xml:space="preserve">sub-001</t>
  </si>
  <si>
    <t xml:space="preserve">ended</t>
  </si>
  <si>
    <t xml:space="preserve">sub-002</t>
  </si>
  <si>
    <t xml:space="preserve">sub-003</t>
  </si>
  <si>
    <t xml:space="preserve">sub-004</t>
  </si>
  <si>
    <t xml:space="preserve">sub-005</t>
  </si>
  <si>
    <t xml:space="preserve">sub-006</t>
  </si>
  <si>
    <t xml:space="preserve">sub-007</t>
  </si>
  <si>
    <t xml:space="preserve">sub-008</t>
  </si>
  <si>
    <t xml:space="preserve">sub-009</t>
  </si>
  <si>
    <t xml:space="preserve">sub-010</t>
  </si>
  <si>
    <t xml:space="preserve">acc-0057</t>
  </si>
  <si>
    <t xml:space="preserve">refunded</t>
  </si>
  <si>
    <t xml:space="preserve">sub-011</t>
  </si>
  <si>
    <t xml:space="preserve">sub-012</t>
  </si>
  <si>
    <t xml:space="preserve">sub-013</t>
  </si>
  <si>
    <t xml:space="preserve">sub-014</t>
  </si>
  <si>
    <t xml:space="preserve">sub-015</t>
  </si>
  <si>
    <t xml:space="preserve">sub-016</t>
  </si>
  <si>
    <t xml:space="preserve">sub-017</t>
  </si>
  <si>
    <t xml:space="preserve">sub-018</t>
  </si>
  <si>
    <t xml:space="preserve">sub-019</t>
  </si>
  <si>
    <t xml:space="preserve">sub-020</t>
  </si>
  <si>
    <t xml:space="preserve">sub-021</t>
  </si>
  <si>
    <t xml:space="preserve">sub-022</t>
  </si>
  <si>
    <t xml:space="preserve">sub-023</t>
  </si>
  <si>
    <t xml:space="preserve">sub-024</t>
  </si>
  <si>
    <t xml:space="preserve">sub-025</t>
  </si>
  <si>
    <t xml:space="preserve">sub-026</t>
  </si>
  <si>
    <t xml:space="preserve">sub-027</t>
  </si>
  <si>
    <t xml:space="preserve">sub-028</t>
  </si>
  <si>
    <t xml:space="preserve">sub-029</t>
  </si>
  <si>
    <t xml:space="preserve">sub-030</t>
  </si>
  <si>
    <t xml:space="preserve">sub-031</t>
  </si>
  <si>
    <t xml:space="preserve">sub-032</t>
  </si>
  <si>
    <t xml:space="preserve">sub-033</t>
  </si>
  <si>
    <t xml:space="preserve">sub-034</t>
  </si>
  <si>
    <t xml:space="preserve">sub-035</t>
  </si>
  <si>
    <t xml:space="preserve">sub-036</t>
  </si>
  <si>
    <t xml:space="preserve">sub-037</t>
  </si>
  <si>
    <t xml:space="preserve">sub-038</t>
  </si>
  <si>
    <t xml:space="preserve">sub-039</t>
  </si>
  <si>
    <t xml:space="preserve">sub-040</t>
  </si>
  <si>
    <t xml:space="preserve">sub-041</t>
  </si>
  <si>
    <t xml:space="preserve">sub-042</t>
  </si>
  <si>
    <t xml:space="preserve">sub-043</t>
  </si>
  <si>
    <t xml:space="preserve">sub-044</t>
  </si>
  <si>
    <t xml:space="preserve">sub-045</t>
  </si>
  <si>
    <t xml:space="preserve">sub-046</t>
  </si>
  <si>
    <t xml:space="preserve">sub-047</t>
  </si>
  <si>
    <t xml:space="preserve">sub-048</t>
  </si>
  <si>
    <t xml:space="preserve">sub-049</t>
  </si>
  <si>
    <t xml:space="preserve">sub-050</t>
  </si>
  <si>
    <t xml:space="preserve">sub-051</t>
  </si>
  <si>
    <t xml:space="preserve">sub-052</t>
  </si>
  <si>
    <t xml:space="preserve">sub-053</t>
  </si>
  <si>
    <t xml:space="preserve">sub-054</t>
  </si>
  <si>
    <t xml:space="preserve">sub-055</t>
  </si>
  <si>
    <t xml:space="preserve">sub-056</t>
  </si>
  <si>
    <t xml:space="preserve">sub-057</t>
  </si>
  <si>
    <t xml:space="preserve">sub-058</t>
  </si>
  <si>
    <t xml:space="preserve">sub-059</t>
  </si>
  <si>
    <t xml:space="preserve">sub-060</t>
  </si>
  <si>
    <t xml:space="preserve">sub-061</t>
  </si>
  <si>
    <t xml:space="preserve">sub-062</t>
  </si>
  <si>
    <t xml:space="preserve">sub-063</t>
  </si>
  <si>
    <t xml:space="preserve">sub-064</t>
  </si>
  <si>
    <t xml:space="preserve">sub-065</t>
  </si>
  <si>
    <t xml:space="preserve">sub-066</t>
  </si>
  <si>
    <t xml:space="preserve">sub-067</t>
  </si>
  <si>
    <t xml:space="preserve">acc-0230</t>
  </si>
  <si>
    <t xml:space="preserve">sub-068</t>
  </si>
  <si>
    <t xml:space="preserve">sub-069</t>
  </si>
  <si>
    <t xml:space="preserve">sub-070</t>
  </si>
  <si>
    <t xml:space="preserve">sub-071</t>
  </si>
  <si>
    <t xml:space="preserve">sub-072</t>
  </si>
  <si>
    <t xml:space="preserve">sub-073</t>
  </si>
  <si>
    <t xml:space="preserve">sub-074</t>
  </si>
  <si>
    <t xml:space="preserve">sub-075</t>
  </si>
  <si>
    <t xml:space="preserve">sub-076</t>
  </si>
  <si>
    <t xml:space="preserve">sub-077</t>
  </si>
  <si>
    <t xml:space="preserve">sub-078</t>
  </si>
  <si>
    <t xml:space="preserve">sub-079</t>
  </si>
  <si>
    <t xml:space="preserve">sub-080</t>
  </si>
  <si>
    <t xml:space="preserve">sub-081</t>
  </si>
  <si>
    <t xml:space="preserve">sub-082</t>
  </si>
  <si>
    <t xml:space="preserve">sub-083</t>
  </si>
  <si>
    <t xml:space="preserve">sub-084</t>
  </si>
  <si>
    <t xml:space="preserve">sub-085</t>
  </si>
  <si>
    <t xml:space="preserve">sub-086</t>
  </si>
  <si>
    <t xml:space="preserve">sub-087</t>
  </si>
  <si>
    <t xml:space="preserve">sub-088</t>
  </si>
  <si>
    <t xml:space="preserve">sub-089</t>
  </si>
  <si>
    <t xml:space="preserve">sub-090</t>
  </si>
  <si>
    <t xml:space="preserve">sub-091</t>
  </si>
  <si>
    <t xml:space="preserve">sub-092</t>
  </si>
  <si>
    <t xml:space="preserve">sub-093</t>
  </si>
  <si>
    <t xml:space="preserve">sub-094</t>
  </si>
  <si>
    <t xml:space="preserve">sub-095</t>
  </si>
  <si>
    <t xml:space="preserve">sub-096</t>
  </si>
  <si>
    <t xml:space="preserve">sub-097</t>
  </si>
  <si>
    <t xml:space="preserve">sub-098</t>
  </si>
  <si>
    <t xml:space="preserve">sub-099</t>
  </si>
  <si>
    <t xml:space="preserve">sub-100</t>
  </si>
  <si>
    <t xml:space="preserve">sub-101</t>
  </si>
  <si>
    <t xml:space="preserve">sub-102</t>
  </si>
  <si>
    <t xml:space="preserve">sub-103</t>
  </si>
  <si>
    <t xml:space="preserve">sub-104</t>
  </si>
  <si>
    <t xml:space="preserve">sub-105</t>
  </si>
  <si>
    <t xml:space="preserve">sub-106</t>
  </si>
  <si>
    <t xml:space="preserve">sub-107</t>
  </si>
  <si>
    <t xml:space="preserve">sub-108</t>
  </si>
  <si>
    <t xml:space="preserve">sub-109</t>
  </si>
  <si>
    <t xml:space="preserve">sub-110</t>
  </si>
  <si>
    <t xml:space="preserve">sub-111</t>
  </si>
  <si>
    <t xml:space="preserve">sub-112</t>
  </si>
  <si>
    <t xml:space="preserve">sub-113</t>
  </si>
  <si>
    <t xml:space="preserve">sub-114</t>
  </si>
  <si>
    <t xml:space="preserve">sub-115</t>
  </si>
  <si>
    <t xml:space="preserve">sub-116</t>
  </si>
  <si>
    <t xml:space="preserve">sub-117</t>
  </si>
  <si>
    <t xml:space="preserve">sub-118</t>
  </si>
  <si>
    <t xml:space="preserve">sub-119</t>
  </si>
  <si>
    <t xml:space="preserve">sub-120</t>
  </si>
  <si>
    <t xml:space="preserve">sub-121</t>
  </si>
  <si>
    <t xml:space="preserve">sub-122</t>
  </si>
  <si>
    <t xml:space="preserve">sub-123</t>
  </si>
  <si>
    <t xml:space="preserve">sub-124</t>
  </si>
  <si>
    <t xml:space="preserve">sub-125</t>
  </si>
  <si>
    <t xml:space="preserve">sub-126</t>
  </si>
  <si>
    <t xml:space="preserve">sub-127</t>
  </si>
  <si>
    <t xml:space="preserve">sub-128</t>
  </si>
  <si>
    <t xml:space="preserve">sub-129</t>
  </si>
  <si>
    <t xml:space="preserve">sub-130</t>
  </si>
  <si>
    <t xml:space="preserve">sub-131</t>
  </si>
  <si>
    <t xml:space="preserve">sub-132</t>
  </si>
  <si>
    <t xml:space="preserve">acc-0410</t>
  </si>
  <si>
    <t xml:space="preserve">sub-133</t>
  </si>
  <si>
    <t xml:space="preserve">sub-134</t>
  </si>
  <si>
    <t xml:space="preserve">acc-0413</t>
  </si>
  <si>
    <t xml:space="preserve">sub-135</t>
  </si>
  <si>
    <t xml:space="preserve">sub-136</t>
  </si>
  <si>
    <t xml:space="preserve">sub-137</t>
  </si>
  <si>
    <t xml:space="preserve">acc-0414</t>
  </si>
  <si>
    <t xml:space="preserve">sub-138</t>
  </si>
  <si>
    <t xml:space="preserve">sub-139</t>
  </si>
  <si>
    <t xml:space="preserve">sub-140</t>
  </si>
  <si>
    <t xml:space="preserve">sub-141</t>
  </si>
  <si>
    <t xml:space="preserve">acc-0435</t>
  </si>
  <si>
    <t xml:space="preserve">sub-142</t>
  </si>
  <si>
    <t xml:space="preserve">sub-143</t>
  </si>
  <si>
    <t xml:space="preserve">acc-0427</t>
  </si>
  <si>
    <t xml:space="preserve">sub-144</t>
  </si>
  <si>
    <t xml:space="preserve">acc-0433</t>
  </si>
  <si>
    <t xml:space="preserve">sub-145</t>
  </si>
  <si>
    <t xml:space="preserve">sub-146</t>
  </si>
  <si>
    <t xml:space="preserve">acc-0428</t>
  </si>
  <si>
    <t xml:space="preserve">sub-147</t>
  </si>
  <si>
    <t xml:space="preserve">sub-148</t>
  </si>
  <si>
    <t xml:space="preserve">sub-149</t>
  </si>
  <si>
    <t xml:space="preserve">sub-150</t>
  </si>
  <si>
    <t xml:space="preserve">sub-151</t>
  </si>
  <si>
    <t xml:space="preserve">sub-152</t>
  </si>
  <si>
    <t xml:space="preserve">acc-0426</t>
  </si>
  <si>
    <t xml:space="preserve">sub-153</t>
  </si>
  <si>
    <t xml:space="preserve">sub-154</t>
  </si>
  <si>
    <t xml:space="preserve">sub-155</t>
  </si>
  <si>
    <t xml:space="preserve">sub-156</t>
  </si>
  <si>
    <t xml:space="preserve">sub-157</t>
  </si>
  <si>
    <t xml:space="preserve">sub-158</t>
  </si>
  <si>
    <t xml:space="preserve">sub-159</t>
  </si>
  <si>
    <t xml:space="preserve">sub-160</t>
  </si>
  <si>
    <t xml:space="preserve">sub-161</t>
  </si>
  <si>
    <t xml:space="preserve">sub-162</t>
  </si>
  <si>
    <t xml:space="preserve">sub-163</t>
  </si>
  <si>
    <t xml:space="preserve">sub-164</t>
  </si>
  <si>
    <t xml:space="preserve">sub-165</t>
  </si>
  <si>
    <t xml:space="preserve">sub-166</t>
  </si>
  <si>
    <t xml:space="preserve">acc-0409</t>
  </si>
  <si>
    <t xml:space="preserve">sub-167</t>
  </si>
  <si>
    <t xml:space="preserve">sub-168</t>
  </si>
  <si>
    <t xml:space="preserve">sub-169</t>
  </si>
  <si>
    <t xml:space="preserve">sub-170</t>
  </si>
  <si>
    <t xml:space="preserve">sub-171</t>
  </si>
  <si>
    <t xml:space="preserve">sub-172</t>
  </si>
  <si>
    <t xml:space="preserve">sub-173</t>
  </si>
  <si>
    <t xml:space="preserve">sub-174</t>
  </si>
  <si>
    <t xml:space="preserve">sub-175</t>
  </si>
  <si>
    <t xml:space="preserve">sub-176</t>
  </si>
  <si>
    <t xml:space="preserve">sub-177</t>
  </si>
  <si>
    <t xml:space="preserve">sub-178</t>
  </si>
  <si>
    <t xml:space="preserve">sub-179</t>
  </si>
  <si>
    <t xml:space="preserve">sub-180</t>
  </si>
  <si>
    <t xml:space="preserve">sub-181</t>
  </si>
  <si>
    <t xml:space="preserve">sub-182</t>
  </si>
  <si>
    <t xml:space="preserve">sub-183</t>
  </si>
  <si>
    <t xml:space="preserve">sub-184</t>
  </si>
  <si>
    <t xml:space="preserve">sub-185</t>
  </si>
  <si>
    <t xml:space="preserve">sub-186</t>
  </si>
  <si>
    <t xml:space="preserve">sub-187</t>
  </si>
  <si>
    <t xml:space="preserve">sub-188</t>
  </si>
  <si>
    <t xml:space="preserve">sub-189</t>
  </si>
  <si>
    <t xml:space="preserve">sub-190</t>
  </si>
  <si>
    <t xml:space="preserve">sub-191</t>
  </si>
  <si>
    <t xml:space="preserve">sub-192</t>
  </si>
  <si>
    <t xml:space="preserve">sub-193</t>
  </si>
  <si>
    <t xml:space="preserve">sub-194</t>
  </si>
  <si>
    <t xml:space="preserve">sub-195</t>
  </si>
  <si>
    <t xml:space="preserve">sub-196</t>
  </si>
  <si>
    <t xml:space="preserve">sub-197</t>
  </si>
  <si>
    <t xml:space="preserve">sub-198</t>
  </si>
  <si>
    <t xml:space="preserve">sub-199</t>
  </si>
  <si>
    <t xml:space="preserve">trial</t>
  </si>
  <si>
    <t xml:space="preserve">sub-200</t>
  </si>
  <si>
    <t xml:space="preserve">sub-201</t>
  </si>
  <si>
    <t xml:space="preserve">sub-202</t>
  </si>
  <si>
    <t xml:space="preserve">sub-203</t>
  </si>
  <si>
    <t xml:space="preserve">sub-204</t>
  </si>
  <si>
    <t xml:space="preserve">sub-205</t>
  </si>
  <si>
    <t xml:space="preserve">sub-206</t>
  </si>
  <si>
    <t xml:space="preserve">acc-0596</t>
  </si>
  <si>
    <t xml:space="preserve">sub-207</t>
  </si>
  <si>
    <t xml:space="preserve">timezone</t>
  </si>
  <si>
    <t xml:space="preserve">is_internal</t>
  </si>
  <si>
    <t xml:space="preserve">signup_epoch (as-of)</t>
  </si>
  <si>
    <t xml:space="preserve">activation_epoch (as-of)</t>
  </si>
  <si>
    <t xml:space="preserve">mature_7d at the as-of</t>
  </si>
  <si>
    <t xml:space="preserve">activated_7d at the as-of</t>
  </si>
  <si>
    <t xml:space="preserve">Europe/London</t>
  </si>
  <si>
    <t xml:space="preserve">America/New_York</t>
  </si>
  <si>
    <t xml:space="preserve">America/Los_Angeles</t>
  </si>
  <si>
    <t xml:space="preserve">acc-0159</t>
  </si>
  <si>
    <t xml:space="preserve">acc-0168</t>
  </si>
  <si>
    <t xml:space="preserve">acc-0173</t>
  </si>
  <si>
    <t xml:space="preserve">acc-0307</t>
  </si>
  <si>
    <t xml:space="preserve">acc-0349</t>
  </si>
  <si>
    <t xml:space="preserve">acc-0404</t>
  </si>
  <si>
    <t xml:space="preserve">acc-0411</t>
  </si>
  <si>
    <t xml:space="preserve">acc-0412</t>
  </si>
  <si>
    <t xml:space="preserve">acc-0415</t>
  </si>
  <si>
    <t xml:space="preserve">acc-0416</t>
  </si>
  <si>
    <t xml:space="preserve">acc-0417</t>
  </si>
  <si>
    <t xml:space="preserve">acc-0418</t>
  </si>
  <si>
    <t xml:space="preserve">acc-0419</t>
  </si>
  <si>
    <t xml:space="preserve">acc-0420</t>
  </si>
  <si>
    <t xml:space="preserve">acc-0421</t>
  </si>
  <si>
    <t xml:space="preserve">acc-0422</t>
  </si>
  <si>
    <t xml:space="preserve">acc-0423</t>
  </si>
  <si>
    <t xml:space="preserve">acc-0424</t>
  </si>
  <si>
    <t xml:space="preserve">acc-0425</t>
  </si>
  <si>
    <t xml:space="preserve">acc-0429</t>
  </si>
  <si>
    <t xml:space="preserve">acc-0430</t>
  </si>
  <si>
    <t xml:space="preserve">acc-0431</t>
  </si>
  <si>
    <t xml:space="preserve">acc-0432</t>
  </si>
  <si>
    <t xml:space="preserve">acc-0434</t>
  </si>
  <si>
    <t xml:space="preserve">acc-0480</t>
  </si>
  <si>
    <t xml:space="preserve">acc-0499</t>
  </si>
  <si>
    <t xml:space="preserve">acc-0549</t>
  </si>
  <si>
    <t xml:space="preserve">acc-0583</t>
  </si>
  <si>
    <t xml:space="preserve">acc-0594</t>
  </si>
  <si>
    <t xml:space="preserve">acc-0595</t>
  </si>
  <si>
    <t xml:space="preserve">acc-0597</t>
  </si>
  <si>
    <t xml:space="preserve">acc-0598</t>
  </si>
  <si>
    <t xml:space="preserve">acc-0599</t>
  </si>
  <si>
    <t xml:space="preserve">acc-0600</t>
  </si>
  <si>
    <t xml:space="preserve">The five logged analysis runs (typed from analysis_runs.json)</t>
  </si>
  <si>
    <t xml:space="preserve">run id</t>
  </si>
  <si>
    <t xml:space="preserve">experiment version</t>
  </si>
  <si>
    <t xml:space="preserve">cutoff (UTC)</t>
  </si>
  <si>
    <t xml:space="preserve">cutoff epoch</t>
  </si>
  <si>
    <t xml:space="preserve">created_at epoch</t>
  </si>
  <si>
    <t xml:space="preserve">created_at (UTC)</t>
  </si>
  <si>
    <t xml:space="preserve">an-001</t>
  </si>
  <si>
    <t xml:space="preserve">2026-05-18T00:00:00Z</t>
  </si>
  <si>
    <t xml:space="preserve">2026-05-18T00:05:00Z</t>
  </si>
  <si>
    <t xml:space="preserve">an-002</t>
  </si>
  <si>
    <t xml:space="preserve">2026-06-15T00:00:00Z</t>
  </si>
  <si>
    <t xml:space="preserve">2026-06-15T00:05:00Z</t>
  </si>
  <si>
    <t xml:space="preserve">an-003</t>
  </si>
  <si>
    <t xml:space="preserve">2026-07-13T00:00:00Z</t>
  </si>
  <si>
    <t xml:space="preserve">2026-07-13T00:05:00Z</t>
  </si>
  <si>
    <t xml:space="preserve">2026-08-02T00:00:00Z</t>
  </si>
  <si>
    <t xml:space="preserve">2026-08-02T00:05:00Z</t>
  </si>
  <si>
    <t xml:space="preserve">an-005</t>
  </si>
  <si>
    <t xml:space="preserve">2026-10-04T00:00:00Z</t>
  </si>
  <si>
    <t xml:space="preserve">2026-10-04T00:05:00Z</t>
  </si>
  <si>
    <t xml:space="preserve">The two frozen analysis plans (typed from manifest.json analysis_plans)</t>
  </si>
  <si>
    <t xml:space="preserve">planned_end epoch</t>
  </si>
  <si>
    <t xml:space="preserve">frozen_at epoch</t>
  </si>
  <si>
    <t xml:space="preserve">first logged run created epoch</t>
  </si>
  <si>
    <t xml:space="preserve">confidence</t>
  </si>
  <si>
    <t xml:space="preserve">SRM min expected cell</t>
  </si>
  <si>
    <t xml:space="preserve">activation window (days)</t>
  </si>
  <si>
    <t xml:space="preserve">guardrail window (days)</t>
  </si>
  <si>
    <t xml:space="preserve">revenue from epoch</t>
  </si>
  <si>
    <t xml:space="preserve">revenue to epoch</t>
  </si>
  <si>
    <t xml:space="preserve">config_hash</t>
  </si>
  <si>
    <t xml:space="preserve">5f76c305b85b7c53df19375d393c7ac4972b745bd47dc57fc772edd11dc3f707</t>
  </si>
  <si>
    <t xml:space="preserve">9ba9590cfd4ebaf0dcfd8f0a4ca39f3d60e66e726d8f20efd13f8b92a1d6638d</t>
  </si>
  <si>
    <t xml:space="preserve">Plan hash valid is typed: the sha256 of the key-sorted compact plan was recomputed by data/sql/analysis/python_side.py, the Python domain and the SQL reference; a spreadsheet has no sha256 (limit W-03).</t>
  </si>
  <si>
    <t xml:space="preserve">PASTED VALUES, not formulas, from data/sql/analysis/run_all.py</t>
  </si>
  <si>
    <t xml:space="preserve">dataset hash 12672f9c39402517083bbbbe9164cbefe3435361dff086eb0d9e16e60f9b66f8 | code revision fdf911a | contract v1 | goes stale if the data or the queries change</t>
  </si>
  <si>
    <t xml:space="preserve">reconciliation rows | equal</t>
  </si>
  <si>
    <t xml:space="preserve">05_experiment_v1_at_each_run_cutoff__lift_by_cutoff</t>
  </si>
  <si>
    <t xml:space="preserve">run</t>
  </si>
  <si>
    <t xml:space="preserve">cutoff_at</t>
  </si>
  <si>
    <t xml:space="preserve">prior_runs</t>
  </si>
  <si>
    <t xml:space="preserve">assigned_control</t>
  </si>
  <si>
    <t xml:space="preserve">assigned_treatment</t>
  </si>
  <si>
    <t xml:space="preserve">mature_control</t>
  </si>
  <si>
    <t xml:space="preserve">mature_treatment</t>
  </si>
  <si>
    <t xml:space="preserve">activated_control</t>
  </si>
  <si>
    <t xml:space="preserve">activated_treatment</t>
  </si>
  <si>
    <t xml:space="preserve">conversion_control</t>
  </si>
  <si>
    <t xml:space="preserve">conversion_treatment</t>
  </si>
  <si>
    <t xml:space="preserve">true</t>
  </si>
  <si>
    <t xml:space="preserve">false</t>
  </si>
  <si>
    <t xml:space="preserve">as-of</t>
  </si>
  <si>
    <t xml:space="preserve">2026-10-05T00:00:00Z</t>
  </si>
  <si>
    <t xml:space="preserve">06_experiment_v2_sample_ratio__srm_by_read</t>
  </si>
  <si>
    <t xml:space="preserve">experiment_version</t>
  </si>
  <si>
    <t xml:space="preserve">planned_control</t>
  </si>
  <si>
    <t xml:space="preserve">planned_treatment</t>
  </si>
  <si>
    <t xml:space="preserve">observed_control</t>
  </si>
  <si>
    <t xml:space="preserve">observed_treatment</t>
  </si>
  <si>
    <t xml:space="preserve">expected_control</t>
  </si>
  <si>
    <t xml:space="preserve">expected_treatment</t>
  </si>
  <si>
    <t xml:space="preserve">treatment_share</t>
  </si>
  <si>
    <t xml:space="preserve">statistic</t>
  </si>
  <si>
    <t xml:space="preserve">p_value</t>
  </si>
  <si>
    <t xml:space="preserve">verdict</t>
  </si>
  <si>
    <t xml:space="preserve">07_guardrail_and_revenue_per_arm__guardrail_by_cutoff</t>
  </si>
  <si>
    <t xml:space="preserve">eligible_control</t>
  </si>
  <si>
    <t xml:space="preserve">eligible_treatment</t>
  </si>
  <si>
    <t xml:space="preserve">errors_control</t>
  </si>
  <si>
    <t xml:space="preserve">errors_treatment</t>
  </si>
  <si>
    <t xml:space="preserve">error_rate_control</t>
  </si>
  <si>
    <t xml:space="preserve">error_rate_treatment</t>
  </si>
  <si>
    <t xml:space="preserve">difference_pp</t>
  </si>
  <si>
    <t xml:space="preserve">07_guardrail_and_revenue_per_arm__revenue_difference</t>
  </si>
  <si>
    <t xml:space="preserve">difference_usd</t>
  </si>
  <si>
    <t xml:space="preserve">t_quantile</t>
  </si>
  <si>
    <t xml:space="preserve">interval_low</t>
  </si>
  <si>
    <t xml:space="preserve">interval_high</t>
  </si>
  <si>
    <t xml:space="preserve">05_experiment_v1_at_each_run_cutoff__gap_lift</t>
  </si>
  <si>
    <t xml:space="preserve">reading</t>
  </si>
  <si>
    <t xml:space="preserve">published (all mature accounts)</t>
  </si>
  <si>
    <t xml:space="preserve">excluding the gap accounts from both arms</t>
  </si>
  <si>
    <t xml:space="preserve">01_activation_by_plan_and_segment__plan_segment</t>
  </si>
  <si>
    <t xml:space="preserve">signed_up</t>
  </si>
  <si>
    <t xml:space="preserve">immature</t>
  </si>
  <si>
    <t xml:space="preserve">activation_rate</t>
  </si>
  <si>
    <t xml:space="preserve">02_weekly_cohort_grid__cohort_grid</t>
  </si>
  <si>
    <t xml:space="preserve">week_start</t>
  </si>
  <si>
    <t xml:space="preserve">day1_mature</t>
  </si>
  <si>
    <t xml:space="preserve">day1_retained</t>
  </si>
  <si>
    <t xml:space="preserve">day7_mature</t>
  </si>
  <si>
    <t xml:space="preserve">day7_retained</t>
  </si>
  <si>
    <t xml:space="preserve">day14_mature</t>
  </si>
  <si>
    <t xml:space="preserve">day14_retained</t>
  </si>
  <si>
    <t xml:space="preserve">day28_mature</t>
  </si>
  <si>
    <t xml:space="preserve">day28_retained</t>
  </si>
  <si>
    <t xml:space="preserve">on_or_after_day7_mature</t>
  </si>
  <si>
    <t xml:space="preserve">on_or_after_day7_retained</t>
  </si>
  <si>
    <t xml:space="preserve">week4_mature</t>
  </si>
  <si>
    <t xml:space="preserve">week4_retained</t>
  </si>
  <si>
    <t xml:space="preserve">day7_status</t>
  </si>
  <si>
    <t xml:space="preserve">week4_status</t>
  </si>
  <si>
    <t xml:space="preserve">2026-04-06</t>
  </si>
  <si>
    <t xml:space="preserve">complete</t>
  </si>
  <si>
    <t xml:space="preserve">2026-04-13</t>
  </si>
  <si>
    <t xml:space="preserve">2026-04-20</t>
  </si>
  <si>
    <t xml:space="preserve">2026-04-27</t>
  </si>
  <si>
    <t xml:space="preserve">2026-05-04</t>
  </si>
  <si>
    <t xml:space="preserve">2026-05-11</t>
  </si>
  <si>
    <t xml:space="preserve">2026-05-18</t>
  </si>
  <si>
    <t xml:space="preserve">2026-05-25</t>
  </si>
  <si>
    <t xml:space="preserve">2026-06-01</t>
  </si>
  <si>
    <t xml:space="preserve">2026-06-08</t>
  </si>
  <si>
    <t xml:space="preserve">2026-06-15</t>
  </si>
  <si>
    <t xml:space="preserve">2026-06-22</t>
  </si>
  <si>
    <t xml:space="preserve">2026-06-29</t>
  </si>
  <si>
    <t xml:space="preserve">2026-07-06</t>
  </si>
  <si>
    <t xml:space="preserve">2026-07-13</t>
  </si>
  <si>
    <t xml:space="preserve">2026-07-20</t>
  </si>
  <si>
    <t xml:space="preserve">2026-07-27</t>
  </si>
  <si>
    <t xml:space="preserve">2026-08-03</t>
  </si>
  <si>
    <t xml:space="preserve">2026-08-10</t>
  </si>
  <si>
    <t xml:space="preserve">2026-08-17</t>
  </si>
  <si>
    <t xml:space="preserve">2026-08-24</t>
  </si>
  <si>
    <t xml:space="preserve">2026-08-31</t>
  </si>
  <si>
    <t xml:space="preserve">blank</t>
  </si>
  <si>
    <t xml:space="preserve">2026-09-07</t>
  </si>
  <si>
    <t xml:space="preserve">2026-09-14</t>
  </si>
  <si>
    <t xml:space="preserve">2026-09-21</t>
  </si>
  <si>
    <t xml:space="preserve">2026-09-28</t>
  </si>
  <si>
    <t xml:space="preserve">partial</t>
  </si>
  <si>
    <t xml:space="preserve">04_tracking_quality_by_week__by_week</t>
  </si>
  <si>
    <t xml:space="preserve">rows_total</t>
  </si>
  <si>
    <t xml:space="preserve">duplicates_dropped</t>
  </si>
  <si>
    <t xml:space="preserve">canonical</t>
  </si>
  <si>
    <t xml:space="preserve">delayed_over_24h</t>
  </si>
  <si>
    <t xml:space="preserve">unknown_identity</t>
  </si>
  <si>
    <t xml:space="preserve">bot_excluded</t>
  </si>
  <si>
    <t xml:space="preserve">internal_excluded</t>
  </si>
  <si>
    <t xml:space="preserve">analysed</t>
  </si>
  <si>
    <t xml:space="preserve">anonymous_events</t>
  </si>
  <si>
    <t xml:space="preserve">attributed_by_link</t>
  </si>
  <si>
    <t xml:space="preserve">delayed_share</t>
  </si>
</sst>
</file>

<file path=xl/styles.xml><?xml version="1.0" encoding="utf-8"?>
<styleSheet xmlns="http://schemas.openxmlformats.org/spreadsheetml/2006/main">
  <numFmts count="6">
    <numFmt numFmtId="164" formatCode="General"/>
    <numFmt numFmtId="165" formatCode="General"/>
    <numFmt numFmtId="166" formatCode="0"/>
    <numFmt numFmtId="167" formatCode="0.000000"/>
    <numFmt numFmtId="168" formatCode="0.00"/>
    <numFmt numFmtId="169" formatCode="#,##0.00"/>
  </numFmts>
  <fonts count="8">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sz val="11"/>
      <color rgb="FF0000FF"/>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23303A"/>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330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50"/>
  </cols>
  <sheetData>
    <row r="1" customFormat="false" ht="17.35" hidden="false" customHeight="false" outlineLevel="0" collapsed="false">
      <c r="A1" s="1" t="s">
        <v>0</v>
      </c>
    </row>
    <row r="2" customFormat="false" ht="15" hidden="false" customHeight="false" outlineLevel="0" collapsed="false">
      <c r="A2" s="0" t="s">
        <v>1</v>
      </c>
    </row>
    <row r="4" customFormat="false" ht="41.75" hidden="false" customHeight="false" outlineLevel="0" collapsed="false">
      <c r="A4" s="2" t="s">
        <v>2</v>
      </c>
      <c r="B4" s="3" t="s">
        <v>3</v>
      </c>
    </row>
    <row r="5" customFormat="false" ht="28.35" hidden="false" customHeight="false" outlineLevel="0" collapsed="false">
      <c r="A5" s="2" t="s">
        <v>4</v>
      </c>
      <c r="B5" s="3" t="s">
        <v>5</v>
      </c>
    </row>
    <row r="6" customFormat="false" ht="28.35" hidden="false" customHeight="false" outlineLevel="0" collapsed="false">
      <c r="A6" s="2" t="s">
        <v>6</v>
      </c>
      <c r="B6" s="3" t="s">
        <v>7</v>
      </c>
    </row>
    <row r="7" customFormat="false" ht="28.35" hidden="false" customHeight="false" outlineLevel="0" collapsed="false">
      <c r="A7" s="2" t="s">
        <v>8</v>
      </c>
      <c r="B7" s="3" t="s">
        <v>9</v>
      </c>
    </row>
    <row r="8" customFormat="false" ht="28.35" hidden="false" customHeight="false" outlineLevel="0" collapsed="false">
      <c r="A8" s="2" t="s">
        <v>10</v>
      </c>
      <c r="B8" s="3" t="s">
        <v>11</v>
      </c>
    </row>
    <row r="9" customFormat="false" ht="55.2" hidden="false" customHeight="false" outlineLevel="0" collapsed="false">
      <c r="A9" s="2" t="s">
        <v>12</v>
      </c>
      <c r="B9" s="3" t="s">
        <v>13</v>
      </c>
    </row>
    <row r="10" customFormat="false" ht="28.35" hidden="false" customHeight="false" outlineLevel="0" collapsed="false">
      <c r="A10" s="2" t="s">
        <v>14</v>
      </c>
      <c r="B10" s="3" t="s">
        <v>15</v>
      </c>
    </row>
    <row r="11" customFormat="false" ht="41.75" hidden="false" customHeight="false" outlineLevel="0" collapsed="false">
      <c r="A11" s="2" t="s">
        <v>16</v>
      </c>
      <c r="B11" s="3" t="s">
        <v>17</v>
      </c>
    </row>
    <row r="12" customFormat="false" ht="28.35" hidden="false" customHeight="false" outlineLevel="0" collapsed="false">
      <c r="A12" s="2" t="s">
        <v>18</v>
      </c>
      <c r="B12" s="3" t="s">
        <v>19</v>
      </c>
    </row>
    <row r="13" customFormat="false" ht="28.35" hidden="false" customHeight="false" outlineLevel="0" collapsed="false">
      <c r="A13" s="2" t="s">
        <v>20</v>
      </c>
      <c r="B13"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46"/>
    <col collapsed="false" customWidth="true" hidden="false" outlineLevel="0" max="4" min="4" style="0" width="16"/>
  </cols>
  <sheetData>
    <row r="1" customFormat="false" ht="17.35" hidden="false" customHeight="false" outlineLevel="0" collapsed="false">
      <c r="A1" s="1" t="s">
        <v>22</v>
      </c>
    </row>
    <row r="2" customFormat="false" ht="15" hidden="false" customHeight="false" outlineLevel="0" collapsed="false">
      <c r="A2" s="0" t="s">
        <v>23</v>
      </c>
    </row>
    <row r="3" customFormat="false" ht="15" hidden="false" customHeight="false" outlineLevel="0" collapsed="false">
      <c r="A3" s="0" t="s">
        <v>24</v>
      </c>
      <c r="B3" s="4" t="s">
        <v>25</v>
      </c>
    </row>
    <row r="10" customFormat="false" ht="15" hidden="false" customHeight="false" outlineLevel="0" collapsed="false">
      <c r="A10" s="0" t="s">
        <v>26</v>
      </c>
      <c r="B10" s="0" t="n">
        <f aca="false">INDEX(Runs!$D$5:$D$9,B11)</f>
        <v>1785628800</v>
      </c>
    </row>
    <row r="11" customFormat="false" ht="15" hidden="false" customHeight="false" outlineLevel="0" collapsed="false">
      <c r="A11" s="0" t="s">
        <v>27</v>
      </c>
      <c r="B11" s="0" t="n">
        <f aca="false">MATCH($B$3,Runs!$A$5:$A$9,0)</f>
        <v>4</v>
      </c>
    </row>
    <row r="12" customFormat="false" ht="15" hidden="false" customHeight="false" outlineLevel="0" collapsed="false">
      <c r="A12" s="0" t="s">
        <v>28</v>
      </c>
      <c r="B12" s="0" t="str">
        <f aca="false">INDEX(Runs!$B$5:$B$9,B11)</f>
        <v>xv-001</v>
      </c>
    </row>
    <row r="13" customFormat="false" ht="15" hidden="false" customHeight="false" outlineLevel="0" collapsed="false">
      <c r="A13" s="0" t="s">
        <v>29</v>
      </c>
      <c r="B13" s="0" t="n">
        <f aca="false">INDEX(Plans!$B$5:$B$6,MATCH($B$12,Plans!$A$5:$A$6,0))</f>
        <v>1785628800</v>
      </c>
      <c r="C13" s="0" t="s">
        <v>30</v>
      </c>
      <c r="D13" s="4" t="n">
        <v>1791158400</v>
      </c>
    </row>
    <row r="14" customFormat="false" ht="15" hidden="false" customHeight="false" outlineLevel="0" collapsed="false">
      <c r="A14" s="0" t="s">
        <v>31</v>
      </c>
      <c r="B14" s="5" t="b">
        <f aca="false">B10&lt;B13</f>
        <v>0</v>
      </c>
    </row>
    <row r="16" customFormat="false" ht="15" hidden="false" customHeight="false" outlineLevel="0" collapsed="false">
      <c r="A16" s="0" t="s">
        <v>32</v>
      </c>
      <c r="B16" s="0" t="n">
        <f aca="false">INDEX(Plans!$K$5:$K$6,MATCH($B$12,Plans!$A$5:$A$6,0))*86400</f>
        <v>604800</v>
      </c>
    </row>
    <row r="17" customFormat="false" ht="15" hidden="false" customHeight="false" outlineLevel="0" collapsed="false">
      <c r="A17" s="0" t="s">
        <v>33</v>
      </c>
      <c r="B17" s="0" t="n">
        <f aca="false">INDEX(Plans!$L$5:$L$6,MATCH($B$12,Plans!$A$5:$A$6,0))*86400</f>
        <v>604800</v>
      </c>
    </row>
    <row r="18" customFormat="false" ht="15" hidden="false" customHeight="false" outlineLevel="0" collapsed="false">
      <c r="A18" s="0" t="s">
        <v>34</v>
      </c>
      <c r="B18" s="0" t="n">
        <f aca="false">INDEX(Plans!$G$5:$G$6,MATCH($B$12,Plans!$A$5:$A$6,0))</f>
        <v>1.959964</v>
      </c>
    </row>
    <row r="19" customFormat="false" ht="15" hidden="false" customHeight="false" outlineLevel="0" collapsed="false">
      <c r="A19" s="0" t="s">
        <v>35</v>
      </c>
      <c r="B19" s="0" t="n">
        <f aca="false">1-INDEX(Plans!$H$5:$H$6,MATCH($B$12,Plans!$A$5:$A$6,0))</f>
        <v>0.05</v>
      </c>
    </row>
    <row r="20" customFormat="false" ht="15" hidden="false" customHeight="false" outlineLevel="0" collapsed="false">
      <c r="A20" s="0" t="s">
        <v>36</v>
      </c>
      <c r="B20" s="0" t="n">
        <f aca="false">INDEX(Plans!$E$5:$E$6,MATCH($B$12,Plans!$A$5:$A$6,0))</f>
        <v>0.5</v>
      </c>
    </row>
    <row r="21" customFormat="false" ht="15" hidden="false" customHeight="false" outlineLevel="0" collapsed="false">
      <c r="A21" s="0" t="s">
        <v>37</v>
      </c>
      <c r="B21" s="0" t="n">
        <f aca="false">INDEX(Plans!$F$5:$F$6,MATCH($B$12,Plans!$A$5:$A$6,0))</f>
        <v>0.5</v>
      </c>
    </row>
    <row r="22" customFormat="false" ht="15" hidden="false" customHeight="false" outlineLevel="0" collapsed="false">
      <c r="A22" s="0" t="s">
        <v>38</v>
      </c>
      <c r="B22" s="0" t="n">
        <f aca="false">INDEX(Plans!$I$5:$I$6,MATCH($B$12,Plans!$A$5:$A$6,0))</f>
        <v>0.001</v>
      </c>
    </row>
    <row r="23" customFormat="false" ht="15" hidden="false" customHeight="false" outlineLevel="0" collapsed="false">
      <c r="A23" s="0" t="s">
        <v>39</v>
      </c>
      <c r="B23" s="0" t="n">
        <f aca="false">INDEX(Plans!$J$5:$J$6,MATCH($B$12,Plans!$A$5:$A$6,0))</f>
        <v>5</v>
      </c>
    </row>
    <row r="24" customFormat="false" ht="15" hidden="false" customHeight="false" outlineLevel="0" collapsed="false">
      <c r="A24" s="0" t="s">
        <v>40</v>
      </c>
      <c r="B24" s="0" t="n">
        <f aca="false">INDEX(Plans!$M$5:$M$6,MATCH($B$12,Plans!$A$5:$A$6,0))</f>
        <v>1775433600</v>
      </c>
    </row>
    <row r="25" customFormat="false" ht="15" hidden="false" customHeight="false" outlineLevel="0" collapsed="false">
      <c r="A25" s="0" t="s">
        <v>41</v>
      </c>
      <c r="B25" s="0" t="n">
        <f aca="false">INDEX(Plans!$N$5:$N$6,MATCH($B$12,Plans!$A$5:$A$6,0))</f>
        <v>1785628800</v>
      </c>
    </row>
    <row r="26" customFormat="false" ht="15" hidden="false" customHeight="false" outlineLevel="0" collapsed="false">
      <c r="A26" s="0" t="s">
        <v>42</v>
      </c>
      <c r="B26" s="5" t="b">
        <f aca="false">INDEX(Plans!$C$5:$C$6,MATCH($B$12,Plans!$A$5:$A$6,0))&lt;=INDEX(Plans!$D$5:$D$6,MATCH($B$12,Plans!$A$5:$A$6,0))</f>
        <v>1</v>
      </c>
    </row>
    <row r="27" customFormat="false" ht="15" hidden="false" customHeight="false" outlineLevel="0" collapsed="false">
      <c r="A27" s="0" t="s">
        <v>43</v>
      </c>
      <c r="B27" s="5" t="b">
        <f aca="false">INDEX(Plans!$P$5:$P$6,MATCH($B$12,Plans!$A$5:$A$6,0))</f>
        <v>1</v>
      </c>
    </row>
  </sheetData>
  <dataValidations count="1">
    <dataValidation allowBlank="false" errorStyle="stop" operator="between" showDropDown="false" showErrorMessage="false" showInputMessage="false" sqref="B3" type="list">
      <formula1>"an-001,an-002,an-003,an-004,an-005"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3" min="3" style="0" width="18"/>
    <col collapsed="false" customWidth="true" hidden="false" outlineLevel="0" max="5" min="4" style="0" width="16"/>
    <col collapsed="false" customWidth="true" hidden="false" outlineLevel="0" max="6" min="6" style="0" width="22"/>
    <col collapsed="false" customWidth="true" hidden="false" outlineLevel="0" max="7" min="7" style="0" width="80"/>
    <col collapsed="false" customWidth="true" hidden="false" outlineLevel="0" max="8" min="8" style="0" width="10"/>
    <col collapsed="false" customWidth="true" hidden="false" outlineLevel="0" max="9" min="9" style="0" width="8"/>
  </cols>
  <sheetData>
    <row r="1" customFormat="false" ht="17.35" hidden="false" customHeight="false" outlineLevel="0" collapsed="false">
      <c r="A1" s="1" t="s">
        <v>44</v>
      </c>
    </row>
    <row r="2" customFormat="false" ht="15" hidden="false" customHeight="false" outlineLevel="0" collapsed="false">
      <c r="A2" s="0" t="s">
        <v>45</v>
      </c>
    </row>
    <row r="3" customFormat="false" ht="15" hidden="false" customHeight="false" outlineLevel="0" collapsed="false">
      <c r="A3" s="0" t="s">
        <v>24</v>
      </c>
      <c r="B3" s="0" t="str">
        <f aca="false">Cutoff!B3</f>
        <v>an-004</v>
      </c>
      <c r="D3" s="0" t="s">
        <v>46</v>
      </c>
      <c r="E3" s="6" t="b">
        <f aca="false">AND(I6:I44)</f>
        <v>1</v>
      </c>
    </row>
    <row r="4" customFormat="false" ht="15" hidden="false" customHeight="false" outlineLevel="0" collapsed="false">
      <c r="A4" s="0" t="s">
        <v>47</v>
      </c>
      <c r="B4" s="5" t="b">
        <f aca="false">F12="MISMATCH"</f>
        <v>0</v>
      </c>
    </row>
    <row r="5" customFormat="false" ht="15" hidden="false" customHeight="false" outlineLevel="0" collapsed="false">
      <c r="A5" s="7" t="s">
        <v>48</v>
      </c>
      <c r="B5" s="7" t="s">
        <v>49</v>
      </c>
      <c r="C5" s="7" t="s">
        <v>50</v>
      </c>
      <c r="D5" s="7" t="s">
        <v>51</v>
      </c>
      <c r="E5" s="7" t="s">
        <v>52</v>
      </c>
      <c r="F5" s="7" t="s">
        <v>53</v>
      </c>
      <c r="G5" s="7" t="s">
        <v>54</v>
      </c>
      <c r="H5" s="7" t="s">
        <v>55</v>
      </c>
      <c r="I5" s="7" t="s">
        <v>56</v>
      </c>
    </row>
    <row r="6" customFormat="false" ht="28.35" hidden="false" customHeight="false" outlineLevel="0" collapsed="false">
      <c r="A6" s="0" t="s">
        <v>57</v>
      </c>
      <c r="B6" s="0" t="s">
        <v>58</v>
      </c>
      <c r="C6" s="0" t="s">
        <v>59</v>
      </c>
      <c r="D6" s="8" t="n">
        <f aca="false">SUMIFS(Assignments!$L$2:$L$555,Assignments!$D$2:$D$555,"control")</f>
        <v>200</v>
      </c>
      <c r="E6" s="8" t="n">
        <f aca="false">SUMIFS(Assignments!$L$2:$L$555,Assignments!$D$2:$D$555,"treatment")</f>
        <v>200</v>
      </c>
      <c r="F6" s="8" t="n">
        <f aca="false">$D$6+$E$6</f>
        <v>400</v>
      </c>
      <c r="G6" s="3" t="s">
        <v>60</v>
      </c>
      <c r="H6" s="4" t="n">
        <v>0</v>
      </c>
      <c r="I6" s="5" t="b">
        <f aca="false">AND(IF(ISNUMBER(INDEX('Domain reference'!$B$5:$P$5,MATCH(Cutoff!$B$3&amp;"|control",'Domain reference'!$B$4:$P$4,0))),IF(ISNUMBER(D6),ABS(D6-INDEX('Domain reference'!$B$5:$P$5,MATCH(Cutoff!$B$3&amp;"|control",'Domain reference'!$B$4:$P$4,0)))&lt;=$H6+0.0000000001,FALSE()),IF(ISBLANK(INDEX('Domain reference'!$B$5:$P$5,MATCH(Cutoff!$B$3&amp;"|control",'Domain reference'!$B$4:$P$4,0))),D6="",D6=INDEX('Domain reference'!$B$5:$P$5,MATCH(Cutoff!$B$3&amp;"|control",'Domain reference'!$B$4:$P$4,0)))),IF(ISNUMBER(INDEX('Domain reference'!$B$5:$P$5,MATCH(Cutoff!$B$3&amp;"|treatment",'Domain reference'!$B$4:$P$4,0))),IF(ISNUMBER(E6),ABS(E6-INDEX('Domain reference'!$B$5:$P$5,MATCH(Cutoff!$B$3&amp;"|treatment",'Domain reference'!$B$4:$P$4,0)))&lt;=$H6+0.0000000001,FALSE()),IF(ISBLANK(INDEX('Domain reference'!$B$5:$P$5,MATCH(Cutoff!$B$3&amp;"|treatment",'Domain reference'!$B$4:$P$4,0))),E6="",E6=INDEX('Domain reference'!$B$5:$P$5,MATCH(Cutoff!$B$3&amp;"|treatment",'Domain reference'!$B$4:$P$4,0)))),IF(ISNUMBER(INDEX('Domain reference'!$B$5:$P$5,MATCH(Cutoff!$B$3&amp;"|combined",'Domain reference'!$B$4:$P$4,0))),IF(ISNUMBER(F6),ABS(F6-INDEX('Domain reference'!$B$5:$P$5,MATCH(Cutoff!$B$3&amp;"|combined",'Domain reference'!$B$4:$P$4,0)))&lt;=$H6+0.0000000001,FALSE()),IF(ISBLANK(INDEX('Domain reference'!$B$5:$P$5,MATCH(Cutoff!$B$3&amp;"|combined",'Domain reference'!$B$4:$P$4,0))),F6="",F6=INDEX('Domain reference'!$B$5:$P$5,MATCH(Cutoff!$B$3&amp;"|combined",'Domain reference'!$B$4:$P$4,0)))))</f>
        <v>1</v>
      </c>
    </row>
    <row r="7" customFormat="false" ht="28.35" hidden="false" customHeight="false" outlineLevel="0" collapsed="false">
      <c r="A7" s="0" t="s">
        <v>61</v>
      </c>
      <c r="B7" s="0" t="s">
        <v>62</v>
      </c>
      <c r="C7" s="0" t="s">
        <v>59</v>
      </c>
      <c r="D7" s="8" t="n">
        <f aca="false">COUNTIFS(Assignments!$D$2:$D$555,"control",Assignments!$N$2:$N$555,1)</f>
        <v>200</v>
      </c>
      <c r="E7" s="8" t="n">
        <f aca="false">COUNTIFS(Assignments!$D$2:$D$555,"treatment",Assignments!$N$2:$N$555,1)</f>
        <v>200</v>
      </c>
      <c r="F7" s="8" t="n">
        <f aca="false">$D$7+$E$7</f>
        <v>400</v>
      </c>
      <c r="G7" s="3" t="s">
        <v>63</v>
      </c>
      <c r="H7" s="4" t="n">
        <v>0</v>
      </c>
      <c r="I7" s="5" t="b">
        <f aca="false">AND(IF(ISNUMBER(INDEX('Domain reference'!$B$6:$P$6,MATCH(Cutoff!$B$3&amp;"|control",'Domain reference'!$B$4:$P$4,0))),IF(ISNUMBER(D7),ABS(D7-INDEX('Domain reference'!$B$6:$P$6,MATCH(Cutoff!$B$3&amp;"|control",'Domain reference'!$B$4:$P$4,0)))&lt;=$H7+0.0000000001,FALSE()),IF(ISBLANK(INDEX('Domain reference'!$B$6:$P$6,MATCH(Cutoff!$B$3&amp;"|control",'Domain reference'!$B$4:$P$4,0))),D7="",D7=INDEX('Domain reference'!$B$6:$P$6,MATCH(Cutoff!$B$3&amp;"|control",'Domain reference'!$B$4:$P$4,0)))),IF(ISNUMBER(INDEX('Domain reference'!$B$6:$P$6,MATCH(Cutoff!$B$3&amp;"|treatment",'Domain reference'!$B$4:$P$4,0))),IF(ISNUMBER(E7),ABS(E7-INDEX('Domain reference'!$B$6:$P$6,MATCH(Cutoff!$B$3&amp;"|treatment",'Domain reference'!$B$4:$P$4,0)))&lt;=$H7+0.0000000001,FALSE()),IF(ISBLANK(INDEX('Domain reference'!$B$6:$P$6,MATCH(Cutoff!$B$3&amp;"|treatment",'Domain reference'!$B$4:$P$4,0))),E7="",E7=INDEX('Domain reference'!$B$6:$P$6,MATCH(Cutoff!$B$3&amp;"|treatment",'Domain reference'!$B$4:$P$4,0)))),IF(ISNUMBER(INDEX('Domain reference'!$B$6:$P$6,MATCH(Cutoff!$B$3&amp;"|combined",'Domain reference'!$B$4:$P$4,0))),IF(ISNUMBER(F7),ABS(F7-INDEX('Domain reference'!$B$6:$P$6,MATCH(Cutoff!$B$3&amp;"|combined",'Domain reference'!$B$4:$P$4,0)))&lt;=$H7+0.0000000001,FALSE()),IF(ISBLANK(INDEX('Domain reference'!$B$6:$P$6,MATCH(Cutoff!$B$3&amp;"|combined",'Domain reference'!$B$4:$P$4,0))),F7="",F7=INDEX('Domain reference'!$B$6:$P$6,MATCH(Cutoff!$B$3&amp;"|combined",'Domain reference'!$B$4:$P$4,0)))))</f>
        <v>1</v>
      </c>
    </row>
    <row r="8" customFormat="false" ht="15" hidden="false" customHeight="false" outlineLevel="0" collapsed="false">
      <c r="A8" s="0" t="s">
        <v>64</v>
      </c>
      <c r="B8" s="0" t="s">
        <v>65</v>
      </c>
      <c r="C8" s="0" t="s">
        <v>59</v>
      </c>
      <c r="D8" s="8" t="n">
        <f aca="false">$D$6-$D$7</f>
        <v>0</v>
      </c>
      <c r="E8" s="8" t="n">
        <f aca="false">$E$6-$E$7</f>
        <v>0</v>
      </c>
      <c r="F8" s="8" t="n">
        <f aca="false">$F$6-$F$7</f>
        <v>0</v>
      </c>
      <c r="G8" s="3" t="s">
        <v>66</v>
      </c>
      <c r="H8" s="4" t="n">
        <v>0</v>
      </c>
      <c r="I8" s="5" t="b">
        <f aca="false">AND(IF(ISNUMBER(INDEX('Domain reference'!$B$7:$P$7,MATCH(Cutoff!$B$3&amp;"|control",'Domain reference'!$B$4:$P$4,0))),IF(ISNUMBER(D8),ABS(D8-INDEX('Domain reference'!$B$7:$P$7,MATCH(Cutoff!$B$3&amp;"|control",'Domain reference'!$B$4:$P$4,0)))&lt;=$H8+0.0000000001,FALSE()),IF(ISBLANK(INDEX('Domain reference'!$B$7:$P$7,MATCH(Cutoff!$B$3&amp;"|control",'Domain reference'!$B$4:$P$4,0))),D8="",D8=INDEX('Domain reference'!$B$7:$P$7,MATCH(Cutoff!$B$3&amp;"|control",'Domain reference'!$B$4:$P$4,0)))),IF(ISNUMBER(INDEX('Domain reference'!$B$7:$P$7,MATCH(Cutoff!$B$3&amp;"|treatment",'Domain reference'!$B$4:$P$4,0))),IF(ISNUMBER(E8),ABS(E8-INDEX('Domain reference'!$B$7:$P$7,MATCH(Cutoff!$B$3&amp;"|treatment",'Domain reference'!$B$4:$P$4,0)))&lt;=$H8+0.0000000001,FALSE()),IF(ISBLANK(INDEX('Domain reference'!$B$7:$P$7,MATCH(Cutoff!$B$3&amp;"|treatment",'Domain reference'!$B$4:$P$4,0))),E8="",E8=INDEX('Domain reference'!$B$7:$P$7,MATCH(Cutoff!$B$3&amp;"|treatment",'Domain reference'!$B$4:$P$4,0)))),IF(ISNUMBER(INDEX('Domain reference'!$B$7:$P$7,MATCH(Cutoff!$B$3&amp;"|combined",'Domain reference'!$B$4:$P$4,0))),IF(ISNUMBER(F8),ABS(F8-INDEX('Domain reference'!$B$7:$P$7,MATCH(Cutoff!$B$3&amp;"|combined",'Domain reference'!$B$4:$P$4,0)))&lt;=$H8+0.0000000001,FALSE()),IF(ISBLANK(INDEX('Domain reference'!$B$7:$P$7,MATCH(Cutoff!$B$3&amp;"|combined",'Domain reference'!$B$4:$P$4,0))),F8="",F8=INDEX('Domain reference'!$B$7:$P$7,MATCH(Cutoff!$B$3&amp;"|combined",'Domain reference'!$B$4:$P$4,0)))))</f>
        <v>1</v>
      </c>
    </row>
    <row r="9" customFormat="false" ht="15" hidden="false" customHeight="false" outlineLevel="0" collapsed="false">
      <c r="A9" s="0" t="s">
        <v>67</v>
      </c>
      <c r="B9" s="0" t="s">
        <v>68</v>
      </c>
      <c r="C9" s="0" t="s">
        <v>59</v>
      </c>
      <c r="D9" s="9" t="n">
        <f aca="false">$F$6*Cutoff!$B$20</f>
        <v>200</v>
      </c>
      <c r="E9" s="9" t="n">
        <f aca="false">$F$6*Cutoff!$B$21</f>
        <v>200</v>
      </c>
      <c r="G9" s="3" t="s">
        <v>69</v>
      </c>
      <c r="H9" s="4" t="n">
        <v>5E-007</v>
      </c>
      <c r="I9" s="5" t="b">
        <f aca="false">AND(IF(ISNUMBER(INDEX('Domain reference'!$B$8:$P$8,MATCH(Cutoff!$B$3&amp;"|control",'Domain reference'!$B$4:$P$4,0))),IF(ISNUMBER(D9),ABS(D9-INDEX('Domain reference'!$B$8:$P$8,MATCH(Cutoff!$B$3&amp;"|control",'Domain reference'!$B$4:$P$4,0)))&lt;=$H9+0.0000000001,FALSE()),IF(ISBLANK(INDEX('Domain reference'!$B$8:$P$8,MATCH(Cutoff!$B$3&amp;"|control",'Domain reference'!$B$4:$P$4,0))),D9="",D9=INDEX('Domain reference'!$B$8:$P$8,MATCH(Cutoff!$B$3&amp;"|control",'Domain reference'!$B$4:$P$4,0)))),IF(ISNUMBER(INDEX('Domain reference'!$B$8:$P$8,MATCH(Cutoff!$B$3&amp;"|treatment",'Domain reference'!$B$4:$P$4,0))),IF(ISNUMBER(E9),ABS(E9-INDEX('Domain reference'!$B$8:$P$8,MATCH(Cutoff!$B$3&amp;"|treatment",'Domain reference'!$B$4:$P$4,0)))&lt;=$H9+0.0000000001,FALSE()),IF(ISBLANK(INDEX('Domain reference'!$B$8:$P$8,MATCH(Cutoff!$B$3&amp;"|treatment",'Domain reference'!$B$4:$P$4,0))),E9="",E9=INDEX('Domain reference'!$B$8:$P$8,MATCH(Cutoff!$B$3&amp;"|treatment",'Domain reference'!$B$4:$P$4,0)))))</f>
        <v>1</v>
      </c>
    </row>
    <row r="10" customFormat="false" ht="15" hidden="false" customHeight="false" outlineLevel="0" collapsed="false">
      <c r="A10" s="0" t="s">
        <v>70</v>
      </c>
      <c r="B10" s="0" t="s">
        <v>71</v>
      </c>
      <c r="C10" s="0" t="s">
        <v>72</v>
      </c>
      <c r="F10" s="9" t="n">
        <f aca="false">IF($F$6=0,"",($D$6-$D$9)^2/$D$9+($E$6-$E$9)^2/$E$9)</f>
        <v>0</v>
      </c>
      <c r="G10" s="3" t="s">
        <v>73</v>
      </c>
      <c r="H10" s="4" t="n">
        <v>5E-007</v>
      </c>
      <c r="I10" s="5" t="b">
        <f aca="false">AND(IF(ISNUMBER(INDEX('Domain reference'!$B$9:$P$9,MATCH(Cutoff!$B$3&amp;"|combined",'Domain reference'!$B$4:$P$4,0))),IF(ISNUMBER(F10),ABS(F10-INDEX('Domain reference'!$B$9:$P$9,MATCH(Cutoff!$B$3&amp;"|combined",'Domain reference'!$B$4:$P$4,0)))&lt;=$H10+0.0000000001,FALSE()),IF(ISBLANK(INDEX('Domain reference'!$B$9:$P$9,MATCH(Cutoff!$B$3&amp;"|combined",'Domain reference'!$B$4:$P$4,0))),F10="",F10=INDEX('Domain reference'!$B$9:$P$9,MATCH(Cutoff!$B$3&amp;"|combined",'Domain reference'!$B$4:$P$4,0)))))</f>
        <v>1</v>
      </c>
    </row>
    <row r="11" customFormat="false" ht="15" hidden="false" customHeight="false" outlineLevel="0" collapsed="false">
      <c r="A11" s="0" t="s">
        <v>74</v>
      </c>
      <c r="B11" s="0" t="s">
        <v>75</v>
      </c>
      <c r="C11" s="0" t="s">
        <v>76</v>
      </c>
      <c r="F11" s="9" t="n">
        <f aca="false">IF($F$10="","",CHIDIST($F$10,1))</f>
        <v>1</v>
      </c>
      <c r="G11" s="3" t="s">
        <v>77</v>
      </c>
      <c r="H11" s="4" t="n">
        <v>5E-007</v>
      </c>
      <c r="I11" s="5" t="b">
        <f aca="false">AND(IF(ISNUMBER(INDEX('Domain reference'!$B$10:$P$10,MATCH(Cutoff!$B$3&amp;"|combined",'Domain reference'!$B$4:$P$4,0))),IF(ISNUMBER(F11),ABS(F11-INDEX('Domain reference'!$B$10:$P$10,MATCH(Cutoff!$B$3&amp;"|combined",'Domain reference'!$B$4:$P$4,0)))&lt;=$H11+0.0000000001,FALSE()),IF(ISBLANK(INDEX('Domain reference'!$B$10:$P$10,MATCH(Cutoff!$B$3&amp;"|combined",'Domain reference'!$B$4:$P$4,0))),F11="",F11=INDEX('Domain reference'!$B$10:$P$10,MATCH(Cutoff!$B$3&amp;"|combined",'Domain reference'!$B$4:$P$4,0)))))</f>
        <v>1</v>
      </c>
    </row>
    <row r="12" customFormat="false" ht="28.35" hidden="false" customHeight="false" outlineLevel="0" collapsed="false">
      <c r="A12" s="0" t="s">
        <v>78</v>
      </c>
      <c r="B12" s="0" t="s">
        <v>79</v>
      </c>
      <c r="C12" s="0" t="s">
        <v>80</v>
      </c>
      <c r="F12" s="0" t="str">
        <f aca="false">IF($F$6=0,"INSUFFICIENT",IF(MIN($D$9,$E$9)&lt;Cutoff!$B$23,"INSUFFICIENT",IF($F$11&lt;Cutoff!$B$22,"MISMATCH","OK")))</f>
        <v>OK</v>
      </c>
      <c r="G12" s="3" t="s">
        <v>81</v>
      </c>
      <c r="H12" s="4" t="n">
        <v>0</v>
      </c>
      <c r="I12" s="5" t="b">
        <f aca="false">AND(IF(ISNUMBER(INDEX('Domain reference'!$B$11:$P$11,MATCH(Cutoff!$B$3&amp;"|combined",'Domain reference'!$B$4:$P$4,0))),IF(ISNUMBER(F12),ABS(F12-INDEX('Domain reference'!$B$11:$P$11,MATCH(Cutoff!$B$3&amp;"|combined",'Domain reference'!$B$4:$P$4,0)))&lt;=$H12+0.0000000001,FALSE()),IF(ISBLANK(INDEX('Domain reference'!$B$11:$P$11,MATCH(Cutoff!$B$3&amp;"|combined",'Domain reference'!$B$4:$P$4,0))),F12="",F12=INDEX('Domain reference'!$B$11:$P$11,MATCH(Cutoff!$B$3&amp;"|combined",'Domain reference'!$B$4:$P$4,0)))))</f>
        <v>1</v>
      </c>
    </row>
    <row r="13" customFormat="false" ht="28.35" hidden="false" customHeight="false" outlineLevel="0" collapsed="false">
      <c r="A13" s="0" t="s">
        <v>82</v>
      </c>
      <c r="B13" s="0" t="s">
        <v>83</v>
      </c>
      <c r="C13" s="0" t="s">
        <v>84</v>
      </c>
      <c r="D13" s="9" t="n">
        <f aca="false">IF($D$7=0,"",COUNTIFS(Assignments!$D$2:$D$555,"control",Assignments!$N$2:$N$555,1,Assignments!$P$2:$P$555,1)/$D$7)</f>
        <v>0.875</v>
      </c>
      <c r="E13" s="9" t="n">
        <f aca="false">IF($E$7=0,"",COUNTIFS(Assignments!$D$2:$D$555,"treatment",Assignments!$N$2:$N$555,1,Assignments!$P$2:$P$555,1)/$E$7)</f>
        <v>0.87</v>
      </c>
      <c r="G13" s="3" t="s">
        <v>85</v>
      </c>
      <c r="H13" s="4" t="n">
        <v>5E-007</v>
      </c>
      <c r="I13" s="5" t="b">
        <f aca="false">AND(IF(ISNUMBER(INDEX('Domain reference'!$B$12:$P$12,MATCH(Cutoff!$B$3&amp;"|control",'Domain reference'!$B$4:$P$4,0))),IF(ISNUMBER(D13),ABS(D13-INDEX('Domain reference'!$B$12:$P$12,MATCH(Cutoff!$B$3&amp;"|control",'Domain reference'!$B$4:$P$4,0)))&lt;=$H13+0.0000000001,FALSE()),IF(ISBLANK(INDEX('Domain reference'!$B$12:$P$12,MATCH(Cutoff!$B$3&amp;"|control",'Domain reference'!$B$4:$P$4,0))),D13="",D13=INDEX('Domain reference'!$B$12:$P$12,MATCH(Cutoff!$B$3&amp;"|control",'Domain reference'!$B$4:$P$4,0)))),IF(ISNUMBER(INDEX('Domain reference'!$B$12:$P$12,MATCH(Cutoff!$B$3&amp;"|treatment",'Domain reference'!$B$4:$P$4,0))),IF(ISNUMBER(E13),ABS(E13-INDEX('Domain reference'!$B$12:$P$12,MATCH(Cutoff!$B$3&amp;"|treatment",'Domain reference'!$B$4:$P$4,0)))&lt;=$H13+0.0000000001,FALSE()),IF(ISBLANK(INDEX('Domain reference'!$B$12:$P$12,MATCH(Cutoff!$B$3&amp;"|treatment",'Domain reference'!$B$4:$P$4,0))),E13="",E13=INDEX('Domain reference'!$B$12:$P$12,MATCH(Cutoff!$B$3&amp;"|treatment",'Domain reference'!$B$4:$P$4,0)))))</f>
        <v>1</v>
      </c>
    </row>
    <row r="14" customFormat="false" ht="28.35" hidden="false" customHeight="false" outlineLevel="0" collapsed="false">
      <c r="A14" s="0" t="s">
        <v>86</v>
      </c>
      <c r="B14" s="0" t="s">
        <v>87</v>
      </c>
      <c r="C14" s="0" t="s">
        <v>59</v>
      </c>
      <c r="D14" s="8" t="n">
        <f aca="false">IF($B$4,"withheld",COUNTIFS(Assignments!$D$2:$D$555,"control",Assignments!$O$2:$O$555,1))</f>
        <v>63</v>
      </c>
      <c r="E14" s="8" t="n">
        <f aca="false">IF($B$4,"withheld",COUNTIFS(Assignments!$D$2:$D$555,"treatment",Assignments!$O$2:$O$555,1))</f>
        <v>82</v>
      </c>
      <c r="G14" s="3" t="s">
        <v>88</v>
      </c>
      <c r="H14" s="4" t="n">
        <v>0</v>
      </c>
      <c r="I14" s="5" t="b">
        <f aca="false">AND(IF(ISNUMBER(INDEX('Domain reference'!$B$13:$P$13,MATCH(Cutoff!$B$3&amp;"|control",'Domain reference'!$B$4:$P$4,0))),IF(ISNUMBER(D14),ABS(D14-INDEX('Domain reference'!$B$13:$P$13,MATCH(Cutoff!$B$3&amp;"|control",'Domain reference'!$B$4:$P$4,0)))&lt;=$H14+0.0000000001,FALSE()),IF(ISBLANK(INDEX('Domain reference'!$B$13:$P$13,MATCH(Cutoff!$B$3&amp;"|control",'Domain reference'!$B$4:$P$4,0))),D14="",D14=INDEX('Domain reference'!$B$13:$P$13,MATCH(Cutoff!$B$3&amp;"|control",'Domain reference'!$B$4:$P$4,0)))),IF(ISNUMBER(INDEX('Domain reference'!$B$13:$P$13,MATCH(Cutoff!$B$3&amp;"|treatment",'Domain reference'!$B$4:$P$4,0))),IF(ISNUMBER(E14),ABS(E14-INDEX('Domain reference'!$B$13:$P$13,MATCH(Cutoff!$B$3&amp;"|treatment",'Domain reference'!$B$4:$P$4,0)))&lt;=$H14+0.0000000001,FALSE()),IF(ISBLANK(INDEX('Domain reference'!$B$13:$P$13,MATCH(Cutoff!$B$3&amp;"|treatment",'Domain reference'!$B$4:$P$4,0))),E14="",E14=INDEX('Domain reference'!$B$13:$P$13,MATCH(Cutoff!$B$3&amp;"|treatment",'Domain reference'!$B$4:$P$4,0)))))</f>
        <v>1</v>
      </c>
    </row>
    <row r="15" customFormat="false" ht="15" hidden="false" customHeight="false" outlineLevel="0" collapsed="false">
      <c r="A15" s="0" t="s">
        <v>89</v>
      </c>
      <c r="B15" s="0" t="s">
        <v>90</v>
      </c>
      <c r="C15" s="0" t="s">
        <v>84</v>
      </c>
      <c r="D15" s="9" t="n">
        <f aca="false">IF($B$4,"withheld",IF($D$7=0,"",$D$14/$D$7))</f>
        <v>0.315</v>
      </c>
      <c r="E15" s="9" t="n">
        <f aca="false">IF($B$4,"withheld",IF($E$7=0,"",$E$14/$E$7))</f>
        <v>0.41</v>
      </c>
      <c r="G15" s="3" t="s">
        <v>91</v>
      </c>
      <c r="H15" s="4" t="n">
        <v>5E-007</v>
      </c>
      <c r="I15" s="5" t="b">
        <f aca="false">AND(IF(ISNUMBER(INDEX('Domain reference'!$B$14:$P$14,MATCH(Cutoff!$B$3&amp;"|control",'Domain reference'!$B$4:$P$4,0))),IF(ISNUMBER(D15),ABS(D15-INDEX('Domain reference'!$B$14:$P$14,MATCH(Cutoff!$B$3&amp;"|control",'Domain reference'!$B$4:$P$4,0)))&lt;=$H15+0.0000000001,FALSE()),IF(ISBLANK(INDEX('Domain reference'!$B$14:$P$14,MATCH(Cutoff!$B$3&amp;"|control",'Domain reference'!$B$4:$P$4,0))),D15="",D15=INDEX('Domain reference'!$B$14:$P$14,MATCH(Cutoff!$B$3&amp;"|control",'Domain reference'!$B$4:$P$4,0)))),IF(ISNUMBER(INDEX('Domain reference'!$B$14:$P$14,MATCH(Cutoff!$B$3&amp;"|treatment",'Domain reference'!$B$4:$P$4,0))),IF(ISNUMBER(E15),ABS(E15-INDEX('Domain reference'!$B$14:$P$14,MATCH(Cutoff!$B$3&amp;"|treatment",'Domain reference'!$B$4:$P$4,0)))&lt;=$H15+0.0000000001,FALSE()),IF(ISBLANK(INDEX('Domain reference'!$B$14:$P$14,MATCH(Cutoff!$B$3&amp;"|treatment",'Domain reference'!$B$4:$P$4,0))),E15="",E15=INDEX('Domain reference'!$B$14:$P$14,MATCH(Cutoff!$B$3&amp;"|treatment",'Domain reference'!$B$4:$P$4,0)))))</f>
        <v>1</v>
      </c>
    </row>
    <row r="16" customFormat="false" ht="15" hidden="false" customHeight="false" outlineLevel="0" collapsed="false">
      <c r="A16" s="0" t="s">
        <v>92</v>
      </c>
      <c r="B16" s="0" t="s">
        <v>93</v>
      </c>
      <c r="C16" s="0" t="s">
        <v>84</v>
      </c>
      <c r="D16" s="9" t="n">
        <f aca="false">IF($B$4,"withheld",IF($D$7=0,"",(($D$14/$D$7)+Cutoff!$B$18^2/(2*$D$7)-Cutoff!$B$18*SQRT(($D$14/$D$7)*(1-($D$14/$D$7))/$D$7+Cutoff!$B$18^2/(4*$D$7^2)))/(1+Cutoff!$B$18^2/$D$7)))</f>
        <v>0.254623209460525</v>
      </c>
      <c r="E16" s="9" t="n">
        <f aca="false">IF($B$4,"withheld",IF($E$7=0,"",(($E$14/$E$7)+Cutoff!$B$18^2/(2*$E$7)-Cutoff!$B$18*SQRT(($E$14/$E$7)*(1-($E$14/$E$7))/$E$7+Cutoff!$B$18^2/(4*$E$7^2)))/(1+Cutoff!$B$18^2/$E$7)))</f>
        <v>0.34415674858805</v>
      </c>
      <c r="G16" s="3" t="s">
        <v>94</v>
      </c>
      <c r="H16" s="4" t="n">
        <v>5E-007</v>
      </c>
      <c r="I16" s="5" t="b">
        <f aca="false">AND(IF(ISNUMBER(INDEX('Domain reference'!$B$15:$P$15,MATCH(Cutoff!$B$3&amp;"|control",'Domain reference'!$B$4:$P$4,0))),IF(ISNUMBER(D16),ABS(D16-INDEX('Domain reference'!$B$15:$P$15,MATCH(Cutoff!$B$3&amp;"|control",'Domain reference'!$B$4:$P$4,0)))&lt;=$H16+0.0000000001,FALSE()),IF(ISBLANK(INDEX('Domain reference'!$B$15:$P$15,MATCH(Cutoff!$B$3&amp;"|control",'Domain reference'!$B$4:$P$4,0))),D16="",D16=INDEX('Domain reference'!$B$15:$P$15,MATCH(Cutoff!$B$3&amp;"|control",'Domain reference'!$B$4:$P$4,0)))),IF(ISNUMBER(INDEX('Domain reference'!$B$15:$P$15,MATCH(Cutoff!$B$3&amp;"|treatment",'Domain reference'!$B$4:$P$4,0))),IF(ISNUMBER(E16),ABS(E16-INDEX('Domain reference'!$B$15:$P$15,MATCH(Cutoff!$B$3&amp;"|treatment",'Domain reference'!$B$4:$P$4,0)))&lt;=$H16+0.0000000001,FALSE()),IF(ISBLANK(INDEX('Domain reference'!$B$15:$P$15,MATCH(Cutoff!$B$3&amp;"|treatment",'Domain reference'!$B$4:$P$4,0))),E16="",E16=INDEX('Domain reference'!$B$15:$P$15,MATCH(Cutoff!$B$3&amp;"|treatment",'Domain reference'!$B$4:$P$4,0)))))</f>
        <v>1</v>
      </c>
    </row>
    <row r="17" customFormat="false" ht="15" hidden="false" customHeight="false" outlineLevel="0" collapsed="false">
      <c r="A17" s="0" t="s">
        <v>95</v>
      </c>
      <c r="B17" s="0" t="s">
        <v>96</v>
      </c>
      <c r="C17" s="0" t="s">
        <v>84</v>
      </c>
      <c r="D17" s="9" t="n">
        <f aca="false">IF($B$4,"withheld",IF($D$7=0,"",(($D$14/$D$7)+Cutoff!$B$18^2/(2*$D$7)+Cutoff!$B$18*SQRT(($D$14/$D$7)*(1-($D$14/$D$7))/$D$7+Cutoff!$B$18^2/(4*$D$7^2)))/(1+Cutoff!$B$18^2/$D$7)))</f>
        <v>0.382349561406992</v>
      </c>
      <c r="E17" s="9" t="n">
        <f aca="false">IF($B$4,"withheld",IF($E$7=0,"",(($E$14/$E$7)+Cutoff!$B$18^2/(2*$E$7)+Cutoff!$B$18*SQRT(($E$14/$E$7)*(1-($E$14/$E$7))/$E$7+Cutoff!$B$18^2/(4*$E$7^2)))/(1+Cutoff!$B$18^2/$E$7)))</f>
        <v>0.479235410212363</v>
      </c>
      <c r="G17" s="3" t="s">
        <v>97</v>
      </c>
      <c r="H17" s="4" t="n">
        <v>5E-007</v>
      </c>
      <c r="I17" s="5" t="b">
        <f aca="false">AND(IF(ISNUMBER(INDEX('Domain reference'!$B$16:$P$16,MATCH(Cutoff!$B$3&amp;"|control",'Domain reference'!$B$4:$P$4,0))),IF(ISNUMBER(D17),ABS(D17-INDEX('Domain reference'!$B$16:$P$16,MATCH(Cutoff!$B$3&amp;"|control",'Domain reference'!$B$4:$P$4,0)))&lt;=$H17+0.0000000001,FALSE()),IF(ISBLANK(INDEX('Domain reference'!$B$16:$P$16,MATCH(Cutoff!$B$3&amp;"|control",'Domain reference'!$B$4:$P$4,0))),D17="",D17=INDEX('Domain reference'!$B$16:$P$16,MATCH(Cutoff!$B$3&amp;"|control",'Domain reference'!$B$4:$P$4,0)))),IF(ISNUMBER(INDEX('Domain reference'!$B$16:$P$16,MATCH(Cutoff!$B$3&amp;"|treatment",'Domain reference'!$B$4:$P$4,0))),IF(ISNUMBER(E17),ABS(E17-INDEX('Domain reference'!$B$16:$P$16,MATCH(Cutoff!$B$3&amp;"|treatment",'Domain reference'!$B$4:$P$4,0)))&lt;=$H17+0.0000000001,FALSE()),IF(ISBLANK(INDEX('Domain reference'!$B$16:$P$16,MATCH(Cutoff!$B$3&amp;"|treatment",'Domain reference'!$B$4:$P$4,0))),E17="",E17=INDEX('Domain reference'!$B$16:$P$16,MATCH(Cutoff!$B$3&amp;"|treatment",'Domain reference'!$B$4:$P$4,0)))))</f>
        <v>1</v>
      </c>
    </row>
    <row r="18" customFormat="false" ht="15" hidden="false" customHeight="false" outlineLevel="0" collapsed="false">
      <c r="A18" s="0" t="s">
        <v>98</v>
      </c>
      <c r="B18" s="0" t="s">
        <v>99</v>
      </c>
      <c r="C18" s="0" t="s">
        <v>100</v>
      </c>
      <c r="F18" s="10" t="n">
        <f aca="false">IF($B$4,"withheld",IF(OR($D$7=0,$E$7=0),"",($E$15-$D$15)*100))</f>
        <v>9.5</v>
      </c>
      <c r="G18" s="3" t="s">
        <v>101</v>
      </c>
      <c r="H18" s="4" t="n">
        <v>0.005</v>
      </c>
      <c r="I18" s="5" t="b">
        <f aca="false">AND(IF(ISNUMBER(INDEX('Domain reference'!$B$17:$P$17,MATCH(Cutoff!$B$3&amp;"|combined",'Domain reference'!$B$4:$P$4,0))),IF(ISNUMBER(F18),ABS(F18-INDEX('Domain reference'!$B$17:$P$17,MATCH(Cutoff!$B$3&amp;"|combined",'Domain reference'!$B$4:$P$4,0)))&lt;=$H18+0.0000000001,FALSE()),IF(ISBLANK(INDEX('Domain reference'!$B$17:$P$17,MATCH(Cutoff!$B$3&amp;"|combined",'Domain reference'!$B$4:$P$4,0))),F18="",F18=INDEX('Domain reference'!$B$17:$P$17,MATCH(Cutoff!$B$3&amp;"|combined",'Domain reference'!$B$4:$P$4,0)))))</f>
        <v>1</v>
      </c>
    </row>
    <row r="19" customFormat="false" ht="15" hidden="false" customHeight="false" outlineLevel="0" collapsed="false">
      <c r="A19" s="0" t="s">
        <v>102</v>
      </c>
      <c r="B19" s="0" t="s">
        <v>103</v>
      </c>
      <c r="C19" s="0" t="s">
        <v>104</v>
      </c>
      <c r="F19" s="9" t="n">
        <f aca="false">IF($B$4,"withheld",IF(OR($D$7=0,$E$7=0),"",IF($D$15=0,"",($E$15-$D$15)/$D$15)))</f>
        <v>0.301587301587302</v>
      </c>
      <c r="G19" s="3" t="s">
        <v>105</v>
      </c>
      <c r="H19" s="4" t="n">
        <v>5E-007</v>
      </c>
      <c r="I19" s="5" t="b">
        <f aca="false">AND(IF(ISNUMBER(INDEX('Domain reference'!$B$18:$P$18,MATCH(Cutoff!$B$3&amp;"|combined",'Domain reference'!$B$4:$P$4,0))),IF(ISNUMBER(F19),ABS(F19-INDEX('Domain reference'!$B$18:$P$18,MATCH(Cutoff!$B$3&amp;"|combined",'Domain reference'!$B$4:$P$4,0)))&lt;=$H19+0.0000000001,FALSE()),IF(ISBLANK(INDEX('Domain reference'!$B$18:$P$18,MATCH(Cutoff!$B$3&amp;"|combined",'Domain reference'!$B$4:$P$4,0))),F19="",F19=INDEX('Domain reference'!$B$18:$P$18,MATCH(Cutoff!$B$3&amp;"|combined",'Domain reference'!$B$4:$P$4,0)))))</f>
        <v>1</v>
      </c>
    </row>
    <row r="20" customFormat="false" ht="15" hidden="false" customHeight="false" outlineLevel="0" collapsed="false">
      <c r="A20" s="0" t="s">
        <v>106</v>
      </c>
      <c r="B20" s="0" t="s">
        <v>107</v>
      </c>
      <c r="C20" s="0" t="s">
        <v>108</v>
      </c>
      <c r="F20" s="9" t="n">
        <f aca="false">IF($B$4,"withheld",IF(OR($D$7=0,$E$7=0),"",($E$15-$D$15)-SQRT(($E$15-$E$16)^2+($D$17-$D$15)^2)))</f>
        <v>0.00081243618071751</v>
      </c>
      <c r="G20" s="3" t="s">
        <v>109</v>
      </c>
      <c r="H20" s="4" t="n">
        <v>5E-007</v>
      </c>
      <c r="I20" s="5" t="b">
        <f aca="false">AND(IF(ISNUMBER(INDEX('Domain reference'!$B$19:$P$19,MATCH(Cutoff!$B$3&amp;"|combined",'Domain reference'!$B$4:$P$4,0))),IF(ISNUMBER(F20),ABS(F20-INDEX('Domain reference'!$B$19:$P$19,MATCH(Cutoff!$B$3&amp;"|combined",'Domain reference'!$B$4:$P$4,0)))&lt;=$H20+0.0000000001,FALSE()),IF(ISBLANK(INDEX('Domain reference'!$B$19:$P$19,MATCH(Cutoff!$B$3&amp;"|combined",'Domain reference'!$B$4:$P$4,0))),F20="",F20=INDEX('Domain reference'!$B$19:$P$19,MATCH(Cutoff!$B$3&amp;"|combined",'Domain reference'!$B$4:$P$4,0)))))</f>
        <v>1</v>
      </c>
    </row>
    <row r="21" customFormat="false" ht="15" hidden="false" customHeight="false" outlineLevel="0" collapsed="false">
      <c r="A21" s="0" t="s">
        <v>110</v>
      </c>
      <c r="B21" s="0" t="s">
        <v>111</v>
      </c>
      <c r="C21" s="0" t="s">
        <v>108</v>
      </c>
      <c r="F21" s="9" t="n">
        <f aca="false">IF($B$4,"withheld",IF(OR($D$7=0,$E$7=0),"",($E$15-$D$15)+SQRT(($E$17-$E$15)^2+($D$15-$D$16)^2)))</f>
        <v>0.186863479485168</v>
      </c>
      <c r="G21" s="3" t="s">
        <v>97</v>
      </c>
      <c r="H21" s="4" t="n">
        <v>5E-007</v>
      </c>
      <c r="I21" s="5" t="b">
        <f aca="false">AND(IF(ISNUMBER(INDEX('Domain reference'!$B$20:$P$20,MATCH(Cutoff!$B$3&amp;"|combined",'Domain reference'!$B$4:$P$4,0))),IF(ISNUMBER(F21),ABS(F21-INDEX('Domain reference'!$B$20:$P$20,MATCH(Cutoff!$B$3&amp;"|combined",'Domain reference'!$B$4:$P$4,0)))&lt;=$H21+0.0000000001,FALSE()),IF(ISBLANK(INDEX('Domain reference'!$B$20:$P$20,MATCH(Cutoff!$B$3&amp;"|combined",'Domain reference'!$B$4:$P$4,0))),F21="",F21=INDEX('Domain reference'!$B$20:$P$20,MATCH(Cutoff!$B$3&amp;"|combined",'Domain reference'!$B$4:$P$4,0)))))</f>
        <v>1</v>
      </c>
    </row>
    <row r="22" customFormat="false" ht="15" hidden="false" customHeight="false" outlineLevel="0" collapsed="false">
      <c r="A22" s="0" t="s">
        <v>112</v>
      </c>
      <c r="B22" s="0" t="s">
        <v>113</v>
      </c>
      <c r="C22" s="0" t="s">
        <v>114</v>
      </c>
      <c r="F22" s="5" t="b">
        <f aca="false">IF($B$4,"withheld",IF($F$20="",TRUE(),AND($F$20&lt;=0,$F$21&gt;=0)))</f>
        <v>0</v>
      </c>
      <c r="G22" s="3" t="s">
        <v>115</v>
      </c>
      <c r="H22" s="4" t="n">
        <v>0</v>
      </c>
      <c r="I22" s="5" t="b">
        <f aca="false">AND(IF(ISNUMBER(INDEX('Domain reference'!$B$21:$P$21,MATCH(Cutoff!$B$3&amp;"|combined",'Domain reference'!$B$4:$P$4,0))),IF(ISNUMBER(F22),ABS(F22-INDEX('Domain reference'!$B$21:$P$21,MATCH(Cutoff!$B$3&amp;"|combined",'Domain reference'!$B$4:$P$4,0)))&lt;=$H22+0.0000000001,FALSE()),IF(ISBLANK(INDEX('Domain reference'!$B$21:$P$21,MATCH(Cutoff!$B$3&amp;"|combined",'Domain reference'!$B$4:$P$4,0))),F22="",F22=INDEX('Domain reference'!$B$21:$P$21,MATCH(Cutoff!$B$3&amp;"|combined",'Domain reference'!$B$4:$P$4,0)))))</f>
        <v>1</v>
      </c>
    </row>
    <row r="23" customFormat="false" ht="15" hidden="false" customHeight="false" outlineLevel="0" collapsed="false">
      <c r="A23" s="0" t="s">
        <v>116</v>
      </c>
      <c r="B23" s="0" t="s">
        <v>117</v>
      </c>
      <c r="C23" s="0" t="s">
        <v>114</v>
      </c>
      <c r="F23" s="5" t="b">
        <f aca="false">Cutoff!$B$14</f>
        <v>0</v>
      </c>
      <c r="G23" s="3" t="s">
        <v>118</v>
      </c>
      <c r="H23" s="4" t="n">
        <v>0</v>
      </c>
      <c r="I23" s="5" t="b">
        <f aca="false">AND(IF(ISNUMBER(INDEX('Domain reference'!$B$22:$P$22,MATCH(Cutoff!$B$3&amp;"|combined",'Domain reference'!$B$4:$P$4,0))),IF(ISNUMBER(F23),ABS(F23-INDEX('Domain reference'!$B$22:$P$22,MATCH(Cutoff!$B$3&amp;"|combined",'Domain reference'!$B$4:$P$4,0)))&lt;=$H23+0.0000000001,FALSE()),IF(ISBLANK(INDEX('Domain reference'!$B$22:$P$22,MATCH(Cutoff!$B$3&amp;"|combined",'Domain reference'!$B$4:$P$4,0))),F23="",F23=INDEX('Domain reference'!$B$22:$P$22,MATCH(Cutoff!$B$3&amp;"|combined",'Domain reference'!$B$4:$P$4,0)))))</f>
        <v>1</v>
      </c>
    </row>
    <row r="24" customFormat="false" ht="28.35" hidden="false" customHeight="false" outlineLevel="0" collapsed="false">
      <c r="A24" s="0" t="s">
        <v>119</v>
      </c>
      <c r="B24" s="0" t="s">
        <v>120</v>
      </c>
      <c r="C24" s="0" t="s">
        <v>114</v>
      </c>
      <c r="F24" s="5" t="b">
        <f aca="false">Cutoff!$B$26</f>
        <v>1</v>
      </c>
      <c r="G24" s="3" t="s">
        <v>121</v>
      </c>
      <c r="H24" s="4" t="n">
        <v>0</v>
      </c>
      <c r="I24" s="5" t="b">
        <f aca="false">AND(IF(ISNUMBER(INDEX('Domain reference'!$B$23:$P$23,MATCH(Cutoff!$B$3&amp;"|combined",'Domain reference'!$B$4:$P$4,0))),IF(ISNUMBER(F24),ABS(F24-INDEX('Domain reference'!$B$23:$P$23,MATCH(Cutoff!$B$3&amp;"|combined",'Domain reference'!$B$4:$P$4,0)))&lt;=$H24+0.0000000001,FALSE()),IF(ISBLANK(INDEX('Domain reference'!$B$23:$P$23,MATCH(Cutoff!$B$3&amp;"|combined",'Domain reference'!$B$4:$P$4,0))),F24="",F24=INDEX('Domain reference'!$B$23:$P$23,MATCH(Cutoff!$B$3&amp;"|combined",'Domain reference'!$B$4:$P$4,0)))))</f>
        <v>1</v>
      </c>
    </row>
    <row r="25" customFormat="false" ht="28.35" hidden="false" customHeight="false" outlineLevel="0" collapsed="false">
      <c r="A25" s="0" t="s">
        <v>122</v>
      </c>
      <c r="B25" s="0" t="s">
        <v>123</v>
      </c>
      <c r="C25" s="0" t="s">
        <v>114</v>
      </c>
      <c r="F25" s="5" t="b">
        <f aca="false">Cutoff!$B$27</f>
        <v>1</v>
      </c>
      <c r="G25" s="3" t="s">
        <v>124</v>
      </c>
      <c r="H25" s="4" t="n">
        <v>0</v>
      </c>
      <c r="I25" s="5" t="b">
        <f aca="false">AND(IF(ISNUMBER(INDEX('Domain reference'!$B$24:$P$24,MATCH(Cutoff!$B$3&amp;"|combined",'Domain reference'!$B$4:$P$4,0))),IF(ISNUMBER(F25),ABS(F25-INDEX('Domain reference'!$B$24:$P$24,MATCH(Cutoff!$B$3&amp;"|combined",'Domain reference'!$B$4:$P$4,0)))&lt;=$H25+0.0000000001,FALSE()),IF(ISBLANK(INDEX('Domain reference'!$B$24:$P$24,MATCH(Cutoff!$B$3&amp;"|combined",'Domain reference'!$B$4:$P$4,0))),F25="",F25=INDEX('Domain reference'!$B$24:$P$24,MATCH(Cutoff!$B$3&amp;"|combined",'Domain reference'!$B$4:$P$4,0)))))</f>
        <v>1</v>
      </c>
    </row>
    <row r="26" customFormat="false" ht="28.35" hidden="false" customHeight="false" outlineLevel="0" collapsed="false">
      <c r="A26" s="0" t="s">
        <v>125</v>
      </c>
      <c r="B26" s="0" t="s">
        <v>126</v>
      </c>
      <c r="C26" s="0" t="s">
        <v>114</v>
      </c>
      <c r="F26" s="5" t="b">
        <f aca="false">IF($B$4,"withheld",AND(NOT($F$22),NOT($F$23),$F$25,$F$24,$F$12="OK"))</f>
        <v>1</v>
      </c>
      <c r="G26" s="3" t="s">
        <v>127</v>
      </c>
      <c r="H26" s="4" t="n">
        <v>0</v>
      </c>
      <c r="I26" s="5" t="b">
        <f aca="false">AND(IF(ISNUMBER(INDEX('Domain reference'!$B$25:$P$25,MATCH(Cutoff!$B$3&amp;"|combined",'Domain reference'!$B$4:$P$4,0))),IF(ISNUMBER(F26),ABS(F26-INDEX('Domain reference'!$B$25:$P$25,MATCH(Cutoff!$B$3&amp;"|combined",'Domain reference'!$B$4:$P$4,0)))&lt;=$H26+0.0000000001,FALSE()),IF(ISBLANK(INDEX('Domain reference'!$B$25:$P$25,MATCH(Cutoff!$B$3&amp;"|combined",'Domain reference'!$B$4:$P$4,0))),F26="",F26=INDEX('Domain reference'!$B$25:$P$25,MATCH(Cutoff!$B$3&amp;"|combined",'Domain reference'!$B$4:$P$4,0)))))</f>
        <v>1</v>
      </c>
    </row>
    <row r="27" customFormat="false" ht="15" hidden="false" customHeight="false" outlineLevel="0" collapsed="false">
      <c r="A27" s="0" t="s">
        <v>128</v>
      </c>
      <c r="B27" s="0" t="s">
        <v>129</v>
      </c>
      <c r="C27" s="0" t="s">
        <v>59</v>
      </c>
      <c r="D27" s="8" t="n">
        <f aca="false">IF($B$4,"withheld",COUNTIFS(Assignments!$D$2:$D$555,"control",Assignments!$Q$2:$Q$555,1))</f>
        <v>200</v>
      </c>
      <c r="E27" s="8" t="n">
        <f aca="false">IF($B$4,"withheld",COUNTIFS(Assignments!$D$2:$D$555,"treatment",Assignments!$Q$2:$Q$555,1))</f>
        <v>200</v>
      </c>
      <c r="G27" s="3" t="s">
        <v>130</v>
      </c>
      <c r="H27" s="4" t="n">
        <v>0</v>
      </c>
      <c r="I27" s="5" t="b">
        <f aca="false">AND(IF(ISNUMBER(INDEX('Domain reference'!$B$26:$P$26,MATCH(Cutoff!$B$3&amp;"|control",'Domain reference'!$B$4:$P$4,0))),IF(ISNUMBER(D27),ABS(D27-INDEX('Domain reference'!$B$26:$P$26,MATCH(Cutoff!$B$3&amp;"|control",'Domain reference'!$B$4:$P$4,0)))&lt;=$H27+0.0000000001,FALSE()),IF(ISBLANK(INDEX('Domain reference'!$B$26:$P$26,MATCH(Cutoff!$B$3&amp;"|control",'Domain reference'!$B$4:$P$4,0))),D27="",D27=INDEX('Domain reference'!$B$26:$P$26,MATCH(Cutoff!$B$3&amp;"|control",'Domain reference'!$B$4:$P$4,0)))),IF(ISNUMBER(INDEX('Domain reference'!$B$26:$P$26,MATCH(Cutoff!$B$3&amp;"|treatment",'Domain reference'!$B$4:$P$4,0))),IF(ISNUMBER(E27),ABS(E27-INDEX('Domain reference'!$B$26:$P$26,MATCH(Cutoff!$B$3&amp;"|treatment",'Domain reference'!$B$4:$P$4,0)))&lt;=$H27+0.0000000001,FALSE()),IF(ISBLANK(INDEX('Domain reference'!$B$26:$P$26,MATCH(Cutoff!$B$3&amp;"|treatment",'Domain reference'!$B$4:$P$4,0))),E27="",E27=INDEX('Domain reference'!$B$26:$P$26,MATCH(Cutoff!$B$3&amp;"|treatment",'Domain reference'!$B$4:$P$4,0)))))</f>
        <v>1</v>
      </c>
    </row>
    <row r="28" customFormat="false" ht="15" hidden="false" customHeight="false" outlineLevel="0" collapsed="false">
      <c r="A28" s="0" t="s">
        <v>131</v>
      </c>
      <c r="B28" s="0" t="s">
        <v>132</v>
      </c>
      <c r="C28" s="0" t="s">
        <v>59</v>
      </c>
      <c r="D28" s="8" t="n">
        <f aca="false">IF($B$4,"withheld",COUNTIFS(Assignments!$D$2:$D$555,"control",Assignments!$R$2:$R$555,1))</f>
        <v>31</v>
      </c>
      <c r="E28" s="8" t="n">
        <f aca="false">IF($B$4,"withheld",COUNTIFS(Assignments!$D$2:$D$555,"treatment",Assignments!$R$2:$R$555,1))</f>
        <v>30</v>
      </c>
      <c r="G28" s="3" t="s">
        <v>133</v>
      </c>
      <c r="H28" s="4" t="n">
        <v>0</v>
      </c>
      <c r="I28" s="5" t="b">
        <f aca="false">AND(IF(ISNUMBER(INDEX('Domain reference'!$B$27:$P$27,MATCH(Cutoff!$B$3&amp;"|control",'Domain reference'!$B$4:$P$4,0))),IF(ISNUMBER(D28),ABS(D28-INDEX('Domain reference'!$B$27:$P$27,MATCH(Cutoff!$B$3&amp;"|control",'Domain reference'!$B$4:$P$4,0)))&lt;=$H28+0.0000000001,FALSE()),IF(ISBLANK(INDEX('Domain reference'!$B$27:$P$27,MATCH(Cutoff!$B$3&amp;"|control",'Domain reference'!$B$4:$P$4,0))),D28="",D28=INDEX('Domain reference'!$B$27:$P$27,MATCH(Cutoff!$B$3&amp;"|control",'Domain reference'!$B$4:$P$4,0)))),IF(ISNUMBER(INDEX('Domain reference'!$B$27:$P$27,MATCH(Cutoff!$B$3&amp;"|treatment",'Domain reference'!$B$4:$P$4,0))),IF(ISNUMBER(E28),ABS(E28-INDEX('Domain reference'!$B$27:$P$27,MATCH(Cutoff!$B$3&amp;"|treatment",'Domain reference'!$B$4:$P$4,0)))&lt;=$H28+0.0000000001,FALSE()),IF(ISBLANK(INDEX('Domain reference'!$B$27:$P$27,MATCH(Cutoff!$B$3&amp;"|treatment",'Domain reference'!$B$4:$P$4,0))),E28="",E28=INDEX('Domain reference'!$B$27:$P$27,MATCH(Cutoff!$B$3&amp;"|treatment",'Domain reference'!$B$4:$P$4,0)))))</f>
        <v>1</v>
      </c>
    </row>
    <row r="29" customFormat="false" ht="15" hidden="false" customHeight="false" outlineLevel="0" collapsed="false">
      <c r="A29" s="0" t="s">
        <v>134</v>
      </c>
      <c r="B29" s="0" t="s">
        <v>135</v>
      </c>
      <c r="C29" s="0" t="s">
        <v>84</v>
      </c>
      <c r="D29" s="9" t="n">
        <f aca="false">IF($B$4,"withheld",IF($D$27=0,"",$D$28/$D$27))</f>
        <v>0.155</v>
      </c>
      <c r="E29" s="9" t="n">
        <f aca="false">IF($B$4,"withheld",IF($E$27=0,"",$E$28/$E$27))</f>
        <v>0.15</v>
      </c>
      <c r="G29" s="3" t="s">
        <v>136</v>
      </c>
      <c r="H29" s="4" t="n">
        <v>5E-007</v>
      </c>
      <c r="I29" s="5" t="b">
        <f aca="false">AND(IF(ISNUMBER(INDEX('Domain reference'!$B$28:$P$28,MATCH(Cutoff!$B$3&amp;"|control",'Domain reference'!$B$4:$P$4,0))),IF(ISNUMBER(D29),ABS(D29-INDEX('Domain reference'!$B$28:$P$28,MATCH(Cutoff!$B$3&amp;"|control",'Domain reference'!$B$4:$P$4,0)))&lt;=$H29+0.0000000001,FALSE()),IF(ISBLANK(INDEX('Domain reference'!$B$28:$P$28,MATCH(Cutoff!$B$3&amp;"|control",'Domain reference'!$B$4:$P$4,0))),D29="",D29=INDEX('Domain reference'!$B$28:$P$28,MATCH(Cutoff!$B$3&amp;"|control",'Domain reference'!$B$4:$P$4,0)))),IF(ISNUMBER(INDEX('Domain reference'!$B$28:$P$28,MATCH(Cutoff!$B$3&amp;"|treatment",'Domain reference'!$B$4:$P$4,0))),IF(ISNUMBER(E29),ABS(E29-INDEX('Domain reference'!$B$28:$P$28,MATCH(Cutoff!$B$3&amp;"|treatment",'Domain reference'!$B$4:$P$4,0)))&lt;=$H29+0.0000000001,FALSE()),IF(ISBLANK(INDEX('Domain reference'!$B$28:$P$28,MATCH(Cutoff!$B$3&amp;"|treatment",'Domain reference'!$B$4:$P$4,0))),E29="",E29=INDEX('Domain reference'!$B$28:$P$28,MATCH(Cutoff!$B$3&amp;"|treatment",'Domain reference'!$B$4:$P$4,0)))))</f>
        <v>1</v>
      </c>
    </row>
    <row r="30" customFormat="false" ht="15" hidden="false" customHeight="false" outlineLevel="0" collapsed="false">
      <c r="A30" s="0" t="s">
        <v>137</v>
      </c>
      <c r="B30" s="0" t="s">
        <v>138</v>
      </c>
      <c r="C30" s="0" t="s">
        <v>84</v>
      </c>
      <c r="D30" s="9" t="n">
        <f aca="false">IF($B$4,"withheld",IF($D$27=0,"",(($D$28/$D$27)+Cutoff!$B$18^2/(2*$D$27)-Cutoff!$B$18*SQRT(($D$28/$D$27)*(1-($D$28/$D$27))/$D$27+Cutoff!$B$18^2/(4*$D$27^2)))/(1+Cutoff!$B$18^2/$D$27)))</f>
        <v>0.111396368983223</v>
      </c>
      <c r="E30" s="9" t="n">
        <f aca="false">IF($B$4,"withheld",IF($E$27=0,"",(($E$28/$E$27)+Cutoff!$B$18^2/(2*$E$27)-Cutoff!$B$18*SQRT(($E$28/$E$27)*(1-($E$28/$E$27))/$E$27+Cutoff!$B$18^2/(4*$E$27^2)))/(1+Cutoff!$B$18^2/$E$27)))</f>
        <v>0.107135935334925</v>
      </c>
      <c r="G30" s="3" t="s">
        <v>139</v>
      </c>
      <c r="H30" s="4" t="n">
        <v>5E-007</v>
      </c>
      <c r="I30" s="5" t="b">
        <f aca="false">AND(IF(ISNUMBER(INDEX('Domain reference'!$B$29:$P$29,MATCH(Cutoff!$B$3&amp;"|control",'Domain reference'!$B$4:$P$4,0))),IF(ISNUMBER(D30),ABS(D30-INDEX('Domain reference'!$B$29:$P$29,MATCH(Cutoff!$B$3&amp;"|control",'Domain reference'!$B$4:$P$4,0)))&lt;=$H30+0.0000000001,FALSE()),IF(ISBLANK(INDEX('Domain reference'!$B$29:$P$29,MATCH(Cutoff!$B$3&amp;"|control",'Domain reference'!$B$4:$P$4,0))),D30="",D30=INDEX('Domain reference'!$B$29:$P$29,MATCH(Cutoff!$B$3&amp;"|control",'Domain reference'!$B$4:$P$4,0)))),IF(ISNUMBER(INDEX('Domain reference'!$B$29:$P$29,MATCH(Cutoff!$B$3&amp;"|treatment",'Domain reference'!$B$4:$P$4,0))),IF(ISNUMBER(E30),ABS(E30-INDEX('Domain reference'!$B$29:$P$29,MATCH(Cutoff!$B$3&amp;"|treatment",'Domain reference'!$B$4:$P$4,0)))&lt;=$H30+0.0000000001,FALSE()),IF(ISBLANK(INDEX('Domain reference'!$B$29:$P$29,MATCH(Cutoff!$B$3&amp;"|treatment",'Domain reference'!$B$4:$P$4,0))),E30="",E30=INDEX('Domain reference'!$B$29:$P$29,MATCH(Cutoff!$B$3&amp;"|treatment",'Domain reference'!$B$4:$P$4,0)))))</f>
        <v>1</v>
      </c>
    </row>
    <row r="31" customFormat="false" ht="15" hidden="false" customHeight="false" outlineLevel="0" collapsed="false">
      <c r="A31" s="0" t="s">
        <v>140</v>
      </c>
      <c r="B31" s="0" t="s">
        <v>141</v>
      </c>
      <c r="C31" s="0" t="s">
        <v>84</v>
      </c>
      <c r="D31" s="9" t="n">
        <f aca="false">IF($B$4,"withheld",IF($D$27=0,"",(($D$28/$D$27)+Cutoff!$B$18^2/(2*$D$27)+Cutoff!$B$18*SQRT(($D$28/$D$27)*(1-($D$28/$D$27))/$D$27+Cutoff!$B$18^2/(4*$D$27^2)))/(1+Cutoff!$B$18^2/$D$27)))</f>
        <v>0.211606906418361</v>
      </c>
      <c r="E31" s="9" t="n">
        <f aca="false">IF($B$4,"withheld",IF($E$27=0,"",(($E$28/$E$27)+Cutoff!$B$18^2/(2*$E$27)+Cutoff!$B$18*SQRT(($E$28/$E$27)*(1-($E$28/$E$27))/$E$27+Cutoff!$B$18^2/(4*$E$27^2)))/(1+Cutoff!$B$18^2/$E$27)))</f>
        <v>0.206055793333349</v>
      </c>
      <c r="G31" s="3" t="s">
        <v>97</v>
      </c>
      <c r="H31" s="4" t="n">
        <v>5E-007</v>
      </c>
      <c r="I31" s="5" t="b">
        <f aca="false">AND(IF(ISNUMBER(INDEX('Domain reference'!$B$30:$P$30,MATCH(Cutoff!$B$3&amp;"|control",'Domain reference'!$B$4:$P$4,0))),IF(ISNUMBER(D31),ABS(D31-INDEX('Domain reference'!$B$30:$P$30,MATCH(Cutoff!$B$3&amp;"|control",'Domain reference'!$B$4:$P$4,0)))&lt;=$H31+0.0000000001,FALSE()),IF(ISBLANK(INDEX('Domain reference'!$B$30:$P$30,MATCH(Cutoff!$B$3&amp;"|control",'Domain reference'!$B$4:$P$4,0))),D31="",D31=INDEX('Domain reference'!$B$30:$P$30,MATCH(Cutoff!$B$3&amp;"|control",'Domain reference'!$B$4:$P$4,0)))),IF(ISNUMBER(INDEX('Domain reference'!$B$30:$P$30,MATCH(Cutoff!$B$3&amp;"|treatment",'Domain reference'!$B$4:$P$4,0))),IF(ISNUMBER(E31),ABS(E31-INDEX('Domain reference'!$B$30:$P$30,MATCH(Cutoff!$B$3&amp;"|treatment",'Domain reference'!$B$4:$P$4,0)))&lt;=$H31+0.0000000001,FALSE()),IF(ISBLANK(INDEX('Domain reference'!$B$30:$P$30,MATCH(Cutoff!$B$3&amp;"|treatment",'Domain reference'!$B$4:$P$4,0))),E31="",E31=INDEX('Domain reference'!$B$30:$P$30,MATCH(Cutoff!$B$3&amp;"|treatment",'Domain reference'!$B$4:$P$4,0)))))</f>
        <v>1</v>
      </c>
    </row>
    <row r="32" customFormat="false" ht="15" hidden="false" customHeight="false" outlineLevel="0" collapsed="false">
      <c r="A32" s="0" t="s">
        <v>142</v>
      </c>
      <c r="B32" s="0" t="s">
        <v>143</v>
      </c>
      <c r="C32" s="0" t="s">
        <v>100</v>
      </c>
      <c r="F32" s="10" t="n">
        <f aca="false">IF($B$4,"withheld",IF(OR($D$27=0,$E$27=0),"",($E$29-$D$29)*100))</f>
        <v>-0.5</v>
      </c>
      <c r="G32" s="3" t="s">
        <v>144</v>
      </c>
      <c r="H32" s="4" t="n">
        <v>0.005</v>
      </c>
      <c r="I32" s="5" t="b">
        <f aca="false">AND(IF(ISNUMBER(INDEX('Domain reference'!$B$31:$P$31,MATCH(Cutoff!$B$3&amp;"|combined",'Domain reference'!$B$4:$P$4,0))),IF(ISNUMBER(F32),ABS(F32-INDEX('Domain reference'!$B$31:$P$31,MATCH(Cutoff!$B$3&amp;"|combined",'Domain reference'!$B$4:$P$4,0)))&lt;=$H32+0.0000000001,FALSE()),IF(ISBLANK(INDEX('Domain reference'!$B$31:$P$31,MATCH(Cutoff!$B$3&amp;"|combined",'Domain reference'!$B$4:$P$4,0))),F32="",F32=INDEX('Domain reference'!$B$31:$P$31,MATCH(Cutoff!$B$3&amp;"|combined",'Domain reference'!$B$4:$P$4,0)))))</f>
        <v>1</v>
      </c>
    </row>
    <row r="33" customFormat="false" ht="15" hidden="false" customHeight="false" outlineLevel="0" collapsed="false">
      <c r="A33" s="0" t="s">
        <v>145</v>
      </c>
      <c r="B33" s="0" t="s">
        <v>146</v>
      </c>
      <c r="C33" s="0" t="s">
        <v>108</v>
      </c>
      <c r="F33" s="9" t="n">
        <f aca="false">IF($B$4,"withheld",IF(OR($D$27=0,$E$27=0),"",($E$29-$D$29)-SQRT(($E$29-$E$30)^2+($D$31-$D$29)^2)))</f>
        <v>-0.0760047174057389</v>
      </c>
      <c r="G33" s="3" t="s">
        <v>147</v>
      </c>
      <c r="H33" s="4" t="n">
        <v>5E-007</v>
      </c>
      <c r="I33" s="5" t="b">
        <f aca="false">AND(IF(ISNUMBER(INDEX('Domain reference'!$B$32:$P$32,MATCH(Cutoff!$B$3&amp;"|combined",'Domain reference'!$B$4:$P$4,0))),IF(ISNUMBER(F33),ABS(F33-INDEX('Domain reference'!$B$32:$P$32,MATCH(Cutoff!$B$3&amp;"|combined",'Domain reference'!$B$4:$P$4,0)))&lt;=$H33+0.0000000001,FALSE()),IF(ISBLANK(INDEX('Domain reference'!$B$32:$P$32,MATCH(Cutoff!$B$3&amp;"|combined",'Domain reference'!$B$4:$P$4,0))),F33="",F33=INDEX('Domain reference'!$B$32:$P$32,MATCH(Cutoff!$B$3&amp;"|combined",'Domain reference'!$B$4:$P$4,0)))))</f>
        <v>1</v>
      </c>
    </row>
    <row r="34" customFormat="false" ht="15" hidden="false" customHeight="false" outlineLevel="0" collapsed="false">
      <c r="A34" s="0" t="s">
        <v>148</v>
      </c>
      <c r="B34" s="0" t="s">
        <v>149</v>
      </c>
      <c r="C34" s="0" t="s">
        <v>108</v>
      </c>
      <c r="F34" s="9" t="n">
        <f aca="false">IF($B$4,"withheld",IF(OR($D$27=0,$E$27=0),"",($E$29-$D$29)+SQRT(($E$31-$E$29)^2+($D$29-$D$30)^2)))</f>
        <v>0.0660178048384936</v>
      </c>
      <c r="G34" s="3" t="s">
        <v>97</v>
      </c>
      <c r="H34" s="4" t="n">
        <v>5E-007</v>
      </c>
      <c r="I34" s="5" t="b">
        <f aca="false">AND(IF(ISNUMBER(INDEX('Domain reference'!$B$33:$P$33,MATCH(Cutoff!$B$3&amp;"|combined",'Domain reference'!$B$4:$P$4,0))),IF(ISNUMBER(F34),ABS(F34-INDEX('Domain reference'!$B$33:$P$33,MATCH(Cutoff!$B$3&amp;"|combined",'Domain reference'!$B$4:$P$4,0)))&lt;=$H34+0.0000000001,FALSE()),IF(ISBLANK(INDEX('Domain reference'!$B$33:$P$33,MATCH(Cutoff!$B$3&amp;"|combined",'Domain reference'!$B$4:$P$4,0))),F34="",F34=INDEX('Domain reference'!$B$33:$P$33,MATCH(Cutoff!$B$3&amp;"|combined",'Domain reference'!$B$4:$P$4,0)))))</f>
        <v>1</v>
      </c>
    </row>
    <row r="35" customFormat="false" ht="28.35" hidden="false" customHeight="false" outlineLevel="0" collapsed="false">
      <c r="A35" s="0" t="s">
        <v>150</v>
      </c>
      <c r="B35" s="0" t="s">
        <v>151</v>
      </c>
      <c r="C35" s="0" t="s">
        <v>80</v>
      </c>
      <c r="F35" s="0" t="str">
        <f aca="false">IF($B$4,"withheld",IF(OR($D$27=0,$E$27=0),"INSUFFICIENT",IF($F$33&gt;0,"HARMFUL","OK")))</f>
        <v>OK</v>
      </c>
      <c r="G35" s="3" t="s">
        <v>152</v>
      </c>
      <c r="H35" s="4" t="n">
        <v>0</v>
      </c>
      <c r="I35" s="5" t="b">
        <f aca="false">AND(IF(ISNUMBER(INDEX('Domain reference'!$B$34:$P$34,MATCH(Cutoff!$B$3&amp;"|combined",'Domain reference'!$B$4:$P$4,0))),IF(ISNUMBER(F35),ABS(F35-INDEX('Domain reference'!$B$34:$P$34,MATCH(Cutoff!$B$3&amp;"|combined",'Domain reference'!$B$4:$P$4,0)))&lt;=$H35+0.0000000001,FALSE()),IF(ISBLANK(INDEX('Domain reference'!$B$34:$P$34,MATCH(Cutoff!$B$3&amp;"|combined",'Domain reference'!$B$4:$P$4,0))),F35="",F35=INDEX('Domain reference'!$B$34:$P$34,MATCH(Cutoff!$B$3&amp;"|combined",'Domain reference'!$B$4:$P$4,0)))))</f>
        <v>1</v>
      </c>
    </row>
    <row r="36" customFormat="false" ht="28.35" hidden="false" customHeight="false" outlineLevel="0" collapsed="false">
      <c r="A36" s="0" t="s">
        <v>153</v>
      </c>
      <c r="B36" s="0" t="s">
        <v>154</v>
      </c>
      <c r="C36" s="0" t="s">
        <v>155</v>
      </c>
      <c r="D36" s="11" t="n">
        <f aca="false">IF($B$4,"withheld",SUMIFS(Assignments!$S$2:$S$555,Assignments!$D$2:$D$555,"control"))</f>
        <v>19566</v>
      </c>
      <c r="E36" s="11" t="n">
        <f aca="false">IF($B$4,"withheld",SUMIFS(Assignments!$S$2:$S$555,Assignments!$D$2:$D$555,"treatment"))</f>
        <v>26190</v>
      </c>
      <c r="G36" s="3" t="s">
        <v>156</v>
      </c>
      <c r="H36" s="4" t="n">
        <v>0.005</v>
      </c>
      <c r="I36" s="5" t="b">
        <f aca="false">AND(IF(ISNUMBER(INDEX('Domain reference'!$B$35:$P$35,MATCH(Cutoff!$B$3&amp;"|control",'Domain reference'!$B$4:$P$4,0))),IF(ISNUMBER(D36),ABS(D36-INDEX('Domain reference'!$B$35:$P$35,MATCH(Cutoff!$B$3&amp;"|control",'Domain reference'!$B$4:$P$4,0)))&lt;=$H36+0.0000000001,FALSE()),IF(ISBLANK(INDEX('Domain reference'!$B$35:$P$35,MATCH(Cutoff!$B$3&amp;"|control",'Domain reference'!$B$4:$P$4,0))),D36="",D36=INDEX('Domain reference'!$B$35:$P$35,MATCH(Cutoff!$B$3&amp;"|control",'Domain reference'!$B$4:$P$4,0)))),IF(ISNUMBER(INDEX('Domain reference'!$B$35:$P$35,MATCH(Cutoff!$B$3&amp;"|treatment",'Domain reference'!$B$4:$P$4,0))),IF(ISNUMBER(E36),ABS(E36-INDEX('Domain reference'!$B$35:$P$35,MATCH(Cutoff!$B$3&amp;"|treatment",'Domain reference'!$B$4:$P$4,0)))&lt;=$H36+0.0000000001,FALSE()),IF(ISBLANK(INDEX('Domain reference'!$B$35:$P$35,MATCH(Cutoff!$B$3&amp;"|treatment",'Domain reference'!$B$4:$P$4,0))),E36="",E36=INDEX('Domain reference'!$B$35:$P$35,MATCH(Cutoff!$B$3&amp;"|treatment",'Domain reference'!$B$4:$P$4,0)))))</f>
        <v>1</v>
      </c>
    </row>
    <row r="37" customFormat="false" ht="15" hidden="false" customHeight="false" outlineLevel="0" collapsed="false">
      <c r="A37" s="0" t="s">
        <v>157</v>
      </c>
      <c r="B37" s="0" t="s">
        <v>158</v>
      </c>
      <c r="C37" s="0" t="s">
        <v>159</v>
      </c>
      <c r="D37" s="11" t="n">
        <f aca="false">IF($B$4,"withheld",IF($D$7=0,"",$D$36/$D$7))</f>
        <v>97.83</v>
      </c>
      <c r="E37" s="11" t="n">
        <f aca="false">IF($B$4,"withheld",IF($E$7=0,"",$E$36/$E$7))</f>
        <v>130.95</v>
      </c>
      <c r="G37" s="3" t="s">
        <v>160</v>
      </c>
      <c r="H37" s="4" t="n">
        <v>0.005</v>
      </c>
      <c r="I37" s="5" t="b">
        <f aca="false">AND(IF(ISNUMBER(INDEX('Domain reference'!$B$36:$P$36,MATCH(Cutoff!$B$3&amp;"|control",'Domain reference'!$B$4:$P$4,0))),IF(ISNUMBER(D37),ABS(D37-INDEX('Domain reference'!$B$36:$P$36,MATCH(Cutoff!$B$3&amp;"|control",'Domain reference'!$B$4:$P$4,0)))&lt;=$H37+0.0000000001,FALSE()),IF(ISBLANK(INDEX('Domain reference'!$B$36:$P$36,MATCH(Cutoff!$B$3&amp;"|control",'Domain reference'!$B$4:$P$4,0))),D37="",D37=INDEX('Domain reference'!$B$36:$P$36,MATCH(Cutoff!$B$3&amp;"|control",'Domain reference'!$B$4:$P$4,0)))),IF(ISNUMBER(INDEX('Domain reference'!$B$36:$P$36,MATCH(Cutoff!$B$3&amp;"|treatment",'Domain reference'!$B$4:$P$4,0))),IF(ISNUMBER(E37),ABS(E37-INDEX('Domain reference'!$B$36:$P$36,MATCH(Cutoff!$B$3&amp;"|treatment",'Domain reference'!$B$4:$P$4,0)))&lt;=$H37+0.0000000001,FALSE()),IF(ISBLANK(INDEX('Domain reference'!$B$36:$P$36,MATCH(Cutoff!$B$3&amp;"|treatment",'Domain reference'!$B$4:$P$4,0))),E37="",E37=INDEX('Domain reference'!$B$36:$P$36,MATCH(Cutoff!$B$3&amp;"|treatment",'Domain reference'!$B$4:$P$4,0)))))</f>
        <v>1</v>
      </c>
    </row>
    <row r="38" customFormat="false" ht="15" hidden="false" customHeight="false" outlineLevel="0" collapsed="false">
      <c r="A38" s="0" t="s">
        <v>161</v>
      </c>
      <c r="B38" s="0" t="s">
        <v>162</v>
      </c>
      <c r="C38" s="0" t="s">
        <v>163</v>
      </c>
      <c r="D38" s="11" t="n">
        <f aca="false">IF($B$4,"withheld",IF($D$7&lt;2,"",SUMPRODUCT((Assignments!$D$2:$D$555="control")*(Assignments!$N$2:$N$555=1)*(Assignments!$S$2:$S$555-$D$37)^2)/($D$7-1)))</f>
        <v>77628.915678392</v>
      </c>
      <c r="E38" s="11" t="n">
        <f aca="false">IF($B$4,"withheld",IF($E$7&lt;2,"",SUMPRODUCT((Assignments!$D$2:$D$555="treatment")*(Assignments!$N$2:$N$555=1)*(Assignments!$S$2:$S$555-$E$37)^2)/($E$7-1)))</f>
        <v>100694.057788945</v>
      </c>
      <c r="G38" s="3" t="s">
        <v>164</v>
      </c>
      <c r="H38" s="4" t="n">
        <v>0.005</v>
      </c>
      <c r="I38" s="5" t="b">
        <f aca="false">AND(IF(ISNUMBER(INDEX('Domain reference'!$B$37:$P$37,MATCH(Cutoff!$B$3&amp;"|control",'Domain reference'!$B$4:$P$4,0))),IF(ISNUMBER(D38),ABS(D38-INDEX('Domain reference'!$B$37:$P$37,MATCH(Cutoff!$B$3&amp;"|control",'Domain reference'!$B$4:$P$4,0)))&lt;=$H38+0.0000000001,FALSE()),IF(ISBLANK(INDEX('Domain reference'!$B$37:$P$37,MATCH(Cutoff!$B$3&amp;"|control",'Domain reference'!$B$4:$P$4,0))),D38="",D38=INDEX('Domain reference'!$B$37:$P$37,MATCH(Cutoff!$B$3&amp;"|control",'Domain reference'!$B$4:$P$4,0)))),IF(ISNUMBER(INDEX('Domain reference'!$B$37:$P$37,MATCH(Cutoff!$B$3&amp;"|treatment",'Domain reference'!$B$4:$P$4,0))),IF(ISNUMBER(E38),ABS(E38-INDEX('Domain reference'!$B$37:$P$37,MATCH(Cutoff!$B$3&amp;"|treatment",'Domain reference'!$B$4:$P$4,0)))&lt;=$H38+0.0000000001,FALSE()),IF(ISBLANK(INDEX('Domain reference'!$B$37:$P$37,MATCH(Cutoff!$B$3&amp;"|treatment",'Domain reference'!$B$4:$P$4,0))),E38="",E38=INDEX('Domain reference'!$B$37:$P$37,MATCH(Cutoff!$B$3&amp;"|treatment",'Domain reference'!$B$4:$P$4,0)))))</f>
        <v>1</v>
      </c>
    </row>
    <row r="39" customFormat="false" ht="15" hidden="false" customHeight="false" outlineLevel="0" collapsed="false">
      <c r="A39" s="0" t="s">
        <v>165</v>
      </c>
      <c r="B39" s="0" t="s">
        <v>166</v>
      </c>
      <c r="C39" s="0" t="s">
        <v>155</v>
      </c>
      <c r="D39" s="11" t="n">
        <f aca="false">IF($B$4,"withheld",IF($D$7&lt;2,"",$D$37-TINV(Cutoff!$B$19,$D$7-1)*SQRT($D$38/$D$7)))</f>
        <v>58.979724544395</v>
      </c>
      <c r="E39" s="11" t="n">
        <f aca="false">IF($B$4,"withheld",IF($E$7&lt;2,"",$E$37-TINV(Cutoff!$B$19,$E$7-1)*SQRT($E$38/$E$7)))</f>
        <v>86.7029558550195</v>
      </c>
      <c r="G39" s="3" t="s">
        <v>167</v>
      </c>
      <c r="H39" s="4" t="n">
        <v>0.005</v>
      </c>
      <c r="I39" s="5" t="b">
        <f aca="false">AND(IF(ISNUMBER(INDEX('Domain reference'!$B$38:$P$38,MATCH(Cutoff!$B$3&amp;"|control",'Domain reference'!$B$4:$P$4,0))),IF(ISNUMBER(D39),ABS(D39-INDEX('Domain reference'!$B$38:$P$38,MATCH(Cutoff!$B$3&amp;"|control",'Domain reference'!$B$4:$P$4,0)))&lt;=$H39+0.0000000001,FALSE()),IF(ISBLANK(INDEX('Domain reference'!$B$38:$P$38,MATCH(Cutoff!$B$3&amp;"|control",'Domain reference'!$B$4:$P$4,0))),D39="",D39=INDEX('Domain reference'!$B$38:$P$38,MATCH(Cutoff!$B$3&amp;"|control",'Domain reference'!$B$4:$P$4,0)))),IF(ISNUMBER(INDEX('Domain reference'!$B$38:$P$38,MATCH(Cutoff!$B$3&amp;"|treatment",'Domain reference'!$B$4:$P$4,0))),IF(ISNUMBER(E39),ABS(E39-INDEX('Domain reference'!$B$38:$P$38,MATCH(Cutoff!$B$3&amp;"|treatment",'Domain reference'!$B$4:$P$4,0)))&lt;=$H39+0.0000000001,FALSE()),IF(ISBLANK(INDEX('Domain reference'!$B$38:$P$38,MATCH(Cutoff!$B$3&amp;"|treatment",'Domain reference'!$B$4:$P$4,0))),E39="",E39=INDEX('Domain reference'!$B$38:$P$38,MATCH(Cutoff!$B$3&amp;"|treatment",'Domain reference'!$B$4:$P$4,0)))))</f>
        <v>1</v>
      </c>
    </row>
    <row r="40" customFormat="false" ht="15" hidden="false" customHeight="false" outlineLevel="0" collapsed="false">
      <c r="A40" s="0" t="s">
        <v>168</v>
      </c>
      <c r="B40" s="0" t="s">
        <v>169</v>
      </c>
      <c r="C40" s="0" t="s">
        <v>155</v>
      </c>
      <c r="D40" s="11" t="n">
        <f aca="false">IF($B$4,"withheld",IF($D$7&lt;2,"",$D$37+TINV(Cutoff!$B$19,$D$7-1)*SQRT($D$38/$D$7)))</f>
        <v>136.680275455605</v>
      </c>
      <c r="E40" s="11" t="n">
        <f aca="false">IF($B$4,"withheld",IF($E$7&lt;2,"",$E$37+TINV(Cutoff!$B$19,$E$7-1)*SQRT($E$38/$E$7)))</f>
        <v>175.19704414498</v>
      </c>
      <c r="G40" s="3" t="s">
        <v>170</v>
      </c>
      <c r="H40" s="4" t="n">
        <v>0.005</v>
      </c>
      <c r="I40" s="5" t="b">
        <f aca="false">AND(IF(ISNUMBER(INDEX('Domain reference'!$B$39:$P$39,MATCH(Cutoff!$B$3&amp;"|control",'Domain reference'!$B$4:$P$4,0))),IF(ISNUMBER(D40),ABS(D40-INDEX('Domain reference'!$B$39:$P$39,MATCH(Cutoff!$B$3&amp;"|control",'Domain reference'!$B$4:$P$4,0)))&lt;=$H40+0.0000000001,FALSE()),IF(ISBLANK(INDEX('Domain reference'!$B$39:$P$39,MATCH(Cutoff!$B$3&amp;"|control",'Domain reference'!$B$4:$P$4,0))),D40="",D40=INDEX('Domain reference'!$B$39:$P$39,MATCH(Cutoff!$B$3&amp;"|control",'Domain reference'!$B$4:$P$4,0)))),IF(ISNUMBER(INDEX('Domain reference'!$B$39:$P$39,MATCH(Cutoff!$B$3&amp;"|treatment",'Domain reference'!$B$4:$P$4,0))),IF(ISNUMBER(E40),ABS(E40-INDEX('Domain reference'!$B$39:$P$39,MATCH(Cutoff!$B$3&amp;"|treatment",'Domain reference'!$B$4:$P$4,0)))&lt;=$H40+0.0000000001,FALSE()),IF(ISBLANK(INDEX('Domain reference'!$B$39:$P$39,MATCH(Cutoff!$B$3&amp;"|treatment",'Domain reference'!$B$4:$P$4,0))),E40="",E40=INDEX('Domain reference'!$B$39:$P$39,MATCH(Cutoff!$B$3&amp;"|treatment",'Domain reference'!$B$4:$P$4,0)))))</f>
        <v>1</v>
      </c>
    </row>
    <row r="41" customFormat="false" ht="15" hidden="false" customHeight="false" outlineLevel="0" collapsed="false">
      <c r="A41" s="0" t="s">
        <v>171</v>
      </c>
      <c r="B41" s="0" t="s">
        <v>172</v>
      </c>
      <c r="C41" s="0" t="s">
        <v>155</v>
      </c>
      <c r="F41" s="11" t="n">
        <f aca="false">IF($B$4,"withheld",IF(OR($D$7&lt;2,$E$7&lt;2),"",$E$37-$D$37))</f>
        <v>33.12</v>
      </c>
      <c r="G41" s="3" t="s">
        <v>173</v>
      </c>
      <c r="H41" s="4" t="n">
        <v>0.005</v>
      </c>
      <c r="I41" s="5" t="b">
        <f aca="false">AND(IF(ISNUMBER(INDEX('Domain reference'!$B$40:$P$40,MATCH(Cutoff!$B$3&amp;"|combined",'Domain reference'!$B$4:$P$4,0))),IF(ISNUMBER(F41),ABS(F41-INDEX('Domain reference'!$B$40:$P$40,MATCH(Cutoff!$B$3&amp;"|combined",'Domain reference'!$B$4:$P$4,0)))&lt;=$H41+0.0000000001,FALSE()),IF(ISBLANK(INDEX('Domain reference'!$B$40:$P$40,MATCH(Cutoff!$B$3&amp;"|combined",'Domain reference'!$B$4:$P$4,0))),F41="",F41=INDEX('Domain reference'!$B$40:$P$40,MATCH(Cutoff!$B$3&amp;"|combined",'Domain reference'!$B$4:$P$4,0)))))</f>
        <v>1</v>
      </c>
    </row>
    <row r="42" customFormat="false" ht="15" hidden="false" customHeight="false" outlineLevel="0" collapsed="false">
      <c r="A42" s="0" t="s">
        <v>174</v>
      </c>
      <c r="B42" s="0" t="s">
        <v>175</v>
      </c>
      <c r="C42" s="0" t="s">
        <v>176</v>
      </c>
      <c r="F42" s="8" t="n">
        <f aca="false">IF($B$4,"withheld",IF(OR($D$7&lt;2,$E$7&lt;2),"",INT(($E$38/$E$7+$D$38/$D$7)^2/(($E$38/$E$7)^2/($E$7-1)+($D$38/$D$7)^2/($D$7-1)))))</f>
        <v>391</v>
      </c>
      <c r="G42" s="3" t="s">
        <v>177</v>
      </c>
      <c r="H42" s="4" t="n">
        <v>0</v>
      </c>
      <c r="I42" s="5" t="b">
        <f aca="false">AND(IF(ISNUMBER(INDEX('Domain reference'!$B$41:$P$41,MATCH(Cutoff!$B$3&amp;"|combined",'Domain reference'!$B$4:$P$4,0))),IF(ISNUMBER(F42),ABS(F42-INDEX('Domain reference'!$B$41:$P$41,MATCH(Cutoff!$B$3&amp;"|combined",'Domain reference'!$B$4:$P$4,0)))&lt;=$H42+0.0000000001,FALSE()),IF(ISBLANK(INDEX('Domain reference'!$B$41:$P$41,MATCH(Cutoff!$B$3&amp;"|combined",'Domain reference'!$B$4:$P$4,0))),F42="",F42=INDEX('Domain reference'!$B$41:$P$41,MATCH(Cutoff!$B$3&amp;"|combined",'Domain reference'!$B$4:$P$4,0)))))</f>
        <v>1</v>
      </c>
    </row>
    <row r="43" customFormat="false" ht="15" hidden="false" customHeight="false" outlineLevel="0" collapsed="false">
      <c r="A43" s="0" t="s">
        <v>178</v>
      </c>
      <c r="B43" s="0" t="s">
        <v>179</v>
      </c>
      <c r="C43" s="0" t="s">
        <v>155</v>
      </c>
      <c r="F43" s="11" t="n">
        <f aca="false">IF($B$4,"withheld",IF(OR($D$7&lt;2,$E$7&lt;2),"",$F$41-TINV(Cutoff!$B$19,$F$42)*SQRT(($E$38/$E$7+$D$38/$D$7))))</f>
        <v>-25.5860876183365</v>
      </c>
      <c r="G43" s="3" t="s">
        <v>180</v>
      </c>
      <c r="H43" s="4" t="n">
        <v>0.005</v>
      </c>
      <c r="I43" s="5" t="b">
        <f aca="false">AND(IF(ISNUMBER(INDEX('Domain reference'!$B$42:$P$42,MATCH(Cutoff!$B$3&amp;"|combined",'Domain reference'!$B$4:$P$4,0))),IF(ISNUMBER(F43),ABS(F43-INDEX('Domain reference'!$B$42:$P$42,MATCH(Cutoff!$B$3&amp;"|combined",'Domain reference'!$B$4:$P$4,0)))&lt;=$H43+0.0000000001,FALSE()),IF(ISBLANK(INDEX('Domain reference'!$B$42:$P$42,MATCH(Cutoff!$B$3&amp;"|combined",'Domain reference'!$B$4:$P$4,0))),F43="",F43=INDEX('Domain reference'!$B$42:$P$42,MATCH(Cutoff!$B$3&amp;"|combined",'Domain reference'!$B$4:$P$4,0)))))</f>
        <v>1</v>
      </c>
    </row>
    <row r="44" customFormat="false" ht="15" hidden="false" customHeight="false" outlineLevel="0" collapsed="false">
      <c r="A44" s="0" t="s">
        <v>181</v>
      </c>
      <c r="B44" s="0" t="s">
        <v>182</v>
      </c>
      <c r="C44" s="0" t="s">
        <v>155</v>
      </c>
      <c r="F44" s="11" t="n">
        <f aca="false">IF($B$4,"withheld",IF(OR($D$7&lt;2,$E$7&lt;2),"",$F$41+TINV(Cutoff!$B$19,$F$42)*SQRT(($E$38/$E$7+$D$38/$D$7))))</f>
        <v>91.8260876183364</v>
      </c>
      <c r="G44" s="3" t="s">
        <v>97</v>
      </c>
      <c r="H44" s="4" t="n">
        <v>0.005</v>
      </c>
      <c r="I44" s="5" t="b">
        <f aca="false">AND(IF(ISNUMBER(INDEX('Domain reference'!$B$43:$P$43,MATCH(Cutoff!$B$3&amp;"|combined",'Domain reference'!$B$4:$P$4,0))),IF(ISNUMBER(F44),ABS(F44-INDEX('Domain reference'!$B$43:$P$43,MATCH(Cutoff!$B$3&amp;"|combined",'Domain reference'!$B$4:$P$4,0)))&lt;=$H44+0.0000000001,FALSE()),IF(ISBLANK(INDEX('Domain reference'!$B$43:$P$43,MATCH(Cutoff!$B$3&amp;"|combined",'Domain reference'!$B$4:$P$4,0))),F44="",F44=INDEX('Domain reference'!$B$43:$P$43,MATCH(Cutoff!$B$3&amp;"|combined",'Domain reference'!$B$4:$P$4,0)))))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s>
  <sheetData>
    <row r="1" customFormat="false" ht="17.35" hidden="false" customHeight="false" outlineLevel="0" collapsed="false">
      <c r="A1" s="1" t="s">
        <v>183</v>
      </c>
    </row>
    <row r="2" customFormat="false" ht="15" hidden="false" customHeight="false" outlineLevel="0" collapsed="false">
      <c r="A2" s="0" t="s">
        <v>184</v>
      </c>
    </row>
    <row r="4" customFormat="false" ht="41.75" hidden="false" customHeight="false" outlineLevel="0" collapsed="false">
      <c r="A4" s="7" t="s">
        <v>49</v>
      </c>
      <c r="B4" s="7" t="s">
        <v>185</v>
      </c>
      <c r="C4" s="7" t="s">
        <v>186</v>
      </c>
      <c r="D4" s="7" t="s">
        <v>187</v>
      </c>
      <c r="E4" s="7" t="s">
        <v>188</v>
      </c>
      <c r="F4" s="7" t="s">
        <v>189</v>
      </c>
      <c r="G4" s="7" t="s">
        <v>190</v>
      </c>
      <c r="H4" s="7" t="s">
        <v>191</v>
      </c>
      <c r="I4" s="7" t="s">
        <v>192</v>
      </c>
      <c r="J4" s="7" t="s">
        <v>193</v>
      </c>
      <c r="K4" s="7" t="s">
        <v>194</v>
      </c>
      <c r="L4" s="7" t="s">
        <v>195</v>
      </c>
      <c r="M4" s="7" t="s">
        <v>196</v>
      </c>
      <c r="N4" s="7" t="s">
        <v>197</v>
      </c>
      <c r="O4" s="7" t="s">
        <v>198</v>
      </c>
      <c r="P4" s="7" t="s">
        <v>199</v>
      </c>
    </row>
    <row r="5" customFormat="false" ht="15" hidden="false" customHeight="false" outlineLevel="0" collapsed="false">
      <c r="A5" s="0" t="s">
        <v>57</v>
      </c>
      <c r="B5" s="0" t="n">
        <v>77</v>
      </c>
      <c r="C5" s="0" t="n">
        <v>78</v>
      </c>
      <c r="D5" s="0" t="n">
        <v>155</v>
      </c>
      <c r="E5" s="0" t="n">
        <v>127</v>
      </c>
      <c r="F5" s="0" t="n">
        <v>126</v>
      </c>
      <c r="G5" s="0" t="n">
        <v>253</v>
      </c>
      <c r="H5" s="0" t="n">
        <v>177</v>
      </c>
      <c r="I5" s="0" t="n">
        <v>176</v>
      </c>
      <c r="J5" s="0" t="n">
        <v>353</v>
      </c>
      <c r="K5" s="0" t="n">
        <v>200</v>
      </c>
      <c r="L5" s="0" t="n">
        <v>200</v>
      </c>
      <c r="M5" s="0" t="n">
        <v>400</v>
      </c>
      <c r="N5" s="0" t="n">
        <v>62</v>
      </c>
      <c r="O5" s="0" t="n">
        <v>92</v>
      </c>
      <c r="P5" s="0" t="n">
        <v>154</v>
      </c>
    </row>
    <row r="6" customFormat="false" ht="15" hidden="false" customHeight="false" outlineLevel="0" collapsed="false">
      <c r="A6" s="0" t="s">
        <v>61</v>
      </c>
      <c r="B6" s="0" t="n">
        <v>65</v>
      </c>
      <c r="C6" s="0" t="n">
        <v>64</v>
      </c>
      <c r="D6" s="0" t="n">
        <v>129</v>
      </c>
      <c r="E6" s="0" t="n">
        <v>114</v>
      </c>
      <c r="F6" s="0" t="n">
        <v>115</v>
      </c>
      <c r="G6" s="0" t="n">
        <v>229</v>
      </c>
      <c r="H6" s="0" t="n">
        <v>164</v>
      </c>
      <c r="I6" s="0" t="n">
        <v>164</v>
      </c>
      <c r="J6" s="0" t="n">
        <v>328</v>
      </c>
      <c r="K6" s="0" t="n">
        <v>200</v>
      </c>
      <c r="L6" s="0" t="n">
        <v>200</v>
      </c>
      <c r="M6" s="0" t="n">
        <v>400</v>
      </c>
      <c r="N6" s="0" t="n">
        <v>56</v>
      </c>
      <c r="O6" s="0" t="n">
        <v>87</v>
      </c>
      <c r="P6" s="0" t="n">
        <v>143</v>
      </c>
    </row>
    <row r="7" customFormat="false" ht="15" hidden="false" customHeight="false" outlineLevel="0" collapsed="false">
      <c r="A7" s="0" t="s">
        <v>64</v>
      </c>
      <c r="B7" s="0" t="n">
        <v>12</v>
      </c>
      <c r="C7" s="0" t="n">
        <v>14</v>
      </c>
      <c r="D7" s="0" t="n">
        <v>26</v>
      </c>
      <c r="E7" s="0" t="n">
        <v>13</v>
      </c>
      <c r="F7" s="0" t="n">
        <v>11</v>
      </c>
      <c r="G7" s="0" t="n">
        <v>24</v>
      </c>
      <c r="H7" s="0" t="n">
        <v>13</v>
      </c>
      <c r="I7" s="0" t="n">
        <v>12</v>
      </c>
      <c r="J7" s="0" t="n">
        <v>25</v>
      </c>
      <c r="K7" s="0" t="n">
        <v>0</v>
      </c>
      <c r="L7" s="0" t="n">
        <v>0</v>
      </c>
      <c r="M7" s="0" t="n">
        <v>0</v>
      </c>
      <c r="N7" s="0" t="n">
        <v>6</v>
      </c>
      <c r="O7" s="0" t="n">
        <v>5</v>
      </c>
      <c r="P7" s="0" t="n">
        <v>11</v>
      </c>
    </row>
    <row r="8" customFormat="false" ht="15" hidden="false" customHeight="false" outlineLevel="0" collapsed="false">
      <c r="A8" s="0" t="s">
        <v>67</v>
      </c>
      <c r="B8" s="0" t="n">
        <v>77.5</v>
      </c>
      <c r="C8" s="0" t="n">
        <v>77.5</v>
      </c>
      <c r="E8" s="0" t="n">
        <v>126.5</v>
      </c>
      <c r="F8" s="0" t="n">
        <v>126.5</v>
      </c>
      <c r="H8" s="0" t="n">
        <v>176.5</v>
      </c>
      <c r="I8" s="0" t="n">
        <v>176.5</v>
      </c>
      <c r="K8" s="0" t="n">
        <v>200</v>
      </c>
      <c r="L8" s="0" t="n">
        <v>200</v>
      </c>
      <c r="N8" s="0" t="n">
        <v>92.4</v>
      </c>
      <c r="O8" s="0" t="n">
        <v>61.6</v>
      </c>
    </row>
    <row r="9" customFormat="false" ht="15" hidden="false" customHeight="false" outlineLevel="0" collapsed="false">
      <c r="A9" s="0" t="s">
        <v>70</v>
      </c>
      <c r="D9" s="0" t="n">
        <v>0.006452</v>
      </c>
      <c r="G9" s="0" t="n">
        <v>0.003953</v>
      </c>
      <c r="J9" s="0" t="n">
        <v>0.002833</v>
      </c>
      <c r="M9" s="0" t="n">
        <v>0</v>
      </c>
      <c r="P9" s="0" t="n">
        <v>25.004329</v>
      </c>
    </row>
    <row r="10" customFormat="false" ht="15" hidden="false" customHeight="false" outlineLevel="0" collapsed="false">
      <c r="A10" s="0" t="s">
        <v>74</v>
      </c>
      <c r="D10" s="0" t="n">
        <v>0.935981</v>
      </c>
      <c r="G10" s="0" t="n">
        <v>0.94987</v>
      </c>
      <c r="J10" s="0" t="n">
        <v>0.957553</v>
      </c>
      <c r="M10" s="0" t="n">
        <v>1</v>
      </c>
      <c r="P10" s="0" t="n">
        <v>1E-006</v>
      </c>
    </row>
    <row r="11" customFormat="false" ht="15" hidden="false" customHeight="false" outlineLevel="0" collapsed="false">
      <c r="A11" s="0" t="s">
        <v>78</v>
      </c>
      <c r="D11" s="0" t="s">
        <v>200</v>
      </c>
      <c r="G11" s="0" t="s">
        <v>200</v>
      </c>
      <c r="J11" s="0" t="s">
        <v>200</v>
      </c>
      <c r="M11" s="0" t="s">
        <v>200</v>
      </c>
      <c r="P11" s="0" t="s">
        <v>201</v>
      </c>
    </row>
    <row r="12" customFormat="false" ht="15" hidden="false" customHeight="false" outlineLevel="0" collapsed="false">
      <c r="A12" s="0" t="s">
        <v>82</v>
      </c>
      <c r="B12" s="0" t="n">
        <v>0.892308</v>
      </c>
      <c r="C12" s="0" t="n">
        <v>0.8125</v>
      </c>
      <c r="E12" s="0" t="n">
        <v>0.877193</v>
      </c>
      <c r="F12" s="0" t="n">
        <v>0.86087</v>
      </c>
      <c r="H12" s="0" t="n">
        <v>0.890244</v>
      </c>
      <c r="I12" s="0" t="n">
        <v>0.871951</v>
      </c>
      <c r="K12" s="0" t="n">
        <v>0.875</v>
      </c>
      <c r="L12" s="0" t="n">
        <v>0.87</v>
      </c>
      <c r="N12" s="0" t="n">
        <v>0.928571</v>
      </c>
      <c r="O12" s="0" t="n">
        <v>0.873563</v>
      </c>
    </row>
    <row r="13" customFormat="false" ht="15" hidden="false" customHeight="false" outlineLevel="0" collapsed="false">
      <c r="A13" s="0" t="s">
        <v>86</v>
      </c>
      <c r="B13" s="0" t="n">
        <v>18</v>
      </c>
      <c r="C13" s="0" t="n">
        <v>25</v>
      </c>
      <c r="E13" s="0" t="n">
        <v>34</v>
      </c>
      <c r="F13" s="0" t="n">
        <v>48</v>
      </c>
      <c r="H13" s="0" t="n">
        <v>53</v>
      </c>
      <c r="I13" s="0" t="n">
        <v>68</v>
      </c>
      <c r="K13" s="0" t="n">
        <v>63</v>
      </c>
      <c r="L13" s="0" t="n">
        <v>82</v>
      </c>
      <c r="N13" s="0" t="s">
        <v>202</v>
      </c>
      <c r="O13" s="0" t="s">
        <v>202</v>
      </c>
    </row>
    <row r="14" customFormat="false" ht="15" hidden="false" customHeight="false" outlineLevel="0" collapsed="false">
      <c r="A14" s="0" t="s">
        <v>89</v>
      </c>
      <c r="B14" s="0" t="n">
        <v>0.276923</v>
      </c>
      <c r="C14" s="0" t="n">
        <v>0.390625</v>
      </c>
      <c r="E14" s="0" t="n">
        <v>0.298246</v>
      </c>
      <c r="F14" s="0" t="n">
        <v>0.417391</v>
      </c>
      <c r="H14" s="0" t="n">
        <v>0.323171</v>
      </c>
      <c r="I14" s="0" t="n">
        <v>0.414634</v>
      </c>
      <c r="K14" s="0" t="n">
        <v>0.315</v>
      </c>
      <c r="L14" s="0" t="n">
        <v>0.41</v>
      </c>
      <c r="N14" s="0" t="s">
        <v>202</v>
      </c>
      <c r="O14" s="0" t="s">
        <v>202</v>
      </c>
    </row>
    <row r="15" customFormat="false" ht="15" hidden="false" customHeight="false" outlineLevel="0" collapsed="false">
      <c r="A15" s="0" t="s">
        <v>92</v>
      </c>
      <c r="B15" s="0" t="n">
        <v>0.182936</v>
      </c>
      <c r="C15" s="0" t="n">
        <v>0.280556</v>
      </c>
      <c r="E15" s="0" t="n">
        <v>0.221961</v>
      </c>
      <c r="F15" s="0" t="n">
        <v>0.331362</v>
      </c>
      <c r="H15" s="0" t="n">
        <v>0.256348</v>
      </c>
      <c r="I15" s="0" t="n">
        <v>0.34203</v>
      </c>
      <c r="K15" s="0" t="n">
        <v>0.254623</v>
      </c>
      <c r="L15" s="0" t="n">
        <v>0.344157</v>
      </c>
      <c r="N15" s="0" t="s">
        <v>202</v>
      </c>
      <c r="O15" s="0" t="s">
        <v>202</v>
      </c>
    </row>
    <row r="16" customFormat="false" ht="15" hidden="false" customHeight="false" outlineLevel="0" collapsed="false">
      <c r="A16" s="0" t="s">
        <v>95</v>
      </c>
      <c r="B16" s="0" t="n">
        <v>0.395806</v>
      </c>
      <c r="C16" s="0" t="n">
        <v>0.513081</v>
      </c>
      <c r="E16" s="0" t="n">
        <v>0.387684</v>
      </c>
      <c r="F16" s="0" t="n">
        <v>0.508761</v>
      </c>
      <c r="H16" s="0" t="n">
        <v>0.398088</v>
      </c>
      <c r="I16" s="0" t="n">
        <v>0.491146</v>
      </c>
      <c r="K16" s="0" t="n">
        <v>0.38235</v>
      </c>
      <c r="L16" s="0" t="n">
        <v>0.479235</v>
      </c>
      <c r="N16" s="0" t="s">
        <v>202</v>
      </c>
      <c r="O16" s="0" t="s">
        <v>202</v>
      </c>
    </row>
    <row r="17" customFormat="false" ht="15" hidden="false" customHeight="false" outlineLevel="0" collapsed="false">
      <c r="A17" s="0" t="s">
        <v>98</v>
      </c>
      <c r="D17" s="0" t="n">
        <v>11.37</v>
      </c>
      <c r="G17" s="0" t="n">
        <v>11.91</v>
      </c>
      <c r="J17" s="0" t="n">
        <v>9.15</v>
      </c>
      <c r="M17" s="0" t="n">
        <v>9.5</v>
      </c>
      <c r="P17" s="0" t="s">
        <v>202</v>
      </c>
    </row>
    <row r="18" customFormat="false" ht="15" hidden="false" customHeight="false" outlineLevel="0" collapsed="false">
      <c r="A18" s="0" t="s">
        <v>102</v>
      </c>
      <c r="D18" s="0" t="n">
        <v>0.41059</v>
      </c>
      <c r="G18" s="0" t="n">
        <v>0.399488</v>
      </c>
      <c r="J18" s="0" t="n">
        <v>0.283019</v>
      </c>
      <c r="M18" s="0" t="n">
        <v>0.301587</v>
      </c>
      <c r="P18" s="0" t="s">
        <v>202</v>
      </c>
    </row>
    <row r="19" customFormat="false" ht="15" hidden="false" customHeight="false" outlineLevel="0" collapsed="false">
      <c r="A19" s="0" t="s">
        <v>106</v>
      </c>
      <c r="D19" s="0" t="n">
        <v>-0.048312</v>
      </c>
      <c r="G19" s="0" t="n">
        <v>-0.004952</v>
      </c>
      <c r="J19" s="0" t="n">
        <v>-0.012863</v>
      </c>
      <c r="M19" s="0" t="n">
        <v>0.000812</v>
      </c>
      <c r="P19" s="0" t="s">
        <v>202</v>
      </c>
    </row>
    <row r="20" customFormat="false" ht="15" hidden="false" customHeight="false" outlineLevel="0" collapsed="false">
      <c r="A20" s="0" t="s">
        <v>110</v>
      </c>
      <c r="D20" s="0" t="n">
        <v>0.268068</v>
      </c>
      <c r="G20" s="0" t="n">
        <v>0.238174</v>
      </c>
      <c r="J20" s="0" t="n">
        <v>0.193048</v>
      </c>
      <c r="M20" s="0" t="n">
        <v>0.186863</v>
      </c>
      <c r="P20" s="0" t="s">
        <v>202</v>
      </c>
    </row>
    <row r="21" customFormat="false" ht="15" hidden="false" customHeight="false" outlineLevel="0" collapsed="false">
      <c r="A21" s="0" t="s">
        <v>112</v>
      </c>
      <c r="D21" s="5" t="b">
        <f aca="false">TRUE()</f>
        <v>1</v>
      </c>
      <c r="G21" s="5" t="b">
        <f aca="false">TRUE()</f>
        <v>1</v>
      </c>
      <c r="J21" s="5" t="b">
        <f aca="false">TRUE()</f>
        <v>1</v>
      </c>
      <c r="M21" s="5" t="b">
        <f aca="false">FALSE()</f>
        <v>0</v>
      </c>
      <c r="P21" s="12" t="s">
        <v>202</v>
      </c>
    </row>
    <row r="22" customFormat="false" ht="15" hidden="false" customHeight="false" outlineLevel="0" collapsed="false">
      <c r="A22" s="0" t="s">
        <v>116</v>
      </c>
      <c r="D22" s="5" t="b">
        <f aca="false">TRUE()</f>
        <v>1</v>
      </c>
      <c r="G22" s="5" t="b">
        <f aca="false">TRUE()</f>
        <v>1</v>
      </c>
      <c r="J22" s="5" t="b">
        <f aca="false">TRUE()</f>
        <v>1</v>
      </c>
      <c r="M22" s="5" t="b">
        <f aca="false">FALSE()</f>
        <v>0</v>
      </c>
      <c r="P22" s="5" t="b">
        <f aca="false">FALSE()</f>
        <v>0</v>
      </c>
    </row>
    <row r="23" customFormat="false" ht="15" hidden="false" customHeight="false" outlineLevel="0" collapsed="false">
      <c r="A23" s="0" t="s">
        <v>119</v>
      </c>
      <c r="D23" s="5" t="b">
        <f aca="false">TRUE()</f>
        <v>1</v>
      </c>
      <c r="G23" s="5" t="b">
        <f aca="false">TRUE()</f>
        <v>1</v>
      </c>
      <c r="J23" s="5" t="b">
        <f aca="false">TRUE()</f>
        <v>1</v>
      </c>
      <c r="M23" s="5" t="b">
        <f aca="false">TRUE()</f>
        <v>1</v>
      </c>
      <c r="P23" s="5" t="b">
        <f aca="false">TRUE()</f>
        <v>1</v>
      </c>
    </row>
    <row r="24" customFormat="false" ht="15" hidden="false" customHeight="false" outlineLevel="0" collapsed="false">
      <c r="A24" s="0" t="s">
        <v>122</v>
      </c>
      <c r="D24" s="5" t="b">
        <f aca="false">TRUE()</f>
        <v>1</v>
      </c>
      <c r="G24" s="5" t="b">
        <f aca="false">TRUE()</f>
        <v>1</v>
      </c>
      <c r="J24" s="5" t="b">
        <f aca="false">TRUE()</f>
        <v>1</v>
      </c>
      <c r="M24" s="5" t="b">
        <f aca="false">TRUE()</f>
        <v>1</v>
      </c>
      <c r="P24" s="5" t="b">
        <f aca="false">TRUE()</f>
        <v>1</v>
      </c>
    </row>
    <row r="25" customFormat="false" ht="15" hidden="false" customHeight="false" outlineLevel="0" collapsed="false">
      <c r="A25" s="0" t="s">
        <v>125</v>
      </c>
      <c r="D25" s="5" t="b">
        <f aca="false">FALSE()</f>
        <v>0</v>
      </c>
      <c r="G25" s="5" t="b">
        <f aca="false">FALSE()</f>
        <v>0</v>
      </c>
      <c r="J25" s="5" t="b">
        <f aca="false">FALSE()</f>
        <v>0</v>
      </c>
      <c r="M25" s="5" t="b">
        <f aca="false">TRUE()</f>
        <v>1</v>
      </c>
      <c r="P25" s="12" t="s">
        <v>202</v>
      </c>
    </row>
    <row r="26" customFormat="false" ht="15" hidden="false" customHeight="false" outlineLevel="0" collapsed="false">
      <c r="A26" s="0" t="s">
        <v>128</v>
      </c>
      <c r="B26" s="0" t="n">
        <v>65</v>
      </c>
      <c r="C26" s="0" t="n">
        <v>64</v>
      </c>
      <c r="E26" s="0" t="n">
        <v>114</v>
      </c>
      <c r="F26" s="0" t="n">
        <v>115</v>
      </c>
      <c r="H26" s="0" t="n">
        <v>164</v>
      </c>
      <c r="I26" s="0" t="n">
        <v>164</v>
      </c>
      <c r="K26" s="0" t="n">
        <v>200</v>
      </c>
      <c r="L26" s="0" t="n">
        <v>200</v>
      </c>
      <c r="N26" s="0" t="s">
        <v>202</v>
      </c>
      <c r="O26" s="0" t="s">
        <v>202</v>
      </c>
    </row>
    <row r="27" customFormat="false" ht="15" hidden="false" customHeight="false" outlineLevel="0" collapsed="false">
      <c r="A27" s="0" t="s">
        <v>131</v>
      </c>
      <c r="B27" s="0" t="n">
        <v>12</v>
      </c>
      <c r="C27" s="0" t="n">
        <v>12</v>
      </c>
      <c r="E27" s="0" t="n">
        <v>19</v>
      </c>
      <c r="F27" s="0" t="n">
        <v>19</v>
      </c>
      <c r="H27" s="0" t="n">
        <v>27</v>
      </c>
      <c r="I27" s="0" t="n">
        <v>26</v>
      </c>
      <c r="K27" s="0" t="n">
        <v>31</v>
      </c>
      <c r="L27" s="0" t="n">
        <v>30</v>
      </c>
      <c r="N27" s="0" t="s">
        <v>202</v>
      </c>
      <c r="O27" s="0" t="s">
        <v>202</v>
      </c>
    </row>
    <row r="28" customFormat="false" ht="15" hidden="false" customHeight="false" outlineLevel="0" collapsed="false">
      <c r="A28" s="0" t="s">
        <v>134</v>
      </c>
      <c r="B28" s="0" t="n">
        <v>0.184615</v>
      </c>
      <c r="C28" s="0" t="n">
        <v>0.1875</v>
      </c>
      <c r="E28" s="0" t="n">
        <v>0.166667</v>
      </c>
      <c r="F28" s="0" t="n">
        <v>0.165217</v>
      </c>
      <c r="H28" s="0" t="n">
        <v>0.164634</v>
      </c>
      <c r="I28" s="0" t="n">
        <v>0.158537</v>
      </c>
      <c r="K28" s="0" t="n">
        <v>0.155</v>
      </c>
      <c r="L28" s="0" t="n">
        <v>0.15</v>
      </c>
      <c r="N28" s="0" t="s">
        <v>202</v>
      </c>
      <c r="O28" s="0" t="s">
        <v>202</v>
      </c>
    </row>
    <row r="29" customFormat="false" ht="15" hidden="false" customHeight="false" outlineLevel="0" collapsed="false">
      <c r="A29" s="0" t="s">
        <v>137</v>
      </c>
      <c r="B29" s="0" t="n">
        <v>0.108889</v>
      </c>
      <c r="C29" s="0" t="n">
        <v>0.110646</v>
      </c>
      <c r="E29" s="0" t="n">
        <v>0.109374</v>
      </c>
      <c r="F29" s="0" t="n">
        <v>0.108398</v>
      </c>
      <c r="H29" s="0" t="n">
        <v>0.115683</v>
      </c>
      <c r="I29" s="0" t="n">
        <v>0.110546</v>
      </c>
      <c r="K29" s="0" t="n">
        <v>0.111396</v>
      </c>
      <c r="L29" s="0" t="n">
        <v>0.107136</v>
      </c>
      <c r="N29" s="0" t="s">
        <v>202</v>
      </c>
      <c r="O29" s="0" t="s">
        <v>202</v>
      </c>
    </row>
    <row r="30" customFormat="false" ht="15" hidden="false" customHeight="false" outlineLevel="0" collapsed="false">
      <c r="A30" s="0" t="s">
        <v>140</v>
      </c>
      <c r="B30" s="0" t="n">
        <v>0.29554</v>
      </c>
      <c r="C30" s="0" t="n">
        <v>0.299744</v>
      </c>
      <c r="E30" s="0" t="n">
        <v>0.245692</v>
      </c>
      <c r="F30" s="0" t="n">
        <v>0.24368</v>
      </c>
      <c r="H30" s="0" t="n">
        <v>0.228937</v>
      </c>
      <c r="I30" s="0" t="n">
        <v>0.222158</v>
      </c>
      <c r="K30" s="0" t="n">
        <v>0.211607</v>
      </c>
      <c r="L30" s="0" t="n">
        <v>0.206056</v>
      </c>
      <c r="N30" s="0" t="s">
        <v>202</v>
      </c>
      <c r="O30" s="0" t="s">
        <v>202</v>
      </c>
    </row>
    <row r="31" customFormat="false" ht="15" hidden="false" customHeight="false" outlineLevel="0" collapsed="false">
      <c r="A31" s="0" t="s">
        <v>142</v>
      </c>
      <c r="D31" s="0" t="n">
        <v>0.29</v>
      </c>
      <c r="G31" s="0" t="n">
        <v>-0.14</v>
      </c>
      <c r="J31" s="0" t="n">
        <v>-0.61</v>
      </c>
      <c r="M31" s="0" t="n">
        <v>-0.5</v>
      </c>
      <c r="P31" s="0" t="s">
        <v>202</v>
      </c>
    </row>
    <row r="32" customFormat="false" ht="15" hidden="false" customHeight="false" outlineLevel="0" collapsed="false">
      <c r="A32" s="0" t="s">
        <v>145</v>
      </c>
      <c r="D32" s="0" t="n">
        <v>-0.132063</v>
      </c>
      <c r="G32" s="0" t="n">
        <v>-0.098781</v>
      </c>
      <c r="J32" s="0" t="n">
        <v>-0.086334</v>
      </c>
      <c r="M32" s="0" t="n">
        <v>-0.076005</v>
      </c>
      <c r="P32" s="0" t="s">
        <v>202</v>
      </c>
    </row>
    <row r="33" customFormat="false" ht="15" hidden="false" customHeight="false" outlineLevel="0" collapsed="false">
      <c r="A33" s="0" t="s">
        <v>148</v>
      </c>
      <c r="D33" s="0" t="n">
        <v>0.138285</v>
      </c>
      <c r="G33" s="0" t="n">
        <v>0.095704</v>
      </c>
      <c r="J33" s="0" t="n">
        <v>0.074176</v>
      </c>
      <c r="M33" s="0" t="n">
        <v>0.066018</v>
      </c>
      <c r="P33" s="0" t="s">
        <v>202</v>
      </c>
    </row>
    <row r="34" customFormat="false" ht="15" hidden="false" customHeight="false" outlineLevel="0" collapsed="false">
      <c r="A34" s="0" t="s">
        <v>150</v>
      </c>
      <c r="D34" s="0" t="s">
        <v>200</v>
      </c>
      <c r="G34" s="0" t="s">
        <v>200</v>
      </c>
      <c r="J34" s="0" t="s">
        <v>200</v>
      </c>
      <c r="M34" s="0" t="s">
        <v>200</v>
      </c>
      <c r="P34" s="0" t="s">
        <v>202</v>
      </c>
    </row>
    <row r="35" customFormat="false" ht="15" hidden="false" customHeight="false" outlineLevel="0" collapsed="false">
      <c r="A35" s="0" t="s">
        <v>153</v>
      </c>
      <c r="B35" s="0" t="n">
        <v>5322</v>
      </c>
      <c r="C35" s="0" t="n">
        <v>5481</v>
      </c>
      <c r="E35" s="0" t="n">
        <v>11271</v>
      </c>
      <c r="F35" s="0" t="n">
        <v>11364</v>
      </c>
      <c r="H35" s="0" t="n">
        <v>17559</v>
      </c>
      <c r="I35" s="0" t="n">
        <v>20262</v>
      </c>
      <c r="K35" s="0" t="n">
        <v>19566</v>
      </c>
      <c r="L35" s="0" t="n">
        <v>26190</v>
      </c>
      <c r="N35" s="0" t="s">
        <v>202</v>
      </c>
      <c r="O35" s="0" t="s">
        <v>202</v>
      </c>
    </row>
    <row r="36" customFormat="false" ht="15" hidden="false" customHeight="false" outlineLevel="0" collapsed="false">
      <c r="A36" s="0" t="s">
        <v>157</v>
      </c>
      <c r="B36" s="0" t="n">
        <v>81.88</v>
      </c>
      <c r="C36" s="0" t="n">
        <v>85.64</v>
      </c>
      <c r="E36" s="0" t="n">
        <v>98.87</v>
      </c>
      <c r="F36" s="0" t="n">
        <v>98.82</v>
      </c>
      <c r="H36" s="0" t="n">
        <v>107.07</v>
      </c>
      <c r="I36" s="0" t="n">
        <v>123.55</v>
      </c>
      <c r="K36" s="0" t="n">
        <v>97.83</v>
      </c>
      <c r="L36" s="0" t="n">
        <v>130.95</v>
      </c>
      <c r="N36" s="0" t="s">
        <v>202</v>
      </c>
      <c r="O36" s="0" t="s">
        <v>202</v>
      </c>
    </row>
    <row r="37" customFormat="false" ht="15" hidden="false" customHeight="false" outlineLevel="0" collapsed="false">
      <c r="A37" s="0" t="s">
        <v>161</v>
      </c>
      <c r="B37" s="0" t="n">
        <v>58724.64</v>
      </c>
      <c r="C37" s="0" t="n">
        <v>56433.12</v>
      </c>
      <c r="E37" s="0" t="n">
        <v>79308.38</v>
      </c>
      <c r="F37" s="0" t="n">
        <v>73426.31</v>
      </c>
      <c r="H37" s="0" t="n">
        <v>87941.11</v>
      </c>
      <c r="I37" s="0" t="n">
        <v>93820.11</v>
      </c>
      <c r="K37" s="0" t="n">
        <v>77628.92</v>
      </c>
      <c r="L37" s="0" t="n">
        <v>100694.06</v>
      </c>
      <c r="N37" s="0" t="s">
        <v>202</v>
      </c>
      <c r="O37" s="0" t="s">
        <v>202</v>
      </c>
    </row>
    <row r="38" customFormat="false" ht="15" hidden="false" customHeight="false" outlineLevel="0" collapsed="false">
      <c r="A38" s="0" t="s">
        <v>165</v>
      </c>
      <c r="B38" s="0" t="n">
        <v>21.83</v>
      </c>
      <c r="C38" s="0" t="n">
        <v>26.3</v>
      </c>
      <c r="E38" s="0" t="n">
        <v>46.61</v>
      </c>
      <c r="F38" s="0" t="n">
        <v>48.76</v>
      </c>
      <c r="H38" s="0" t="n">
        <v>61.34</v>
      </c>
      <c r="I38" s="0" t="n">
        <v>76.32</v>
      </c>
      <c r="K38" s="0" t="n">
        <v>58.98</v>
      </c>
      <c r="L38" s="0" t="n">
        <v>86.7</v>
      </c>
      <c r="N38" s="0" t="s">
        <v>202</v>
      </c>
      <c r="O38" s="0" t="s">
        <v>202</v>
      </c>
    </row>
    <row r="39" customFormat="false" ht="15" hidden="false" customHeight="false" outlineLevel="0" collapsed="false">
      <c r="A39" s="0" t="s">
        <v>168</v>
      </c>
      <c r="B39" s="0" t="n">
        <v>141.92</v>
      </c>
      <c r="C39" s="0" t="n">
        <v>144.98</v>
      </c>
      <c r="E39" s="0" t="n">
        <v>151.12</v>
      </c>
      <c r="F39" s="0" t="n">
        <v>148.87</v>
      </c>
      <c r="H39" s="0" t="n">
        <v>152.79</v>
      </c>
      <c r="I39" s="0" t="n">
        <v>170.78</v>
      </c>
      <c r="K39" s="0" t="n">
        <v>136.68</v>
      </c>
      <c r="L39" s="0" t="n">
        <v>175.2</v>
      </c>
      <c r="N39" s="0" t="s">
        <v>202</v>
      </c>
      <c r="O39" s="0" t="s">
        <v>202</v>
      </c>
    </row>
    <row r="40" customFormat="false" ht="15" hidden="false" customHeight="false" outlineLevel="0" collapsed="false">
      <c r="A40" s="0" t="s">
        <v>171</v>
      </c>
      <c r="D40" s="0" t="n">
        <v>3.76</v>
      </c>
      <c r="G40" s="0" t="n">
        <v>-0.05</v>
      </c>
      <c r="J40" s="0" t="n">
        <v>16.48</v>
      </c>
      <c r="M40" s="0" t="n">
        <v>33.12</v>
      </c>
      <c r="P40" s="0" t="s">
        <v>202</v>
      </c>
    </row>
    <row r="41" customFormat="false" ht="15" hidden="false" customHeight="false" outlineLevel="0" collapsed="false">
      <c r="A41" s="0" t="s">
        <v>174</v>
      </c>
      <c r="D41" s="0" t="n">
        <v>126</v>
      </c>
      <c r="G41" s="0" t="n">
        <v>226</v>
      </c>
      <c r="J41" s="0" t="n">
        <v>325</v>
      </c>
      <c r="M41" s="0" t="n">
        <v>391</v>
      </c>
      <c r="P41" s="0" t="s">
        <v>202</v>
      </c>
    </row>
    <row r="42" customFormat="false" ht="15" hidden="false" customHeight="false" outlineLevel="0" collapsed="false">
      <c r="A42" s="0" t="s">
        <v>178</v>
      </c>
      <c r="D42" s="0" t="n">
        <v>-79.85</v>
      </c>
      <c r="G42" s="0" t="n">
        <v>-72.03</v>
      </c>
      <c r="J42" s="0" t="n">
        <v>-49.01</v>
      </c>
      <c r="M42" s="0" t="n">
        <v>-25.59</v>
      </c>
      <c r="P42" s="0" t="s">
        <v>202</v>
      </c>
    </row>
    <row r="43" customFormat="false" ht="15" hidden="false" customHeight="false" outlineLevel="0" collapsed="false">
      <c r="A43" s="0" t="s">
        <v>181</v>
      </c>
      <c r="D43" s="0" t="n">
        <v>87.38</v>
      </c>
      <c r="G43" s="0" t="n">
        <v>71.92</v>
      </c>
      <c r="J43" s="0" t="n">
        <v>81.98</v>
      </c>
      <c r="M43" s="0" t="n">
        <v>91.83</v>
      </c>
      <c r="P43" s="0"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16"/>
    <col collapsed="false" customWidth="true" hidden="false" outlineLevel="0" max="4" min="4" style="0" width="10"/>
  </cols>
  <sheetData>
    <row r="1" customFormat="false" ht="17.35" hidden="false" customHeight="false" outlineLevel="0" collapsed="false">
      <c r="A1" s="1" t="s">
        <v>203</v>
      </c>
    </row>
    <row r="2" customFormat="false" ht="15" hidden="false" customHeight="false" outlineLevel="0" collapsed="false">
      <c r="A2" s="0" t="s">
        <v>204</v>
      </c>
    </row>
    <row r="3" customFormat="false" ht="15" hidden="false" customHeight="false" outlineLevel="0" collapsed="false">
      <c r="A3" s="7" t="s">
        <v>205</v>
      </c>
      <c r="B3" s="7" t="s">
        <v>206</v>
      </c>
    </row>
    <row r="4" customFormat="false" ht="15" hidden="false" customHeight="false" outlineLevel="0" collapsed="false">
      <c r="A4" s="0" t="s">
        <v>207</v>
      </c>
      <c r="B4" s="4" t="n">
        <v>100</v>
      </c>
    </row>
    <row r="5" customFormat="false" ht="15" hidden="false" customHeight="false" outlineLevel="0" collapsed="false">
      <c r="A5" s="0" t="s">
        <v>208</v>
      </c>
      <c r="B5" s="4" t="n">
        <v>20</v>
      </c>
    </row>
    <row r="6" customFormat="false" ht="15" hidden="false" customHeight="false" outlineLevel="0" collapsed="false">
      <c r="A6" s="0" t="s">
        <v>209</v>
      </c>
      <c r="B6" s="4" t="n">
        <v>100</v>
      </c>
    </row>
    <row r="7" customFormat="false" ht="15" hidden="false" customHeight="false" outlineLevel="0" collapsed="false">
      <c r="A7" s="0" t="s">
        <v>210</v>
      </c>
      <c r="B7" s="4" t="n">
        <v>30</v>
      </c>
    </row>
    <row r="8" customFormat="false" ht="15" hidden="false" customHeight="false" outlineLevel="0" collapsed="false">
      <c r="A8" s="0" t="s">
        <v>211</v>
      </c>
      <c r="B8" s="4" t="n">
        <v>1.959964</v>
      </c>
    </row>
    <row r="9" customFormat="false" ht="15" hidden="false" customHeight="false" outlineLevel="0" collapsed="false">
      <c r="A9" s="0" t="s">
        <v>36</v>
      </c>
      <c r="B9" s="4" t="n">
        <v>0.5</v>
      </c>
    </row>
    <row r="10" customFormat="false" ht="15" hidden="false" customHeight="false" outlineLevel="0" collapsed="false">
      <c r="A10" s="0" t="s">
        <v>37</v>
      </c>
      <c r="B10" s="4" t="n">
        <v>0.5</v>
      </c>
    </row>
    <row r="11" customFormat="false" ht="15" hidden="false" customHeight="false" outlineLevel="0" collapsed="false">
      <c r="A11" s="0" t="s">
        <v>212</v>
      </c>
      <c r="B11" s="4" t="n">
        <v>100</v>
      </c>
    </row>
    <row r="12" customFormat="false" ht="15" hidden="false" customHeight="false" outlineLevel="0" collapsed="false">
      <c r="A12" s="0" t="s">
        <v>213</v>
      </c>
      <c r="B12" s="4" t="n">
        <v>100</v>
      </c>
    </row>
    <row r="15" customFormat="false" ht="15" hidden="false" customHeight="false" outlineLevel="0" collapsed="false">
      <c r="A15" s="7" t="s">
        <v>214</v>
      </c>
      <c r="B15" s="7" t="s">
        <v>215</v>
      </c>
      <c r="C15" s="7" t="s">
        <v>216</v>
      </c>
      <c r="D15" s="7" t="s">
        <v>56</v>
      </c>
    </row>
    <row r="16" customFormat="false" ht="15" hidden="false" customHeight="false" outlineLevel="0" collapsed="false">
      <c r="A16" s="0" t="s">
        <v>217</v>
      </c>
      <c r="B16" s="0" t="n">
        <f aca="false">B5/B4</f>
        <v>0.2</v>
      </c>
      <c r="C16" s="4" t="n">
        <v>0.2</v>
      </c>
      <c r="D16" s="5" t="b">
        <f aca="false">IF(ISNUMBER(B16),ABS(B16-C16)&lt;=0.0000005+0.0000000001,B16=C16)</f>
        <v>1</v>
      </c>
    </row>
    <row r="17" customFormat="false" ht="15" hidden="false" customHeight="false" outlineLevel="0" collapsed="false">
      <c r="A17" s="0" t="s">
        <v>218</v>
      </c>
      <c r="B17" s="0" t="n">
        <f aca="false">B7/B6</f>
        <v>0.3</v>
      </c>
      <c r="C17" s="4" t="n">
        <v>0.3</v>
      </c>
      <c r="D17" s="5" t="b">
        <f aca="false">IF(ISNUMBER(B17),ABS(B17-C17)&lt;=0.0000005+0.0000000001,B17=C17)</f>
        <v>1</v>
      </c>
    </row>
    <row r="18" customFormat="false" ht="15" hidden="false" customHeight="false" outlineLevel="0" collapsed="false">
      <c r="A18" s="0" t="s">
        <v>219</v>
      </c>
      <c r="B18" s="0" t="n">
        <f aca="false">(B5/B4+$B$8^2/(2*B4)-$B$8*SQRT((B5/B4)*(1-B5/B4)/B4+$B$8^2/(4*B4^2)))/(1+$B$8^2/B4)</f>
        <v>0.133366932897148</v>
      </c>
      <c r="C18" s="4" t="n">
        <v>0.133367</v>
      </c>
      <c r="D18" s="5" t="b">
        <f aca="false">IF(ISNUMBER(B18),ABS(B18-C18)&lt;=0.0000005+0.0000000001,B18=C18)</f>
        <v>1</v>
      </c>
    </row>
    <row r="19" customFormat="false" ht="15" hidden="false" customHeight="false" outlineLevel="0" collapsed="false">
      <c r="A19" s="0" t="s">
        <v>220</v>
      </c>
      <c r="B19" s="0" t="n">
        <f aca="false">(B5/B4+$B$8^2/(2*B4)+$B$8*SQRT((B5/B4)*(1-B5/B4)/B4+$B$8^2/(4*B4^2)))/(1+$B$8^2/B4)</f>
        <v>0.28882916636425</v>
      </c>
      <c r="C19" s="4" t="n">
        <v>0.288829</v>
      </c>
      <c r="D19" s="5" t="b">
        <f aca="false">IF(ISNUMBER(B19),ABS(B19-C19)&lt;=0.0000005+0.0000000001,B19=C19)</f>
        <v>1</v>
      </c>
    </row>
    <row r="20" customFormat="false" ht="15" hidden="false" customHeight="false" outlineLevel="0" collapsed="false">
      <c r="A20" s="0" t="s">
        <v>221</v>
      </c>
      <c r="B20" s="0" t="n">
        <f aca="false">(B7/B6+$B$8^2/(2*B6)-$B$8*SQRT((B7/B6)*(1-B7/B6)/B6+$B$8^2/(4*B6^2)))/(1+$B$8^2/B6)</f>
        <v>0.218948852385157</v>
      </c>
      <c r="C20" s="4" t="n">
        <v>0.218949</v>
      </c>
      <c r="D20" s="5" t="b">
        <f aca="false">IF(ISNUMBER(B20),ABS(B20-C20)&lt;=0.0000005+0.0000000001,B20=C20)</f>
        <v>1</v>
      </c>
    </row>
    <row r="21" customFormat="false" ht="15" hidden="false" customHeight="false" outlineLevel="0" collapsed="false">
      <c r="A21" s="0" t="s">
        <v>222</v>
      </c>
      <c r="B21" s="0" t="n">
        <f aca="false">(B7/B6+$B$8^2/(2*B6)+$B$8*SQRT((B7/B6)*(1-B7/B6)/B6+$B$8^2/(4*B6^2)))/(1+$B$8^2/B6)</f>
        <v>0.395848547122441</v>
      </c>
      <c r="C21" s="4" t="n">
        <v>0.395849</v>
      </c>
      <c r="D21" s="5" t="b">
        <f aca="false">IF(ISNUMBER(B21),ABS(B21-C21)&lt;=0.0000005+0.0000000001,B21=C21)</f>
        <v>1</v>
      </c>
    </row>
    <row r="22" customFormat="false" ht="15" hidden="false" customHeight="false" outlineLevel="0" collapsed="false">
      <c r="A22" s="0" t="s">
        <v>223</v>
      </c>
      <c r="B22" s="0" t="n">
        <f aca="false">(B17-B16)*100</f>
        <v>10</v>
      </c>
      <c r="C22" s="4" t="n">
        <v>10</v>
      </c>
      <c r="D22" s="5" t="b">
        <f aca="false">IF(ISNUMBER(B22),ABS(B22-C22)&lt;=0.0000005+0.0000000001,B22=C22)</f>
        <v>1</v>
      </c>
    </row>
    <row r="23" customFormat="false" ht="15" hidden="false" customHeight="false" outlineLevel="0" collapsed="false">
      <c r="A23" s="0" t="s">
        <v>103</v>
      </c>
      <c r="B23" s="0" t="n">
        <f aca="false">(B17-B16)/B16</f>
        <v>0.5</v>
      </c>
      <c r="C23" s="4" t="n">
        <v>0.5</v>
      </c>
      <c r="D23" s="5" t="b">
        <f aca="false">IF(ISNUMBER(B23),ABS(B23-C23)&lt;=0.0000005+0.0000000001,B23=C23)</f>
        <v>1</v>
      </c>
    </row>
    <row r="24" customFormat="false" ht="15" hidden="false" customHeight="false" outlineLevel="0" collapsed="false">
      <c r="A24" s="0" t="s">
        <v>224</v>
      </c>
      <c r="B24" s="0" t="n">
        <f aca="false">(B17-B16)-SQRT((B17-B20)^2+(B19-B16)^2)</f>
        <v>-0.0202493631028895</v>
      </c>
      <c r="C24" s="4" t="n">
        <v>-0.020249</v>
      </c>
      <c r="D24" s="5" t="b">
        <f aca="false">IF(ISNUMBER(B24),ABS(B24-C24)&lt;=0.0000005+0.0000000001,B24=C24)</f>
        <v>1</v>
      </c>
    </row>
    <row r="25" customFormat="false" ht="15" hidden="false" customHeight="false" outlineLevel="0" collapsed="false">
      <c r="A25" s="0" t="s">
        <v>225</v>
      </c>
      <c r="B25" s="0" t="n">
        <f aca="false">(B17-B16)+SQRT((B21-B17)^2+(B16-B18)^2)</f>
        <v>0.216734354913265</v>
      </c>
      <c r="C25" s="4" t="n">
        <v>0.216734</v>
      </c>
      <c r="D25" s="5" t="b">
        <f aca="false">IF(ISNUMBER(B25),ABS(B25-C25)&lt;=0.0000005+0.0000000001,B25=C25)</f>
        <v>1</v>
      </c>
    </row>
    <row r="26" customFormat="false" ht="15" hidden="false" customHeight="false" outlineLevel="0" collapsed="false">
      <c r="A26" s="0" t="s">
        <v>113</v>
      </c>
      <c r="B26" s="5" t="b">
        <f aca="false">AND(B24&lt;=0,B25&gt;=0)</f>
        <v>1</v>
      </c>
      <c r="C26" s="13" t="b">
        <f aca="false">TRUE()</f>
        <v>1</v>
      </c>
      <c r="D26" s="5" t="b">
        <f aca="false">B26=C26</f>
        <v>1</v>
      </c>
    </row>
    <row r="27" customFormat="false" ht="15" hidden="false" customHeight="false" outlineLevel="0" collapsed="false">
      <c r="A27" s="0" t="s">
        <v>226</v>
      </c>
      <c r="B27" s="0" t="n">
        <f aca="false">(B11-(B11+B12)*B9)^2/((B11+B12)*B9)+(B12-(B11+B12)*B10)^2/((B11+B12)*B10)</f>
        <v>0</v>
      </c>
      <c r="C27" s="4" t="n">
        <v>0</v>
      </c>
      <c r="D27" s="5" t="b">
        <f aca="false">IF(ISNUMBER(B27),ABS(B27-C27)&lt;=0.0000005+0.0000000001,B27=C27)</f>
        <v>1</v>
      </c>
    </row>
    <row r="28" customFormat="false" ht="15" hidden="false" customHeight="false" outlineLevel="0" collapsed="false">
      <c r="A28" s="0" t="s">
        <v>75</v>
      </c>
      <c r="B28" s="0" t="n">
        <f aca="false">CHIDIST(B27,1)</f>
        <v>1</v>
      </c>
      <c r="C28" s="4" t="n">
        <v>1</v>
      </c>
      <c r="D28" s="5" t="b">
        <f aca="false">IF(ISNUMBER(B28),ABS(B28-C28)&lt;=0.0000005+0.0000000001,B28=C28)</f>
        <v>1</v>
      </c>
    </row>
    <row r="30" customFormat="false" ht="15" hidden="false" customHeight="false" outlineLevel="0" collapsed="false">
      <c r="A30" s="0" t="s">
        <v>227</v>
      </c>
      <c r="B30" s="6" t="b">
        <f aca="false">AND(D16:D28)</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12"/>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30"/>
  </cols>
  <sheetData>
    <row r="1" customFormat="false" ht="17.35" hidden="false" customHeight="false" outlineLevel="0" collapsed="false">
      <c r="A1" s="1" t="s">
        <v>228</v>
      </c>
    </row>
    <row r="2" customFormat="false" ht="15" hidden="false" customHeight="false" outlineLevel="0" collapsed="false">
      <c r="A2" s="0" t="s">
        <v>229</v>
      </c>
    </row>
    <row r="4" customFormat="false" ht="28.35" hidden="false" customHeight="false" outlineLevel="0" collapsed="false">
      <c r="A4" s="7" t="s">
        <v>230</v>
      </c>
      <c r="B4" s="7" t="s">
        <v>231</v>
      </c>
      <c r="C4" s="7" t="s">
        <v>59</v>
      </c>
      <c r="D4" s="7" t="s">
        <v>232</v>
      </c>
      <c r="E4" s="7" t="s">
        <v>233</v>
      </c>
      <c r="F4" s="7" t="s">
        <v>234</v>
      </c>
      <c r="G4" s="7" t="s">
        <v>235</v>
      </c>
      <c r="H4" s="7" t="s">
        <v>236</v>
      </c>
    </row>
    <row r="5" customFormat="false" ht="15" hidden="false" customHeight="false" outlineLevel="0" collapsed="false">
      <c r="A5" s="0" t="s">
        <v>237</v>
      </c>
      <c r="B5" s="0" t="s">
        <v>238</v>
      </c>
      <c r="C5" s="0" t="n">
        <f aca="false">COUNTIFS(Accounts!$E$2:$E$601,0,Accounts!$B$2:$B$601,A5,Accounts!$C$2:$C$601,B5)</f>
        <v>51</v>
      </c>
      <c r="D5" s="0" t="n">
        <f aca="false">COUNTIFS(Accounts!$E$2:$E$601,0,Accounts!$B$2:$B$601,A5,Accounts!$C$2:$C$601,B5,Accounts!$F$2:$F$601,"&lt;1E+15")</f>
        <v>51</v>
      </c>
      <c r="E5" s="0" t="n">
        <f aca="false">COUNTIFS(Accounts!$E$2:$E$601,0,Accounts!$B$2:$B$601,A5,Accounts!$C$2:$C$601,B5,Accounts!$H$2:$H$601,1)</f>
        <v>50</v>
      </c>
      <c r="F5" s="0" t="n">
        <f aca="false">COUNTIFS(Accounts!$E$2:$E$601,0,Accounts!$B$2:$B$601,A5,Accounts!$C$2:$C$601,B5,Accounts!$I$2:$I$601,1)</f>
        <v>31</v>
      </c>
      <c r="G5" s="9" t="n">
        <f aca="false">IF(E5=0,"",F5/E5)</f>
        <v>0.62</v>
      </c>
      <c r="H5" s="12" t="n">
        <f aca="false">D5-E5</f>
        <v>1</v>
      </c>
    </row>
    <row r="6" customFormat="false" ht="15" hidden="false" customHeight="false" outlineLevel="0" collapsed="false">
      <c r="A6" s="0" t="s">
        <v>237</v>
      </c>
      <c r="B6" s="0" t="s">
        <v>239</v>
      </c>
      <c r="C6" s="0" t="n">
        <f aca="false">COUNTIFS(Accounts!$E$2:$E$601,0,Accounts!$B$2:$B$601,A6,Accounts!$C$2:$C$601,B6)</f>
        <v>27</v>
      </c>
      <c r="D6" s="0" t="n">
        <f aca="false">COUNTIFS(Accounts!$E$2:$E$601,0,Accounts!$B$2:$B$601,A6,Accounts!$C$2:$C$601,B6,Accounts!$F$2:$F$601,"&lt;1E+15")</f>
        <v>27</v>
      </c>
      <c r="E6" s="0" t="n">
        <f aca="false">COUNTIFS(Accounts!$E$2:$E$601,0,Accounts!$B$2:$B$601,A6,Accounts!$C$2:$C$601,B6,Accounts!$H$2:$H$601,1)</f>
        <v>26</v>
      </c>
      <c r="F6" s="0" t="n">
        <f aca="false">COUNTIFS(Accounts!$E$2:$E$601,0,Accounts!$B$2:$B$601,A6,Accounts!$C$2:$C$601,B6,Accounts!$I$2:$I$601,1)</f>
        <v>16</v>
      </c>
      <c r="G6" s="9" t="n">
        <f aca="false">IF(E6=0,"",F6/E6)</f>
        <v>0.615384615384615</v>
      </c>
      <c r="H6" s="12" t="n">
        <f aca="false">D6-E6</f>
        <v>1</v>
      </c>
    </row>
    <row r="7" customFormat="false" ht="15" hidden="false" customHeight="false" outlineLevel="0" collapsed="false">
      <c r="A7" s="0" t="s">
        <v>237</v>
      </c>
      <c r="B7" s="0" t="s">
        <v>240</v>
      </c>
      <c r="C7" s="0" t="n">
        <f aca="false">COUNTIFS(Accounts!$E$2:$E$601,0,Accounts!$B$2:$B$601,A7,Accounts!$C$2:$C$601,B7)</f>
        <v>9</v>
      </c>
      <c r="D7" s="0" t="n">
        <f aca="false">COUNTIFS(Accounts!$E$2:$E$601,0,Accounts!$B$2:$B$601,A7,Accounts!$C$2:$C$601,B7,Accounts!$F$2:$F$601,"&lt;1E+15")</f>
        <v>9</v>
      </c>
      <c r="E7" s="0" t="n">
        <f aca="false">COUNTIFS(Accounts!$E$2:$E$601,0,Accounts!$B$2:$B$601,A7,Accounts!$C$2:$C$601,B7,Accounts!$H$2:$H$601,1)</f>
        <v>9</v>
      </c>
      <c r="F7" s="0" t="n">
        <f aca="false">COUNTIFS(Accounts!$E$2:$E$601,0,Accounts!$B$2:$B$601,A7,Accounts!$C$2:$C$601,B7,Accounts!$I$2:$I$601,1)</f>
        <v>4</v>
      </c>
      <c r="G7" s="9" t="n">
        <f aca="false">IF(E7=0,"",F7/E7)</f>
        <v>0.444444444444444</v>
      </c>
      <c r="H7" s="12" t="n">
        <f aca="false">D7-E7</f>
        <v>0</v>
      </c>
    </row>
    <row r="8" customFormat="false" ht="15" hidden="false" customHeight="false" outlineLevel="0" collapsed="false">
      <c r="A8" s="0" t="s">
        <v>237</v>
      </c>
      <c r="B8" s="0" t="s">
        <v>241</v>
      </c>
      <c r="C8" s="0" t="n">
        <f aca="false">COUNTIFS(Accounts!$E$2:$E$601,0,Accounts!$B$2:$B$601,A8)</f>
        <v>87</v>
      </c>
      <c r="D8" s="0" t="n">
        <f aca="false">COUNTIFS(Accounts!$E$2:$E$601,0,Accounts!$B$2:$B$601,A8,Accounts!$F$2:$F$601,"&lt;1E+15")</f>
        <v>87</v>
      </c>
      <c r="E8" s="0" t="n">
        <f aca="false">COUNTIFS(Accounts!$E$2:$E$601,0,Accounts!$B$2:$B$601,A8,Accounts!$H$2:$H$601,1)</f>
        <v>85</v>
      </c>
      <c r="F8" s="0" t="n">
        <f aca="false">COUNTIFS(Accounts!$E$2:$E$601,0,Accounts!$B$2:$B$601,A8,Accounts!$I$2:$I$601,1)</f>
        <v>51</v>
      </c>
      <c r="G8" s="9" t="n">
        <f aca="false">IF(E8=0,"",F8/E8)</f>
        <v>0.6</v>
      </c>
      <c r="H8" s="12" t="n">
        <f aca="false">D8-E8</f>
        <v>2</v>
      </c>
    </row>
    <row r="9" customFormat="false" ht="15" hidden="false" customHeight="false" outlineLevel="0" collapsed="false">
      <c r="A9" s="0" t="s">
        <v>242</v>
      </c>
      <c r="B9" s="0" t="s">
        <v>238</v>
      </c>
      <c r="C9" s="0" t="n">
        <f aca="false">COUNTIFS(Accounts!$E$2:$E$601,0,Accounts!$B$2:$B$601,A9,Accounts!$C$2:$C$601,B9)</f>
        <v>13</v>
      </c>
      <c r="D9" s="0" t="n">
        <f aca="false">COUNTIFS(Accounts!$E$2:$E$601,0,Accounts!$B$2:$B$601,A9,Accounts!$C$2:$C$601,B9,Accounts!$F$2:$F$601,"&lt;1E+15")</f>
        <v>13</v>
      </c>
      <c r="E9" s="0" t="n">
        <f aca="false">COUNTIFS(Accounts!$E$2:$E$601,0,Accounts!$B$2:$B$601,A9,Accounts!$C$2:$C$601,B9,Accounts!$H$2:$H$601,1)</f>
        <v>13</v>
      </c>
      <c r="F9" s="0" t="n">
        <f aca="false">COUNTIFS(Accounts!$E$2:$E$601,0,Accounts!$B$2:$B$601,A9,Accounts!$C$2:$C$601,B9,Accounts!$I$2:$I$601,1)</f>
        <v>7</v>
      </c>
      <c r="G9" s="9" t="n">
        <f aca="false">IF(E9=0,"",F9/E9)</f>
        <v>0.538461538461538</v>
      </c>
      <c r="H9" s="12" t="n">
        <f aca="false">D9-E9</f>
        <v>0</v>
      </c>
    </row>
    <row r="10" customFormat="false" ht="15" hidden="false" customHeight="false" outlineLevel="0" collapsed="false">
      <c r="A10" s="0" t="s">
        <v>242</v>
      </c>
      <c r="B10" s="0" t="s">
        <v>239</v>
      </c>
      <c r="C10" s="0" t="n">
        <f aca="false">COUNTIFS(Accounts!$E$2:$E$601,0,Accounts!$B$2:$B$601,A10,Accounts!$C$2:$C$601,B10)</f>
        <v>52</v>
      </c>
      <c r="D10" s="0" t="n">
        <f aca="false">COUNTIFS(Accounts!$E$2:$E$601,0,Accounts!$B$2:$B$601,A10,Accounts!$C$2:$C$601,B10,Accounts!$F$2:$F$601,"&lt;1E+15")</f>
        <v>52</v>
      </c>
      <c r="E10" s="0" t="n">
        <f aca="false">COUNTIFS(Accounts!$E$2:$E$601,0,Accounts!$B$2:$B$601,A10,Accounts!$C$2:$C$601,B10,Accounts!$H$2:$H$601,1)</f>
        <v>51</v>
      </c>
      <c r="F10" s="0" t="n">
        <f aca="false">COUNTIFS(Accounts!$E$2:$E$601,0,Accounts!$B$2:$B$601,A10,Accounts!$C$2:$C$601,B10,Accounts!$I$2:$I$601,1)</f>
        <v>19</v>
      </c>
      <c r="G10" s="9" t="n">
        <f aca="false">IF(E10=0,"",F10/E10)</f>
        <v>0.372549019607843</v>
      </c>
      <c r="H10" s="12" t="n">
        <f aca="false">D10-E10</f>
        <v>1</v>
      </c>
    </row>
    <row r="11" customFormat="false" ht="15" hidden="false" customHeight="false" outlineLevel="0" collapsed="false">
      <c r="A11" s="0" t="s">
        <v>242</v>
      </c>
      <c r="B11" s="0" t="s">
        <v>240</v>
      </c>
      <c r="C11" s="0" t="n">
        <f aca="false">COUNTIFS(Accounts!$E$2:$E$601,0,Accounts!$B$2:$B$601,A11,Accounts!$C$2:$C$601,B11)</f>
        <v>191</v>
      </c>
      <c r="D11" s="0" t="n">
        <f aca="false">COUNTIFS(Accounts!$E$2:$E$601,0,Accounts!$B$2:$B$601,A11,Accounts!$C$2:$C$601,B11,Accounts!$F$2:$F$601,"&lt;1E+15")</f>
        <v>191</v>
      </c>
      <c r="E11" s="0" t="n">
        <f aca="false">COUNTIFS(Accounts!$E$2:$E$601,0,Accounts!$B$2:$B$601,A11,Accounts!$C$2:$C$601,B11,Accounts!$H$2:$H$601,1)</f>
        <v>185</v>
      </c>
      <c r="F11" s="0" t="n">
        <f aca="false">COUNTIFS(Accounts!$E$2:$E$601,0,Accounts!$B$2:$B$601,A11,Accounts!$C$2:$C$601,B11,Accounts!$I$2:$I$601,1)</f>
        <v>53</v>
      </c>
      <c r="G11" s="9" t="n">
        <f aca="false">IF(E11=0,"",F11/E11)</f>
        <v>0.286486486486487</v>
      </c>
      <c r="H11" s="12" t="n">
        <f aca="false">D11-E11</f>
        <v>6</v>
      </c>
    </row>
    <row r="12" customFormat="false" ht="15" hidden="false" customHeight="false" outlineLevel="0" collapsed="false">
      <c r="A12" s="0" t="s">
        <v>242</v>
      </c>
      <c r="B12" s="0" t="s">
        <v>241</v>
      </c>
      <c r="C12" s="0" t="n">
        <f aca="false">COUNTIFS(Accounts!$E$2:$E$601,0,Accounts!$B$2:$B$601,A12)</f>
        <v>256</v>
      </c>
      <c r="D12" s="0" t="n">
        <f aca="false">COUNTIFS(Accounts!$E$2:$E$601,0,Accounts!$B$2:$B$601,A12,Accounts!$F$2:$F$601,"&lt;1E+15")</f>
        <v>256</v>
      </c>
      <c r="E12" s="0" t="n">
        <f aca="false">COUNTIFS(Accounts!$E$2:$E$601,0,Accounts!$B$2:$B$601,A12,Accounts!$H$2:$H$601,1)</f>
        <v>249</v>
      </c>
      <c r="F12" s="0" t="n">
        <f aca="false">COUNTIFS(Accounts!$E$2:$E$601,0,Accounts!$B$2:$B$601,A12,Accounts!$I$2:$I$601,1)</f>
        <v>79</v>
      </c>
      <c r="G12" s="9" t="n">
        <f aca="false">IF(E12=0,"",F12/E12)</f>
        <v>0.317269076305221</v>
      </c>
      <c r="H12" s="12" t="n">
        <f aca="false">D12-E12</f>
        <v>7</v>
      </c>
    </row>
    <row r="13" customFormat="false" ht="15" hidden="false" customHeight="false" outlineLevel="0" collapsed="false">
      <c r="A13" s="0" t="s">
        <v>243</v>
      </c>
      <c r="B13" s="0" t="s">
        <v>238</v>
      </c>
      <c r="C13" s="0" t="n">
        <f aca="false">COUNTIFS(Accounts!$E$2:$E$601,0,Accounts!$B$2:$B$601,A13,Accounts!$C$2:$C$601,B13)</f>
        <v>24</v>
      </c>
      <c r="D13" s="0" t="n">
        <f aca="false">COUNTIFS(Accounts!$E$2:$E$601,0,Accounts!$B$2:$B$601,A13,Accounts!$C$2:$C$601,B13,Accounts!$F$2:$F$601,"&lt;1E+15")</f>
        <v>24</v>
      </c>
      <c r="E13" s="0" t="n">
        <f aca="false">COUNTIFS(Accounts!$E$2:$E$601,0,Accounts!$B$2:$B$601,A13,Accounts!$C$2:$C$601,B13,Accounts!$H$2:$H$601,1)</f>
        <v>22</v>
      </c>
      <c r="F13" s="0" t="n">
        <f aca="false">COUNTIFS(Accounts!$E$2:$E$601,0,Accounts!$B$2:$B$601,A13,Accounts!$C$2:$C$601,B13,Accounts!$I$2:$I$601,1)</f>
        <v>7</v>
      </c>
      <c r="G13" s="9" t="n">
        <f aca="false">IF(E13=0,"",F13/E13)</f>
        <v>0.318181818181818</v>
      </c>
      <c r="H13" s="12" t="n">
        <f aca="false">D13-E13</f>
        <v>2</v>
      </c>
    </row>
    <row r="14" customFormat="false" ht="15" hidden="false" customHeight="false" outlineLevel="0" collapsed="false">
      <c r="A14" s="0" t="s">
        <v>243</v>
      </c>
      <c r="B14" s="0" t="s">
        <v>239</v>
      </c>
      <c r="C14" s="0" t="n">
        <f aca="false">COUNTIFS(Accounts!$E$2:$E$601,0,Accounts!$B$2:$B$601,A14,Accounts!$C$2:$C$601,B14)</f>
        <v>76</v>
      </c>
      <c r="D14" s="0" t="n">
        <f aca="false">COUNTIFS(Accounts!$E$2:$E$601,0,Accounts!$B$2:$B$601,A14,Accounts!$C$2:$C$601,B14,Accounts!$F$2:$F$601,"&lt;1E+15")</f>
        <v>76</v>
      </c>
      <c r="E14" s="0" t="n">
        <f aca="false">COUNTIFS(Accounts!$E$2:$E$601,0,Accounts!$B$2:$B$601,A14,Accounts!$C$2:$C$601,B14,Accounts!$H$2:$H$601,1)</f>
        <v>75</v>
      </c>
      <c r="F14" s="0" t="n">
        <f aca="false">COUNTIFS(Accounts!$E$2:$E$601,0,Accounts!$B$2:$B$601,A14,Accounts!$C$2:$C$601,B14,Accounts!$I$2:$I$601,1)</f>
        <v>28</v>
      </c>
      <c r="G14" s="9" t="n">
        <f aca="false">IF(E14=0,"",F14/E14)</f>
        <v>0.373333333333333</v>
      </c>
      <c r="H14" s="12" t="n">
        <f aca="false">D14-E14</f>
        <v>1</v>
      </c>
    </row>
    <row r="15" customFormat="false" ht="15" hidden="false" customHeight="false" outlineLevel="0" collapsed="false">
      <c r="A15" s="0" t="s">
        <v>243</v>
      </c>
      <c r="B15" s="0" t="s">
        <v>240</v>
      </c>
      <c r="C15" s="0" t="n">
        <f aca="false">COUNTIFS(Accounts!$E$2:$E$601,0,Accounts!$B$2:$B$601,A15,Accounts!$C$2:$C$601,B15)</f>
        <v>145</v>
      </c>
      <c r="D15" s="0" t="n">
        <f aca="false">COUNTIFS(Accounts!$E$2:$E$601,0,Accounts!$B$2:$B$601,A15,Accounts!$C$2:$C$601,B15,Accounts!$F$2:$F$601,"&lt;1E+15")</f>
        <v>145</v>
      </c>
      <c r="E15" s="0" t="n">
        <f aca="false">COUNTIFS(Accounts!$E$2:$E$601,0,Accounts!$B$2:$B$601,A15,Accounts!$C$2:$C$601,B15,Accounts!$H$2:$H$601,1)</f>
        <v>140</v>
      </c>
      <c r="F15" s="0" t="n">
        <f aca="false">COUNTIFS(Accounts!$E$2:$E$601,0,Accounts!$B$2:$B$601,A15,Accounts!$C$2:$C$601,B15,Accounts!$I$2:$I$601,1)</f>
        <v>49</v>
      </c>
      <c r="G15" s="9" t="n">
        <f aca="false">IF(E15=0,"",F15/E15)</f>
        <v>0.35</v>
      </c>
      <c r="H15" s="12" t="n">
        <f aca="false">D15-E15</f>
        <v>5</v>
      </c>
    </row>
    <row r="16" customFormat="false" ht="15" hidden="false" customHeight="false" outlineLevel="0" collapsed="false">
      <c r="A16" s="0" t="s">
        <v>243</v>
      </c>
      <c r="B16" s="0" t="s">
        <v>241</v>
      </c>
      <c r="C16" s="0" t="n">
        <f aca="false">COUNTIFS(Accounts!$E$2:$E$601,0,Accounts!$B$2:$B$601,A16)</f>
        <v>245</v>
      </c>
      <c r="D16" s="0" t="n">
        <f aca="false">COUNTIFS(Accounts!$E$2:$E$601,0,Accounts!$B$2:$B$601,A16,Accounts!$F$2:$F$601,"&lt;1E+15")</f>
        <v>245</v>
      </c>
      <c r="E16" s="0" t="n">
        <f aca="false">COUNTIFS(Accounts!$E$2:$E$601,0,Accounts!$B$2:$B$601,A16,Accounts!$H$2:$H$601,1)</f>
        <v>237</v>
      </c>
      <c r="F16" s="0" t="n">
        <f aca="false">COUNTIFS(Accounts!$E$2:$E$601,0,Accounts!$B$2:$B$601,A16,Accounts!$I$2:$I$601,1)</f>
        <v>84</v>
      </c>
      <c r="G16" s="9" t="n">
        <f aca="false">IF(E16=0,"",F16/E16)</f>
        <v>0.354430379746835</v>
      </c>
      <c r="H16" s="12" t="n">
        <f aca="false">D16-E16</f>
        <v>8</v>
      </c>
    </row>
    <row r="17" customFormat="false" ht="15" hidden="false" customHeight="false" outlineLevel="0" collapsed="false">
      <c r="A17" s="0" t="s">
        <v>241</v>
      </c>
      <c r="B17" s="0" t="s">
        <v>238</v>
      </c>
      <c r="C17" s="0" t="n">
        <f aca="false">COUNTIFS(Accounts!$E$2:$E$601,0,Accounts!$C$2:$C$601,B17)</f>
        <v>88</v>
      </c>
      <c r="D17" s="0" t="n">
        <f aca="false">COUNTIFS(Accounts!$E$2:$E$601,0,Accounts!$C$2:$C$601,B17,Accounts!$F$2:$F$601,"&lt;1E+15")</f>
        <v>88</v>
      </c>
      <c r="E17" s="0" t="n">
        <f aca="false">COUNTIFS(Accounts!$E$2:$E$601,0,Accounts!$C$2:$C$601,B17,Accounts!$H$2:$H$601,1)</f>
        <v>85</v>
      </c>
      <c r="F17" s="0" t="n">
        <f aca="false">COUNTIFS(Accounts!$E$2:$E$601,0,Accounts!$C$2:$C$601,B17,Accounts!$I$2:$I$601,1)</f>
        <v>45</v>
      </c>
      <c r="G17" s="9" t="n">
        <f aca="false">IF(E17=0,"",F17/E17)</f>
        <v>0.529411764705882</v>
      </c>
      <c r="H17" s="12" t="n">
        <f aca="false">D17-E17</f>
        <v>3</v>
      </c>
    </row>
    <row r="18" customFormat="false" ht="15" hidden="false" customHeight="false" outlineLevel="0" collapsed="false">
      <c r="A18" s="0" t="s">
        <v>241</v>
      </c>
      <c r="B18" s="0" t="s">
        <v>239</v>
      </c>
      <c r="C18" s="0" t="n">
        <f aca="false">COUNTIFS(Accounts!$E$2:$E$601,0,Accounts!$C$2:$C$601,B18)</f>
        <v>155</v>
      </c>
      <c r="D18" s="0" t="n">
        <f aca="false">COUNTIFS(Accounts!$E$2:$E$601,0,Accounts!$C$2:$C$601,B18,Accounts!$F$2:$F$601,"&lt;1E+15")</f>
        <v>155</v>
      </c>
      <c r="E18" s="0" t="n">
        <f aca="false">COUNTIFS(Accounts!$E$2:$E$601,0,Accounts!$C$2:$C$601,B18,Accounts!$H$2:$H$601,1)</f>
        <v>152</v>
      </c>
      <c r="F18" s="0" t="n">
        <f aca="false">COUNTIFS(Accounts!$E$2:$E$601,0,Accounts!$C$2:$C$601,B18,Accounts!$I$2:$I$601,1)</f>
        <v>63</v>
      </c>
      <c r="G18" s="9" t="n">
        <f aca="false">IF(E18=0,"",F18/E18)</f>
        <v>0.414473684210526</v>
      </c>
      <c r="H18" s="12" t="n">
        <f aca="false">D18-E18</f>
        <v>3</v>
      </c>
    </row>
    <row r="19" customFormat="false" ht="15" hidden="false" customHeight="false" outlineLevel="0" collapsed="false">
      <c r="A19" s="0" t="s">
        <v>241</v>
      </c>
      <c r="B19" s="0" t="s">
        <v>240</v>
      </c>
      <c r="C19" s="0" t="n">
        <f aca="false">COUNTIFS(Accounts!$E$2:$E$601,0,Accounts!$C$2:$C$601,B19)</f>
        <v>345</v>
      </c>
      <c r="D19" s="0" t="n">
        <f aca="false">COUNTIFS(Accounts!$E$2:$E$601,0,Accounts!$C$2:$C$601,B19,Accounts!$F$2:$F$601,"&lt;1E+15")</f>
        <v>345</v>
      </c>
      <c r="E19" s="0" t="n">
        <f aca="false">COUNTIFS(Accounts!$E$2:$E$601,0,Accounts!$C$2:$C$601,B19,Accounts!$H$2:$H$601,1)</f>
        <v>334</v>
      </c>
      <c r="F19" s="0" t="n">
        <f aca="false">COUNTIFS(Accounts!$E$2:$E$601,0,Accounts!$C$2:$C$601,B19,Accounts!$I$2:$I$601,1)</f>
        <v>106</v>
      </c>
      <c r="G19" s="9" t="n">
        <f aca="false">IF(E19=0,"",F19/E19)</f>
        <v>0.317365269461078</v>
      </c>
      <c r="H19" s="12" t="n">
        <f aca="false">D19-E19</f>
        <v>11</v>
      </c>
    </row>
    <row r="20" customFormat="false" ht="15" hidden="false" customHeight="false" outlineLevel="0" collapsed="false">
      <c r="A20" s="0" t="s">
        <v>241</v>
      </c>
      <c r="B20" s="0" t="s">
        <v>241</v>
      </c>
      <c r="C20" s="0" t="n">
        <f aca="false">COUNTIFS(Accounts!$E$2:$E$601,0)</f>
        <v>588</v>
      </c>
      <c r="D20" s="0" t="n">
        <f aca="false">COUNTIFS(Accounts!$E$2:$E$601,0,Accounts!$F$2:$F$601,"&lt;1E+15")</f>
        <v>588</v>
      </c>
      <c r="E20" s="0" t="n">
        <f aca="false">COUNTIFS(Accounts!$E$2:$E$601,0,Accounts!$H$2:$H$601,1)</f>
        <v>571</v>
      </c>
      <c r="F20" s="0" t="n">
        <f aca="false">COUNTIFS(Accounts!$E$2:$E$601,0,Accounts!$I$2:$I$601,1)</f>
        <v>214</v>
      </c>
      <c r="G20" s="9" t="n">
        <f aca="false">IF(E20=0,"",F20/E20)</f>
        <v>0.374781085814361</v>
      </c>
      <c r="H20" s="12" t="n">
        <f aca="false">D20-E20</f>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0"/>
  </cols>
  <sheetData>
    <row r="1" customFormat="false" ht="17.35" hidden="false" customHeight="false" outlineLevel="0" collapsed="false">
      <c r="A1" s="1" t="s">
        <v>244</v>
      </c>
    </row>
    <row r="3" customFormat="false" ht="15" hidden="false" customHeight="false" outlineLevel="0" collapsed="false">
      <c r="A3" s="7" t="s">
        <v>245</v>
      </c>
      <c r="B3" s="7" t="s">
        <v>246</v>
      </c>
    </row>
    <row r="4" customFormat="false" ht="28.35" hidden="false" customHeight="false" outlineLevel="0" collapsed="false">
      <c r="A4" s="2" t="s">
        <v>247</v>
      </c>
      <c r="B4" s="3" t="s">
        <v>248</v>
      </c>
    </row>
    <row r="5" customFormat="false" ht="28.35" hidden="false" customHeight="false" outlineLevel="0" collapsed="false">
      <c r="A5" s="2" t="s">
        <v>249</v>
      </c>
      <c r="B5" s="3" t="s">
        <v>250</v>
      </c>
    </row>
    <row r="6" customFormat="false" ht="28.35" hidden="false" customHeight="false" outlineLevel="0" collapsed="false">
      <c r="A6" s="2" t="s">
        <v>251</v>
      </c>
      <c r="B6" s="3" t="s">
        <v>252</v>
      </c>
    </row>
    <row r="7" customFormat="false" ht="15" hidden="false" customHeight="false" outlineLevel="0" collapsed="false">
      <c r="A7" s="2" t="s">
        <v>253</v>
      </c>
      <c r="B7" s="3" t="s">
        <v>254</v>
      </c>
    </row>
    <row r="8" customFormat="false" ht="28.35" hidden="false" customHeight="false" outlineLevel="0" collapsed="false">
      <c r="A8" s="2" t="s">
        <v>255</v>
      </c>
      <c r="B8" s="3" t="s">
        <v>256</v>
      </c>
    </row>
    <row r="9" customFormat="false" ht="28.35" hidden="false" customHeight="false" outlineLevel="0" collapsed="false">
      <c r="A9" s="2" t="s">
        <v>257</v>
      </c>
      <c r="B9" s="3" t="s">
        <v>258</v>
      </c>
    </row>
    <row r="10" customFormat="false" ht="41.75" hidden="false" customHeight="false" outlineLevel="0" collapsed="false">
      <c r="A10" s="2" t="s">
        <v>259</v>
      </c>
      <c r="B10" s="3" t="s">
        <v>260</v>
      </c>
    </row>
    <row r="11" customFormat="false" ht="15" hidden="false" customHeight="false" outlineLevel="0" collapsed="false">
      <c r="A11" s="2" t="s">
        <v>261</v>
      </c>
      <c r="B11" s="3" t="s">
        <v>262</v>
      </c>
    </row>
    <row r="12" customFormat="false" ht="41.75" hidden="false" customHeight="false" outlineLevel="0" collapsed="false">
      <c r="A12" s="2" t="s">
        <v>263</v>
      </c>
      <c r="B12" s="3" t="s">
        <v>264</v>
      </c>
    </row>
    <row r="13" customFormat="false" ht="41.75" hidden="false" customHeight="false" outlineLevel="0" collapsed="false">
      <c r="A13" s="2" t="s">
        <v>265</v>
      </c>
      <c r="B13" s="3" t="s">
        <v>266</v>
      </c>
    </row>
    <row r="14" customFormat="false" ht="28.35" hidden="false" customHeight="false" outlineLevel="0" collapsed="false">
      <c r="A14" s="2" t="s">
        <v>267</v>
      </c>
      <c r="B14" s="3" t="s">
        <v>268</v>
      </c>
    </row>
    <row r="15" customFormat="false" ht="28.35" hidden="false" customHeight="false" outlineLevel="0" collapsed="false">
      <c r="A15" s="2" t="s">
        <v>269</v>
      </c>
      <c r="B15" s="3" t="s">
        <v>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4" min="3" style="0" width="11"/>
    <col collapsed="false" customWidth="true" hidden="false" outlineLevel="0" max="10" min="5" style="0" width="14"/>
    <col collapsed="false" customWidth="true" hidden="false" outlineLevel="0" max="11" min="11" style="0" width="22"/>
  </cols>
  <sheetData>
    <row r="1" customFormat="false" ht="41.75" hidden="false" customHeight="false" outlineLevel="0" collapsed="false">
      <c r="A1" s="7" t="s">
        <v>271</v>
      </c>
      <c r="B1" s="7" t="s">
        <v>272</v>
      </c>
      <c r="C1" s="7" t="s">
        <v>273</v>
      </c>
      <c r="D1" s="7" t="s">
        <v>274</v>
      </c>
      <c r="E1" s="7" t="s">
        <v>275</v>
      </c>
      <c r="F1" s="7" t="s">
        <v>276</v>
      </c>
      <c r="G1" s="7" t="s">
        <v>277</v>
      </c>
      <c r="H1" s="7" t="s">
        <v>278</v>
      </c>
      <c r="I1" s="7" t="s">
        <v>279</v>
      </c>
      <c r="J1" s="7" t="s">
        <v>280</v>
      </c>
      <c r="K1" s="7" t="s">
        <v>281</v>
      </c>
      <c r="L1" s="7" t="s">
        <v>282</v>
      </c>
      <c r="M1" s="7" t="s">
        <v>283</v>
      </c>
      <c r="N1" s="7" t="s">
        <v>233</v>
      </c>
      <c r="O1" s="7" t="s">
        <v>234</v>
      </c>
      <c r="P1" s="7" t="s">
        <v>284</v>
      </c>
      <c r="Q1" s="7" t="s">
        <v>128</v>
      </c>
      <c r="R1" s="7" t="s">
        <v>285</v>
      </c>
      <c r="S1" s="7" t="s">
        <v>286</v>
      </c>
    </row>
    <row r="2" customFormat="false" ht="15" hidden="false" customHeight="false" outlineLevel="0" collapsed="false">
      <c r="A2" s="4" t="s">
        <v>287</v>
      </c>
      <c r="B2" s="4" t="s">
        <v>288</v>
      </c>
      <c r="C2" s="4" t="s">
        <v>289</v>
      </c>
      <c r="D2" s="4" t="s">
        <v>52</v>
      </c>
      <c r="E2" s="4" t="n">
        <v>1775464993</v>
      </c>
      <c r="F2" s="4" t="n">
        <v>1775464713</v>
      </c>
      <c r="G2" s="4" t="n">
        <v>1775464723</v>
      </c>
      <c r="H2" s="4" t="n">
        <v>1000000000000000</v>
      </c>
      <c r="I2" s="4" t="n">
        <v>1000000000000000</v>
      </c>
      <c r="J2" s="4" t="n">
        <v>1775466130</v>
      </c>
      <c r="K2" s="4" t="n">
        <v>1000000000000000</v>
      </c>
      <c r="L2" s="12" t="n">
        <f aca="false">IF(AND(B2=Cutoff!$B$12,E2&lt;=Cutoff!$B$10),1,0)</f>
        <v>1</v>
      </c>
      <c r="M2" s="12" t="n">
        <f aca="false">IF(AND(L2=1,F2&lt;1000000000000000,G2&lt;=Cutoff!$B$10),1,0)</f>
        <v>1</v>
      </c>
      <c r="N2" s="12" t="n">
        <f aca="false">IF(AND(M2=1,F2+Cutoff!$B$16&lt;=Cutoff!$B$10),1,0)</f>
        <v>1</v>
      </c>
      <c r="O2" s="12" t="n">
        <f aca="false">IF(N2=1,IF(AND(H2&lt;1000000000000000,H2&gt;=MAX(F2,E2),H2&lt;F2+Cutoff!$B$16,I2&lt;=Cutoff!$B$10),1,0),0)</f>
        <v>0</v>
      </c>
      <c r="P2" s="12" t="n">
        <f aca="false">IF(AND(L2=1,J2&lt;=Cutoff!$B$10),1,0)</f>
        <v>1</v>
      </c>
      <c r="Q2" s="12" t="n">
        <f aca="false">IF(AND(N2=1,E2+Cutoff!$B$17&lt;=Cutoff!$B$10),1,0)</f>
        <v>1</v>
      </c>
      <c r="R2" s="12" t="n">
        <f aca="false">IF(Q2=1,IF(K2&lt;=Cutoff!$B$10,1,0),0)</f>
        <v>0</v>
      </c>
      <c r="S2" s="12" t="n">
        <f aca="false">IF(N2=1,SUMIFS(Subscriptions!$D$2:$D$208,Subscriptions!$A$2:$A$208,C2,Subscriptions!$E$2:$E$208,1,Subscriptions!$B$2:$B$208,"&gt;="&amp;Cutoff!$B$24,Subscriptions!$B$2:$B$208,"&lt;"&amp;Cutoff!$B$25,Subscriptions!$B$2:$B$208,"&lt;="&amp;Cutoff!$B$10),0)</f>
        <v>132</v>
      </c>
    </row>
    <row r="3" customFormat="false" ht="15" hidden="false" customHeight="false" outlineLevel="0" collapsed="false">
      <c r="A3" s="4" t="s">
        <v>290</v>
      </c>
      <c r="B3" s="4" t="s">
        <v>288</v>
      </c>
      <c r="C3" s="4" t="s">
        <v>291</v>
      </c>
      <c r="D3" s="4" t="s">
        <v>52</v>
      </c>
      <c r="E3" s="4" t="n">
        <v>1775482142</v>
      </c>
      <c r="F3" s="4" t="n">
        <v>1775481748</v>
      </c>
      <c r="G3" s="4" t="n">
        <v>1775481765</v>
      </c>
      <c r="H3" s="4" t="n">
        <v>1000000000000000</v>
      </c>
      <c r="I3" s="4" t="n">
        <v>1000000000000000</v>
      </c>
      <c r="J3" s="4" t="n">
        <v>1775482379</v>
      </c>
      <c r="K3" s="4" t="n">
        <v>1775482831</v>
      </c>
      <c r="L3" s="12" t="n">
        <f aca="false">IF(AND(B3=Cutoff!$B$12,E3&lt;=Cutoff!$B$10),1,0)</f>
        <v>1</v>
      </c>
      <c r="M3" s="12" t="n">
        <f aca="false">IF(AND(L3=1,F3&lt;1000000000000000,G3&lt;=Cutoff!$B$10),1,0)</f>
        <v>1</v>
      </c>
      <c r="N3" s="12" t="n">
        <f aca="false">IF(AND(M3=1,F3+Cutoff!$B$16&lt;=Cutoff!$B$10),1,0)</f>
        <v>1</v>
      </c>
      <c r="O3" s="12" t="n">
        <f aca="false">IF(N3=1,IF(AND(H3&lt;1000000000000000,H3&gt;=MAX(F3,E3),H3&lt;F3+Cutoff!$B$16,I3&lt;=Cutoff!$B$10),1,0),0)</f>
        <v>0</v>
      </c>
      <c r="P3" s="12" t="n">
        <f aca="false">IF(AND(L3=1,J3&lt;=Cutoff!$B$10),1,0)</f>
        <v>1</v>
      </c>
      <c r="Q3" s="12" t="n">
        <f aca="false">IF(AND(N3=1,E3+Cutoff!$B$17&lt;=Cutoff!$B$10),1,0)</f>
        <v>1</v>
      </c>
      <c r="R3" s="12" t="n">
        <f aca="false">IF(Q3=1,IF(K3&lt;=Cutoff!$B$10,1,0),0)</f>
        <v>1</v>
      </c>
      <c r="S3" s="12" t="n">
        <f aca="false">IF(N3=1,SUMIFS(Subscriptions!$D$2:$D$208,Subscriptions!$A$2:$A$208,C3,Subscriptions!$E$2:$E$208,1,Subscriptions!$B$2:$B$208,"&gt;="&amp;Cutoff!$B$24,Subscriptions!$B$2:$B$208,"&lt;"&amp;Cutoff!$B$25,Subscriptions!$B$2:$B$208,"&lt;="&amp;Cutoff!$B$10),0)</f>
        <v>0</v>
      </c>
    </row>
    <row r="4" customFormat="false" ht="15" hidden="false" customHeight="false" outlineLevel="0" collapsed="false">
      <c r="A4" s="4" t="s">
        <v>292</v>
      </c>
      <c r="B4" s="4" t="s">
        <v>288</v>
      </c>
      <c r="C4" s="4" t="s">
        <v>293</v>
      </c>
      <c r="D4" s="4" t="s">
        <v>51</v>
      </c>
      <c r="E4" s="4" t="n">
        <v>1775484231</v>
      </c>
      <c r="F4" s="4" t="n">
        <v>1775483959</v>
      </c>
      <c r="G4" s="4" t="n">
        <v>1775488186</v>
      </c>
      <c r="H4" s="4" t="n">
        <v>1000000000000000</v>
      </c>
      <c r="I4" s="4" t="n">
        <v>1000000000000000</v>
      </c>
      <c r="J4" s="4" t="n">
        <v>1000000000000000</v>
      </c>
      <c r="K4" s="4" t="n">
        <v>1000000000000000</v>
      </c>
      <c r="L4" s="12" t="n">
        <f aca="false">IF(AND(B4=Cutoff!$B$12,E4&lt;=Cutoff!$B$10),1,0)</f>
        <v>1</v>
      </c>
      <c r="M4" s="12" t="n">
        <f aca="false">IF(AND(L4=1,F4&lt;1000000000000000,G4&lt;=Cutoff!$B$10),1,0)</f>
        <v>1</v>
      </c>
      <c r="N4" s="12" t="n">
        <f aca="false">IF(AND(M4=1,F4+Cutoff!$B$16&lt;=Cutoff!$B$10),1,0)</f>
        <v>1</v>
      </c>
      <c r="O4" s="12" t="n">
        <f aca="false">IF(N4=1,IF(AND(H4&lt;1000000000000000,H4&gt;=MAX(F4,E4),H4&lt;F4+Cutoff!$B$16,I4&lt;=Cutoff!$B$10),1,0),0)</f>
        <v>0</v>
      </c>
      <c r="P4" s="12" t="n">
        <f aca="false">IF(AND(L4=1,J4&lt;=Cutoff!$B$10),1,0)</f>
        <v>0</v>
      </c>
      <c r="Q4" s="12" t="n">
        <f aca="false">IF(AND(N4=1,E4+Cutoff!$B$17&lt;=Cutoff!$B$10),1,0)</f>
        <v>1</v>
      </c>
      <c r="R4" s="12" t="n">
        <f aca="false">IF(Q4=1,IF(K4&lt;=Cutoff!$B$10,1,0),0)</f>
        <v>0</v>
      </c>
      <c r="S4" s="12" t="n">
        <f aca="false">IF(N4=1,SUMIFS(Subscriptions!$D$2:$D$208,Subscriptions!$A$2:$A$208,C4,Subscriptions!$E$2:$E$208,1,Subscriptions!$B$2:$B$208,"&gt;="&amp;Cutoff!$B$24,Subscriptions!$B$2:$B$208,"&lt;"&amp;Cutoff!$B$25,Subscriptions!$B$2:$B$208,"&lt;="&amp;Cutoff!$B$10),0)</f>
        <v>0</v>
      </c>
    </row>
    <row r="5" customFormat="false" ht="15" hidden="false" customHeight="false" outlineLevel="0" collapsed="false">
      <c r="A5" s="4" t="s">
        <v>294</v>
      </c>
      <c r="B5" s="4" t="s">
        <v>288</v>
      </c>
      <c r="C5" s="4" t="s">
        <v>295</v>
      </c>
      <c r="D5" s="4" t="s">
        <v>51</v>
      </c>
      <c r="E5" s="4" t="n">
        <v>1775502198</v>
      </c>
      <c r="F5" s="4" t="n">
        <v>1775501961</v>
      </c>
      <c r="G5" s="4" t="n">
        <v>1775501985</v>
      </c>
      <c r="H5" s="4" t="n">
        <v>1000000000000000</v>
      </c>
      <c r="I5" s="4" t="n">
        <v>1000000000000000</v>
      </c>
      <c r="J5" s="4" t="n">
        <v>1775502719</v>
      </c>
      <c r="K5" s="4" t="n">
        <v>1775822914</v>
      </c>
      <c r="L5" s="12" t="n">
        <f aca="false">IF(AND(B5=Cutoff!$B$12,E5&lt;=Cutoff!$B$10),1,0)</f>
        <v>1</v>
      </c>
      <c r="M5" s="12" t="n">
        <f aca="false">IF(AND(L5=1,F5&lt;1000000000000000,G5&lt;=Cutoff!$B$10),1,0)</f>
        <v>1</v>
      </c>
      <c r="N5" s="12" t="n">
        <f aca="false">IF(AND(M5=1,F5+Cutoff!$B$16&lt;=Cutoff!$B$10),1,0)</f>
        <v>1</v>
      </c>
      <c r="O5" s="12" t="n">
        <f aca="false">IF(N5=1,IF(AND(H5&lt;1000000000000000,H5&gt;=MAX(F5,E5),H5&lt;F5+Cutoff!$B$16,I5&lt;=Cutoff!$B$10),1,0),0)</f>
        <v>0</v>
      </c>
      <c r="P5" s="12" t="n">
        <f aca="false">IF(AND(L5=1,J5&lt;=Cutoff!$B$10),1,0)</f>
        <v>1</v>
      </c>
      <c r="Q5" s="12" t="n">
        <f aca="false">IF(AND(N5=1,E5+Cutoff!$B$17&lt;=Cutoff!$B$10),1,0)</f>
        <v>1</v>
      </c>
      <c r="R5" s="12" t="n">
        <f aca="false">IF(Q5=1,IF(K5&lt;=Cutoff!$B$10,1,0),0)</f>
        <v>1</v>
      </c>
      <c r="S5" s="12" t="n">
        <f aca="false">IF(N5=1,SUMIFS(Subscriptions!$D$2:$D$208,Subscriptions!$A$2:$A$208,C5,Subscriptions!$E$2:$E$208,1,Subscriptions!$B$2:$B$208,"&gt;="&amp;Cutoff!$B$24,Subscriptions!$B$2:$B$208,"&lt;"&amp;Cutoff!$B$25,Subscriptions!$B$2:$B$208,"&lt;="&amp;Cutoff!$B$10),0)</f>
        <v>0</v>
      </c>
    </row>
    <row r="6" customFormat="false" ht="15" hidden="false" customHeight="false" outlineLevel="0" collapsed="false">
      <c r="A6" s="4" t="s">
        <v>296</v>
      </c>
      <c r="B6" s="4" t="s">
        <v>288</v>
      </c>
      <c r="C6" s="4" t="s">
        <v>297</v>
      </c>
      <c r="D6" s="4" t="s">
        <v>51</v>
      </c>
      <c r="E6" s="4" t="n">
        <v>1775515684</v>
      </c>
      <c r="F6" s="4" t="n">
        <v>1775515104</v>
      </c>
      <c r="G6" s="4" t="n">
        <v>1775515107</v>
      </c>
      <c r="H6" s="4" t="n">
        <v>1000000000000000</v>
      </c>
      <c r="I6" s="4" t="n">
        <v>1000000000000000</v>
      </c>
      <c r="J6" s="4" t="n">
        <v>1775516218</v>
      </c>
      <c r="K6" s="4" t="n">
        <v>1000000000000000</v>
      </c>
      <c r="L6" s="12" t="n">
        <f aca="false">IF(AND(B6=Cutoff!$B$12,E6&lt;=Cutoff!$B$10),1,0)</f>
        <v>1</v>
      </c>
      <c r="M6" s="12" t="n">
        <f aca="false">IF(AND(L6=1,F6&lt;1000000000000000,G6&lt;=Cutoff!$B$10),1,0)</f>
        <v>1</v>
      </c>
      <c r="N6" s="12" t="n">
        <f aca="false">IF(AND(M6=1,F6+Cutoff!$B$16&lt;=Cutoff!$B$10),1,0)</f>
        <v>1</v>
      </c>
      <c r="O6" s="12" t="n">
        <f aca="false">IF(N6=1,IF(AND(H6&lt;1000000000000000,H6&gt;=MAX(F6,E6),H6&lt;F6+Cutoff!$B$16,I6&lt;=Cutoff!$B$10),1,0),0)</f>
        <v>0</v>
      </c>
      <c r="P6" s="12" t="n">
        <f aca="false">IF(AND(L6=1,J6&lt;=Cutoff!$B$10),1,0)</f>
        <v>1</v>
      </c>
      <c r="Q6" s="12" t="n">
        <f aca="false">IF(AND(N6=1,E6+Cutoff!$B$17&lt;=Cutoff!$B$10),1,0)</f>
        <v>1</v>
      </c>
      <c r="R6" s="12" t="n">
        <f aca="false">IF(Q6=1,IF(K6&lt;=Cutoff!$B$10,1,0),0)</f>
        <v>0</v>
      </c>
      <c r="S6" s="12" t="n">
        <f aca="false">IF(N6=1,SUMIFS(Subscriptions!$D$2:$D$208,Subscriptions!$A$2:$A$208,C6,Subscriptions!$E$2:$E$208,1,Subscriptions!$B$2:$B$208,"&gt;="&amp;Cutoff!$B$24,Subscriptions!$B$2:$B$208,"&lt;"&amp;Cutoff!$B$25,Subscriptions!$B$2:$B$208,"&lt;="&amp;Cutoff!$B$10),0)</f>
        <v>0</v>
      </c>
    </row>
    <row r="7" customFormat="false" ht="15" hidden="false" customHeight="false" outlineLevel="0" collapsed="false">
      <c r="A7" s="4" t="s">
        <v>298</v>
      </c>
      <c r="B7" s="4" t="s">
        <v>288</v>
      </c>
      <c r="C7" s="4" t="s">
        <v>299</v>
      </c>
      <c r="D7" s="4" t="s">
        <v>52</v>
      </c>
      <c r="E7" s="4" t="n">
        <v>1775553193</v>
      </c>
      <c r="F7" s="4" t="n">
        <v>1775553020</v>
      </c>
      <c r="G7" s="4" t="n">
        <v>1775553741</v>
      </c>
      <c r="H7" s="4" t="n">
        <v>1000000000000000</v>
      </c>
      <c r="I7" s="4" t="n">
        <v>1000000000000000</v>
      </c>
      <c r="J7" s="4" t="n">
        <v>1775554334</v>
      </c>
      <c r="K7" s="4" t="n">
        <v>1000000000000000</v>
      </c>
      <c r="L7" s="12" t="n">
        <f aca="false">IF(AND(B7=Cutoff!$B$12,E7&lt;=Cutoff!$B$10),1,0)</f>
        <v>1</v>
      </c>
      <c r="M7" s="12" t="n">
        <f aca="false">IF(AND(L7=1,F7&lt;1000000000000000,G7&lt;=Cutoff!$B$10),1,0)</f>
        <v>1</v>
      </c>
      <c r="N7" s="12" t="n">
        <f aca="false">IF(AND(M7=1,F7+Cutoff!$B$16&lt;=Cutoff!$B$10),1,0)</f>
        <v>1</v>
      </c>
      <c r="O7" s="12" t="n">
        <f aca="false">IF(N7=1,IF(AND(H7&lt;1000000000000000,H7&gt;=MAX(F7,E7),H7&lt;F7+Cutoff!$B$16,I7&lt;=Cutoff!$B$10),1,0),0)</f>
        <v>0</v>
      </c>
      <c r="P7" s="12" t="n">
        <f aca="false">IF(AND(L7=1,J7&lt;=Cutoff!$B$10),1,0)</f>
        <v>1</v>
      </c>
      <c r="Q7" s="12" t="n">
        <f aca="false">IF(AND(N7=1,E7+Cutoff!$B$17&lt;=Cutoff!$B$10),1,0)</f>
        <v>1</v>
      </c>
      <c r="R7" s="12" t="n">
        <f aca="false">IF(Q7=1,IF(K7&lt;=Cutoff!$B$10,1,0),0)</f>
        <v>0</v>
      </c>
      <c r="S7" s="12" t="n">
        <f aca="false">IF(N7=1,SUMIFS(Subscriptions!$D$2:$D$208,Subscriptions!$A$2:$A$208,C7,Subscriptions!$E$2:$E$208,1,Subscriptions!$B$2:$B$208,"&gt;="&amp;Cutoff!$B$24,Subscriptions!$B$2:$B$208,"&lt;"&amp;Cutoff!$B$25,Subscriptions!$B$2:$B$208,"&lt;="&amp;Cutoff!$B$10),0)</f>
        <v>0</v>
      </c>
    </row>
    <row r="8" customFormat="false" ht="15" hidden="false" customHeight="false" outlineLevel="0" collapsed="false">
      <c r="A8" s="4" t="s">
        <v>300</v>
      </c>
      <c r="B8" s="4" t="s">
        <v>288</v>
      </c>
      <c r="C8" s="4" t="s">
        <v>301</v>
      </c>
      <c r="D8" s="4" t="s">
        <v>52</v>
      </c>
      <c r="E8" s="4" t="n">
        <v>1775564728</v>
      </c>
      <c r="F8" s="4" t="n">
        <v>1775564413</v>
      </c>
      <c r="G8" s="4" t="n">
        <v>1775564421</v>
      </c>
      <c r="H8" s="4" t="n">
        <v>1000000000000000</v>
      </c>
      <c r="I8" s="4" t="n">
        <v>1000000000000000</v>
      </c>
      <c r="J8" s="4" t="n">
        <v>1775565594</v>
      </c>
      <c r="K8" s="4" t="n">
        <v>1000000000000000</v>
      </c>
      <c r="L8" s="12" t="n">
        <f aca="false">IF(AND(B8=Cutoff!$B$12,E8&lt;=Cutoff!$B$10),1,0)</f>
        <v>1</v>
      </c>
      <c r="M8" s="12" t="n">
        <f aca="false">IF(AND(L8=1,F8&lt;1000000000000000,G8&lt;=Cutoff!$B$10),1,0)</f>
        <v>1</v>
      </c>
      <c r="N8" s="12" t="n">
        <f aca="false">IF(AND(M8=1,F8+Cutoff!$B$16&lt;=Cutoff!$B$10),1,0)</f>
        <v>1</v>
      </c>
      <c r="O8" s="12" t="n">
        <f aca="false">IF(N8=1,IF(AND(H8&lt;1000000000000000,H8&gt;=MAX(F8,E8),H8&lt;F8+Cutoff!$B$16,I8&lt;=Cutoff!$B$10),1,0),0)</f>
        <v>0</v>
      </c>
      <c r="P8" s="12" t="n">
        <f aca="false">IF(AND(L8=1,J8&lt;=Cutoff!$B$10),1,0)</f>
        <v>1</v>
      </c>
      <c r="Q8" s="12" t="n">
        <f aca="false">IF(AND(N8=1,E8+Cutoff!$B$17&lt;=Cutoff!$B$10),1,0)</f>
        <v>1</v>
      </c>
      <c r="R8" s="12" t="n">
        <f aca="false">IF(Q8=1,IF(K8&lt;=Cutoff!$B$10,1,0),0)</f>
        <v>0</v>
      </c>
      <c r="S8" s="12" t="n">
        <f aca="false">IF(N8=1,SUMIFS(Subscriptions!$D$2:$D$208,Subscriptions!$A$2:$A$208,C8,Subscriptions!$E$2:$E$208,1,Subscriptions!$B$2:$B$208,"&gt;="&amp;Cutoff!$B$24,Subscriptions!$B$2:$B$208,"&lt;"&amp;Cutoff!$B$25,Subscriptions!$B$2:$B$208,"&lt;="&amp;Cutoff!$B$10),0)</f>
        <v>0</v>
      </c>
    </row>
    <row r="9" customFormat="false" ht="15" hidden="false" customHeight="false" outlineLevel="0" collapsed="false">
      <c r="A9" s="4" t="s">
        <v>302</v>
      </c>
      <c r="B9" s="4" t="s">
        <v>288</v>
      </c>
      <c r="C9" s="4" t="s">
        <v>303</v>
      </c>
      <c r="D9" s="4" t="s">
        <v>51</v>
      </c>
      <c r="E9" s="4" t="n">
        <v>1775569317</v>
      </c>
      <c r="F9" s="4" t="n">
        <v>1775568771</v>
      </c>
      <c r="G9" s="4" t="n">
        <v>1775568790</v>
      </c>
      <c r="H9" s="4" t="n">
        <v>1000000000000000</v>
      </c>
      <c r="I9" s="4" t="n">
        <v>1000000000000000</v>
      </c>
      <c r="J9" s="4" t="n">
        <v>1775569392</v>
      </c>
      <c r="K9" s="4" t="n">
        <v>1000000000000000</v>
      </c>
      <c r="L9" s="12" t="n">
        <f aca="false">IF(AND(B9=Cutoff!$B$12,E9&lt;=Cutoff!$B$10),1,0)</f>
        <v>1</v>
      </c>
      <c r="M9" s="12" t="n">
        <f aca="false">IF(AND(L9=1,F9&lt;1000000000000000,G9&lt;=Cutoff!$B$10),1,0)</f>
        <v>1</v>
      </c>
      <c r="N9" s="12" t="n">
        <f aca="false">IF(AND(M9=1,F9+Cutoff!$B$16&lt;=Cutoff!$B$10),1,0)</f>
        <v>1</v>
      </c>
      <c r="O9" s="12" t="n">
        <f aca="false">IF(N9=1,IF(AND(H9&lt;1000000000000000,H9&gt;=MAX(F9,E9),H9&lt;F9+Cutoff!$B$16,I9&lt;=Cutoff!$B$10),1,0),0)</f>
        <v>0</v>
      </c>
      <c r="P9" s="12" t="n">
        <f aca="false">IF(AND(L9=1,J9&lt;=Cutoff!$B$10),1,0)</f>
        <v>1</v>
      </c>
      <c r="Q9" s="12" t="n">
        <f aca="false">IF(AND(N9=1,E9+Cutoff!$B$17&lt;=Cutoff!$B$10),1,0)</f>
        <v>1</v>
      </c>
      <c r="R9" s="12" t="n">
        <f aca="false">IF(Q9=1,IF(K9&lt;=Cutoff!$B$10,1,0),0)</f>
        <v>0</v>
      </c>
      <c r="S9" s="12" t="n">
        <f aca="false">IF(N9=1,SUMIFS(Subscriptions!$D$2:$D$208,Subscriptions!$A$2:$A$208,C9,Subscriptions!$E$2:$E$208,1,Subscriptions!$B$2:$B$208,"&gt;="&amp;Cutoff!$B$24,Subscriptions!$B$2:$B$208,"&lt;"&amp;Cutoff!$B$25,Subscriptions!$B$2:$B$208,"&lt;="&amp;Cutoff!$B$10),0)</f>
        <v>0</v>
      </c>
    </row>
    <row r="10" customFormat="false" ht="15" hidden="false" customHeight="false" outlineLevel="0" collapsed="false">
      <c r="A10" s="4" t="s">
        <v>304</v>
      </c>
      <c r="B10" s="4" t="s">
        <v>288</v>
      </c>
      <c r="C10" s="4" t="s">
        <v>305</v>
      </c>
      <c r="D10" s="4" t="s">
        <v>51</v>
      </c>
      <c r="E10" s="4" t="n">
        <v>1775573034</v>
      </c>
      <c r="F10" s="4" t="n">
        <v>1775572871</v>
      </c>
      <c r="G10" s="4" t="n">
        <v>1775572878</v>
      </c>
      <c r="H10" s="4" t="n">
        <v>1000000000000000</v>
      </c>
      <c r="I10" s="4" t="n">
        <v>1000000000000000</v>
      </c>
      <c r="J10" s="4" t="n">
        <v>1000000000000000</v>
      </c>
      <c r="K10" s="4" t="n">
        <v>1000000000000000</v>
      </c>
      <c r="L10" s="12" t="n">
        <f aca="false">IF(AND(B10=Cutoff!$B$12,E10&lt;=Cutoff!$B$10),1,0)</f>
        <v>1</v>
      </c>
      <c r="M10" s="12" t="n">
        <f aca="false">IF(AND(L10=1,F10&lt;1000000000000000,G10&lt;=Cutoff!$B$10),1,0)</f>
        <v>1</v>
      </c>
      <c r="N10" s="12" t="n">
        <f aca="false">IF(AND(M10=1,F10+Cutoff!$B$16&lt;=Cutoff!$B$10),1,0)</f>
        <v>1</v>
      </c>
      <c r="O10" s="12" t="n">
        <f aca="false">IF(N10=1,IF(AND(H10&lt;1000000000000000,H10&gt;=MAX(F10,E10),H10&lt;F10+Cutoff!$B$16,I10&lt;=Cutoff!$B$10),1,0),0)</f>
        <v>0</v>
      </c>
      <c r="P10" s="12" t="n">
        <f aca="false">IF(AND(L10=1,J10&lt;=Cutoff!$B$10),1,0)</f>
        <v>0</v>
      </c>
      <c r="Q10" s="12" t="n">
        <f aca="false">IF(AND(N10=1,E10+Cutoff!$B$17&lt;=Cutoff!$B$10),1,0)</f>
        <v>1</v>
      </c>
      <c r="R10" s="12" t="n">
        <f aca="false">IF(Q10=1,IF(K10&lt;=Cutoff!$B$10,1,0),0)</f>
        <v>0</v>
      </c>
      <c r="S10" s="12" t="n">
        <f aca="false">IF(N10=1,SUMIFS(Subscriptions!$D$2:$D$208,Subscriptions!$A$2:$A$208,C10,Subscriptions!$E$2:$E$208,1,Subscriptions!$B$2:$B$208,"&gt;="&amp;Cutoff!$B$24,Subscriptions!$B$2:$B$208,"&lt;"&amp;Cutoff!$B$25,Subscriptions!$B$2:$B$208,"&lt;="&amp;Cutoff!$B$10),0)</f>
        <v>0</v>
      </c>
    </row>
    <row r="11" customFormat="false" ht="15" hidden="false" customHeight="false" outlineLevel="0" collapsed="false">
      <c r="A11" s="4" t="s">
        <v>306</v>
      </c>
      <c r="B11" s="4" t="s">
        <v>288</v>
      </c>
      <c r="C11" s="4" t="s">
        <v>307</v>
      </c>
      <c r="D11" s="4" t="s">
        <v>52</v>
      </c>
      <c r="E11" s="4" t="n">
        <v>1775574313</v>
      </c>
      <c r="F11" s="4" t="n">
        <v>1775573751</v>
      </c>
      <c r="G11" s="4" t="n">
        <v>1775573764</v>
      </c>
      <c r="H11" s="4" t="n">
        <v>1000000000000000</v>
      </c>
      <c r="I11" s="4" t="n">
        <v>1000000000000000</v>
      </c>
      <c r="J11" s="4" t="n">
        <v>1775575154</v>
      </c>
      <c r="K11" s="4" t="n">
        <v>1000000000000000</v>
      </c>
      <c r="L11" s="12" t="n">
        <f aca="false">IF(AND(B11=Cutoff!$B$12,E11&lt;=Cutoff!$B$10),1,0)</f>
        <v>1</v>
      </c>
      <c r="M11" s="12" t="n">
        <f aca="false">IF(AND(L11=1,F11&lt;1000000000000000,G11&lt;=Cutoff!$B$10),1,0)</f>
        <v>1</v>
      </c>
      <c r="N11" s="12" t="n">
        <f aca="false">IF(AND(M11=1,F11+Cutoff!$B$16&lt;=Cutoff!$B$10),1,0)</f>
        <v>1</v>
      </c>
      <c r="O11" s="12" t="n">
        <f aca="false">IF(N11=1,IF(AND(H11&lt;1000000000000000,H11&gt;=MAX(F11,E11),H11&lt;F11+Cutoff!$B$16,I11&lt;=Cutoff!$B$10),1,0),0)</f>
        <v>0</v>
      </c>
      <c r="P11" s="12" t="n">
        <f aca="false">IF(AND(L11=1,J11&lt;=Cutoff!$B$10),1,0)</f>
        <v>1</v>
      </c>
      <c r="Q11" s="12" t="n">
        <f aca="false">IF(AND(N11=1,E11+Cutoff!$B$17&lt;=Cutoff!$B$10),1,0)</f>
        <v>1</v>
      </c>
      <c r="R11" s="12" t="n">
        <f aca="false">IF(Q11=1,IF(K11&lt;=Cutoff!$B$10,1,0),0)</f>
        <v>0</v>
      </c>
      <c r="S11" s="12" t="n">
        <f aca="false">IF(N11=1,SUMIFS(Subscriptions!$D$2:$D$208,Subscriptions!$A$2:$A$208,C11,Subscriptions!$E$2:$E$208,1,Subscriptions!$B$2:$B$208,"&gt;="&amp;Cutoff!$B$24,Subscriptions!$B$2:$B$208,"&lt;"&amp;Cutoff!$B$25,Subscriptions!$B$2:$B$208,"&lt;="&amp;Cutoff!$B$10),0)</f>
        <v>1053</v>
      </c>
    </row>
    <row r="12" customFormat="false" ht="15" hidden="false" customHeight="false" outlineLevel="0" collapsed="false">
      <c r="A12" s="4" t="s">
        <v>308</v>
      </c>
      <c r="B12" s="4" t="s">
        <v>288</v>
      </c>
      <c r="C12" s="4" t="s">
        <v>309</v>
      </c>
      <c r="D12" s="4" t="s">
        <v>52</v>
      </c>
      <c r="E12" s="4" t="n">
        <v>1775590045</v>
      </c>
      <c r="F12" s="4" t="n">
        <v>1775589900</v>
      </c>
      <c r="G12" s="4" t="n">
        <v>1775589919</v>
      </c>
      <c r="H12" s="4" t="n">
        <v>1000000000000000</v>
      </c>
      <c r="I12" s="4" t="n">
        <v>1000000000000000</v>
      </c>
      <c r="J12" s="4" t="n">
        <v>1775590636</v>
      </c>
      <c r="K12" s="4" t="n">
        <v>1000000000000000</v>
      </c>
      <c r="L12" s="12" t="n">
        <f aca="false">IF(AND(B12=Cutoff!$B$12,E12&lt;=Cutoff!$B$10),1,0)</f>
        <v>1</v>
      </c>
      <c r="M12" s="12" t="n">
        <f aca="false">IF(AND(L12=1,F12&lt;1000000000000000,G12&lt;=Cutoff!$B$10),1,0)</f>
        <v>1</v>
      </c>
      <c r="N12" s="12" t="n">
        <f aca="false">IF(AND(M12=1,F12+Cutoff!$B$16&lt;=Cutoff!$B$10),1,0)</f>
        <v>1</v>
      </c>
      <c r="O12" s="12" t="n">
        <f aca="false">IF(N12=1,IF(AND(H12&lt;1000000000000000,H12&gt;=MAX(F12,E12),H12&lt;F12+Cutoff!$B$16,I12&lt;=Cutoff!$B$10),1,0),0)</f>
        <v>0</v>
      </c>
      <c r="P12" s="12" t="n">
        <f aca="false">IF(AND(L12=1,J12&lt;=Cutoff!$B$10),1,0)</f>
        <v>1</v>
      </c>
      <c r="Q12" s="12" t="n">
        <f aca="false">IF(AND(N12=1,E12+Cutoff!$B$17&lt;=Cutoff!$B$10),1,0)</f>
        <v>1</v>
      </c>
      <c r="R12" s="12" t="n">
        <f aca="false">IF(Q12=1,IF(K12&lt;=Cutoff!$B$10,1,0),0)</f>
        <v>0</v>
      </c>
      <c r="S12" s="12" t="n">
        <f aca="false">IF(N12=1,SUMIFS(Subscriptions!$D$2:$D$208,Subscriptions!$A$2:$A$208,C12,Subscriptions!$E$2:$E$208,1,Subscriptions!$B$2:$B$208,"&gt;="&amp;Cutoff!$B$24,Subscriptions!$B$2:$B$208,"&lt;"&amp;Cutoff!$B$25,Subscriptions!$B$2:$B$208,"&lt;="&amp;Cutoff!$B$10),0)</f>
        <v>132</v>
      </c>
    </row>
    <row r="13" customFormat="false" ht="15" hidden="false" customHeight="false" outlineLevel="0" collapsed="false">
      <c r="A13" s="4" t="s">
        <v>310</v>
      </c>
      <c r="B13" s="4" t="s">
        <v>288</v>
      </c>
      <c r="C13" s="4" t="s">
        <v>311</v>
      </c>
      <c r="D13" s="4" t="s">
        <v>51</v>
      </c>
      <c r="E13" s="4" t="n">
        <v>1775638140</v>
      </c>
      <c r="F13" s="4" t="n">
        <v>1775637624</v>
      </c>
      <c r="G13" s="4" t="n">
        <v>1775637641</v>
      </c>
      <c r="H13" s="4" t="n">
        <v>1000000000000000</v>
      </c>
      <c r="I13" s="4" t="n">
        <v>1000000000000000</v>
      </c>
      <c r="J13" s="4" t="n">
        <v>1775639183</v>
      </c>
      <c r="K13" s="4" t="n">
        <v>1000000000000000</v>
      </c>
      <c r="L13" s="12" t="n">
        <f aca="false">IF(AND(B13=Cutoff!$B$12,E13&lt;=Cutoff!$B$10),1,0)</f>
        <v>1</v>
      </c>
      <c r="M13" s="12" t="n">
        <f aca="false">IF(AND(L13=1,F13&lt;1000000000000000,G13&lt;=Cutoff!$B$10),1,0)</f>
        <v>1</v>
      </c>
      <c r="N13" s="12" t="n">
        <f aca="false">IF(AND(M13=1,F13+Cutoff!$B$16&lt;=Cutoff!$B$10),1,0)</f>
        <v>1</v>
      </c>
      <c r="O13" s="12" t="n">
        <f aca="false">IF(N13=1,IF(AND(H13&lt;1000000000000000,H13&gt;=MAX(F13,E13),H13&lt;F13+Cutoff!$B$16,I13&lt;=Cutoff!$B$10),1,0),0)</f>
        <v>0</v>
      </c>
      <c r="P13" s="12" t="n">
        <f aca="false">IF(AND(L13=1,J13&lt;=Cutoff!$B$10),1,0)</f>
        <v>1</v>
      </c>
      <c r="Q13" s="12" t="n">
        <f aca="false">IF(AND(N13=1,E13+Cutoff!$B$17&lt;=Cutoff!$B$10),1,0)</f>
        <v>1</v>
      </c>
      <c r="R13" s="12" t="n">
        <f aca="false">IF(Q13=1,IF(K13&lt;=Cutoff!$B$10,1,0),0)</f>
        <v>0</v>
      </c>
      <c r="S13" s="12" t="n">
        <f aca="false">IF(N13=1,SUMIFS(Subscriptions!$D$2:$D$208,Subscriptions!$A$2:$A$208,C13,Subscriptions!$E$2:$E$208,1,Subscriptions!$B$2:$B$208,"&gt;="&amp;Cutoff!$B$24,Subscriptions!$B$2:$B$208,"&lt;"&amp;Cutoff!$B$25,Subscriptions!$B$2:$B$208,"&lt;="&amp;Cutoff!$B$10),0)</f>
        <v>0</v>
      </c>
    </row>
    <row r="14" customFormat="false" ht="15" hidden="false" customHeight="false" outlineLevel="0" collapsed="false">
      <c r="A14" s="4" t="s">
        <v>312</v>
      </c>
      <c r="B14" s="4" t="s">
        <v>288</v>
      </c>
      <c r="C14" s="4" t="s">
        <v>313</v>
      </c>
      <c r="D14" s="4" t="s">
        <v>52</v>
      </c>
      <c r="E14" s="4" t="n">
        <v>1775647496</v>
      </c>
      <c r="F14" s="4" t="n">
        <v>1775647263</v>
      </c>
      <c r="G14" s="4" t="n">
        <v>1775647288</v>
      </c>
      <c r="H14" s="4" t="n">
        <v>1000000000000000</v>
      </c>
      <c r="I14" s="4" t="n">
        <v>1000000000000000</v>
      </c>
      <c r="J14" s="4" t="n">
        <v>1000000000000000</v>
      </c>
      <c r="K14" s="4" t="n">
        <v>1000000000000000</v>
      </c>
      <c r="L14" s="12" t="n">
        <f aca="false">IF(AND(B14=Cutoff!$B$12,E14&lt;=Cutoff!$B$10),1,0)</f>
        <v>1</v>
      </c>
      <c r="M14" s="12" t="n">
        <f aca="false">IF(AND(L14=1,F14&lt;1000000000000000,G14&lt;=Cutoff!$B$10),1,0)</f>
        <v>1</v>
      </c>
      <c r="N14" s="12" t="n">
        <f aca="false">IF(AND(M14=1,F14+Cutoff!$B$16&lt;=Cutoff!$B$10),1,0)</f>
        <v>1</v>
      </c>
      <c r="O14" s="12" t="n">
        <f aca="false">IF(N14=1,IF(AND(H14&lt;1000000000000000,H14&gt;=MAX(F14,E14),H14&lt;F14+Cutoff!$B$16,I14&lt;=Cutoff!$B$10),1,0),0)</f>
        <v>0</v>
      </c>
      <c r="P14" s="12" t="n">
        <f aca="false">IF(AND(L14=1,J14&lt;=Cutoff!$B$10),1,0)</f>
        <v>0</v>
      </c>
      <c r="Q14" s="12" t="n">
        <f aca="false">IF(AND(N14=1,E14+Cutoff!$B$17&lt;=Cutoff!$B$10),1,0)</f>
        <v>1</v>
      </c>
      <c r="R14" s="12" t="n">
        <f aca="false">IF(Q14=1,IF(K14&lt;=Cutoff!$B$10,1,0),0)</f>
        <v>0</v>
      </c>
      <c r="S14" s="12" t="n">
        <f aca="false">IF(N14=1,SUMIFS(Subscriptions!$D$2:$D$208,Subscriptions!$A$2:$A$208,C14,Subscriptions!$E$2:$E$208,1,Subscriptions!$B$2:$B$208,"&gt;="&amp;Cutoff!$B$24,Subscriptions!$B$2:$B$208,"&lt;"&amp;Cutoff!$B$25,Subscriptions!$B$2:$B$208,"&lt;="&amp;Cutoff!$B$10),0)</f>
        <v>0</v>
      </c>
    </row>
    <row r="15" customFormat="false" ht="15" hidden="false" customHeight="false" outlineLevel="0" collapsed="false">
      <c r="A15" s="4" t="s">
        <v>314</v>
      </c>
      <c r="B15" s="4" t="s">
        <v>288</v>
      </c>
      <c r="C15" s="4" t="s">
        <v>315</v>
      </c>
      <c r="D15" s="4" t="s">
        <v>51</v>
      </c>
      <c r="E15" s="4" t="n">
        <v>1775654709</v>
      </c>
      <c r="F15" s="4" t="n">
        <v>1775654224</v>
      </c>
      <c r="G15" s="4" t="n">
        <v>1775654428</v>
      </c>
      <c r="H15" s="4" t="n">
        <v>1000000000000000</v>
      </c>
      <c r="I15" s="4" t="n">
        <v>1000000000000000</v>
      </c>
      <c r="J15" s="4" t="n">
        <v>1775655121</v>
      </c>
      <c r="K15" s="4" t="n">
        <v>1000000000000000</v>
      </c>
      <c r="L15" s="12" t="n">
        <f aca="false">IF(AND(B15=Cutoff!$B$12,E15&lt;=Cutoff!$B$10),1,0)</f>
        <v>1</v>
      </c>
      <c r="M15" s="12" t="n">
        <f aca="false">IF(AND(L15=1,F15&lt;1000000000000000,G15&lt;=Cutoff!$B$10),1,0)</f>
        <v>1</v>
      </c>
      <c r="N15" s="12" t="n">
        <f aca="false">IF(AND(M15=1,F15+Cutoff!$B$16&lt;=Cutoff!$B$10),1,0)</f>
        <v>1</v>
      </c>
      <c r="O15" s="12" t="n">
        <f aca="false">IF(N15=1,IF(AND(H15&lt;1000000000000000,H15&gt;=MAX(F15,E15),H15&lt;F15+Cutoff!$B$16,I15&lt;=Cutoff!$B$10),1,0),0)</f>
        <v>0</v>
      </c>
      <c r="P15" s="12" t="n">
        <f aca="false">IF(AND(L15=1,J15&lt;=Cutoff!$B$10),1,0)</f>
        <v>1</v>
      </c>
      <c r="Q15" s="12" t="n">
        <f aca="false">IF(AND(N15=1,E15+Cutoff!$B$17&lt;=Cutoff!$B$10),1,0)</f>
        <v>1</v>
      </c>
      <c r="R15" s="12" t="n">
        <f aca="false">IF(Q15=1,IF(K15&lt;=Cutoff!$B$10,1,0),0)</f>
        <v>0</v>
      </c>
      <c r="S15" s="12" t="n">
        <f aca="false">IF(N15=1,SUMIFS(Subscriptions!$D$2:$D$208,Subscriptions!$A$2:$A$208,C15,Subscriptions!$E$2:$E$208,1,Subscriptions!$B$2:$B$208,"&gt;="&amp;Cutoff!$B$24,Subscriptions!$B$2:$B$208,"&lt;"&amp;Cutoff!$B$25,Subscriptions!$B$2:$B$208,"&lt;="&amp;Cutoff!$B$10),0)</f>
        <v>0</v>
      </c>
    </row>
    <row r="16" customFormat="false" ht="15" hidden="false" customHeight="false" outlineLevel="0" collapsed="false">
      <c r="A16" s="4" t="s">
        <v>316</v>
      </c>
      <c r="B16" s="4" t="s">
        <v>288</v>
      </c>
      <c r="C16" s="4" t="s">
        <v>317</v>
      </c>
      <c r="D16" s="4" t="s">
        <v>52</v>
      </c>
      <c r="E16" s="4" t="n">
        <v>1775655411</v>
      </c>
      <c r="F16" s="4" t="n">
        <v>1775654915</v>
      </c>
      <c r="G16" s="4" t="n">
        <v>1775654936</v>
      </c>
      <c r="H16" s="4" t="n">
        <v>1000000000000000</v>
      </c>
      <c r="I16" s="4" t="n">
        <v>1000000000000000</v>
      </c>
      <c r="J16" s="4" t="n">
        <v>1775655574</v>
      </c>
      <c r="K16" s="4" t="n">
        <v>1000000000000000</v>
      </c>
      <c r="L16" s="12" t="n">
        <f aca="false">IF(AND(B16=Cutoff!$B$12,E16&lt;=Cutoff!$B$10),1,0)</f>
        <v>1</v>
      </c>
      <c r="M16" s="12" t="n">
        <f aca="false">IF(AND(L16=1,F16&lt;1000000000000000,G16&lt;=Cutoff!$B$10),1,0)</f>
        <v>1</v>
      </c>
      <c r="N16" s="12" t="n">
        <f aca="false">IF(AND(M16=1,F16+Cutoff!$B$16&lt;=Cutoff!$B$10),1,0)</f>
        <v>1</v>
      </c>
      <c r="O16" s="12" t="n">
        <f aca="false">IF(N16=1,IF(AND(H16&lt;1000000000000000,H16&gt;=MAX(F16,E16),H16&lt;F16+Cutoff!$B$16,I16&lt;=Cutoff!$B$10),1,0),0)</f>
        <v>0</v>
      </c>
      <c r="P16" s="12" t="n">
        <f aca="false">IF(AND(L16=1,J16&lt;=Cutoff!$B$10),1,0)</f>
        <v>1</v>
      </c>
      <c r="Q16" s="12" t="n">
        <f aca="false">IF(AND(N16=1,E16+Cutoff!$B$17&lt;=Cutoff!$B$10),1,0)</f>
        <v>1</v>
      </c>
      <c r="R16" s="12" t="n">
        <f aca="false">IF(Q16=1,IF(K16&lt;=Cutoff!$B$10,1,0),0)</f>
        <v>0</v>
      </c>
      <c r="S16" s="12" t="n">
        <f aca="false">IF(N16=1,SUMIFS(Subscriptions!$D$2:$D$208,Subscriptions!$A$2:$A$208,C16,Subscriptions!$E$2:$E$208,1,Subscriptions!$B$2:$B$208,"&gt;="&amp;Cutoff!$B$24,Subscriptions!$B$2:$B$208,"&lt;"&amp;Cutoff!$B$25,Subscriptions!$B$2:$B$208,"&lt;="&amp;Cutoff!$B$10),0)</f>
        <v>0</v>
      </c>
    </row>
    <row r="17" customFormat="false" ht="15" hidden="false" customHeight="false" outlineLevel="0" collapsed="false">
      <c r="A17" s="4" t="s">
        <v>318</v>
      </c>
      <c r="B17" s="4" t="s">
        <v>288</v>
      </c>
      <c r="C17" s="4" t="s">
        <v>319</v>
      </c>
      <c r="D17" s="4" t="s">
        <v>51</v>
      </c>
      <c r="E17" s="4" t="n">
        <v>1775664790</v>
      </c>
      <c r="F17" s="4" t="n">
        <v>1775664500</v>
      </c>
      <c r="G17" s="4" t="n">
        <v>1775664513</v>
      </c>
      <c r="H17" s="4" t="n">
        <v>1000000000000000</v>
      </c>
      <c r="I17" s="4" t="n">
        <v>1000000000000000</v>
      </c>
      <c r="J17" s="4" t="n">
        <v>1775665490</v>
      </c>
      <c r="K17" s="4" t="n">
        <v>1000000000000000</v>
      </c>
      <c r="L17" s="12" t="n">
        <f aca="false">IF(AND(B17=Cutoff!$B$12,E17&lt;=Cutoff!$B$10),1,0)</f>
        <v>1</v>
      </c>
      <c r="M17" s="12" t="n">
        <f aca="false">IF(AND(L17=1,F17&lt;1000000000000000,G17&lt;=Cutoff!$B$10),1,0)</f>
        <v>1</v>
      </c>
      <c r="N17" s="12" t="n">
        <f aca="false">IF(AND(M17=1,F17+Cutoff!$B$16&lt;=Cutoff!$B$10),1,0)</f>
        <v>1</v>
      </c>
      <c r="O17" s="12" t="n">
        <f aca="false">IF(N17=1,IF(AND(H17&lt;1000000000000000,H17&gt;=MAX(F17,E17),H17&lt;F17+Cutoff!$B$16,I17&lt;=Cutoff!$B$10),1,0),0)</f>
        <v>0</v>
      </c>
      <c r="P17" s="12" t="n">
        <f aca="false">IF(AND(L17=1,J17&lt;=Cutoff!$B$10),1,0)</f>
        <v>1</v>
      </c>
      <c r="Q17" s="12" t="n">
        <f aca="false">IF(AND(N17=1,E17+Cutoff!$B$17&lt;=Cutoff!$B$10),1,0)</f>
        <v>1</v>
      </c>
      <c r="R17" s="12" t="n">
        <f aca="false">IF(Q17=1,IF(K17&lt;=Cutoff!$B$10,1,0),0)</f>
        <v>0</v>
      </c>
      <c r="S17" s="12" t="n">
        <f aca="false">IF(N17=1,SUMIFS(Subscriptions!$D$2:$D$208,Subscriptions!$A$2:$A$208,C17,Subscriptions!$E$2:$E$208,1,Subscriptions!$B$2:$B$208,"&gt;="&amp;Cutoff!$B$24,Subscriptions!$B$2:$B$208,"&lt;"&amp;Cutoff!$B$25,Subscriptions!$B$2:$B$208,"&lt;="&amp;Cutoff!$B$10),0)</f>
        <v>0</v>
      </c>
    </row>
    <row r="18" customFormat="false" ht="15" hidden="false" customHeight="false" outlineLevel="0" collapsed="false">
      <c r="A18" s="4" t="s">
        <v>320</v>
      </c>
      <c r="B18" s="4" t="s">
        <v>288</v>
      </c>
      <c r="C18" s="4" t="s">
        <v>321</v>
      </c>
      <c r="D18" s="4" t="s">
        <v>52</v>
      </c>
      <c r="E18" s="4" t="n">
        <v>1775681975</v>
      </c>
      <c r="F18" s="4" t="n">
        <v>1775681704</v>
      </c>
      <c r="G18" s="4" t="n">
        <v>1775681710</v>
      </c>
      <c r="H18" s="4" t="n">
        <v>1000000000000000</v>
      </c>
      <c r="I18" s="4" t="n">
        <v>1000000000000000</v>
      </c>
      <c r="J18" s="4" t="n">
        <v>1775682199</v>
      </c>
      <c r="K18" s="4" t="n">
        <v>1000000000000000</v>
      </c>
      <c r="L18" s="12" t="n">
        <f aca="false">IF(AND(B18=Cutoff!$B$12,E18&lt;=Cutoff!$B$10),1,0)</f>
        <v>1</v>
      </c>
      <c r="M18" s="12" t="n">
        <f aca="false">IF(AND(L18=1,F18&lt;1000000000000000,G18&lt;=Cutoff!$B$10),1,0)</f>
        <v>1</v>
      </c>
      <c r="N18" s="12" t="n">
        <f aca="false">IF(AND(M18=1,F18+Cutoff!$B$16&lt;=Cutoff!$B$10),1,0)</f>
        <v>1</v>
      </c>
      <c r="O18" s="12" t="n">
        <f aca="false">IF(N18=1,IF(AND(H18&lt;1000000000000000,H18&gt;=MAX(F18,E18),H18&lt;F18+Cutoff!$B$16,I18&lt;=Cutoff!$B$10),1,0),0)</f>
        <v>0</v>
      </c>
      <c r="P18" s="12" t="n">
        <f aca="false">IF(AND(L18=1,J18&lt;=Cutoff!$B$10),1,0)</f>
        <v>1</v>
      </c>
      <c r="Q18" s="12" t="n">
        <f aca="false">IF(AND(N18=1,E18+Cutoff!$B$17&lt;=Cutoff!$B$10),1,0)</f>
        <v>1</v>
      </c>
      <c r="R18" s="12" t="n">
        <f aca="false">IF(Q18=1,IF(K18&lt;=Cutoff!$B$10,1,0),0)</f>
        <v>0</v>
      </c>
      <c r="S18" s="12" t="n">
        <f aca="false">IF(N18=1,SUMIFS(Subscriptions!$D$2:$D$208,Subscriptions!$A$2:$A$208,C18,Subscriptions!$E$2:$E$208,1,Subscriptions!$B$2:$B$208,"&gt;="&amp;Cutoff!$B$24,Subscriptions!$B$2:$B$208,"&lt;"&amp;Cutoff!$B$25,Subscriptions!$B$2:$B$208,"&lt;="&amp;Cutoff!$B$10),0)</f>
        <v>0</v>
      </c>
    </row>
    <row r="19" customFormat="false" ht="15" hidden="false" customHeight="false" outlineLevel="0" collapsed="false">
      <c r="A19" s="4" t="s">
        <v>322</v>
      </c>
      <c r="B19" s="4" t="s">
        <v>288</v>
      </c>
      <c r="C19" s="4" t="s">
        <v>323</v>
      </c>
      <c r="D19" s="4" t="s">
        <v>52</v>
      </c>
      <c r="E19" s="4" t="n">
        <v>1775683694</v>
      </c>
      <c r="F19" s="4" t="n">
        <v>1775683423</v>
      </c>
      <c r="G19" s="4" t="n">
        <v>1775683424</v>
      </c>
      <c r="H19" s="4" t="n">
        <v>1775874238</v>
      </c>
      <c r="I19" s="4" t="n">
        <v>1775874239</v>
      </c>
      <c r="J19" s="4" t="n">
        <v>1775684318</v>
      </c>
      <c r="K19" s="4" t="n">
        <v>1000000000000000</v>
      </c>
      <c r="L19" s="12" t="n">
        <f aca="false">IF(AND(B19=Cutoff!$B$12,E19&lt;=Cutoff!$B$10),1,0)</f>
        <v>1</v>
      </c>
      <c r="M19" s="12" t="n">
        <f aca="false">IF(AND(L19=1,F19&lt;1000000000000000,G19&lt;=Cutoff!$B$10),1,0)</f>
        <v>1</v>
      </c>
      <c r="N19" s="12" t="n">
        <f aca="false">IF(AND(M19=1,F19+Cutoff!$B$16&lt;=Cutoff!$B$10),1,0)</f>
        <v>1</v>
      </c>
      <c r="O19" s="12" t="n">
        <f aca="false">IF(N19=1,IF(AND(H19&lt;1000000000000000,H19&gt;=MAX(F19,E19),H19&lt;F19+Cutoff!$B$16,I19&lt;=Cutoff!$B$10),1,0),0)</f>
        <v>1</v>
      </c>
      <c r="P19" s="12" t="n">
        <f aca="false">IF(AND(L19=1,J19&lt;=Cutoff!$B$10),1,0)</f>
        <v>1</v>
      </c>
      <c r="Q19" s="12" t="n">
        <f aca="false">IF(AND(N19=1,E19+Cutoff!$B$17&lt;=Cutoff!$B$10),1,0)</f>
        <v>1</v>
      </c>
      <c r="R19" s="12" t="n">
        <f aca="false">IF(Q19=1,IF(K19&lt;=Cutoff!$B$10,1,0),0)</f>
        <v>0</v>
      </c>
      <c r="S19" s="12" t="n">
        <f aca="false">IF(N19=1,SUMIFS(Subscriptions!$D$2:$D$208,Subscriptions!$A$2:$A$208,C19,Subscriptions!$E$2:$E$208,1,Subscriptions!$B$2:$B$208,"&gt;="&amp;Cutoff!$B$24,Subscriptions!$B$2:$B$208,"&lt;"&amp;Cutoff!$B$25,Subscriptions!$B$2:$B$208,"&lt;="&amp;Cutoff!$B$10),0)</f>
        <v>0</v>
      </c>
    </row>
    <row r="20" customFormat="false" ht="15" hidden="false" customHeight="false" outlineLevel="0" collapsed="false">
      <c r="A20" s="4" t="s">
        <v>324</v>
      </c>
      <c r="B20" s="4" t="s">
        <v>288</v>
      </c>
      <c r="C20" s="4" t="s">
        <v>325</v>
      </c>
      <c r="D20" s="4" t="s">
        <v>51</v>
      </c>
      <c r="E20" s="4" t="n">
        <v>1775689788</v>
      </c>
      <c r="F20" s="4" t="n">
        <v>1775689495</v>
      </c>
      <c r="G20" s="4" t="n">
        <v>1775689517</v>
      </c>
      <c r="H20" s="4" t="n">
        <v>1000000000000000</v>
      </c>
      <c r="I20" s="4" t="n">
        <v>1000000000000000</v>
      </c>
      <c r="J20" s="4" t="n">
        <v>1775690434</v>
      </c>
      <c r="K20" s="4" t="n">
        <v>1000000000000000</v>
      </c>
      <c r="L20" s="12" t="n">
        <f aca="false">IF(AND(B20=Cutoff!$B$12,E20&lt;=Cutoff!$B$10),1,0)</f>
        <v>1</v>
      </c>
      <c r="M20" s="12" t="n">
        <f aca="false">IF(AND(L20=1,F20&lt;1000000000000000,G20&lt;=Cutoff!$B$10),1,0)</f>
        <v>1</v>
      </c>
      <c r="N20" s="12" t="n">
        <f aca="false">IF(AND(M20=1,F20+Cutoff!$B$16&lt;=Cutoff!$B$10),1,0)</f>
        <v>1</v>
      </c>
      <c r="O20" s="12" t="n">
        <f aca="false">IF(N20=1,IF(AND(H20&lt;1000000000000000,H20&gt;=MAX(F20,E20),H20&lt;F20+Cutoff!$B$16,I20&lt;=Cutoff!$B$10),1,0),0)</f>
        <v>0</v>
      </c>
      <c r="P20" s="12" t="n">
        <f aca="false">IF(AND(L20=1,J20&lt;=Cutoff!$B$10),1,0)</f>
        <v>1</v>
      </c>
      <c r="Q20" s="12" t="n">
        <f aca="false">IF(AND(N20=1,E20+Cutoff!$B$17&lt;=Cutoff!$B$10),1,0)</f>
        <v>1</v>
      </c>
      <c r="R20" s="12" t="n">
        <f aca="false">IF(Q20=1,IF(K20&lt;=Cutoff!$B$10,1,0),0)</f>
        <v>0</v>
      </c>
      <c r="S20" s="12" t="n">
        <f aca="false">IF(N20=1,SUMIFS(Subscriptions!$D$2:$D$208,Subscriptions!$A$2:$A$208,C20,Subscriptions!$E$2:$E$208,1,Subscriptions!$B$2:$B$208,"&gt;="&amp;Cutoff!$B$24,Subscriptions!$B$2:$B$208,"&lt;"&amp;Cutoff!$B$25,Subscriptions!$B$2:$B$208,"&lt;="&amp;Cutoff!$B$10),0)</f>
        <v>108</v>
      </c>
    </row>
    <row r="21" customFormat="false" ht="15" hidden="false" customHeight="false" outlineLevel="0" collapsed="false">
      <c r="A21" s="4" t="s">
        <v>326</v>
      </c>
      <c r="B21" s="4" t="s">
        <v>288</v>
      </c>
      <c r="C21" s="4" t="s">
        <v>327</v>
      </c>
      <c r="D21" s="4" t="s">
        <v>51</v>
      </c>
      <c r="E21" s="4" t="n">
        <v>1775695771</v>
      </c>
      <c r="F21" s="4" t="n">
        <v>1775695291</v>
      </c>
      <c r="G21" s="4" t="n">
        <v>1775695510</v>
      </c>
      <c r="H21" s="4" t="n">
        <v>1000000000000000</v>
      </c>
      <c r="I21" s="4" t="n">
        <v>1000000000000000</v>
      </c>
      <c r="J21" s="4" t="n">
        <v>1775695861</v>
      </c>
      <c r="K21" s="4" t="n">
        <v>1000000000000000</v>
      </c>
      <c r="L21" s="12" t="n">
        <f aca="false">IF(AND(B21=Cutoff!$B$12,E21&lt;=Cutoff!$B$10),1,0)</f>
        <v>1</v>
      </c>
      <c r="M21" s="12" t="n">
        <f aca="false">IF(AND(L21=1,F21&lt;1000000000000000,G21&lt;=Cutoff!$B$10),1,0)</f>
        <v>1</v>
      </c>
      <c r="N21" s="12" t="n">
        <f aca="false">IF(AND(M21=1,F21+Cutoff!$B$16&lt;=Cutoff!$B$10),1,0)</f>
        <v>1</v>
      </c>
      <c r="O21" s="12" t="n">
        <f aca="false">IF(N21=1,IF(AND(H21&lt;1000000000000000,H21&gt;=MAX(F21,E21),H21&lt;F21+Cutoff!$B$16,I21&lt;=Cutoff!$B$10),1,0),0)</f>
        <v>0</v>
      </c>
      <c r="P21" s="12" t="n">
        <f aca="false">IF(AND(L21=1,J21&lt;=Cutoff!$B$10),1,0)</f>
        <v>1</v>
      </c>
      <c r="Q21" s="12" t="n">
        <f aca="false">IF(AND(N21=1,E21+Cutoff!$B$17&lt;=Cutoff!$B$10),1,0)</f>
        <v>1</v>
      </c>
      <c r="R21" s="12" t="n">
        <f aca="false">IF(Q21=1,IF(K21&lt;=Cutoff!$B$10,1,0),0)</f>
        <v>0</v>
      </c>
      <c r="S21" s="12" t="n">
        <f aca="false">IF(N21=1,SUMIFS(Subscriptions!$D$2:$D$208,Subscriptions!$A$2:$A$208,C21,Subscriptions!$E$2:$E$208,1,Subscriptions!$B$2:$B$208,"&gt;="&amp;Cutoff!$B$24,Subscriptions!$B$2:$B$208,"&lt;"&amp;Cutoff!$B$25,Subscriptions!$B$2:$B$208,"&lt;="&amp;Cutoff!$B$10),0)</f>
        <v>1014</v>
      </c>
    </row>
    <row r="22" customFormat="false" ht="15" hidden="false" customHeight="false" outlineLevel="0" collapsed="false">
      <c r="A22" s="4" t="s">
        <v>328</v>
      </c>
      <c r="B22" s="4" t="s">
        <v>288</v>
      </c>
      <c r="C22" s="4" t="s">
        <v>329</v>
      </c>
      <c r="D22" s="4" t="s">
        <v>51</v>
      </c>
      <c r="E22" s="4" t="n">
        <v>1775748904</v>
      </c>
      <c r="F22" s="4" t="n">
        <v>1775748463</v>
      </c>
      <c r="G22" s="4" t="n">
        <v>1775748474</v>
      </c>
      <c r="H22" s="4" t="n">
        <v>1000000000000000</v>
      </c>
      <c r="I22" s="4" t="n">
        <v>1000000000000000</v>
      </c>
      <c r="J22" s="4" t="n">
        <v>1775749668</v>
      </c>
      <c r="K22" s="4" t="n">
        <v>1000000000000000</v>
      </c>
      <c r="L22" s="12" t="n">
        <f aca="false">IF(AND(B22=Cutoff!$B$12,E22&lt;=Cutoff!$B$10),1,0)</f>
        <v>1</v>
      </c>
      <c r="M22" s="12" t="n">
        <f aca="false">IF(AND(L22=1,F22&lt;1000000000000000,G22&lt;=Cutoff!$B$10),1,0)</f>
        <v>1</v>
      </c>
      <c r="N22" s="12" t="n">
        <f aca="false">IF(AND(M22=1,F22+Cutoff!$B$16&lt;=Cutoff!$B$10),1,0)</f>
        <v>1</v>
      </c>
      <c r="O22" s="12" t="n">
        <f aca="false">IF(N22=1,IF(AND(H22&lt;1000000000000000,H22&gt;=MAX(F22,E22),H22&lt;F22+Cutoff!$B$16,I22&lt;=Cutoff!$B$10),1,0),0)</f>
        <v>0</v>
      </c>
      <c r="P22" s="12" t="n">
        <f aca="false">IF(AND(L22=1,J22&lt;=Cutoff!$B$10),1,0)</f>
        <v>1</v>
      </c>
      <c r="Q22" s="12" t="n">
        <f aca="false">IF(AND(N22=1,E22+Cutoff!$B$17&lt;=Cutoff!$B$10),1,0)</f>
        <v>1</v>
      </c>
      <c r="R22" s="12" t="n">
        <f aca="false">IF(Q22=1,IF(K22&lt;=Cutoff!$B$10,1,0),0)</f>
        <v>0</v>
      </c>
      <c r="S22" s="12" t="n">
        <f aca="false">IF(N22=1,SUMIFS(Subscriptions!$D$2:$D$208,Subscriptions!$A$2:$A$208,C22,Subscriptions!$E$2:$E$208,1,Subscriptions!$B$2:$B$208,"&gt;="&amp;Cutoff!$B$24,Subscriptions!$B$2:$B$208,"&lt;"&amp;Cutoff!$B$25,Subscriptions!$B$2:$B$208,"&lt;="&amp;Cutoff!$B$10),0)</f>
        <v>0</v>
      </c>
    </row>
    <row r="23" customFormat="false" ht="15" hidden="false" customHeight="false" outlineLevel="0" collapsed="false">
      <c r="A23" s="4" t="s">
        <v>330</v>
      </c>
      <c r="B23" s="4" t="s">
        <v>288</v>
      </c>
      <c r="C23" s="4" t="s">
        <v>331</v>
      </c>
      <c r="D23" s="4" t="s">
        <v>52</v>
      </c>
      <c r="E23" s="4" t="n">
        <v>1775750042</v>
      </c>
      <c r="F23" s="4" t="n">
        <v>1775749497</v>
      </c>
      <c r="G23" s="4" t="n">
        <v>1775749512</v>
      </c>
      <c r="H23" s="4" t="n">
        <v>1000000000000000</v>
      </c>
      <c r="I23" s="4" t="n">
        <v>1000000000000000</v>
      </c>
      <c r="J23" s="4" t="n">
        <v>1775750768</v>
      </c>
      <c r="K23" s="4" t="n">
        <v>1776276132</v>
      </c>
      <c r="L23" s="12" t="n">
        <f aca="false">IF(AND(B23=Cutoff!$B$12,E23&lt;=Cutoff!$B$10),1,0)</f>
        <v>1</v>
      </c>
      <c r="M23" s="12" t="n">
        <f aca="false">IF(AND(L23=1,F23&lt;1000000000000000,G23&lt;=Cutoff!$B$10),1,0)</f>
        <v>1</v>
      </c>
      <c r="N23" s="12" t="n">
        <f aca="false">IF(AND(M23=1,F23+Cutoff!$B$16&lt;=Cutoff!$B$10),1,0)</f>
        <v>1</v>
      </c>
      <c r="O23" s="12" t="n">
        <f aca="false">IF(N23=1,IF(AND(H23&lt;1000000000000000,H23&gt;=MAX(F23,E23),H23&lt;F23+Cutoff!$B$16,I23&lt;=Cutoff!$B$10),1,0),0)</f>
        <v>0</v>
      </c>
      <c r="P23" s="12" t="n">
        <f aca="false">IF(AND(L23=1,J23&lt;=Cutoff!$B$10),1,0)</f>
        <v>1</v>
      </c>
      <c r="Q23" s="12" t="n">
        <f aca="false">IF(AND(N23=1,E23+Cutoff!$B$17&lt;=Cutoff!$B$10),1,0)</f>
        <v>1</v>
      </c>
      <c r="R23" s="12" t="n">
        <f aca="false">IF(Q23=1,IF(K23&lt;=Cutoff!$B$10,1,0),0)</f>
        <v>1</v>
      </c>
      <c r="S23" s="12" t="n">
        <f aca="false">IF(N23=1,SUMIFS(Subscriptions!$D$2:$D$208,Subscriptions!$A$2:$A$208,C23,Subscriptions!$E$2:$E$208,1,Subscriptions!$B$2:$B$208,"&gt;="&amp;Cutoff!$B$24,Subscriptions!$B$2:$B$208,"&lt;"&amp;Cutoff!$B$25,Subscriptions!$B$2:$B$208,"&lt;="&amp;Cutoff!$B$10),0)</f>
        <v>84</v>
      </c>
    </row>
    <row r="24" customFormat="false" ht="15" hidden="false" customHeight="false" outlineLevel="0" collapsed="false">
      <c r="A24" s="4" t="s">
        <v>332</v>
      </c>
      <c r="B24" s="4" t="s">
        <v>288</v>
      </c>
      <c r="C24" s="4" t="s">
        <v>333</v>
      </c>
      <c r="D24" s="4" t="s">
        <v>51</v>
      </c>
      <c r="E24" s="4" t="n">
        <v>1775832316</v>
      </c>
      <c r="F24" s="4" t="n">
        <v>1775831799</v>
      </c>
      <c r="G24" s="4" t="n">
        <v>1775831820</v>
      </c>
      <c r="H24" s="4" t="n">
        <v>1000000000000000</v>
      </c>
      <c r="I24" s="4" t="n">
        <v>1000000000000000</v>
      </c>
      <c r="J24" s="4" t="n">
        <v>1775833471</v>
      </c>
      <c r="K24" s="4" t="n">
        <v>1000000000000000</v>
      </c>
      <c r="L24" s="12" t="n">
        <f aca="false">IF(AND(B24=Cutoff!$B$12,E24&lt;=Cutoff!$B$10),1,0)</f>
        <v>1</v>
      </c>
      <c r="M24" s="12" t="n">
        <f aca="false">IF(AND(L24=1,F24&lt;1000000000000000,G24&lt;=Cutoff!$B$10),1,0)</f>
        <v>1</v>
      </c>
      <c r="N24" s="12" t="n">
        <f aca="false">IF(AND(M24=1,F24+Cutoff!$B$16&lt;=Cutoff!$B$10),1,0)</f>
        <v>1</v>
      </c>
      <c r="O24" s="12" t="n">
        <f aca="false">IF(N24=1,IF(AND(H24&lt;1000000000000000,H24&gt;=MAX(F24,E24),H24&lt;F24+Cutoff!$B$16,I24&lt;=Cutoff!$B$10),1,0),0)</f>
        <v>0</v>
      </c>
      <c r="P24" s="12" t="n">
        <f aca="false">IF(AND(L24=1,J24&lt;=Cutoff!$B$10),1,0)</f>
        <v>1</v>
      </c>
      <c r="Q24" s="12" t="n">
        <f aca="false">IF(AND(N24=1,E24+Cutoff!$B$17&lt;=Cutoff!$B$10),1,0)</f>
        <v>1</v>
      </c>
      <c r="R24" s="12" t="n">
        <f aca="false">IF(Q24=1,IF(K24&lt;=Cutoff!$B$10,1,0),0)</f>
        <v>0</v>
      </c>
      <c r="S24" s="12" t="n">
        <f aca="false">IF(N24=1,SUMIFS(Subscriptions!$D$2:$D$208,Subscriptions!$A$2:$A$208,C24,Subscriptions!$E$2:$E$208,1,Subscriptions!$B$2:$B$208,"&gt;="&amp;Cutoff!$B$24,Subscriptions!$B$2:$B$208,"&lt;"&amp;Cutoff!$B$25,Subscriptions!$B$2:$B$208,"&lt;="&amp;Cutoff!$B$10),0)</f>
        <v>0</v>
      </c>
    </row>
    <row r="25" customFormat="false" ht="15" hidden="false" customHeight="false" outlineLevel="0" collapsed="false">
      <c r="A25" s="4" t="s">
        <v>334</v>
      </c>
      <c r="B25" s="4" t="s">
        <v>288</v>
      </c>
      <c r="C25" s="4" t="s">
        <v>335</v>
      </c>
      <c r="D25" s="4" t="s">
        <v>52</v>
      </c>
      <c r="E25" s="4" t="n">
        <v>1775917848</v>
      </c>
      <c r="F25" s="4" t="n">
        <v>1775917652</v>
      </c>
      <c r="G25" s="4" t="n">
        <v>1775917653</v>
      </c>
      <c r="H25" s="4" t="n">
        <v>1775921771</v>
      </c>
      <c r="I25" s="4" t="n">
        <v>1775921787</v>
      </c>
      <c r="J25" s="4" t="n">
        <v>1775918222</v>
      </c>
      <c r="K25" s="4" t="n">
        <v>1776280243</v>
      </c>
      <c r="L25" s="12" t="n">
        <f aca="false">IF(AND(B25=Cutoff!$B$12,E25&lt;=Cutoff!$B$10),1,0)</f>
        <v>1</v>
      </c>
      <c r="M25" s="12" t="n">
        <f aca="false">IF(AND(L25=1,F25&lt;1000000000000000,G25&lt;=Cutoff!$B$10),1,0)</f>
        <v>1</v>
      </c>
      <c r="N25" s="12" t="n">
        <f aca="false">IF(AND(M25=1,F25+Cutoff!$B$16&lt;=Cutoff!$B$10),1,0)</f>
        <v>1</v>
      </c>
      <c r="O25" s="12" t="n">
        <f aca="false">IF(N25=1,IF(AND(H25&lt;1000000000000000,H25&gt;=MAX(F25,E25),H25&lt;F25+Cutoff!$B$16,I25&lt;=Cutoff!$B$10),1,0),0)</f>
        <v>1</v>
      </c>
      <c r="P25" s="12" t="n">
        <f aca="false">IF(AND(L25=1,J25&lt;=Cutoff!$B$10),1,0)</f>
        <v>1</v>
      </c>
      <c r="Q25" s="12" t="n">
        <f aca="false">IF(AND(N25=1,E25+Cutoff!$B$17&lt;=Cutoff!$B$10),1,0)</f>
        <v>1</v>
      </c>
      <c r="R25" s="12" t="n">
        <f aca="false">IF(Q25=1,IF(K25&lt;=Cutoff!$B$10,1,0),0)</f>
        <v>1</v>
      </c>
      <c r="S25" s="12" t="n">
        <f aca="false">IF(N25=1,SUMIFS(Subscriptions!$D$2:$D$208,Subscriptions!$A$2:$A$208,C25,Subscriptions!$E$2:$E$208,1,Subscriptions!$B$2:$B$208,"&gt;="&amp;Cutoff!$B$24,Subscriptions!$B$2:$B$208,"&lt;"&amp;Cutoff!$B$25,Subscriptions!$B$2:$B$208,"&lt;="&amp;Cutoff!$B$10),0)</f>
        <v>96</v>
      </c>
    </row>
    <row r="26" customFormat="false" ht="15" hidden="false" customHeight="false" outlineLevel="0" collapsed="false">
      <c r="A26" s="4" t="s">
        <v>336</v>
      </c>
      <c r="B26" s="4" t="s">
        <v>288</v>
      </c>
      <c r="C26" s="4" t="s">
        <v>337</v>
      </c>
      <c r="D26" s="4" t="s">
        <v>52</v>
      </c>
      <c r="E26" s="4" t="n">
        <v>1775952163</v>
      </c>
      <c r="F26" s="4" t="n">
        <v>1775951647</v>
      </c>
      <c r="G26" s="4" t="n">
        <v>1775951652</v>
      </c>
      <c r="H26" s="4" t="n">
        <v>1777436839</v>
      </c>
      <c r="I26" s="4" t="n">
        <v>1777436858</v>
      </c>
      <c r="J26" s="4" t="n">
        <v>1775953004</v>
      </c>
      <c r="K26" s="4" t="n">
        <v>1000000000000000</v>
      </c>
      <c r="L26" s="12" t="n">
        <f aca="false">IF(AND(B26=Cutoff!$B$12,E26&lt;=Cutoff!$B$10),1,0)</f>
        <v>1</v>
      </c>
      <c r="M26" s="12" t="n">
        <f aca="false">IF(AND(L26=1,F26&lt;1000000000000000,G26&lt;=Cutoff!$B$10),1,0)</f>
        <v>1</v>
      </c>
      <c r="N26" s="12" t="n">
        <f aca="false">IF(AND(M26=1,F26+Cutoff!$B$16&lt;=Cutoff!$B$10),1,0)</f>
        <v>1</v>
      </c>
      <c r="O26" s="12" t="n">
        <f aca="false">IF(N26=1,IF(AND(H26&lt;1000000000000000,H26&gt;=MAX(F26,E26),H26&lt;F26+Cutoff!$B$16,I26&lt;=Cutoff!$B$10),1,0),0)</f>
        <v>0</v>
      </c>
      <c r="P26" s="12" t="n">
        <f aca="false">IF(AND(L26=1,J26&lt;=Cutoff!$B$10),1,0)</f>
        <v>1</v>
      </c>
      <c r="Q26" s="12" t="n">
        <f aca="false">IF(AND(N26=1,E26+Cutoff!$B$17&lt;=Cutoff!$B$10),1,0)</f>
        <v>1</v>
      </c>
      <c r="R26" s="12" t="n">
        <f aca="false">IF(Q26=1,IF(K26&lt;=Cutoff!$B$10,1,0),0)</f>
        <v>0</v>
      </c>
      <c r="S26" s="12" t="n">
        <f aca="false">IF(N26=1,SUMIFS(Subscriptions!$D$2:$D$208,Subscriptions!$A$2:$A$208,C26,Subscriptions!$E$2:$E$208,1,Subscriptions!$B$2:$B$208,"&gt;="&amp;Cutoff!$B$24,Subscriptions!$B$2:$B$208,"&lt;"&amp;Cutoff!$B$25,Subscriptions!$B$2:$B$208,"&lt;="&amp;Cutoff!$B$10),0)</f>
        <v>0</v>
      </c>
    </row>
    <row r="27" customFormat="false" ht="15" hidden="false" customHeight="false" outlineLevel="0" collapsed="false">
      <c r="A27" s="4" t="s">
        <v>338</v>
      </c>
      <c r="B27" s="4" t="s">
        <v>288</v>
      </c>
      <c r="C27" s="4" t="s">
        <v>339</v>
      </c>
      <c r="D27" s="4" t="s">
        <v>52</v>
      </c>
      <c r="E27" s="4" t="n">
        <v>1775952979</v>
      </c>
      <c r="F27" s="4" t="n">
        <v>1775952655</v>
      </c>
      <c r="G27" s="4" t="n">
        <v>1775952672</v>
      </c>
      <c r="H27" s="4" t="n">
        <v>1776430337</v>
      </c>
      <c r="I27" s="4" t="n">
        <v>1776430356</v>
      </c>
      <c r="J27" s="4" t="n">
        <v>1775954096</v>
      </c>
      <c r="K27" s="4" t="n">
        <v>1000000000000000</v>
      </c>
      <c r="L27" s="12" t="n">
        <f aca="false">IF(AND(B27=Cutoff!$B$12,E27&lt;=Cutoff!$B$10),1,0)</f>
        <v>1</v>
      </c>
      <c r="M27" s="12" t="n">
        <f aca="false">IF(AND(L27=1,F27&lt;1000000000000000,G27&lt;=Cutoff!$B$10),1,0)</f>
        <v>1</v>
      </c>
      <c r="N27" s="12" t="n">
        <f aca="false">IF(AND(M27=1,F27+Cutoff!$B$16&lt;=Cutoff!$B$10),1,0)</f>
        <v>1</v>
      </c>
      <c r="O27" s="12" t="n">
        <f aca="false">IF(N27=1,IF(AND(H27&lt;1000000000000000,H27&gt;=MAX(F27,E27),H27&lt;F27+Cutoff!$B$16,I27&lt;=Cutoff!$B$10),1,0),0)</f>
        <v>1</v>
      </c>
      <c r="P27" s="12" t="n">
        <f aca="false">IF(AND(L27=1,J27&lt;=Cutoff!$B$10),1,0)</f>
        <v>1</v>
      </c>
      <c r="Q27" s="12" t="n">
        <f aca="false">IF(AND(N27=1,E27+Cutoff!$B$17&lt;=Cutoff!$B$10),1,0)</f>
        <v>1</v>
      </c>
      <c r="R27" s="12" t="n">
        <f aca="false">IF(Q27=1,IF(K27&lt;=Cutoff!$B$10,1,0),0)</f>
        <v>0</v>
      </c>
      <c r="S27" s="12" t="n">
        <f aca="false">IF(N27=1,SUMIFS(Subscriptions!$D$2:$D$208,Subscriptions!$A$2:$A$208,C27,Subscriptions!$E$2:$E$208,1,Subscriptions!$B$2:$B$208,"&gt;="&amp;Cutoff!$B$24,Subscriptions!$B$2:$B$208,"&lt;"&amp;Cutoff!$B$25,Subscriptions!$B$2:$B$208,"&lt;="&amp;Cutoff!$B$10),0)</f>
        <v>0</v>
      </c>
    </row>
    <row r="28" customFormat="false" ht="15" hidden="false" customHeight="false" outlineLevel="0" collapsed="false">
      <c r="A28" s="4" t="s">
        <v>340</v>
      </c>
      <c r="B28" s="4" t="s">
        <v>288</v>
      </c>
      <c r="C28" s="4" t="s">
        <v>341</v>
      </c>
      <c r="D28" s="4" t="s">
        <v>51</v>
      </c>
      <c r="E28" s="4" t="n">
        <v>1775989831</v>
      </c>
      <c r="F28" s="4" t="n">
        <v>1775989633</v>
      </c>
      <c r="G28" s="4" t="n">
        <v>1775989635</v>
      </c>
      <c r="H28" s="4" t="n">
        <v>1776065583</v>
      </c>
      <c r="I28" s="4" t="n">
        <v>1776065786</v>
      </c>
      <c r="J28" s="4" t="n">
        <v>1775990423</v>
      </c>
      <c r="K28" s="4" t="n">
        <v>1000000000000000</v>
      </c>
      <c r="L28" s="12" t="n">
        <f aca="false">IF(AND(B28=Cutoff!$B$12,E28&lt;=Cutoff!$B$10),1,0)</f>
        <v>1</v>
      </c>
      <c r="M28" s="12" t="n">
        <f aca="false">IF(AND(L28=1,F28&lt;1000000000000000,G28&lt;=Cutoff!$B$10),1,0)</f>
        <v>1</v>
      </c>
      <c r="N28" s="12" t="n">
        <f aca="false">IF(AND(M28=1,F28+Cutoff!$B$16&lt;=Cutoff!$B$10),1,0)</f>
        <v>1</v>
      </c>
      <c r="O28" s="12" t="n">
        <f aca="false">IF(N28=1,IF(AND(H28&lt;1000000000000000,H28&gt;=MAX(F28,E28),H28&lt;F28+Cutoff!$B$16,I28&lt;=Cutoff!$B$10),1,0),0)</f>
        <v>1</v>
      </c>
      <c r="P28" s="12" t="n">
        <f aca="false">IF(AND(L28=1,J28&lt;=Cutoff!$B$10),1,0)</f>
        <v>1</v>
      </c>
      <c r="Q28" s="12" t="n">
        <f aca="false">IF(AND(N28=1,E28+Cutoff!$B$17&lt;=Cutoff!$B$10),1,0)</f>
        <v>1</v>
      </c>
      <c r="R28" s="12" t="n">
        <f aca="false">IF(Q28=1,IF(K28&lt;=Cutoff!$B$10,1,0),0)</f>
        <v>0</v>
      </c>
      <c r="S28" s="12" t="n">
        <f aca="false">IF(N28=1,SUMIFS(Subscriptions!$D$2:$D$208,Subscriptions!$A$2:$A$208,C28,Subscriptions!$E$2:$E$208,1,Subscriptions!$B$2:$B$208,"&gt;="&amp;Cutoff!$B$24,Subscriptions!$B$2:$B$208,"&lt;"&amp;Cutoff!$B$25,Subscriptions!$B$2:$B$208,"&lt;="&amp;Cutoff!$B$10),0)</f>
        <v>1248</v>
      </c>
    </row>
    <row r="29" customFormat="false" ht="15" hidden="false" customHeight="false" outlineLevel="0" collapsed="false">
      <c r="A29" s="4" t="s">
        <v>342</v>
      </c>
      <c r="B29" s="4" t="s">
        <v>288</v>
      </c>
      <c r="C29" s="4" t="s">
        <v>343</v>
      </c>
      <c r="D29" s="4" t="s">
        <v>51</v>
      </c>
      <c r="E29" s="4" t="n">
        <v>1776089396</v>
      </c>
      <c r="F29" s="4" t="n">
        <v>1776089307</v>
      </c>
      <c r="G29" s="4" t="n">
        <v>1776089322</v>
      </c>
      <c r="H29" s="4" t="n">
        <v>1000000000000000</v>
      </c>
      <c r="I29" s="4" t="n">
        <v>1000000000000000</v>
      </c>
      <c r="J29" s="4" t="n">
        <v>1776089979</v>
      </c>
      <c r="K29" s="4" t="n">
        <v>1000000000000000</v>
      </c>
      <c r="L29" s="12" t="n">
        <f aca="false">IF(AND(B29=Cutoff!$B$12,E29&lt;=Cutoff!$B$10),1,0)</f>
        <v>1</v>
      </c>
      <c r="M29" s="12" t="n">
        <f aca="false">IF(AND(L29=1,F29&lt;1000000000000000,G29&lt;=Cutoff!$B$10),1,0)</f>
        <v>1</v>
      </c>
      <c r="N29" s="12" t="n">
        <f aca="false">IF(AND(M29=1,F29+Cutoff!$B$16&lt;=Cutoff!$B$10),1,0)</f>
        <v>1</v>
      </c>
      <c r="O29" s="12" t="n">
        <f aca="false">IF(N29=1,IF(AND(H29&lt;1000000000000000,H29&gt;=MAX(F29,E29),H29&lt;F29+Cutoff!$B$16,I29&lt;=Cutoff!$B$10),1,0),0)</f>
        <v>0</v>
      </c>
      <c r="P29" s="12" t="n">
        <f aca="false">IF(AND(L29=1,J29&lt;=Cutoff!$B$10),1,0)</f>
        <v>1</v>
      </c>
      <c r="Q29" s="12" t="n">
        <f aca="false">IF(AND(N29=1,E29+Cutoff!$B$17&lt;=Cutoff!$B$10),1,0)</f>
        <v>1</v>
      </c>
      <c r="R29" s="12" t="n">
        <f aca="false">IF(Q29=1,IF(K29&lt;=Cutoff!$B$10,1,0),0)</f>
        <v>0</v>
      </c>
      <c r="S29" s="12" t="n">
        <f aca="false">IF(N29=1,SUMIFS(Subscriptions!$D$2:$D$208,Subscriptions!$A$2:$A$208,C29,Subscriptions!$E$2:$E$208,1,Subscriptions!$B$2:$B$208,"&gt;="&amp;Cutoff!$B$24,Subscriptions!$B$2:$B$208,"&lt;"&amp;Cutoff!$B$25,Subscriptions!$B$2:$B$208,"&lt;="&amp;Cutoff!$B$10),0)</f>
        <v>0</v>
      </c>
    </row>
    <row r="30" customFormat="false" ht="15" hidden="false" customHeight="false" outlineLevel="0" collapsed="false">
      <c r="A30" s="4" t="s">
        <v>344</v>
      </c>
      <c r="B30" s="4" t="s">
        <v>288</v>
      </c>
      <c r="C30" s="4" t="s">
        <v>345</v>
      </c>
      <c r="D30" s="4" t="s">
        <v>52</v>
      </c>
      <c r="E30" s="4" t="n">
        <v>1776099875</v>
      </c>
      <c r="F30" s="4" t="n">
        <v>1776099304</v>
      </c>
      <c r="G30" s="4" t="n">
        <v>1776099312</v>
      </c>
      <c r="H30" s="4" t="n">
        <v>1776101009</v>
      </c>
      <c r="I30" s="4" t="n">
        <v>1776101013</v>
      </c>
      <c r="J30" s="4" t="n">
        <v>1776100179</v>
      </c>
      <c r="K30" s="4" t="n">
        <v>1000000000000000</v>
      </c>
      <c r="L30" s="12" t="n">
        <f aca="false">IF(AND(B30=Cutoff!$B$12,E30&lt;=Cutoff!$B$10),1,0)</f>
        <v>1</v>
      </c>
      <c r="M30" s="12" t="n">
        <f aca="false">IF(AND(L30=1,F30&lt;1000000000000000,G30&lt;=Cutoff!$B$10),1,0)</f>
        <v>1</v>
      </c>
      <c r="N30" s="12" t="n">
        <f aca="false">IF(AND(M30=1,F30+Cutoff!$B$16&lt;=Cutoff!$B$10),1,0)</f>
        <v>1</v>
      </c>
      <c r="O30" s="12" t="n">
        <f aca="false">IF(N30=1,IF(AND(H30&lt;1000000000000000,H30&gt;=MAX(F30,E30),H30&lt;F30+Cutoff!$B$16,I30&lt;=Cutoff!$B$10),1,0),0)</f>
        <v>1</v>
      </c>
      <c r="P30" s="12" t="n">
        <f aca="false">IF(AND(L30=1,J30&lt;=Cutoff!$B$10),1,0)</f>
        <v>1</v>
      </c>
      <c r="Q30" s="12" t="n">
        <f aca="false">IF(AND(N30=1,E30+Cutoff!$B$17&lt;=Cutoff!$B$10),1,0)</f>
        <v>1</v>
      </c>
      <c r="R30" s="12" t="n">
        <f aca="false">IF(Q30=1,IF(K30&lt;=Cutoff!$B$10,1,0),0)</f>
        <v>0</v>
      </c>
      <c r="S30" s="12" t="n">
        <f aca="false">IF(N30=1,SUMIFS(Subscriptions!$D$2:$D$208,Subscriptions!$A$2:$A$208,C30,Subscriptions!$E$2:$E$208,1,Subscriptions!$B$2:$B$208,"&gt;="&amp;Cutoff!$B$24,Subscriptions!$B$2:$B$208,"&lt;"&amp;Cutoff!$B$25,Subscriptions!$B$2:$B$208,"&lt;="&amp;Cutoff!$B$10),0)</f>
        <v>0</v>
      </c>
    </row>
    <row r="31" customFormat="false" ht="15" hidden="false" customHeight="false" outlineLevel="0" collapsed="false">
      <c r="A31" s="4" t="s">
        <v>346</v>
      </c>
      <c r="B31" s="4" t="s">
        <v>288</v>
      </c>
      <c r="C31" s="4" t="s">
        <v>347</v>
      </c>
      <c r="D31" s="4" t="s">
        <v>52</v>
      </c>
      <c r="E31" s="4" t="n">
        <v>1776100859</v>
      </c>
      <c r="F31" s="4" t="n">
        <v>1776100666</v>
      </c>
      <c r="G31" s="4" t="n">
        <v>1776100689</v>
      </c>
      <c r="H31" s="4" t="n">
        <v>1000000000000000</v>
      </c>
      <c r="I31" s="4" t="n">
        <v>1000000000000000</v>
      </c>
      <c r="J31" s="4" t="n">
        <v>1776101780</v>
      </c>
      <c r="K31" s="4" t="n">
        <v>1776435152</v>
      </c>
      <c r="L31" s="12" t="n">
        <f aca="false">IF(AND(B31=Cutoff!$B$12,E31&lt;=Cutoff!$B$10),1,0)</f>
        <v>1</v>
      </c>
      <c r="M31" s="12" t="n">
        <f aca="false">IF(AND(L31=1,F31&lt;1000000000000000,G31&lt;=Cutoff!$B$10),1,0)</f>
        <v>1</v>
      </c>
      <c r="N31" s="12" t="n">
        <f aca="false">IF(AND(M31=1,F31+Cutoff!$B$16&lt;=Cutoff!$B$10),1,0)</f>
        <v>1</v>
      </c>
      <c r="O31" s="12" t="n">
        <f aca="false">IF(N31=1,IF(AND(H31&lt;1000000000000000,H31&gt;=MAX(F31,E31),H31&lt;F31+Cutoff!$B$16,I31&lt;=Cutoff!$B$10),1,0),0)</f>
        <v>0</v>
      </c>
      <c r="P31" s="12" t="n">
        <f aca="false">IF(AND(L31=1,J31&lt;=Cutoff!$B$10),1,0)</f>
        <v>1</v>
      </c>
      <c r="Q31" s="12" t="n">
        <f aca="false">IF(AND(N31=1,E31+Cutoff!$B$17&lt;=Cutoff!$B$10),1,0)</f>
        <v>1</v>
      </c>
      <c r="R31" s="12" t="n">
        <f aca="false">IF(Q31=1,IF(K31&lt;=Cutoff!$B$10,1,0),0)</f>
        <v>1</v>
      </c>
      <c r="S31" s="12" t="n">
        <f aca="false">IF(N31=1,SUMIFS(Subscriptions!$D$2:$D$208,Subscriptions!$A$2:$A$208,C31,Subscriptions!$E$2:$E$208,1,Subscriptions!$B$2:$B$208,"&gt;="&amp;Cutoff!$B$24,Subscriptions!$B$2:$B$208,"&lt;"&amp;Cutoff!$B$25,Subscriptions!$B$2:$B$208,"&lt;="&amp;Cutoff!$B$10),0)</f>
        <v>0</v>
      </c>
    </row>
    <row r="32" customFormat="false" ht="15" hidden="false" customHeight="false" outlineLevel="0" collapsed="false">
      <c r="A32" s="4" t="s">
        <v>348</v>
      </c>
      <c r="B32" s="4" t="s">
        <v>288</v>
      </c>
      <c r="C32" s="4" t="s">
        <v>349</v>
      </c>
      <c r="D32" s="4" t="s">
        <v>51</v>
      </c>
      <c r="E32" s="4" t="n">
        <v>1776108176</v>
      </c>
      <c r="F32" s="4" t="n">
        <v>1776107887</v>
      </c>
      <c r="G32" s="4" t="n">
        <v>1776107893</v>
      </c>
      <c r="H32" s="4" t="n">
        <v>1000000000000000</v>
      </c>
      <c r="I32" s="4" t="n">
        <v>1000000000000000</v>
      </c>
      <c r="J32" s="4" t="n">
        <v>1776108819</v>
      </c>
      <c r="K32" s="4" t="n">
        <v>1000000000000000</v>
      </c>
      <c r="L32" s="12" t="n">
        <f aca="false">IF(AND(B32=Cutoff!$B$12,E32&lt;=Cutoff!$B$10),1,0)</f>
        <v>1</v>
      </c>
      <c r="M32" s="12" t="n">
        <f aca="false">IF(AND(L32=1,F32&lt;1000000000000000,G32&lt;=Cutoff!$B$10),1,0)</f>
        <v>1</v>
      </c>
      <c r="N32" s="12" t="n">
        <f aca="false">IF(AND(M32=1,F32+Cutoff!$B$16&lt;=Cutoff!$B$10),1,0)</f>
        <v>1</v>
      </c>
      <c r="O32" s="12" t="n">
        <f aca="false">IF(N32=1,IF(AND(H32&lt;1000000000000000,H32&gt;=MAX(F32,E32),H32&lt;F32+Cutoff!$B$16,I32&lt;=Cutoff!$B$10),1,0),0)</f>
        <v>0</v>
      </c>
      <c r="P32" s="12" t="n">
        <f aca="false">IF(AND(L32=1,J32&lt;=Cutoff!$B$10),1,0)</f>
        <v>1</v>
      </c>
      <c r="Q32" s="12" t="n">
        <f aca="false">IF(AND(N32=1,E32+Cutoff!$B$17&lt;=Cutoff!$B$10),1,0)</f>
        <v>1</v>
      </c>
      <c r="R32" s="12" t="n">
        <f aca="false">IF(Q32=1,IF(K32&lt;=Cutoff!$B$10,1,0),0)</f>
        <v>0</v>
      </c>
      <c r="S32" s="12" t="n">
        <f aca="false">IF(N32=1,SUMIFS(Subscriptions!$D$2:$D$208,Subscriptions!$A$2:$A$208,C32,Subscriptions!$E$2:$E$208,1,Subscriptions!$B$2:$B$208,"&gt;="&amp;Cutoff!$B$24,Subscriptions!$B$2:$B$208,"&lt;"&amp;Cutoff!$B$25,Subscriptions!$B$2:$B$208,"&lt;="&amp;Cutoff!$B$10),0)</f>
        <v>0</v>
      </c>
    </row>
    <row r="33" customFormat="false" ht="15" hidden="false" customHeight="false" outlineLevel="0" collapsed="false">
      <c r="A33" s="4" t="s">
        <v>350</v>
      </c>
      <c r="B33" s="4" t="s">
        <v>288</v>
      </c>
      <c r="C33" s="4" t="s">
        <v>351</v>
      </c>
      <c r="D33" s="4" t="s">
        <v>51</v>
      </c>
      <c r="E33" s="4" t="n">
        <v>1776126966</v>
      </c>
      <c r="F33" s="4" t="n">
        <v>1776126762</v>
      </c>
      <c r="G33" s="4" t="n">
        <v>1776126768</v>
      </c>
      <c r="H33" s="4" t="n">
        <v>1776357523</v>
      </c>
      <c r="I33" s="4" t="n">
        <v>1776363321</v>
      </c>
      <c r="J33" s="4" t="n">
        <v>1776127850</v>
      </c>
      <c r="K33" s="4" t="n">
        <v>1000000000000000</v>
      </c>
      <c r="L33" s="12" t="n">
        <f aca="false">IF(AND(B33=Cutoff!$B$12,E33&lt;=Cutoff!$B$10),1,0)</f>
        <v>1</v>
      </c>
      <c r="M33" s="12" t="n">
        <f aca="false">IF(AND(L33=1,F33&lt;1000000000000000,G33&lt;=Cutoff!$B$10),1,0)</f>
        <v>1</v>
      </c>
      <c r="N33" s="12" t="n">
        <f aca="false">IF(AND(M33=1,F33+Cutoff!$B$16&lt;=Cutoff!$B$10),1,0)</f>
        <v>1</v>
      </c>
      <c r="O33" s="12" t="n">
        <f aca="false">IF(N33=1,IF(AND(H33&lt;1000000000000000,H33&gt;=MAX(F33,E33),H33&lt;F33+Cutoff!$B$16,I33&lt;=Cutoff!$B$10),1,0),0)</f>
        <v>1</v>
      </c>
      <c r="P33" s="12" t="n">
        <f aca="false">IF(AND(L33=1,J33&lt;=Cutoff!$B$10),1,0)</f>
        <v>1</v>
      </c>
      <c r="Q33" s="12" t="n">
        <f aca="false">IF(AND(N33=1,E33+Cutoff!$B$17&lt;=Cutoff!$B$10),1,0)</f>
        <v>1</v>
      </c>
      <c r="R33" s="12" t="n">
        <f aca="false">IF(Q33=1,IF(K33&lt;=Cutoff!$B$10,1,0),0)</f>
        <v>0</v>
      </c>
      <c r="S33" s="12" t="n">
        <f aca="false">IF(N33=1,SUMIFS(Subscriptions!$D$2:$D$208,Subscriptions!$A$2:$A$208,C33,Subscriptions!$E$2:$E$208,1,Subscriptions!$B$2:$B$208,"&gt;="&amp;Cutoff!$B$24,Subscriptions!$B$2:$B$208,"&lt;"&amp;Cutoff!$B$25,Subscriptions!$B$2:$B$208,"&lt;="&amp;Cutoff!$B$10),0)</f>
        <v>0</v>
      </c>
    </row>
    <row r="34" customFormat="false" ht="15" hidden="false" customHeight="false" outlineLevel="0" collapsed="false">
      <c r="A34" s="4" t="s">
        <v>352</v>
      </c>
      <c r="B34" s="4" t="s">
        <v>288</v>
      </c>
      <c r="C34" s="4" t="s">
        <v>353</v>
      </c>
      <c r="D34" s="4" t="s">
        <v>51</v>
      </c>
      <c r="E34" s="4" t="n">
        <v>1776157798</v>
      </c>
      <c r="F34" s="4" t="n">
        <v>1776157574</v>
      </c>
      <c r="G34" s="4" t="n">
        <v>1776157594</v>
      </c>
      <c r="H34" s="4" t="n">
        <v>1776195636</v>
      </c>
      <c r="I34" s="4" t="n">
        <v>1776195660</v>
      </c>
      <c r="J34" s="4" t="n">
        <v>1776158024</v>
      </c>
      <c r="K34" s="4" t="n">
        <v>1000000000000000</v>
      </c>
      <c r="L34" s="12" t="n">
        <f aca="false">IF(AND(B34=Cutoff!$B$12,E34&lt;=Cutoff!$B$10),1,0)</f>
        <v>1</v>
      </c>
      <c r="M34" s="12" t="n">
        <f aca="false">IF(AND(L34=1,F34&lt;1000000000000000,G34&lt;=Cutoff!$B$10),1,0)</f>
        <v>1</v>
      </c>
      <c r="N34" s="12" t="n">
        <f aca="false">IF(AND(M34=1,F34+Cutoff!$B$16&lt;=Cutoff!$B$10),1,0)</f>
        <v>1</v>
      </c>
      <c r="O34" s="12" t="n">
        <f aca="false">IF(N34=1,IF(AND(H34&lt;1000000000000000,H34&gt;=MAX(F34,E34),H34&lt;F34+Cutoff!$B$16,I34&lt;=Cutoff!$B$10),1,0),0)</f>
        <v>1</v>
      </c>
      <c r="P34" s="12" t="n">
        <f aca="false">IF(AND(L34=1,J34&lt;=Cutoff!$B$10),1,0)</f>
        <v>1</v>
      </c>
      <c r="Q34" s="12" t="n">
        <f aca="false">IF(AND(N34=1,E34+Cutoff!$B$17&lt;=Cutoff!$B$10),1,0)</f>
        <v>1</v>
      </c>
      <c r="R34" s="12" t="n">
        <f aca="false">IF(Q34=1,IF(K34&lt;=Cutoff!$B$10,1,0),0)</f>
        <v>0</v>
      </c>
      <c r="S34" s="12" t="n">
        <f aca="false">IF(N34=1,SUMIFS(Subscriptions!$D$2:$D$208,Subscriptions!$A$2:$A$208,C34,Subscriptions!$E$2:$E$208,1,Subscriptions!$B$2:$B$208,"&gt;="&amp;Cutoff!$B$24,Subscriptions!$B$2:$B$208,"&lt;"&amp;Cutoff!$B$25,Subscriptions!$B$2:$B$208,"&lt;="&amp;Cutoff!$B$10),0)</f>
        <v>0</v>
      </c>
    </row>
    <row r="35" customFormat="false" ht="15" hidden="false" customHeight="false" outlineLevel="0" collapsed="false">
      <c r="A35" s="4" t="s">
        <v>354</v>
      </c>
      <c r="B35" s="4" t="s">
        <v>288</v>
      </c>
      <c r="C35" s="4" t="s">
        <v>355</v>
      </c>
      <c r="D35" s="4" t="s">
        <v>52</v>
      </c>
      <c r="E35" s="4" t="n">
        <v>1776180416</v>
      </c>
      <c r="F35" s="4" t="n">
        <v>1776180304</v>
      </c>
      <c r="G35" s="4" t="n">
        <v>1776180326</v>
      </c>
      <c r="H35" s="4" t="n">
        <v>1000000000000000</v>
      </c>
      <c r="I35" s="4" t="n">
        <v>1000000000000000</v>
      </c>
      <c r="J35" s="4" t="n">
        <v>1776180869</v>
      </c>
      <c r="K35" s="4" t="n">
        <v>1000000000000000</v>
      </c>
      <c r="L35" s="12" t="n">
        <f aca="false">IF(AND(B35=Cutoff!$B$12,E35&lt;=Cutoff!$B$10),1,0)</f>
        <v>1</v>
      </c>
      <c r="M35" s="12" t="n">
        <f aca="false">IF(AND(L35=1,F35&lt;1000000000000000,G35&lt;=Cutoff!$B$10),1,0)</f>
        <v>1</v>
      </c>
      <c r="N35" s="12" t="n">
        <f aca="false">IF(AND(M35=1,F35+Cutoff!$B$16&lt;=Cutoff!$B$10),1,0)</f>
        <v>1</v>
      </c>
      <c r="O35" s="12" t="n">
        <f aca="false">IF(N35=1,IF(AND(H35&lt;1000000000000000,H35&gt;=MAX(F35,E35),H35&lt;F35+Cutoff!$B$16,I35&lt;=Cutoff!$B$10),1,0),0)</f>
        <v>0</v>
      </c>
      <c r="P35" s="12" t="n">
        <f aca="false">IF(AND(L35=1,J35&lt;=Cutoff!$B$10),1,0)</f>
        <v>1</v>
      </c>
      <c r="Q35" s="12" t="n">
        <f aca="false">IF(AND(N35=1,E35+Cutoff!$B$17&lt;=Cutoff!$B$10),1,0)</f>
        <v>1</v>
      </c>
      <c r="R35" s="12" t="n">
        <f aca="false">IF(Q35=1,IF(K35&lt;=Cutoff!$B$10,1,0),0)</f>
        <v>0</v>
      </c>
      <c r="S35" s="12" t="n">
        <f aca="false">IF(N35=1,SUMIFS(Subscriptions!$D$2:$D$208,Subscriptions!$A$2:$A$208,C35,Subscriptions!$E$2:$E$208,1,Subscriptions!$B$2:$B$208,"&gt;="&amp;Cutoff!$B$24,Subscriptions!$B$2:$B$208,"&lt;"&amp;Cutoff!$B$25,Subscriptions!$B$2:$B$208,"&lt;="&amp;Cutoff!$B$10),0)</f>
        <v>0</v>
      </c>
    </row>
    <row r="36" customFormat="false" ht="15" hidden="false" customHeight="false" outlineLevel="0" collapsed="false">
      <c r="A36" s="4" t="s">
        <v>356</v>
      </c>
      <c r="B36" s="4" t="s">
        <v>288</v>
      </c>
      <c r="C36" s="4" t="s">
        <v>357</v>
      </c>
      <c r="D36" s="4" t="s">
        <v>52</v>
      </c>
      <c r="E36" s="4" t="n">
        <v>1776184873</v>
      </c>
      <c r="F36" s="4" t="n">
        <v>1776184788</v>
      </c>
      <c r="G36" s="4" t="n">
        <v>1776184791</v>
      </c>
      <c r="H36" s="4" t="n">
        <v>1000000000000000</v>
      </c>
      <c r="I36" s="4" t="n">
        <v>1000000000000000</v>
      </c>
      <c r="J36" s="4" t="n">
        <v>1000000000000000</v>
      </c>
      <c r="K36" s="4" t="n">
        <v>1000000000000000</v>
      </c>
      <c r="L36" s="12" t="n">
        <f aca="false">IF(AND(B36=Cutoff!$B$12,E36&lt;=Cutoff!$B$10),1,0)</f>
        <v>1</v>
      </c>
      <c r="M36" s="12" t="n">
        <f aca="false">IF(AND(L36=1,F36&lt;1000000000000000,G36&lt;=Cutoff!$B$10),1,0)</f>
        <v>1</v>
      </c>
      <c r="N36" s="12" t="n">
        <f aca="false">IF(AND(M36=1,F36+Cutoff!$B$16&lt;=Cutoff!$B$10),1,0)</f>
        <v>1</v>
      </c>
      <c r="O36" s="12" t="n">
        <f aca="false">IF(N36=1,IF(AND(H36&lt;1000000000000000,H36&gt;=MAX(F36,E36),H36&lt;F36+Cutoff!$B$16,I36&lt;=Cutoff!$B$10),1,0),0)</f>
        <v>0</v>
      </c>
      <c r="P36" s="12" t="n">
        <f aca="false">IF(AND(L36=1,J36&lt;=Cutoff!$B$10),1,0)</f>
        <v>0</v>
      </c>
      <c r="Q36" s="12" t="n">
        <f aca="false">IF(AND(N36=1,E36+Cutoff!$B$17&lt;=Cutoff!$B$10),1,0)</f>
        <v>1</v>
      </c>
      <c r="R36" s="12" t="n">
        <f aca="false">IF(Q36=1,IF(K36&lt;=Cutoff!$B$10,1,0),0)</f>
        <v>0</v>
      </c>
      <c r="S36" s="12" t="n">
        <f aca="false">IF(N36=1,SUMIFS(Subscriptions!$D$2:$D$208,Subscriptions!$A$2:$A$208,C36,Subscriptions!$E$2:$E$208,1,Subscriptions!$B$2:$B$208,"&gt;="&amp;Cutoff!$B$24,Subscriptions!$B$2:$B$208,"&lt;"&amp;Cutoff!$B$25,Subscriptions!$B$2:$B$208,"&lt;="&amp;Cutoff!$B$10),0)</f>
        <v>0</v>
      </c>
    </row>
    <row r="37" customFormat="false" ht="15" hidden="false" customHeight="false" outlineLevel="0" collapsed="false">
      <c r="A37" s="4" t="s">
        <v>358</v>
      </c>
      <c r="B37" s="4" t="s">
        <v>288</v>
      </c>
      <c r="C37" s="4" t="s">
        <v>359</v>
      </c>
      <c r="D37" s="4" t="s">
        <v>51</v>
      </c>
      <c r="E37" s="4" t="n">
        <v>1776189280</v>
      </c>
      <c r="F37" s="4" t="n">
        <v>1776189103</v>
      </c>
      <c r="G37" s="4" t="n">
        <v>1776189122</v>
      </c>
      <c r="H37" s="4" t="n">
        <v>1000000000000000</v>
      </c>
      <c r="I37" s="4" t="n">
        <v>1000000000000000</v>
      </c>
      <c r="J37" s="4" t="n">
        <v>1776189488</v>
      </c>
      <c r="K37" s="4" t="n">
        <v>1000000000000000</v>
      </c>
      <c r="L37" s="12" t="n">
        <f aca="false">IF(AND(B37=Cutoff!$B$12,E37&lt;=Cutoff!$B$10),1,0)</f>
        <v>1</v>
      </c>
      <c r="M37" s="12" t="n">
        <f aca="false">IF(AND(L37=1,F37&lt;1000000000000000,G37&lt;=Cutoff!$B$10),1,0)</f>
        <v>1</v>
      </c>
      <c r="N37" s="12" t="n">
        <f aca="false">IF(AND(M37=1,F37+Cutoff!$B$16&lt;=Cutoff!$B$10),1,0)</f>
        <v>1</v>
      </c>
      <c r="O37" s="12" t="n">
        <f aca="false">IF(N37=1,IF(AND(H37&lt;1000000000000000,H37&gt;=MAX(F37,E37),H37&lt;F37+Cutoff!$B$16,I37&lt;=Cutoff!$B$10),1,0),0)</f>
        <v>0</v>
      </c>
      <c r="P37" s="12" t="n">
        <f aca="false">IF(AND(L37=1,J37&lt;=Cutoff!$B$10),1,0)</f>
        <v>1</v>
      </c>
      <c r="Q37" s="12" t="n">
        <f aca="false">IF(AND(N37=1,E37+Cutoff!$B$17&lt;=Cutoff!$B$10),1,0)</f>
        <v>1</v>
      </c>
      <c r="R37" s="12" t="n">
        <f aca="false">IF(Q37=1,IF(K37&lt;=Cutoff!$B$10,1,0),0)</f>
        <v>0</v>
      </c>
      <c r="S37" s="12" t="n">
        <f aca="false">IF(N37=1,SUMIFS(Subscriptions!$D$2:$D$208,Subscriptions!$A$2:$A$208,C37,Subscriptions!$E$2:$E$208,1,Subscriptions!$B$2:$B$208,"&gt;="&amp;Cutoff!$B$24,Subscriptions!$B$2:$B$208,"&lt;"&amp;Cutoff!$B$25,Subscriptions!$B$2:$B$208,"&lt;="&amp;Cutoff!$B$10),0)</f>
        <v>0</v>
      </c>
    </row>
    <row r="38" customFormat="false" ht="15" hidden="false" customHeight="false" outlineLevel="0" collapsed="false">
      <c r="A38" s="4" t="s">
        <v>360</v>
      </c>
      <c r="B38" s="4" t="s">
        <v>288</v>
      </c>
      <c r="C38" s="4" t="s">
        <v>361</v>
      </c>
      <c r="D38" s="4" t="s">
        <v>51</v>
      </c>
      <c r="E38" s="4" t="n">
        <v>1776199610</v>
      </c>
      <c r="F38" s="4" t="n">
        <v>1776199479</v>
      </c>
      <c r="G38" s="4" t="n">
        <v>1776199488</v>
      </c>
      <c r="H38" s="4" t="n">
        <v>1000000000000000</v>
      </c>
      <c r="I38" s="4" t="n">
        <v>1000000000000000</v>
      </c>
      <c r="J38" s="4" t="n">
        <v>1776199693</v>
      </c>
      <c r="K38" s="4" t="n">
        <v>1000000000000000</v>
      </c>
      <c r="L38" s="12" t="n">
        <f aca="false">IF(AND(B38=Cutoff!$B$12,E38&lt;=Cutoff!$B$10),1,0)</f>
        <v>1</v>
      </c>
      <c r="M38" s="12" t="n">
        <f aca="false">IF(AND(L38=1,F38&lt;1000000000000000,G38&lt;=Cutoff!$B$10),1,0)</f>
        <v>1</v>
      </c>
      <c r="N38" s="12" t="n">
        <f aca="false">IF(AND(M38=1,F38+Cutoff!$B$16&lt;=Cutoff!$B$10),1,0)</f>
        <v>1</v>
      </c>
      <c r="O38" s="12" t="n">
        <f aca="false">IF(N38=1,IF(AND(H38&lt;1000000000000000,H38&gt;=MAX(F38,E38),H38&lt;F38+Cutoff!$B$16,I38&lt;=Cutoff!$B$10),1,0),0)</f>
        <v>0</v>
      </c>
      <c r="P38" s="12" t="n">
        <f aca="false">IF(AND(L38=1,J38&lt;=Cutoff!$B$10),1,0)</f>
        <v>1</v>
      </c>
      <c r="Q38" s="12" t="n">
        <f aca="false">IF(AND(N38=1,E38+Cutoff!$B$17&lt;=Cutoff!$B$10),1,0)</f>
        <v>1</v>
      </c>
      <c r="R38" s="12" t="n">
        <f aca="false">IF(Q38=1,IF(K38&lt;=Cutoff!$B$10,1,0),0)</f>
        <v>0</v>
      </c>
      <c r="S38" s="12" t="n">
        <f aca="false">IF(N38=1,SUMIFS(Subscriptions!$D$2:$D$208,Subscriptions!$A$2:$A$208,C38,Subscriptions!$E$2:$E$208,1,Subscriptions!$B$2:$B$208,"&gt;="&amp;Cutoff!$B$24,Subscriptions!$B$2:$B$208,"&lt;"&amp;Cutoff!$B$25,Subscriptions!$B$2:$B$208,"&lt;="&amp;Cutoff!$B$10),0)</f>
        <v>663</v>
      </c>
    </row>
    <row r="39" customFormat="false" ht="15" hidden="false" customHeight="false" outlineLevel="0" collapsed="false">
      <c r="A39" s="4" t="s">
        <v>362</v>
      </c>
      <c r="B39" s="4" t="s">
        <v>288</v>
      </c>
      <c r="C39" s="4" t="s">
        <v>363</v>
      </c>
      <c r="D39" s="4" t="s">
        <v>52</v>
      </c>
      <c r="E39" s="4" t="n">
        <v>1776250207</v>
      </c>
      <c r="F39" s="4" t="n">
        <v>1776249811</v>
      </c>
      <c r="G39" s="4" t="n">
        <v>1776249829</v>
      </c>
      <c r="H39" s="4" t="n">
        <v>1000000000000000</v>
      </c>
      <c r="I39" s="4" t="n">
        <v>1000000000000000</v>
      </c>
      <c r="J39" s="4" t="n">
        <v>1776250726</v>
      </c>
      <c r="K39" s="4" t="n">
        <v>1000000000000000</v>
      </c>
      <c r="L39" s="12" t="n">
        <f aca="false">IF(AND(B39=Cutoff!$B$12,E39&lt;=Cutoff!$B$10),1,0)</f>
        <v>1</v>
      </c>
      <c r="M39" s="12" t="n">
        <f aca="false">IF(AND(L39=1,F39&lt;1000000000000000,G39&lt;=Cutoff!$B$10),1,0)</f>
        <v>1</v>
      </c>
      <c r="N39" s="12" t="n">
        <f aca="false">IF(AND(M39=1,F39+Cutoff!$B$16&lt;=Cutoff!$B$10),1,0)</f>
        <v>1</v>
      </c>
      <c r="O39" s="12" t="n">
        <f aca="false">IF(N39=1,IF(AND(H39&lt;1000000000000000,H39&gt;=MAX(F39,E39),H39&lt;F39+Cutoff!$B$16,I39&lt;=Cutoff!$B$10),1,0),0)</f>
        <v>0</v>
      </c>
      <c r="P39" s="12" t="n">
        <f aca="false">IF(AND(L39=1,J39&lt;=Cutoff!$B$10),1,0)</f>
        <v>1</v>
      </c>
      <c r="Q39" s="12" t="n">
        <f aca="false">IF(AND(N39=1,E39+Cutoff!$B$17&lt;=Cutoff!$B$10),1,0)</f>
        <v>1</v>
      </c>
      <c r="R39" s="12" t="n">
        <f aca="false">IF(Q39=1,IF(K39&lt;=Cutoff!$B$10,1,0),0)</f>
        <v>0</v>
      </c>
      <c r="S39" s="12" t="n">
        <f aca="false">IF(N39=1,SUMIFS(Subscriptions!$D$2:$D$208,Subscriptions!$A$2:$A$208,C39,Subscriptions!$E$2:$E$208,1,Subscriptions!$B$2:$B$208,"&gt;="&amp;Cutoff!$B$24,Subscriptions!$B$2:$B$208,"&lt;"&amp;Cutoff!$B$25,Subscriptions!$B$2:$B$208,"&lt;="&amp;Cutoff!$B$10),0)</f>
        <v>0</v>
      </c>
    </row>
    <row r="40" customFormat="false" ht="15" hidden="false" customHeight="false" outlineLevel="0" collapsed="false">
      <c r="A40" s="4" t="s">
        <v>364</v>
      </c>
      <c r="B40" s="4" t="s">
        <v>288</v>
      </c>
      <c r="C40" s="4" t="s">
        <v>365</v>
      </c>
      <c r="D40" s="4" t="s">
        <v>52</v>
      </c>
      <c r="E40" s="4" t="n">
        <v>1776257088</v>
      </c>
      <c r="F40" s="4" t="n">
        <v>1776256846</v>
      </c>
      <c r="G40" s="4" t="n">
        <v>1776256978</v>
      </c>
      <c r="H40" s="4" t="n">
        <v>1776504917</v>
      </c>
      <c r="I40" s="4" t="n">
        <v>1776504921</v>
      </c>
      <c r="J40" s="4" t="n">
        <v>1776257624</v>
      </c>
      <c r="K40" s="4" t="n">
        <v>1000000000000000</v>
      </c>
      <c r="L40" s="12" t="n">
        <f aca="false">IF(AND(B40=Cutoff!$B$12,E40&lt;=Cutoff!$B$10),1,0)</f>
        <v>1</v>
      </c>
      <c r="M40" s="12" t="n">
        <f aca="false">IF(AND(L40=1,F40&lt;1000000000000000,G40&lt;=Cutoff!$B$10),1,0)</f>
        <v>1</v>
      </c>
      <c r="N40" s="12" t="n">
        <f aca="false">IF(AND(M40=1,F40+Cutoff!$B$16&lt;=Cutoff!$B$10),1,0)</f>
        <v>1</v>
      </c>
      <c r="O40" s="12" t="n">
        <f aca="false">IF(N40=1,IF(AND(H40&lt;1000000000000000,H40&gt;=MAX(F40,E40),H40&lt;F40+Cutoff!$B$16,I40&lt;=Cutoff!$B$10),1,0),0)</f>
        <v>1</v>
      </c>
      <c r="P40" s="12" t="n">
        <f aca="false">IF(AND(L40=1,J40&lt;=Cutoff!$B$10),1,0)</f>
        <v>1</v>
      </c>
      <c r="Q40" s="12" t="n">
        <f aca="false">IF(AND(N40=1,E40+Cutoff!$B$17&lt;=Cutoff!$B$10),1,0)</f>
        <v>1</v>
      </c>
      <c r="R40" s="12" t="n">
        <f aca="false">IF(Q40=1,IF(K40&lt;=Cutoff!$B$10,1,0),0)</f>
        <v>0</v>
      </c>
      <c r="S40" s="12" t="n">
        <f aca="false">IF(N40=1,SUMIFS(Subscriptions!$D$2:$D$208,Subscriptions!$A$2:$A$208,C40,Subscriptions!$E$2:$E$208,1,Subscriptions!$B$2:$B$208,"&gt;="&amp;Cutoff!$B$24,Subscriptions!$B$2:$B$208,"&lt;"&amp;Cutoff!$B$25,Subscriptions!$B$2:$B$208,"&lt;="&amp;Cutoff!$B$10),0)</f>
        <v>36</v>
      </c>
    </row>
    <row r="41" customFormat="false" ht="15" hidden="false" customHeight="false" outlineLevel="0" collapsed="false">
      <c r="A41" s="4" t="s">
        <v>366</v>
      </c>
      <c r="B41" s="4" t="s">
        <v>288</v>
      </c>
      <c r="C41" s="4" t="s">
        <v>367</v>
      </c>
      <c r="D41" s="4" t="s">
        <v>51</v>
      </c>
      <c r="E41" s="4" t="n">
        <v>1776268854</v>
      </c>
      <c r="F41" s="4" t="n">
        <v>1776268259</v>
      </c>
      <c r="G41" s="4" t="n">
        <v>1776268284</v>
      </c>
      <c r="H41" s="4" t="n">
        <v>1776302878</v>
      </c>
      <c r="I41" s="4" t="n">
        <v>1776302900</v>
      </c>
      <c r="J41" s="4" t="n">
        <v>1776269053</v>
      </c>
      <c r="K41" s="4" t="n">
        <v>1000000000000000</v>
      </c>
      <c r="L41" s="12" t="n">
        <f aca="false">IF(AND(B41=Cutoff!$B$12,E41&lt;=Cutoff!$B$10),1,0)</f>
        <v>1</v>
      </c>
      <c r="M41" s="12" t="n">
        <f aca="false">IF(AND(L41=1,F41&lt;1000000000000000,G41&lt;=Cutoff!$B$10),1,0)</f>
        <v>1</v>
      </c>
      <c r="N41" s="12" t="n">
        <f aca="false">IF(AND(M41=1,F41+Cutoff!$B$16&lt;=Cutoff!$B$10),1,0)</f>
        <v>1</v>
      </c>
      <c r="O41" s="12" t="n">
        <f aca="false">IF(N41=1,IF(AND(H41&lt;1000000000000000,H41&gt;=MAX(F41,E41),H41&lt;F41+Cutoff!$B$16,I41&lt;=Cutoff!$B$10),1,0),0)</f>
        <v>1</v>
      </c>
      <c r="P41" s="12" t="n">
        <f aca="false">IF(AND(L41=1,J41&lt;=Cutoff!$B$10),1,0)</f>
        <v>1</v>
      </c>
      <c r="Q41" s="12" t="n">
        <f aca="false">IF(AND(N41=1,E41+Cutoff!$B$17&lt;=Cutoff!$B$10),1,0)</f>
        <v>1</v>
      </c>
      <c r="R41" s="12" t="n">
        <f aca="false">IF(Q41=1,IF(K41&lt;=Cutoff!$B$10,1,0),0)</f>
        <v>0</v>
      </c>
      <c r="S41" s="12" t="n">
        <f aca="false">IF(N41=1,SUMIFS(Subscriptions!$D$2:$D$208,Subscriptions!$A$2:$A$208,C41,Subscriptions!$E$2:$E$208,1,Subscriptions!$B$2:$B$208,"&gt;="&amp;Cutoff!$B$24,Subscriptions!$B$2:$B$208,"&lt;"&amp;Cutoff!$B$25,Subscriptions!$B$2:$B$208,"&lt;="&amp;Cutoff!$B$10),0)</f>
        <v>0</v>
      </c>
    </row>
    <row r="42" customFormat="false" ht="15" hidden="false" customHeight="false" outlineLevel="0" collapsed="false">
      <c r="A42" s="4" t="s">
        <v>368</v>
      </c>
      <c r="B42" s="4" t="s">
        <v>288</v>
      </c>
      <c r="C42" s="4" t="s">
        <v>369</v>
      </c>
      <c r="D42" s="4" t="s">
        <v>52</v>
      </c>
      <c r="E42" s="4" t="n">
        <v>1776272232</v>
      </c>
      <c r="F42" s="4" t="n">
        <v>1776272111</v>
      </c>
      <c r="G42" s="4" t="n">
        <v>1776272122</v>
      </c>
      <c r="H42" s="4" t="n">
        <v>1778447358</v>
      </c>
      <c r="I42" s="4" t="n">
        <v>1778447386</v>
      </c>
      <c r="J42" s="4" t="n">
        <v>1776272355</v>
      </c>
      <c r="K42" s="4" t="n">
        <v>1000000000000000</v>
      </c>
      <c r="L42" s="12" t="n">
        <f aca="false">IF(AND(B42=Cutoff!$B$12,E42&lt;=Cutoff!$B$10),1,0)</f>
        <v>1</v>
      </c>
      <c r="M42" s="12" t="n">
        <f aca="false">IF(AND(L42=1,F42&lt;1000000000000000,G42&lt;=Cutoff!$B$10),1,0)</f>
        <v>1</v>
      </c>
      <c r="N42" s="12" t="n">
        <f aca="false">IF(AND(M42=1,F42+Cutoff!$B$16&lt;=Cutoff!$B$10),1,0)</f>
        <v>1</v>
      </c>
      <c r="O42" s="12" t="n">
        <f aca="false">IF(N42=1,IF(AND(H42&lt;1000000000000000,H42&gt;=MAX(F42,E42),H42&lt;F42+Cutoff!$B$16,I42&lt;=Cutoff!$B$10),1,0),0)</f>
        <v>0</v>
      </c>
      <c r="P42" s="12" t="n">
        <f aca="false">IF(AND(L42=1,J42&lt;=Cutoff!$B$10),1,0)</f>
        <v>1</v>
      </c>
      <c r="Q42" s="12" t="n">
        <f aca="false">IF(AND(N42=1,E42+Cutoff!$B$17&lt;=Cutoff!$B$10),1,0)</f>
        <v>1</v>
      </c>
      <c r="R42" s="12" t="n">
        <f aca="false">IF(Q42=1,IF(K42&lt;=Cutoff!$B$10,1,0),0)</f>
        <v>0</v>
      </c>
      <c r="S42" s="12" t="n">
        <f aca="false">IF(N42=1,SUMIFS(Subscriptions!$D$2:$D$208,Subscriptions!$A$2:$A$208,C42,Subscriptions!$E$2:$E$208,1,Subscriptions!$B$2:$B$208,"&gt;="&amp;Cutoff!$B$24,Subscriptions!$B$2:$B$208,"&lt;"&amp;Cutoff!$B$25,Subscriptions!$B$2:$B$208,"&lt;="&amp;Cutoff!$B$10),0)</f>
        <v>0</v>
      </c>
    </row>
    <row r="43" customFormat="false" ht="15" hidden="false" customHeight="false" outlineLevel="0" collapsed="false">
      <c r="A43" s="4" t="s">
        <v>370</v>
      </c>
      <c r="B43" s="4" t="s">
        <v>288</v>
      </c>
      <c r="C43" s="4" t="s">
        <v>371</v>
      </c>
      <c r="D43" s="4" t="s">
        <v>51</v>
      </c>
      <c r="E43" s="4" t="n">
        <v>1776280980</v>
      </c>
      <c r="F43" s="4" t="n">
        <v>1776280681</v>
      </c>
      <c r="G43" s="4" t="n">
        <v>1776280689</v>
      </c>
      <c r="H43" s="4" t="n">
        <v>1000000000000000</v>
      </c>
      <c r="I43" s="4" t="n">
        <v>1000000000000000</v>
      </c>
      <c r="J43" s="4" t="n">
        <v>1776281401</v>
      </c>
      <c r="K43" s="4" t="n">
        <v>1000000000000000</v>
      </c>
      <c r="L43" s="12" t="n">
        <f aca="false">IF(AND(B43=Cutoff!$B$12,E43&lt;=Cutoff!$B$10),1,0)</f>
        <v>1</v>
      </c>
      <c r="M43" s="12" t="n">
        <f aca="false">IF(AND(L43=1,F43&lt;1000000000000000,G43&lt;=Cutoff!$B$10),1,0)</f>
        <v>1</v>
      </c>
      <c r="N43" s="12" t="n">
        <f aca="false">IF(AND(M43=1,F43+Cutoff!$B$16&lt;=Cutoff!$B$10),1,0)</f>
        <v>1</v>
      </c>
      <c r="O43" s="12" t="n">
        <f aca="false">IF(N43=1,IF(AND(H43&lt;1000000000000000,H43&gt;=MAX(F43,E43),H43&lt;F43+Cutoff!$B$16,I43&lt;=Cutoff!$B$10),1,0),0)</f>
        <v>0</v>
      </c>
      <c r="P43" s="12" t="n">
        <f aca="false">IF(AND(L43=1,J43&lt;=Cutoff!$B$10),1,0)</f>
        <v>1</v>
      </c>
      <c r="Q43" s="12" t="n">
        <f aca="false">IF(AND(N43=1,E43+Cutoff!$B$17&lt;=Cutoff!$B$10),1,0)</f>
        <v>1</v>
      </c>
      <c r="R43" s="12" t="n">
        <f aca="false">IF(Q43=1,IF(K43&lt;=Cutoff!$B$10,1,0),0)</f>
        <v>0</v>
      </c>
      <c r="S43" s="12" t="n">
        <f aca="false">IF(N43=1,SUMIFS(Subscriptions!$D$2:$D$208,Subscriptions!$A$2:$A$208,C43,Subscriptions!$E$2:$E$208,1,Subscriptions!$B$2:$B$208,"&gt;="&amp;Cutoff!$B$24,Subscriptions!$B$2:$B$208,"&lt;"&amp;Cutoff!$B$25,Subscriptions!$B$2:$B$208,"&lt;="&amp;Cutoff!$B$10),0)</f>
        <v>168</v>
      </c>
    </row>
    <row r="44" customFormat="false" ht="15" hidden="false" customHeight="false" outlineLevel="0" collapsed="false">
      <c r="A44" s="4" t="s">
        <v>372</v>
      </c>
      <c r="B44" s="4" t="s">
        <v>288</v>
      </c>
      <c r="C44" s="4" t="s">
        <v>373</v>
      </c>
      <c r="D44" s="4" t="s">
        <v>51</v>
      </c>
      <c r="E44" s="4" t="n">
        <v>1776342108</v>
      </c>
      <c r="F44" s="4" t="n">
        <v>1776341878</v>
      </c>
      <c r="G44" s="4" t="n">
        <v>1776341891</v>
      </c>
      <c r="H44" s="4" t="n">
        <v>1776351317</v>
      </c>
      <c r="I44" s="4" t="n">
        <v>1776351330</v>
      </c>
      <c r="J44" s="4" t="n">
        <v>1776343187</v>
      </c>
      <c r="K44" s="4" t="n">
        <v>1000000000000000</v>
      </c>
      <c r="L44" s="12" t="n">
        <f aca="false">IF(AND(B44=Cutoff!$B$12,E44&lt;=Cutoff!$B$10),1,0)</f>
        <v>1</v>
      </c>
      <c r="M44" s="12" t="n">
        <f aca="false">IF(AND(L44=1,F44&lt;1000000000000000,G44&lt;=Cutoff!$B$10),1,0)</f>
        <v>1</v>
      </c>
      <c r="N44" s="12" t="n">
        <f aca="false">IF(AND(M44=1,F44+Cutoff!$B$16&lt;=Cutoff!$B$10),1,0)</f>
        <v>1</v>
      </c>
      <c r="O44" s="12" t="n">
        <f aca="false">IF(N44=1,IF(AND(H44&lt;1000000000000000,H44&gt;=MAX(F44,E44),H44&lt;F44+Cutoff!$B$16,I44&lt;=Cutoff!$B$10),1,0),0)</f>
        <v>1</v>
      </c>
      <c r="P44" s="12" t="n">
        <f aca="false">IF(AND(L44=1,J44&lt;=Cutoff!$B$10),1,0)</f>
        <v>1</v>
      </c>
      <c r="Q44" s="12" t="n">
        <f aca="false">IF(AND(N44=1,E44+Cutoff!$B$17&lt;=Cutoff!$B$10),1,0)</f>
        <v>1</v>
      </c>
      <c r="R44" s="12" t="n">
        <f aca="false">IF(Q44=1,IF(K44&lt;=Cutoff!$B$10,1,0),0)</f>
        <v>0</v>
      </c>
      <c r="S44" s="12" t="n">
        <f aca="false">IF(N44=1,SUMIFS(Subscriptions!$D$2:$D$208,Subscriptions!$A$2:$A$208,C44,Subscriptions!$E$2:$E$208,1,Subscriptions!$B$2:$B$208,"&gt;="&amp;Cutoff!$B$24,Subscriptions!$B$2:$B$208,"&lt;"&amp;Cutoff!$B$25,Subscriptions!$B$2:$B$208,"&lt;="&amp;Cutoff!$B$10),0)</f>
        <v>0</v>
      </c>
    </row>
    <row r="45" customFormat="false" ht="15" hidden="false" customHeight="false" outlineLevel="0" collapsed="false">
      <c r="A45" s="4" t="s">
        <v>374</v>
      </c>
      <c r="B45" s="4" t="s">
        <v>288</v>
      </c>
      <c r="C45" s="4" t="s">
        <v>375</v>
      </c>
      <c r="D45" s="4" t="s">
        <v>52</v>
      </c>
      <c r="E45" s="4" t="n">
        <v>1776349751</v>
      </c>
      <c r="F45" s="4" t="n">
        <v>1776349437</v>
      </c>
      <c r="G45" s="4" t="n">
        <v>1776349446</v>
      </c>
      <c r="H45" s="4" t="n">
        <v>1000000000000000</v>
      </c>
      <c r="I45" s="4" t="n">
        <v>1000000000000000</v>
      </c>
      <c r="J45" s="4" t="n">
        <v>1000000000000000</v>
      </c>
      <c r="K45" s="4" t="n">
        <v>1000000000000000</v>
      </c>
      <c r="L45" s="12" t="n">
        <f aca="false">IF(AND(B45=Cutoff!$B$12,E45&lt;=Cutoff!$B$10),1,0)</f>
        <v>1</v>
      </c>
      <c r="M45" s="12" t="n">
        <f aca="false">IF(AND(L45=1,F45&lt;1000000000000000,G45&lt;=Cutoff!$B$10),1,0)</f>
        <v>1</v>
      </c>
      <c r="N45" s="12" t="n">
        <f aca="false">IF(AND(M45=1,F45+Cutoff!$B$16&lt;=Cutoff!$B$10),1,0)</f>
        <v>1</v>
      </c>
      <c r="O45" s="12" t="n">
        <f aca="false">IF(N45=1,IF(AND(H45&lt;1000000000000000,H45&gt;=MAX(F45,E45),H45&lt;F45+Cutoff!$B$16,I45&lt;=Cutoff!$B$10),1,0),0)</f>
        <v>0</v>
      </c>
      <c r="P45" s="12" t="n">
        <f aca="false">IF(AND(L45=1,J45&lt;=Cutoff!$B$10),1,0)</f>
        <v>0</v>
      </c>
      <c r="Q45" s="12" t="n">
        <f aca="false">IF(AND(N45=1,E45+Cutoff!$B$17&lt;=Cutoff!$B$10),1,0)</f>
        <v>1</v>
      </c>
      <c r="R45" s="12" t="n">
        <f aca="false">IF(Q45=1,IF(K45&lt;=Cutoff!$B$10,1,0),0)</f>
        <v>0</v>
      </c>
      <c r="S45" s="12" t="n">
        <f aca="false">IF(N45=1,SUMIFS(Subscriptions!$D$2:$D$208,Subscriptions!$A$2:$A$208,C45,Subscriptions!$E$2:$E$208,1,Subscriptions!$B$2:$B$208,"&gt;="&amp;Cutoff!$B$24,Subscriptions!$B$2:$B$208,"&lt;"&amp;Cutoff!$B$25,Subscriptions!$B$2:$B$208,"&lt;="&amp;Cutoff!$B$10),0)</f>
        <v>819</v>
      </c>
    </row>
    <row r="46" customFormat="false" ht="15" hidden="false" customHeight="false" outlineLevel="0" collapsed="false">
      <c r="A46" s="4" t="s">
        <v>376</v>
      </c>
      <c r="B46" s="4" t="s">
        <v>288</v>
      </c>
      <c r="C46" s="4" t="s">
        <v>377</v>
      </c>
      <c r="D46" s="4" t="s">
        <v>51</v>
      </c>
      <c r="E46" s="4" t="n">
        <v>1776351583</v>
      </c>
      <c r="F46" s="4" t="n">
        <v>1776351150</v>
      </c>
      <c r="G46" s="4" t="n">
        <v>1776351164</v>
      </c>
      <c r="H46" s="4" t="n">
        <v>1000000000000000</v>
      </c>
      <c r="I46" s="4" t="n">
        <v>1000000000000000</v>
      </c>
      <c r="J46" s="4" t="n">
        <v>1776351798</v>
      </c>
      <c r="K46" s="4" t="n">
        <v>1000000000000000</v>
      </c>
      <c r="L46" s="12" t="n">
        <f aca="false">IF(AND(B46=Cutoff!$B$12,E46&lt;=Cutoff!$B$10),1,0)</f>
        <v>1</v>
      </c>
      <c r="M46" s="12" t="n">
        <f aca="false">IF(AND(L46=1,F46&lt;1000000000000000,G46&lt;=Cutoff!$B$10),1,0)</f>
        <v>1</v>
      </c>
      <c r="N46" s="12" t="n">
        <f aca="false">IF(AND(M46=1,F46+Cutoff!$B$16&lt;=Cutoff!$B$10),1,0)</f>
        <v>1</v>
      </c>
      <c r="O46" s="12" t="n">
        <f aca="false">IF(N46=1,IF(AND(H46&lt;1000000000000000,H46&gt;=MAX(F46,E46),H46&lt;F46+Cutoff!$B$16,I46&lt;=Cutoff!$B$10),1,0),0)</f>
        <v>0</v>
      </c>
      <c r="P46" s="12" t="n">
        <f aca="false">IF(AND(L46=1,J46&lt;=Cutoff!$B$10),1,0)</f>
        <v>1</v>
      </c>
      <c r="Q46" s="12" t="n">
        <f aca="false">IF(AND(N46=1,E46+Cutoff!$B$17&lt;=Cutoff!$B$10),1,0)</f>
        <v>1</v>
      </c>
      <c r="R46" s="12" t="n">
        <f aca="false">IF(Q46=1,IF(K46&lt;=Cutoff!$B$10,1,0),0)</f>
        <v>0</v>
      </c>
      <c r="S46" s="12" t="n">
        <f aca="false">IF(N46=1,SUMIFS(Subscriptions!$D$2:$D$208,Subscriptions!$A$2:$A$208,C46,Subscriptions!$E$2:$E$208,1,Subscriptions!$B$2:$B$208,"&gt;="&amp;Cutoff!$B$24,Subscriptions!$B$2:$B$208,"&lt;"&amp;Cutoff!$B$25,Subscriptions!$B$2:$B$208,"&lt;="&amp;Cutoff!$B$10),0)</f>
        <v>0</v>
      </c>
    </row>
    <row r="47" customFormat="false" ht="15" hidden="false" customHeight="false" outlineLevel="0" collapsed="false">
      <c r="A47" s="4" t="s">
        <v>378</v>
      </c>
      <c r="B47" s="4" t="s">
        <v>288</v>
      </c>
      <c r="C47" s="4" t="s">
        <v>379</v>
      </c>
      <c r="D47" s="4" t="s">
        <v>52</v>
      </c>
      <c r="E47" s="4" t="n">
        <v>1776352289</v>
      </c>
      <c r="F47" s="4" t="n">
        <v>1776351716</v>
      </c>
      <c r="G47" s="4" t="n">
        <v>1776351718</v>
      </c>
      <c r="H47" s="4" t="n">
        <v>1776366885</v>
      </c>
      <c r="I47" s="4" t="n">
        <v>1776366907</v>
      </c>
      <c r="J47" s="4" t="n">
        <v>1000000000000000</v>
      </c>
      <c r="K47" s="4" t="n">
        <v>1000000000000000</v>
      </c>
      <c r="L47" s="12" t="n">
        <f aca="false">IF(AND(B47=Cutoff!$B$12,E47&lt;=Cutoff!$B$10),1,0)</f>
        <v>1</v>
      </c>
      <c r="M47" s="12" t="n">
        <f aca="false">IF(AND(L47=1,F47&lt;1000000000000000,G47&lt;=Cutoff!$B$10),1,0)</f>
        <v>1</v>
      </c>
      <c r="N47" s="12" t="n">
        <f aca="false">IF(AND(M47=1,F47+Cutoff!$B$16&lt;=Cutoff!$B$10),1,0)</f>
        <v>1</v>
      </c>
      <c r="O47" s="12" t="n">
        <f aca="false">IF(N47=1,IF(AND(H47&lt;1000000000000000,H47&gt;=MAX(F47,E47),H47&lt;F47+Cutoff!$B$16,I47&lt;=Cutoff!$B$10),1,0),0)</f>
        <v>1</v>
      </c>
      <c r="P47" s="12" t="n">
        <f aca="false">IF(AND(L47=1,J47&lt;=Cutoff!$B$10),1,0)</f>
        <v>0</v>
      </c>
      <c r="Q47" s="12" t="n">
        <f aca="false">IF(AND(N47=1,E47+Cutoff!$B$17&lt;=Cutoff!$B$10),1,0)</f>
        <v>1</v>
      </c>
      <c r="R47" s="12" t="n">
        <f aca="false">IF(Q47=1,IF(K47&lt;=Cutoff!$B$10,1,0),0)</f>
        <v>0</v>
      </c>
      <c r="S47" s="12" t="n">
        <f aca="false">IF(N47=1,SUMIFS(Subscriptions!$D$2:$D$208,Subscriptions!$A$2:$A$208,C47,Subscriptions!$E$2:$E$208,1,Subscriptions!$B$2:$B$208,"&gt;="&amp;Cutoff!$B$24,Subscriptions!$B$2:$B$208,"&lt;"&amp;Cutoff!$B$25,Subscriptions!$B$2:$B$208,"&lt;="&amp;Cutoff!$B$10),0)</f>
        <v>0</v>
      </c>
    </row>
    <row r="48" customFormat="false" ht="15" hidden="false" customHeight="false" outlineLevel="0" collapsed="false">
      <c r="A48" s="4" t="s">
        <v>380</v>
      </c>
      <c r="B48" s="4" t="s">
        <v>288</v>
      </c>
      <c r="C48" s="4" t="s">
        <v>381</v>
      </c>
      <c r="D48" s="4" t="s">
        <v>52</v>
      </c>
      <c r="E48" s="4" t="n">
        <v>1776357731</v>
      </c>
      <c r="F48" s="4" t="n">
        <v>1776357539</v>
      </c>
      <c r="G48" s="4" t="n">
        <v>1776357558</v>
      </c>
      <c r="H48" s="4" t="n">
        <v>1000000000000000</v>
      </c>
      <c r="I48" s="4" t="n">
        <v>1000000000000000</v>
      </c>
      <c r="J48" s="4" t="n">
        <v>1776358132</v>
      </c>
      <c r="K48" s="4" t="n">
        <v>1000000000000000</v>
      </c>
      <c r="L48" s="12" t="n">
        <f aca="false">IF(AND(B48=Cutoff!$B$12,E48&lt;=Cutoff!$B$10),1,0)</f>
        <v>1</v>
      </c>
      <c r="M48" s="12" t="n">
        <f aca="false">IF(AND(L48=1,F48&lt;1000000000000000,G48&lt;=Cutoff!$B$10),1,0)</f>
        <v>1</v>
      </c>
      <c r="N48" s="12" t="n">
        <f aca="false">IF(AND(M48=1,F48+Cutoff!$B$16&lt;=Cutoff!$B$10),1,0)</f>
        <v>1</v>
      </c>
      <c r="O48" s="12" t="n">
        <f aca="false">IF(N48=1,IF(AND(H48&lt;1000000000000000,H48&gt;=MAX(F48,E48),H48&lt;F48+Cutoff!$B$16,I48&lt;=Cutoff!$B$10),1,0),0)</f>
        <v>0</v>
      </c>
      <c r="P48" s="12" t="n">
        <f aca="false">IF(AND(L48=1,J48&lt;=Cutoff!$B$10),1,0)</f>
        <v>1</v>
      </c>
      <c r="Q48" s="12" t="n">
        <f aca="false">IF(AND(N48=1,E48+Cutoff!$B$17&lt;=Cutoff!$B$10),1,0)</f>
        <v>1</v>
      </c>
      <c r="R48" s="12" t="n">
        <f aca="false">IF(Q48=1,IF(K48&lt;=Cutoff!$B$10,1,0),0)</f>
        <v>0</v>
      </c>
      <c r="S48" s="12" t="n">
        <f aca="false">IF(N48=1,SUMIFS(Subscriptions!$D$2:$D$208,Subscriptions!$A$2:$A$208,C48,Subscriptions!$E$2:$E$208,1,Subscriptions!$B$2:$B$208,"&gt;="&amp;Cutoff!$B$24,Subscriptions!$B$2:$B$208,"&lt;"&amp;Cutoff!$B$25,Subscriptions!$B$2:$B$208,"&lt;="&amp;Cutoff!$B$10),0)</f>
        <v>60</v>
      </c>
    </row>
    <row r="49" customFormat="false" ht="15" hidden="false" customHeight="false" outlineLevel="0" collapsed="false">
      <c r="A49" s="4" t="s">
        <v>382</v>
      </c>
      <c r="B49" s="4" t="s">
        <v>288</v>
      </c>
      <c r="C49" s="4" t="s">
        <v>383</v>
      </c>
      <c r="D49" s="4" t="s">
        <v>51</v>
      </c>
      <c r="E49" s="4" t="n">
        <v>1776434146</v>
      </c>
      <c r="F49" s="4" t="n">
        <v>1776433853</v>
      </c>
      <c r="G49" s="4" t="n">
        <v>1776433866</v>
      </c>
      <c r="H49" s="4" t="n">
        <v>1000000000000000</v>
      </c>
      <c r="I49" s="4" t="n">
        <v>1000000000000000</v>
      </c>
      <c r="J49" s="4" t="n">
        <v>1776435106</v>
      </c>
      <c r="K49" s="4" t="n">
        <v>1000000000000000</v>
      </c>
      <c r="L49" s="12" t="n">
        <f aca="false">IF(AND(B49=Cutoff!$B$12,E49&lt;=Cutoff!$B$10),1,0)</f>
        <v>1</v>
      </c>
      <c r="M49" s="12" t="n">
        <f aca="false">IF(AND(L49=1,F49&lt;1000000000000000,G49&lt;=Cutoff!$B$10),1,0)</f>
        <v>1</v>
      </c>
      <c r="N49" s="12" t="n">
        <f aca="false">IF(AND(M49=1,F49+Cutoff!$B$16&lt;=Cutoff!$B$10),1,0)</f>
        <v>1</v>
      </c>
      <c r="O49" s="12" t="n">
        <f aca="false">IF(N49=1,IF(AND(H49&lt;1000000000000000,H49&gt;=MAX(F49,E49),H49&lt;F49+Cutoff!$B$16,I49&lt;=Cutoff!$B$10),1,0),0)</f>
        <v>0</v>
      </c>
      <c r="P49" s="12" t="n">
        <f aca="false">IF(AND(L49=1,J49&lt;=Cutoff!$B$10),1,0)</f>
        <v>1</v>
      </c>
      <c r="Q49" s="12" t="n">
        <f aca="false">IF(AND(N49=1,E49+Cutoff!$B$17&lt;=Cutoff!$B$10),1,0)</f>
        <v>1</v>
      </c>
      <c r="R49" s="12" t="n">
        <f aca="false">IF(Q49=1,IF(K49&lt;=Cutoff!$B$10,1,0),0)</f>
        <v>0</v>
      </c>
      <c r="S49" s="12" t="n">
        <f aca="false">IF(N49=1,SUMIFS(Subscriptions!$D$2:$D$208,Subscriptions!$A$2:$A$208,C49,Subscriptions!$E$2:$E$208,1,Subscriptions!$B$2:$B$208,"&gt;="&amp;Cutoff!$B$24,Subscriptions!$B$2:$B$208,"&lt;"&amp;Cutoff!$B$25,Subscriptions!$B$2:$B$208,"&lt;="&amp;Cutoff!$B$10),0)</f>
        <v>0</v>
      </c>
    </row>
    <row r="50" customFormat="false" ht="15" hidden="false" customHeight="false" outlineLevel="0" collapsed="false">
      <c r="A50" s="4" t="s">
        <v>384</v>
      </c>
      <c r="B50" s="4" t="s">
        <v>288</v>
      </c>
      <c r="C50" s="4" t="s">
        <v>385</v>
      </c>
      <c r="D50" s="4" t="s">
        <v>52</v>
      </c>
      <c r="E50" s="4" t="n">
        <v>1776442478</v>
      </c>
      <c r="F50" s="4" t="n">
        <v>1776442173</v>
      </c>
      <c r="G50" s="4" t="n">
        <v>1776442193</v>
      </c>
      <c r="H50" s="4" t="n">
        <v>1776487391</v>
      </c>
      <c r="I50" s="4" t="n">
        <v>1776487416</v>
      </c>
      <c r="J50" s="4" t="n">
        <v>1776442915</v>
      </c>
      <c r="K50" s="4" t="n">
        <v>1776442931</v>
      </c>
      <c r="L50" s="12" t="n">
        <f aca="false">IF(AND(B50=Cutoff!$B$12,E50&lt;=Cutoff!$B$10),1,0)</f>
        <v>1</v>
      </c>
      <c r="M50" s="12" t="n">
        <f aca="false">IF(AND(L50=1,F50&lt;1000000000000000,G50&lt;=Cutoff!$B$10),1,0)</f>
        <v>1</v>
      </c>
      <c r="N50" s="12" t="n">
        <f aca="false">IF(AND(M50=1,F50+Cutoff!$B$16&lt;=Cutoff!$B$10),1,0)</f>
        <v>1</v>
      </c>
      <c r="O50" s="12" t="n">
        <f aca="false">IF(N50=1,IF(AND(H50&lt;1000000000000000,H50&gt;=MAX(F50,E50),H50&lt;F50+Cutoff!$B$16,I50&lt;=Cutoff!$B$10),1,0),0)</f>
        <v>1</v>
      </c>
      <c r="P50" s="12" t="n">
        <f aca="false">IF(AND(L50=1,J50&lt;=Cutoff!$B$10),1,0)</f>
        <v>1</v>
      </c>
      <c r="Q50" s="12" t="n">
        <f aca="false">IF(AND(N50=1,E50+Cutoff!$B$17&lt;=Cutoff!$B$10),1,0)</f>
        <v>1</v>
      </c>
      <c r="R50" s="12" t="n">
        <f aca="false">IF(Q50=1,IF(K50&lt;=Cutoff!$B$10,1,0),0)</f>
        <v>1</v>
      </c>
      <c r="S50" s="12" t="n">
        <f aca="false">IF(N50=1,SUMIFS(Subscriptions!$D$2:$D$208,Subscriptions!$A$2:$A$208,C50,Subscriptions!$E$2:$E$208,1,Subscriptions!$B$2:$B$208,"&gt;="&amp;Cutoff!$B$24,Subscriptions!$B$2:$B$208,"&lt;"&amp;Cutoff!$B$25,Subscriptions!$B$2:$B$208,"&lt;="&amp;Cutoff!$B$10),0)</f>
        <v>0</v>
      </c>
    </row>
    <row r="51" customFormat="false" ht="15" hidden="false" customHeight="false" outlineLevel="0" collapsed="false">
      <c r="A51" s="4" t="s">
        <v>386</v>
      </c>
      <c r="B51" s="4" t="s">
        <v>288</v>
      </c>
      <c r="C51" s="4" t="s">
        <v>387</v>
      </c>
      <c r="D51" s="4" t="s">
        <v>51</v>
      </c>
      <c r="E51" s="4" t="n">
        <v>1776461857</v>
      </c>
      <c r="F51" s="4" t="n">
        <v>1776461316</v>
      </c>
      <c r="G51" s="4" t="n">
        <v>1776461334</v>
      </c>
      <c r="H51" s="4" t="n">
        <v>1000000000000000</v>
      </c>
      <c r="I51" s="4" t="n">
        <v>1000000000000000</v>
      </c>
      <c r="J51" s="4" t="n">
        <v>1776462098</v>
      </c>
      <c r="K51" s="4" t="n">
        <v>1000000000000000</v>
      </c>
      <c r="L51" s="12" t="n">
        <f aca="false">IF(AND(B51=Cutoff!$B$12,E51&lt;=Cutoff!$B$10),1,0)</f>
        <v>1</v>
      </c>
      <c r="M51" s="12" t="n">
        <f aca="false">IF(AND(L51=1,F51&lt;1000000000000000,G51&lt;=Cutoff!$B$10),1,0)</f>
        <v>1</v>
      </c>
      <c r="N51" s="12" t="n">
        <f aca="false">IF(AND(M51=1,F51+Cutoff!$B$16&lt;=Cutoff!$B$10),1,0)</f>
        <v>1</v>
      </c>
      <c r="O51" s="12" t="n">
        <f aca="false">IF(N51=1,IF(AND(H51&lt;1000000000000000,H51&gt;=MAX(F51,E51),H51&lt;F51+Cutoff!$B$16,I51&lt;=Cutoff!$B$10),1,0),0)</f>
        <v>0</v>
      </c>
      <c r="P51" s="12" t="n">
        <f aca="false">IF(AND(L51=1,J51&lt;=Cutoff!$B$10),1,0)</f>
        <v>1</v>
      </c>
      <c r="Q51" s="12" t="n">
        <f aca="false">IF(AND(N51=1,E51+Cutoff!$B$17&lt;=Cutoff!$B$10),1,0)</f>
        <v>1</v>
      </c>
      <c r="R51" s="12" t="n">
        <f aca="false">IF(Q51=1,IF(K51&lt;=Cutoff!$B$10,1,0),0)</f>
        <v>0</v>
      </c>
      <c r="S51" s="12" t="n">
        <f aca="false">IF(N51=1,SUMIFS(Subscriptions!$D$2:$D$208,Subscriptions!$A$2:$A$208,C51,Subscriptions!$E$2:$E$208,1,Subscriptions!$B$2:$B$208,"&gt;="&amp;Cutoff!$B$24,Subscriptions!$B$2:$B$208,"&lt;"&amp;Cutoff!$B$25,Subscriptions!$B$2:$B$208,"&lt;="&amp;Cutoff!$B$10),0)</f>
        <v>0</v>
      </c>
    </row>
    <row r="52" customFormat="false" ht="15" hidden="false" customHeight="false" outlineLevel="0" collapsed="false">
      <c r="A52" s="4" t="s">
        <v>388</v>
      </c>
      <c r="B52" s="4" t="s">
        <v>288</v>
      </c>
      <c r="C52" s="4" t="s">
        <v>389</v>
      </c>
      <c r="D52" s="4" t="s">
        <v>52</v>
      </c>
      <c r="E52" s="4" t="n">
        <v>1776541093</v>
      </c>
      <c r="F52" s="4" t="n">
        <v>1776540598</v>
      </c>
      <c r="G52" s="4" t="n">
        <v>1776540958</v>
      </c>
      <c r="H52" s="4" t="n">
        <v>1778098359</v>
      </c>
      <c r="I52" s="4" t="n">
        <v>1778098361</v>
      </c>
      <c r="J52" s="4" t="n">
        <v>1000000000000000</v>
      </c>
      <c r="K52" s="4" t="n">
        <v>1776796957</v>
      </c>
      <c r="L52" s="12" t="n">
        <f aca="false">IF(AND(B52=Cutoff!$B$12,E52&lt;=Cutoff!$B$10),1,0)</f>
        <v>1</v>
      </c>
      <c r="M52" s="12" t="n">
        <f aca="false">IF(AND(L52=1,F52&lt;1000000000000000,G52&lt;=Cutoff!$B$10),1,0)</f>
        <v>1</v>
      </c>
      <c r="N52" s="12" t="n">
        <f aca="false">IF(AND(M52=1,F52+Cutoff!$B$16&lt;=Cutoff!$B$10),1,0)</f>
        <v>1</v>
      </c>
      <c r="O52" s="12" t="n">
        <f aca="false">IF(N52=1,IF(AND(H52&lt;1000000000000000,H52&gt;=MAX(F52,E52),H52&lt;F52+Cutoff!$B$16,I52&lt;=Cutoff!$B$10),1,0),0)</f>
        <v>0</v>
      </c>
      <c r="P52" s="12" t="n">
        <f aca="false">IF(AND(L52=1,J52&lt;=Cutoff!$B$10),1,0)</f>
        <v>0</v>
      </c>
      <c r="Q52" s="12" t="n">
        <f aca="false">IF(AND(N52=1,E52+Cutoff!$B$17&lt;=Cutoff!$B$10),1,0)</f>
        <v>1</v>
      </c>
      <c r="R52" s="12" t="n">
        <f aca="false">IF(Q52=1,IF(K52&lt;=Cutoff!$B$10,1,0),0)</f>
        <v>1</v>
      </c>
      <c r="S52" s="12" t="n">
        <f aca="false">IF(N52=1,SUMIFS(Subscriptions!$D$2:$D$208,Subscriptions!$A$2:$A$208,C52,Subscriptions!$E$2:$E$208,1,Subscriptions!$B$2:$B$208,"&gt;="&amp;Cutoff!$B$24,Subscriptions!$B$2:$B$208,"&lt;"&amp;Cutoff!$B$25,Subscriptions!$B$2:$B$208,"&lt;="&amp;Cutoff!$B$10),0)</f>
        <v>0</v>
      </c>
    </row>
    <row r="53" customFormat="false" ht="15" hidden="false" customHeight="false" outlineLevel="0" collapsed="false">
      <c r="A53" s="4" t="s">
        <v>390</v>
      </c>
      <c r="B53" s="4" t="s">
        <v>288</v>
      </c>
      <c r="C53" s="4" t="s">
        <v>391</v>
      </c>
      <c r="D53" s="4" t="s">
        <v>51</v>
      </c>
      <c r="E53" s="4" t="n">
        <v>1776618186</v>
      </c>
      <c r="F53" s="4" t="n">
        <v>1776617861</v>
      </c>
      <c r="G53" s="4" t="n">
        <v>1776617863</v>
      </c>
      <c r="H53" s="4" t="n">
        <v>1000000000000000</v>
      </c>
      <c r="I53" s="4" t="n">
        <v>1000000000000000</v>
      </c>
      <c r="J53" s="4" t="n">
        <v>1776619355</v>
      </c>
      <c r="K53" s="4" t="n">
        <v>1776951434</v>
      </c>
      <c r="L53" s="12" t="n">
        <f aca="false">IF(AND(B53=Cutoff!$B$12,E53&lt;=Cutoff!$B$10),1,0)</f>
        <v>1</v>
      </c>
      <c r="M53" s="12" t="n">
        <f aca="false">IF(AND(L53=1,F53&lt;1000000000000000,G53&lt;=Cutoff!$B$10),1,0)</f>
        <v>1</v>
      </c>
      <c r="N53" s="12" t="n">
        <f aca="false">IF(AND(M53=1,F53+Cutoff!$B$16&lt;=Cutoff!$B$10),1,0)</f>
        <v>1</v>
      </c>
      <c r="O53" s="12" t="n">
        <f aca="false">IF(N53=1,IF(AND(H53&lt;1000000000000000,H53&gt;=MAX(F53,E53),H53&lt;F53+Cutoff!$B$16,I53&lt;=Cutoff!$B$10),1,0),0)</f>
        <v>0</v>
      </c>
      <c r="P53" s="12" t="n">
        <f aca="false">IF(AND(L53=1,J53&lt;=Cutoff!$B$10),1,0)</f>
        <v>1</v>
      </c>
      <c r="Q53" s="12" t="n">
        <f aca="false">IF(AND(N53=1,E53+Cutoff!$B$17&lt;=Cutoff!$B$10),1,0)</f>
        <v>1</v>
      </c>
      <c r="R53" s="12" t="n">
        <f aca="false">IF(Q53=1,IF(K53&lt;=Cutoff!$B$10,1,0),0)</f>
        <v>1</v>
      </c>
      <c r="S53" s="12" t="n">
        <f aca="false">IF(N53=1,SUMIFS(Subscriptions!$D$2:$D$208,Subscriptions!$A$2:$A$208,C53,Subscriptions!$E$2:$E$208,1,Subscriptions!$B$2:$B$208,"&gt;="&amp;Cutoff!$B$24,Subscriptions!$B$2:$B$208,"&lt;"&amp;Cutoff!$B$25,Subscriptions!$B$2:$B$208,"&lt;="&amp;Cutoff!$B$10),0)</f>
        <v>0</v>
      </c>
    </row>
    <row r="54" customFormat="false" ht="15" hidden="false" customHeight="false" outlineLevel="0" collapsed="false">
      <c r="A54" s="4" t="s">
        <v>392</v>
      </c>
      <c r="B54" s="4" t="s">
        <v>288</v>
      </c>
      <c r="C54" s="4" t="s">
        <v>393</v>
      </c>
      <c r="D54" s="4" t="s">
        <v>51</v>
      </c>
      <c r="E54" s="4" t="n">
        <v>1776691072</v>
      </c>
      <c r="F54" s="4" t="n">
        <v>1776690738</v>
      </c>
      <c r="G54" s="4" t="n">
        <v>1776690762</v>
      </c>
      <c r="H54" s="4" t="n">
        <v>1778020136</v>
      </c>
      <c r="I54" s="4" t="n">
        <v>1778020141</v>
      </c>
      <c r="J54" s="4" t="n">
        <v>1000000000000000</v>
      </c>
      <c r="K54" s="4" t="n">
        <v>1000000000000000</v>
      </c>
      <c r="L54" s="12" t="n">
        <f aca="false">IF(AND(B54=Cutoff!$B$12,E54&lt;=Cutoff!$B$10),1,0)</f>
        <v>1</v>
      </c>
      <c r="M54" s="12" t="n">
        <f aca="false">IF(AND(L54=1,F54&lt;1000000000000000,G54&lt;=Cutoff!$B$10),1,0)</f>
        <v>1</v>
      </c>
      <c r="N54" s="12" t="n">
        <f aca="false">IF(AND(M54=1,F54+Cutoff!$B$16&lt;=Cutoff!$B$10),1,0)</f>
        <v>1</v>
      </c>
      <c r="O54" s="12" t="n">
        <f aca="false">IF(N54=1,IF(AND(H54&lt;1000000000000000,H54&gt;=MAX(F54,E54),H54&lt;F54+Cutoff!$B$16,I54&lt;=Cutoff!$B$10),1,0),0)</f>
        <v>0</v>
      </c>
      <c r="P54" s="12" t="n">
        <f aca="false">IF(AND(L54=1,J54&lt;=Cutoff!$B$10),1,0)</f>
        <v>0</v>
      </c>
      <c r="Q54" s="12" t="n">
        <f aca="false">IF(AND(N54=1,E54+Cutoff!$B$17&lt;=Cutoff!$B$10),1,0)</f>
        <v>1</v>
      </c>
      <c r="R54" s="12" t="n">
        <f aca="false">IF(Q54=1,IF(K54&lt;=Cutoff!$B$10,1,0),0)</f>
        <v>0</v>
      </c>
      <c r="S54" s="12" t="n">
        <f aca="false">IF(N54=1,SUMIFS(Subscriptions!$D$2:$D$208,Subscriptions!$A$2:$A$208,C54,Subscriptions!$E$2:$E$208,1,Subscriptions!$B$2:$B$208,"&gt;="&amp;Cutoff!$B$24,Subscriptions!$B$2:$B$208,"&lt;"&amp;Cutoff!$B$25,Subscriptions!$B$2:$B$208,"&lt;="&amp;Cutoff!$B$10),0)</f>
        <v>0</v>
      </c>
    </row>
    <row r="55" customFormat="false" ht="15" hidden="false" customHeight="false" outlineLevel="0" collapsed="false">
      <c r="A55" s="4" t="s">
        <v>394</v>
      </c>
      <c r="B55" s="4" t="s">
        <v>288</v>
      </c>
      <c r="C55" s="4" t="s">
        <v>395</v>
      </c>
      <c r="D55" s="4" t="s">
        <v>51</v>
      </c>
      <c r="E55" s="4" t="n">
        <v>1776694726</v>
      </c>
      <c r="F55" s="4" t="n">
        <v>1776694640</v>
      </c>
      <c r="G55" s="4" t="n">
        <v>1776698887</v>
      </c>
      <c r="H55" s="4" t="n">
        <v>1000000000000000</v>
      </c>
      <c r="I55" s="4" t="n">
        <v>1000000000000000</v>
      </c>
      <c r="J55" s="4" t="n">
        <v>1776695444</v>
      </c>
      <c r="K55" s="4" t="n">
        <v>1000000000000000</v>
      </c>
      <c r="L55" s="12" t="n">
        <f aca="false">IF(AND(B55=Cutoff!$B$12,E55&lt;=Cutoff!$B$10),1,0)</f>
        <v>1</v>
      </c>
      <c r="M55" s="12" t="n">
        <f aca="false">IF(AND(L55=1,F55&lt;1000000000000000,G55&lt;=Cutoff!$B$10),1,0)</f>
        <v>1</v>
      </c>
      <c r="N55" s="12" t="n">
        <f aca="false">IF(AND(M55=1,F55+Cutoff!$B$16&lt;=Cutoff!$B$10),1,0)</f>
        <v>1</v>
      </c>
      <c r="O55" s="12" t="n">
        <f aca="false">IF(N55=1,IF(AND(H55&lt;1000000000000000,H55&gt;=MAX(F55,E55),H55&lt;F55+Cutoff!$B$16,I55&lt;=Cutoff!$B$10),1,0),0)</f>
        <v>0</v>
      </c>
      <c r="P55" s="12" t="n">
        <f aca="false">IF(AND(L55=1,J55&lt;=Cutoff!$B$10),1,0)</f>
        <v>1</v>
      </c>
      <c r="Q55" s="12" t="n">
        <f aca="false">IF(AND(N55=1,E55+Cutoff!$B$17&lt;=Cutoff!$B$10),1,0)</f>
        <v>1</v>
      </c>
      <c r="R55" s="12" t="n">
        <f aca="false">IF(Q55=1,IF(K55&lt;=Cutoff!$B$10,1,0),0)</f>
        <v>0</v>
      </c>
      <c r="S55" s="12" t="n">
        <f aca="false">IF(N55=1,SUMIFS(Subscriptions!$D$2:$D$208,Subscriptions!$A$2:$A$208,C55,Subscriptions!$E$2:$E$208,1,Subscriptions!$B$2:$B$208,"&gt;="&amp;Cutoff!$B$24,Subscriptions!$B$2:$B$208,"&lt;"&amp;Cutoff!$B$25,Subscriptions!$B$2:$B$208,"&lt;="&amp;Cutoff!$B$10),0)</f>
        <v>156</v>
      </c>
    </row>
    <row r="56" customFormat="false" ht="15" hidden="false" customHeight="false" outlineLevel="0" collapsed="false">
      <c r="A56" s="4" t="s">
        <v>396</v>
      </c>
      <c r="B56" s="4" t="s">
        <v>288</v>
      </c>
      <c r="C56" s="4" t="s">
        <v>397</v>
      </c>
      <c r="D56" s="4" t="s">
        <v>52</v>
      </c>
      <c r="E56" s="4" t="n">
        <v>1776709478</v>
      </c>
      <c r="F56" s="4" t="n">
        <v>1776709113</v>
      </c>
      <c r="G56" s="4" t="n">
        <v>1776709139</v>
      </c>
      <c r="H56" s="4" t="n">
        <v>1777034143</v>
      </c>
      <c r="I56" s="4" t="n">
        <v>1777034157</v>
      </c>
      <c r="J56" s="4" t="n">
        <v>1776709818</v>
      </c>
      <c r="K56" s="4" t="n">
        <v>1000000000000000</v>
      </c>
      <c r="L56" s="12" t="n">
        <f aca="false">IF(AND(B56=Cutoff!$B$12,E56&lt;=Cutoff!$B$10),1,0)</f>
        <v>1</v>
      </c>
      <c r="M56" s="12" t="n">
        <f aca="false">IF(AND(L56=1,F56&lt;1000000000000000,G56&lt;=Cutoff!$B$10),1,0)</f>
        <v>1</v>
      </c>
      <c r="N56" s="12" t="n">
        <f aca="false">IF(AND(M56=1,F56+Cutoff!$B$16&lt;=Cutoff!$B$10),1,0)</f>
        <v>1</v>
      </c>
      <c r="O56" s="12" t="n">
        <f aca="false">IF(N56=1,IF(AND(H56&lt;1000000000000000,H56&gt;=MAX(F56,E56),H56&lt;F56+Cutoff!$B$16,I56&lt;=Cutoff!$B$10),1,0),0)</f>
        <v>1</v>
      </c>
      <c r="P56" s="12" t="n">
        <f aca="false">IF(AND(L56=1,J56&lt;=Cutoff!$B$10),1,0)</f>
        <v>1</v>
      </c>
      <c r="Q56" s="12" t="n">
        <f aca="false">IF(AND(N56=1,E56+Cutoff!$B$17&lt;=Cutoff!$B$10),1,0)</f>
        <v>1</v>
      </c>
      <c r="R56" s="12" t="n">
        <f aca="false">IF(Q56=1,IF(K56&lt;=Cutoff!$B$10,1,0),0)</f>
        <v>0</v>
      </c>
      <c r="S56" s="12" t="n">
        <f aca="false">IF(N56=1,SUMIFS(Subscriptions!$D$2:$D$208,Subscriptions!$A$2:$A$208,C56,Subscriptions!$E$2:$E$208,1,Subscriptions!$B$2:$B$208,"&gt;="&amp;Cutoff!$B$24,Subscriptions!$B$2:$B$208,"&lt;"&amp;Cutoff!$B$25,Subscriptions!$B$2:$B$208,"&lt;="&amp;Cutoff!$B$10),0)</f>
        <v>0</v>
      </c>
    </row>
    <row r="57" customFormat="false" ht="15" hidden="false" customHeight="false" outlineLevel="0" collapsed="false">
      <c r="A57" s="4" t="s">
        <v>398</v>
      </c>
      <c r="B57" s="4" t="s">
        <v>288</v>
      </c>
      <c r="C57" s="4" t="s">
        <v>399</v>
      </c>
      <c r="D57" s="4" t="s">
        <v>52</v>
      </c>
      <c r="E57" s="4" t="n">
        <v>1776709813</v>
      </c>
      <c r="F57" s="4" t="n">
        <v>1776709376</v>
      </c>
      <c r="G57" s="4" t="n">
        <v>1776709385</v>
      </c>
      <c r="H57" s="4" t="n">
        <v>1777284693</v>
      </c>
      <c r="I57" s="4" t="n">
        <v>1777284701</v>
      </c>
      <c r="J57" s="4" t="n">
        <v>1000000000000000</v>
      </c>
      <c r="K57" s="4" t="n">
        <v>1000000000000000</v>
      </c>
      <c r="L57" s="12" t="n">
        <f aca="false">IF(AND(B57=Cutoff!$B$12,E57&lt;=Cutoff!$B$10),1,0)</f>
        <v>1</v>
      </c>
      <c r="M57" s="12" t="n">
        <f aca="false">IF(AND(L57=1,F57&lt;1000000000000000,G57&lt;=Cutoff!$B$10),1,0)</f>
        <v>1</v>
      </c>
      <c r="N57" s="12" t="n">
        <f aca="false">IF(AND(M57=1,F57+Cutoff!$B$16&lt;=Cutoff!$B$10),1,0)</f>
        <v>1</v>
      </c>
      <c r="O57" s="12" t="n">
        <f aca="false">IF(N57=1,IF(AND(H57&lt;1000000000000000,H57&gt;=MAX(F57,E57),H57&lt;F57+Cutoff!$B$16,I57&lt;=Cutoff!$B$10),1,0),0)</f>
        <v>1</v>
      </c>
      <c r="P57" s="12" t="n">
        <f aca="false">IF(AND(L57=1,J57&lt;=Cutoff!$B$10),1,0)</f>
        <v>0</v>
      </c>
      <c r="Q57" s="12" t="n">
        <f aca="false">IF(AND(N57=1,E57+Cutoff!$B$17&lt;=Cutoff!$B$10),1,0)</f>
        <v>1</v>
      </c>
      <c r="R57" s="12" t="n">
        <f aca="false">IF(Q57=1,IF(K57&lt;=Cutoff!$B$10,1,0),0)</f>
        <v>0</v>
      </c>
      <c r="S57" s="12" t="n">
        <f aca="false">IF(N57=1,SUMIFS(Subscriptions!$D$2:$D$208,Subscriptions!$A$2:$A$208,C57,Subscriptions!$E$2:$E$208,1,Subscriptions!$B$2:$B$208,"&gt;="&amp;Cutoff!$B$24,Subscriptions!$B$2:$B$208,"&lt;"&amp;Cutoff!$B$25,Subscriptions!$B$2:$B$208,"&lt;="&amp;Cutoff!$B$10),0)</f>
        <v>0</v>
      </c>
    </row>
    <row r="58" customFormat="false" ht="15" hidden="false" customHeight="false" outlineLevel="0" collapsed="false">
      <c r="A58" s="4" t="s">
        <v>400</v>
      </c>
      <c r="B58" s="4" t="s">
        <v>288</v>
      </c>
      <c r="C58" s="4" t="s">
        <v>401</v>
      </c>
      <c r="D58" s="4" t="s">
        <v>52</v>
      </c>
      <c r="E58" s="4" t="n">
        <v>1776723786</v>
      </c>
      <c r="F58" s="4" t="n">
        <v>1776723601</v>
      </c>
      <c r="G58" s="4" t="n">
        <v>1776723619</v>
      </c>
      <c r="H58" s="4" t="n">
        <v>1000000000000000</v>
      </c>
      <c r="I58" s="4" t="n">
        <v>1000000000000000</v>
      </c>
      <c r="J58" s="4" t="n">
        <v>1776724701</v>
      </c>
      <c r="K58" s="4" t="n">
        <v>1000000000000000</v>
      </c>
      <c r="L58" s="12" t="n">
        <f aca="false">IF(AND(B58=Cutoff!$B$12,E58&lt;=Cutoff!$B$10),1,0)</f>
        <v>1</v>
      </c>
      <c r="M58" s="12" t="n">
        <f aca="false">IF(AND(L58=1,F58&lt;1000000000000000,G58&lt;=Cutoff!$B$10),1,0)</f>
        <v>1</v>
      </c>
      <c r="N58" s="12" t="n">
        <f aca="false">IF(AND(M58=1,F58+Cutoff!$B$16&lt;=Cutoff!$B$10),1,0)</f>
        <v>1</v>
      </c>
      <c r="O58" s="12" t="n">
        <f aca="false">IF(N58=1,IF(AND(H58&lt;1000000000000000,H58&gt;=MAX(F58,E58),H58&lt;F58+Cutoff!$B$16,I58&lt;=Cutoff!$B$10),1,0),0)</f>
        <v>0</v>
      </c>
      <c r="P58" s="12" t="n">
        <f aca="false">IF(AND(L58=1,J58&lt;=Cutoff!$B$10),1,0)</f>
        <v>1</v>
      </c>
      <c r="Q58" s="12" t="n">
        <f aca="false">IF(AND(N58=1,E58+Cutoff!$B$17&lt;=Cutoff!$B$10),1,0)</f>
        <v>1</v>
      </c>
      <c r="R58" s="12" t="n">
        <f aca="false">IF(Q58=1,IF(K58&lt;=Cutoff!$B$10,1,0),0)</f>
        <v>0</v>
      </c>
      <c r="S58" s="12" t="n">
        <f aca="false">IF(N58=1,SUMIFS(Subscriptions!$D$2:$D$208,Subscriptions!$A$2:$A$208,C58,Subscriptions!$E$2:$E$208,1,Subscriptions!$B$2:$B$208,"&gt;="&amp;Cutoff!$B$24,Subscriptions!$B$2:$B$208,"&lt;"&amp;Cutoff!$B$25,Subscriptions!$B$2:$B$208,"&lt;="&amp;Cutoff!$B$10),0)</f>
        <v>0</v>
      </c>
    </row>
    <row r="59" customFormat="false" ht="15" hidden="false" customHeight="false" outlineLevel="0" collapsed="false">
      <c r="A59" s="4" t="s">
        <v>402</v>
      </c>
      <c r="B59" s="4" t="s">
        <v>288</v>
      </c>
      <c r="C59" s="4" t="s">
        <v>403</v>
      </c>
      <c r="D59" s="4" t="s">
        <v>51</v>
      </c>
      <c r="E59" s="4" t="n">
        <v>1776779087</v>
      </c>
      <c r="F59" s="4" t="n">
        <v>1776778858</v>
      </c>
      <c r="G59" s="4" t="n">
        <v>1776784484</v>
      </c>
      <c r="H59" s="4" t="n">
        <v>1000000000000000</v>
      </c>
      <c r="I59" s="4" t="n">
        <v>1000000000000000</v>
      </c>
      <c r="J59" s="4" t="n">
        <v>1776780214</v>
      </c>
      <c r="K59" s="4" t="n">
        <v>1000000000000000</v>
      </c>
      <c r="L59" s="12" t="n">
        <f aca="false">IF(AND(B59=Cutoff!$B$12,E59&lt;=Cutoff!$B$10),1,0)</f>
        <v>1</v>
      </c>
      <c r="M59" s="12" t="n">
        <f aca="false">IF(AND(L59=1,F59&lt;1000000000000000,G59&lt;=Cutoff!$B$10),1,0)</f>
        <v>1</v>
      </c>
      <c r="N59" s="12" t="n">
        <f aca="false">IF(AND(M59=1,F59+Cutoff!$B$16&lt;=Cutoff!$B$10),1,0)</f>
        <v>1</v>
      </c>
      <c r="O59" s="12" t="n">
        <f aca="false">IF(N59=1,IF(AND(H59&lt;1000000000000000,H59&gt;=MAX(F59,E59),H59&lt;F59+Cutoff!$B$16,I59&lt;=Cutoff!$B$10),1,0),0)</f>
        <v>0</v>
      </c>
      <c r="P59" s="12" t="n">
        <f aca="false">IF(AND(L59=1,J59&lt;=Cutoff!$B$10),1,0)</f>
        <v>1</v>
      </c>
      <c r="Q59" s="12" t="n">
        <f aca="false">IF(AND(N59=1,E59+Cutoff!$B$17&lt;=Cutoff!$B$10),1,0)</f>
        <v>1</v>
      </c>
      <c r="R59" s="12" t="n">
        <f aca="false">IF(Q59=1,IF(K59&lt;=Cutoff!$B$10,1,0),0)</f>
        <v>0</v>
      </c>
      <c r="S59" s="12" t="n">
        <f aca="false">IF(N59=1,SUMIFS(Subscriptions!$D$2:$D$208,Subscriptions!$A$2:$A$208,C59,Subscriptions!$E$2:$E$208,1,Subscriptions!$B$2:$B$208,"&gt;="&amp;Cutoff!$B$24,Subscriptions!$B$2:$B$208,"&lt;"&amp;Cutoff!$B$25,Subscriptions!$B$2:$B$208,"&lt;="&amp;Cutoff!$B$10),0)</f>
        <v>0</v>
      </c>
    </row>
    <row r="60" customFormat="false" ht="15" hidden="false" customHeight="false" outlineLevel="0" collapsed="false">
      <c r="A60" s="4" t="s">
        <v>404</v>
      </c>
      <c r="B60" s="4" t="s">
        <v>288</v>
      </c>
      <c r="C60" s="4" t="s">
        <v>405</v>
      </c>
      <c r="D60" s="4" t="s">
        <v>52</v>
      </c>
      <c r="E60" s="4" t="n">
        <v>1776795708</v>
      </c>
      <c r="F60" s="4" t="n">
        <v>1776795323</v>
      </c>
      <c r="G60" s="4" t="n">
        <v>1776795557</v>
      </c>
      <c r="H60" s="4" t="n">
        <v>1777265139</v>
      </c>
      <c r="I60" s="4" t="n">
        <v>1777265142</v>
      </c>
      <c r="J60" s="4" t="n">
        <v>1776796271</v>
      </c>
      <c r="K60" s="4" t="n">
        <v>1000000000000000</v>
      </c>
      <c r="L60" s="12" t="n">
        <f aca="false">IF(AND(B60=Cutoff!$B$12,E60&lt;=Cutoff!$B$10),1,0)</f>
        <v>1</v>
      </c>
      <c r="M60" s="12" t="n">
        <f aca="false">IF(AND(L60=1,F60&lt;1000000000000000,G60&lt;=Cutoff!$B$10),1,0)</f>
        <v>1</v>
      </c>
      <c r="N60" s="12" t="n">
        <f aca="false">IF(AND(M60=1,F60+Cutoff!$B$16&lt;=Cutoff!$B$10),1,0)</f>
        <v>1</v>
      </c>
      <c r="O60" s="12" t="n">
        <f aca="false">IF(N60=1,IF(AND(H60&lt;1000000000000000,H60&gt;=MAX(F60,E60),H60&lt;F60+Cutoff!$B$16,I60&lt;=Cutoff!$B$10),1,0),0)</f>
        <v>1</v>
      </c>
      <c r="P60" s="12" t="n">
        <f aca="false">IF(AND(L60=1,J60&lt;=Cutoff!$B$10),1,0)</f>
        <v>1</v>
      </c>
      <c r="Q60" s="12" t="n">
        <f aca="false">IF(AND(N60=1,E60+Cutoff!$B$17&lt;=Cutoff!$B$10),1,0)</f>
        <v>1</v>
      </c>
      <c r="R60" s="12" t="n">
        <f aca="false">IF(Q60=1,IF(K60&lt;=Cutoff!$B$10,1,0),0)</f>
        <v>0</v>
      </c>
      <c r="S60" s="12" t="n">
        <f aca="false">IF(N60=1,SUMIFS(Subscriptions!$D$2:$D$208,Subscriptions!$A$2:$A$208,C60,Subscriptions!$E$2:$E$208,1,Subscriptions!$B$2:$B$208,"&gt;="&amp;Cutoff!$B$24,Subscriptions!$B$2:$B$208,"&lt;"&amp;Cutoff!$B$25,Subscriptions!$B$2:$B$208,"&lt;="&amp;Cutoff!$B$10),0)</f>
        <v>120</v>
      </c>
    </row>
    <row r="61" customFormat="false" ht="15" hidden="false" customHeight="false" outlineLevel="0" collapsed="false">
      <c r="A61" s="4" t="s">
        <v>406</v>
      </c>
      <c r="B61" s="4" t="s">
        <v>288</v>
      </c>
      <c r="C61" s="4" t="s">
        <v>407</v>
      </c>
      <c r="D61" s="4" t="s">
        <v>51</v>
      </c>
      <c r="E61" s="4" t="n">
        <v>1776800859</v>
      </c>
      <c r="F61" s="4" t="n">
        <v>1776800656</v>
      </c>
      <c r="G61" s="4" t="n">
        <v>1776800673</v>
      </c>
      <c r="H61" s="4" t="n">
        <v>1000000000000000</v>
      </c>
      <c r="I61" s="4" t="n">
        <v>1000000000000000</v>
      </c>
      <c r="J61" s="4" t="n">
        <v>1776801949</v>
      </c>
      <c r="K61" s="4" t="n">
        <v>1000000000000000</v>
      </c>
      <c r="L61" s="12" t="n">
        <f aca="false">IF(AND(B61=Cutoff!$B$12,E61&lt;=Cutoff!$B$10),1,0)</f>
        <v>1</v>
      </c>
      <c r="M61" s="12" t="n">
        <f aca="false">IF(AND(L61=1,F61&lt;1000000000000000,G61&lt;=Cutoff!$B$10),1,0)</f>
        <v>1</v>
      </c>
      <c r="N61" s="12" t="n">
        <f aca="false">IF(AND(M61=1,F61+Cutoff!$B$16&lt;=Cutoff!$B$10),1,0)</f>
        <v>1</v>
      </c>
      <c r="O61" s="12" t="n">
        <f aca="false">IF(N61=1,IF(AND(H61&lt;1000000000000000,H61&gt;=MAX(F61,E61),H61&lt;F61+Cutoff!$B$16,I61&lt;=Cutoff!$B$10),1,0),0)</f>
        <v>0</v>
      </c>
      <c r="P61" s="12" t="n">
        <f aca="false">IF(AND(L61=1,J61&lt;=Cutoff!$B$10),1,0)</f>
        <v>1</v>
      </c>
      <c r="Q61" s="12" t="n">
        <f aca="false">IF(AND(N61=1,E61+Cutoff!$B$17&lt;=Cutoff!$B$10),1,0)</f>
        <v>1</v>
      </c>
      <c r="R61" s="12" t="n">
        <f aca="false">IF(Q61=1,IF(K61&lt;=Cutoff!$B$10,1,0),0)</f>
        <v>0</v>
      </c>
      <c r="S61" s="12" t="n">
        <f aca="false">IF(N61=1,SUMIFS(Subscriptions!$D$2:$D$208,Subscriptions!$A$2:$A$208,C61,Subscriptions!$E$2:$E$208,1,Subscriptions!$B$2:$B$208,"&gt;="&amp;Cutoff!$B$24,Subscriptions!$B$2:$B$208,"&lt;"&amp;Cutoff!$B$25,Subscriptions!$B$2:$B$208,"&lt;="&amp;Cutoff!$B$10),0)</f>
        <v>936</v>
      </c>
    </row>
    <row r="62" customFormat="false" ht="15" hidden="false" customHeight="false" outlineLevel="0" collapsed="false">
      <c r="A62" s="4" t="s">
        <v>408</v>
      </c>
      <c r="B62" s="4" t="s">
        <v>288</v>
      </c>
      <c r="C62" s="4" t="s">
        <v>409</v>
      </c>
      <c r="D62" s="4" t="s">
        <v>52</v>
      </c>
      <c r="E62" s="4" t="n">
        <v>1776816563</v>
      </c>
      <c r="F62" s="4" t="n">
        <v>1776816077</v>
      </c>
      <c r="G62" s="4" t="n">
        <v>1776816083</v>
      </c>
      <c r="H62" s="4" t="n">
        <v>1000000000000000</v>
      </c>
      <c r="I62" s="4" t="n">
        <v>1000000000000000</v>
      </c>
      <c r="J62" s="4" t="n">
        <v>1776817484</v>
      </c>
      <c r="K62" s="4" t="n">
        <v>1777057677</v>
      </c>
      <c r="L62" s="12" t="n">
        <f aca="false">IF(AND(B62=Cutoff!$B$12,E62&lt;=Cutoff!$B$10),1,0)</f>
        <v>1</v>
      </c>
      <c r="M62" s="12" t="n">
        <f aca="false">IF(AND(L62=1,F62&lt;1000000000000000,G62&lt;=Cutoff!$B$10),1,0)</f>
        <v>1</v>
      </c>
      <c r="N62" s="12" t="n">
        <f aca="false">IF(AND(M62=1,F62+Cutoff!$B$16&lt;=Cutoff!$B$10),1,0)</f>
        <v>1</v>
      </c>
      <c r="O62" s="12" t="n">
        <f aca="false">IF(N62=1,IF(AND(H62&lt;1000000000000000,H62&gt;=MAX(F62,E62),H62&lt;F62+Cutoff!$B$16,I62&lt;=Cutoff!$B$10),1,0),0)</f>
        <v>0</v>
      </c>
      <c r="P62" s="12" t="n">
        <f aca="false">IF(AND(L62=1,J62&lt;=Cutoff!$B$10),1,0)</f>
        <v>1</v>
      </c>
      <c r="Q62" s="12" t="n">
        <f aca="false">IF(AND(N62=1,E62+Cutoff!$B$17&lt;=Cutoff!$B$10),1,0)</f>
        <v>1</v>
      </c>
      <c r="R62" s="12" t="n">
        <f aca="false">IF(Q62=1,IF(K62&lt;=Cutoff!$B$10,1,0),0)</f>
        <v>1</v>
      </c>
      <c r="S62" s="12" t="n">
        <f aca="false">IF(N62=1,SUMIFS(Subscriptions!$D$2:$D$208,Subscriptions!$A$2:$A$208,C62,Subscriptions!$E$2:$E$208,1,Subscriptions!$B$2:$B$208,"&gt;="&amp;Cutoff!$B$24,Subscriptions!$B$2:$B$208,"&lt;"&amp;Cutoff!$B$25,Subscriptions!$B$2:$B$208,"&lt;="&amp;Cutoff!$B$10),0)</f>
        <v>0</v>
      </c>
    </row>
    <row r="63" customFormat="false" ht="15" hidden="false" customHeight="false" outlineLevel="0" collapsed="false">
      <c r="A63" s="4" t="s">
        <v>410</v>
      </c>
      <c r="B63" s="4" t="s">
        <v>288</v>
      </c>
      <c r="C63" s="4" t="s">
        <v>411</v>
      </c>
      <c r="D63" s="4" t="s">
        <v>52</v>
      </c>
      <c r="E63" s="4" t="n">
        <v>1776823035</v>
      </c>
      <c r="F63" s="4" t="n">
        <v>1776822527</v>
      </c>
      <c r="G63" s="4" t="n">
        <v>1776822528</v>
      </c>
      <c r="H63" s="4" t="n">
        <v>1000000000000000</v>
      </c>
      <c r="I63" s="4" t="n">
        <v>1000000000000000</v>
      </c>
      <c r="J63" s="4" t="n">
        <v>1776823253</v>
      </c>
      <c r="K63" s="4" t="n">
        <v>1000000000000000</v>
      </c>
      <c r="L63" s="12" t="n">
        <f aca="false">IF(AND(B63=Cutoff!$B$12,E63&lt;=Cutoff!$B$10),1,0)</f>
        <v>1</v>
      </c>
      <c r="M63" s="12" t="n">
        <f aca="false">IF(AND(L63=1,F63&lt;1000000000000000,G63&lt;=Cutoff!$B$10),1,0)</f>
        <v>1</v>
      </c>
      <c r="N63" s="12" t="n">
        <f aca="false">IF(AND(M63=1,F63+Cutoff!$B$16&lt;=Cutoff!$B$10),1,0)</f>
        <v>1</v>
      </c>
      <c r="O63" s="12" t="n">
        <f aca="false">IF(N63=1,IF(AND(H63&lt;1000000000000000,H63&gt;=MAX(F63,E63),H63&lt;F63+Cutoff!$B$16,I63&lt;=Cutoff!$B$10),1,0),0)</f>
        <v>0</v>
      </c>
      <c r="P63" s="12" t="n">
        <f aca="false">IF(AND(L63=1,J63&lt;=Cutoff!$B$10),1,0)</f>
        <v>1</v>
      </c>
      <c r="Q63" s="12" t="n">
        <f aca="false">IF(AND(N63=1,E63+Cutoff!$B$17&lt;=Cutoff!$B$10),1,0)</f>
        <v>1</v>
      </c>
      <c r="R63" s="12" t="n">
        <f aca="false">IF(Q63=1,IF(K63&lt;=Cutoff!$B$10,1,0),0)</f>
        <v>0</v>
      </c>
      <c r="S63" s="12" t="n">
        <f aca="false">IF(N63=1,SUMIFS(Subscriptions!$D$2:$D$208,Subscriptions!$A$2:$A$208,C63,Subscriptions!$E$2:$E$208,1,Subscriptions!$B$2:$B$208,"&gt;="&amp;Cutoff!$B$24,Subscriptions!$B$2:$B$208,"&lt;"&amp;Cutoff!$B$25,Subscriptions!$B$2:$B$208,"&lt;="&amp;Cutoff!$B$10),0)</f>
        <v>144</v>
      </c>
    </row>
    <row r="64" customFormat="false" ht="15" hidden="false" customHeight="false" outlineLevel="0" collapsed="false">
      <c r="A64" s="4" t="s">
        <v>412</v>
      </c>
      <c r="B64" s="4" t="s">
        <v>288</v>
      </c>
      <c r="C64" s="4" t="s">
        <v>413</v>
      </c>
      <c r="D64" s="4" t="s">
        <v>51</v>
      </c>
      <c r="E64" s="4" t="n">
        <v>1776868572</v>
      </c>
      <c r="F64" s="4" t="n">
        <v>1776868063</v>
      </c>
      <c r="G64" s="4" t="n">
        <v>1776868073</v>
      </c>
      <c r="H64" s="4" t="n">
        <v>1000000000000000</v>
      </c>
      <c r="I64" s="4" t="n">
        <v>1000000000000000</v>
      </c>
      <c r="J64" s="4" t="n">
        <v>1776869235</v>
      </c>
      <c r="K64" s="4" t="n">
        <v>1000000000000000</v>
      </c>
      <c r="L64" s="12" t="n">
        <f aca="false">IF(AND(B64=Cutoff!$B$12,E64&lt;=Cutoff!$B$10),1,0)</f>
        <v>1</v>
      </c>
      <c r="M64" s="12" t="n">
        <f aca="false">IF(AND(L64=1,F64&lt;1000000000000000,G64&lt;=Cutoff!$B$10),1,0)</f>
        <v>1</v>
      </c>
      <c r="N64" s="12" t="n">
        <f aca="false">IF(AND(M64=1,F64+Cutoff!$B$16&lt;=Cutoff!$B$10),1,0)</f>
        <v>1</v>
      </c>
      <c r="O64" s="12" t="n">
        <f aca="false">IF(N64=1,IF(AND(H64&lt;1000000000000000,H64&gt;=MAX(F64,E64),H64&lt;F64+Cutoff!$B$16,I64&lt;=Cutoff!$B$10),1,0),0)</f>
        <v>0</v>
      </c>
      <c r="P64" s="12" t="n">
        <f aca="false">IF(AND(L64=1,J64&lt;=Cutoff!$B$10),1,0)</f>
        <v>1</v>
      </c>
      <c r="Q64" s="12" t="n">
        <f aca="false">IF(AND(N64=1,E64+Cutoff!$B$17&lt;=Cutoff!$B$10),1,0)</f>
        <v>1</v>
      </c>
      <c r="R64" s="12" t="n">
        <f aca="false">IF(Q64=1,IF(K64&lt;=Cutoff!$B$10,1,0),0)</f>
        <v>0</v>
      </c>
      <c r="S64" s="12" t="n">
        <f aca="false">IF(N64=1,SUMIFS(Subscriptions!$D$2:$D$208,Subscriptions!$A$2:$A$208,C64,Subscriptions!$E$2:$E$208,1,Subscriptions!$B$2:$B$208,"&gt;="&amp;Cutoff!$B$24,Subscriptions!$B$2:$B$208,"&lt;"&amp;Cutoff!$B$25,Subscriptions!$B$2:$B$208,"&lt;="&amp;Cutoff!$B$10),0)</f>
        <v>168</v>
      </c>
    </row>
    <row r="65" customFormat="false" ht="15" hidden="false" customHeight="false" outlineLevel="0" collapsed="false">
      <c r="A65" s="4" t="s">
        <v>414</v>
      </c>
      <c r="B65" s="4" t="s">
        <v>288</v>
      </c>
      <c r="C65" s="4" t="s">
        <v>415</v>
      </c>
      <c r="D65" s="4" t="s">
        <v>51</v>
      </c>
      <c r="E65" s="4" t="n">
        <v>1776879129</v>
      </c>
      <c r="F65" s="4" t="n">
        <v>1776878914</v>
      </c>
      <c r="G65" s="4" t="n">
        <v>1776878937</v>
      </c>
      <c r="H65" s="4" t="n">
        <v>1000000000000000</v>
      </c>
      <c r="I65" s="4" t="n">
        <v>1000000000000000</v>
      </c>
      <c r="J65" s="4" t="n">
        <v>1776880264</v>
      </c>
      <c r="K65" s="4" t="n">
        <v>1776879328</v>
      </c>
      <c r="L65" s="12" t="n">
        <f aca="false">IF(AND(B65=Cutoff!$B$12,E65&lt;=Cutoff!$B$10),1,0)</f>
        <v>1</v>
      </c>
      <c r="M65" s="12" t="n">
        <f aca="false">IF(AND(L65=1,F65&lt;1000000000000000,G65&lt;=Cutoff!$B$10),1,0)</f>
        <v>1</v>
      </c>
      <c r="N65" s="12" t="n">
        <f aca="false">IF(AND(M65=1,F65+Cutoff!$B$16&lt;=Cutoff!$B$10),1,0)</f>
        <v>1</v>
      </c>
      <c r="O65" s="12" t="n">
        <f aca="false">IF(N65=1,IF(AND(H65&lt;1000000000000000,H65&gt;=MAX(F65,E65),H65&lt;F65+Cutoff!$B$16,I65&lt;=Cutoff!$B$10),1,0),0)</f>
        <v>0</v>
      </c>
      <c r="P65" s="12" t="n">
        <f aca="false">IF(AND(L65=1,J65&lt;=Cutoff!$B$10),1,0)</f>
        <v>1</v>
      </c>
      <c r="Q65" s="12" t="n">
        <f aca="false">IF(AND(N65=1,E65+Cutoff!$B$17&lt;=Cutoff!$B$10),1,0)</f>
        <v>1</v>
      </c>
      <c r="R65" s="12" t="n">
        <f aca="false">IF(Q65=1,IF(K65&lt;=Cutoff!$B$10,1,0),0)</f>
        <v>1</v>
      </c>
      <c r="S65" s="12" t="n">
        <f aca="false">IF(N65=1,SUMIFS(Subscriptions!$D$2:$D$208,Subscriptions!$A$2:$A$208,C65,Subscriptions!$E$2:$E$208,1,Subscriptions!$B$2:$B$208,"&gt;="&amp;Cutoff!$B$24,Subscriptions!$B$2:$B$208,"&lt;"&amp;Cutoff!$B$25,Subscriptions!$B$2:$B$208,"&lt;="&amp;Cutoff!$B$10),0)</f>
        <v>84</v>
      </c>
    </row>
    <row r="66" customFormat="false" ht="15" hidden="false" customHeight="false" outlineLevel="0" collapsed="false">
      <c r="A66" s="4" t="s">
        <v>416</v>
      </c>
      <c r="B66" s="4" t="s">
        <v>288</v>
      </c>
      <c r="C66" s="4" t="s">
        <v>417</v>
      </c>
      <c r="D66" s="4" t="s">
        <v>51</v>
      </c>
      <c r="E66" s="4" t="n">
        <v>1776883073</v>
      </c>
      <c r="F66" s="4" t="n">
        <v>1776882784</v>
      </c>
      <c r="G66" s="4" t="n">
        <v>1776882793</v>
      </c>
      <c r="H66" s="4" t="n">
        <v>1776887611</v>
      </c>
      <c r="I66" s="4" t="n">
        <v>1776887622</v>
      </c>
      <c r="J66" s="4" t="n">
        <v>1000000000000000</v>
      </c>
      <c r="K66" s="4" t="n">
        <v>1000000000000000</v>
      </c>
      <c r="L66" s="12" t="n">
        <f aca="false">IF(AND(B66=Cutoff!$B$12,E66&lt;=Cutoff!$B$10),1,0)</f>
        <v>1</v>
      </c>
      <c r="M66" s="12" t="n">
        <f aca="false">IF(AND(L66=1,F66&lt;1000000000000000,G66&lt;=Cutoff!$B$10),1,0)</f>
        <v>1</v>
      </c>
      <c r="N66" s="12" t="n">
        <f aca="false">IF(AND(M66=1,F66+Cutoff!$B$16&lt;=Cutoff!$B$10),1,0)</f>
        <v>1</v>
      </c>
      <c r="O66" s="12" t="n">
        <f aca="false">IF(N66=1,IF(AND(H66&lt;1000000000000000,H66&gt;=MAX(F66,E66),H66&lt;F66+Cutoff!$B$16,I66&lt;=Cutoff!$B$10),1,0),0)</f>
        <v>1</v>
      </c>
      <c r="P66" s="12" t="n">
        <f aca="false">IF(AND(L66=1,J66&lt;=Cutoff!$B$10),1,0)</f>
        <v>0</v>
      </c>
      <c r="Q66" s="12" t="n">
        <f aca="false">IF(AND(N66=1,E66+Cutoff!$B$17&lt;=Cutoff!$B$10),1,0)</f>
        <v>1</v>
      </c>
      <c r="R66" s="12" t="n">
        <f aca="false">IF(Q66=1,IF(K66&lt;=Cutoff!$B$10,1,0),0)</f>
        <v>0</v>
      </c>
      <c r="S66" s="12" t="n">
        <f aca="false">IF(N66=1,SUMIFS(Subscriptions!$D$2:$D$208,Subscriptions!$A$2:$A$208,C66,Subscriptions!$E$2:$E$208,1,Subscriptions!$B$2:$B$208,"&gt;="&amp;Cutoff!$B$24,Subscriptions!$B$2:$B$208,"&lt;"&amp;Cutoff!$B$25,Subscriptions!$B$2:$B$208,"&lt;="&amp;Cutoff!$B$10),0)</f>
        <v>0</v>
      </c>
    </row>
    <row r="67" customFormat="false" ht="15" hidden="false" customHeight="false" outlineLevel="0" collapsed="false">
      <c r="A67" s="4" t="s">
        <v>418</v>
      </c>
      <c r="B67" s="4" t="s">
        <v>288</v>
      </c>
      <c r="C67" s="4" t="s">
        <v>419</v>
      </c>
      <c r="D67" s="4" t="s">
        <v>52</v>
      </c>
      <c r="E67" s="4" t="n">
        <v>1776883937</v>
      </c>
      <c r="F67" s="4" t="n">
        <v>1776883696</v>
      </c>
      <c r="G67" s="4" t="n">
        <v>1776883716</v>
      </c>
      <c r="H67" s="4" t="n">
        <v>1000000000000000</v>
      </c>
      <c r="I67" s="4" t="n">
        <v>1000000000000000</v>
      </c>
      <c r="J67" s="4" t="n">
        <v>1776883953</v>
      </c>
      <c r="K67" s="4" t="n">
        <v>1000000000000000</v>
      </c>
      <c r="L67" s="12" t="n">
        <f aca="false">IF(AND(B67=Cutoff!$B$12,E67&lt;=Cutoff!$B$10),1,0)</f>
        <v>1</v>
      </c>
      <c r="M67" s="12" t="n">
        <f aca="false">IF(AND(L67=1,F67&lt;1000000000000000,G67&lt;=Cutoff!$B$10),1,0)</f>
        <v>1</v>
      </c>
      <c r="N67" s="12" t="n">
        <f aca="false">IF(AND(M67=1,F67+Cutoff!$B$16&lt;=Cutoff!$B$10),1,0)</f>
        <v>1</v>
      </c>
      <c r="O67" s="12" t="n">
        <f aca="false">IF(N67=1,IF(AND(H67&lt;1000000000000000,H67&gt;=MAX(F67,E67),H67&lt;F67+Cutoff!$B$16,I67&lt;=Cutoff!$B$10),1,0),0)</f>
        <v>0</v>
      </c>
      <c r="P67" s="12" t="n">
        <f aca="false">IF(AND(L67=1,J67&lt;=Cutoff!$B$10),1,0)</f>
        <v>1</v>
      </c>
      <c r="Q67" s="12" t="n">
        <f aca="false">IF(AND(N67=1,E67+Cutoff!$B$17&lt;=Cutoff!$B$10),1,0)</f>
        <v>1</v>
      </c>
      <c r="R67" s="12" t="n">
        <f aca="false">IF(Q67=1,IF(K67&lt;=Cutoff!$B$10,1,0),0)</f>
        <v>0</v>
      </c>
      <c r="S67" s="12" t="n">
        <f aca="false">IF(N67=1,SUMIFS(Subscriptions!$D$2:$D$208,Subscriptions!$A$2:$A$208,C67,Subscriptions!$E$2:$E$208,1,Subscriptions!$B$2:$B$208,"&gt;="&amp;Cutoff!$B$24,Subscriptions!$B$2:$B$208,"&lt;"&amp;Cutoff!$B$25,Subscriptions!$B$2:$B$208,"&lt;="&amp;Cutoff!$B$10),0)</f>
        <v>144</v>
      </c>
    </row>
    <row r="68" customFormat="false" ht="15" hidden="false" customHeight="false" outlineLevel="0" collapsed="false">
      <c r="A68" s="4" t="s">
        <v>420</v>
      </c>
      <c r="B68" s="4" t="s">
        <v>288</v>
      </c>
      <c r="C68" s="4" t="s">
        <v>421</v>
      </c>
      <c r="D68" s="4" t="s">
        <v>52</v>
      </c>
      <c r="E68" s="4" t="n">
        <v>1776891490</v>
      </c>
      <c r="F68" s="4" t="n">
        <v>1776891063</v>
      </c>
      <c r="G68" s="4" t="n">
        <v>1776891073</v>
      </c>
      <c r="H68" s="4" t="n">
        <v>1776971878</v>
      </c>
      <c r="I68" s="4" t="n">
        <v>1776971886</v>
      </c>
      <c r="J68" s="4" t="n">
        <v>1776892504</v>
      </c>
      <c r="K68" s="4" t="n">
        <v>1000000000000000</v>
      </c>
      <c r="L68" s="12" t="n">
        <f aca="false">IF(AND(B68=Cutoff!$B$12,E68&lt;=Cutoff!$B$10),1,0)</f>
        <v>1</v>
      </c>
      <c r="M68" s="12" t="n">
        <f aca="false">IF(AND(L68=1,F68&lt;1000000000000000,G68&lt;=Cutoff!$B$10),1,0)</f>
        <v>1</v>
      </c>
      <c r="N68" s="12" t="n">
        <f aca="false">IF(AND(M68=1,F68+Cutoff!$B$16&lt;=Cutoff!$B$10),1,0)</f>
        <v>1</v>
      </c>
      <c r="O68" s="12" t="n">
        <f aca="false">IF(N68=1,IF(AND(H68&lt;1000000000000000,H68&gt;=MAX(F68,E68),H68&lt;F68+Cutoff!$B$16,I68&lt;=Cutoff!$B$10),1,0),0)</f>
        <v>1</v>
      </c>
      <c r="P68" s="12" t="n">
        <f aca="false">IF(AND(L68=1,J68&lt;=Cutoff!$B$10),1,0)</f>
        <v>1</v>
      </c>
      <c r="Q68" s="12" t="n">
        <f aca="false">IF(AND(N68=1,E68+Cutoff!$B$17&lt;=Cutoff!$B$10),1,0)</f>
        <v>1</v>
      </c>
      <c r="R68" s="12" t="n">
        <f aca="false">IF(Q68=1,IF(K68&lt;=Cutoff!$B$10,1,0),0)</f>
        <v>0</v>
      </c>
      <c r="S68" s="12" t="n">
        <f aca="false">IF(N68=1,SUMIFS(Subscriptions!$D$2:$D$208,Subscriptions!$A$2:$A$208,C68,Subscriptions!$E$2:$E$208,1,Subscriptions!$B$2:$B$208,"&gt;="&amp;Cutoff!$B$24,Subscriptions!$B$2:$B$208,"&lt;"&amp;Cutoff!$B$25,Subscriptions!$B$2:$B$208,"&lt;="&amp;Cutoff!$B$10),0)</f>
        <v>585</v>
      </c>
    </row>
    <row r="69" customFormat="false" ht="15" hidden="false" customHeight="false" outlineLevel="0" collapsed="false">
      <c r="A69" s="4" t="s">
        <v>422</v>
      </c>
      <c r="B69" s="4" t="s">
        <v>288</v>
      </c>
      <c r="C69" s="4" t="s">
        <v>423</v>
      </c>
      <c r="D69" s="4" t="s">
        <v>51</v>
      </c>
      <c r="E69" s="4" t="n">
        <v>1776892523</v>
      </c>
      <c r="F69" s="4" t="n">
        <v>1776892124</v>
      </c>
      <c r="G69" s="4" t="n">
        <v>1776892125</v>
      </c>
      <c r="H69" s="4" t="n">
        <v>1000000000000000</v>
      </c>
      <c r="I69" s="4" t="n">
        <v>1000000000000000</v>
      </c>
      <c r="J69" s="4" t="n">
        <v>1776893225</v>
      </c>
      <c r="K69" s="4" t="n">
        <v>1000000000000000</v>
      </c>
      <c r="L69" s="12" t="n">
        <f aca="false">IF(AND(B69=Cutoff!$B$12,E69&lt;=Cutoff!$B$10),1,0)</f>
        <v>1</v>
      </c>
      <c r="M69" s="12" t="n">
        <f aca="false">IF(AND(L69=1,F69&lt;1000000000000000,G69&lt;=Cutoff!$B$10),1,0)</f>
        <v>1</v>
      </c>
      <c r="N69" s="12" t="n">
        <f aca="false">IF(AND(M69=1,F69+Cutoff!$B$16&lt;=Cutoff!$B$10),1,0)</f>
        <v>1</v>
      </c>
      <c r="O69" s="12" t="n">
        <f aca="false">IF(N69=1,IF(AND(H69&lt;1000000000000000,H69&gt;=MAX(F69,E69),H69&lt;F69+Cutoff!$B$16,I69&lt;=Cutoff!$B$10),1,0),0)</f>
        <v>0</v>
      </c>
      <c r="P69" s="12" t="n">
        <f aca="false">IF(AND(L69=1,J69&lt;=Cutoff!$B$10),1,0)</f>
        <v>1</v>
      </c>
      <c r="Q69" s="12" t="n">
        <f aca="false">IF(AND(N69=1,E69+Cutoff!$B$17&lt;=Cutoff!$B$10),1,0)</f>
        <v>1</v>
      </c>
      <c r="R69" s="12" t="n">
        <f aca="false">IF(Q69=1,IF(K69&lt;=Cutoff!$B$10,1,0),0)</f>
        <v>0</v>
      </c>
      <c r="S69" s="12" t="n">
        <f aca="false">IF(N69=1,SUMIFS(Subscriptions!$D$2:$D$208,Subscriptions!$A$2:$A$208,C69,Subscriptions!$E$2:$E$208,1,Subscriptions!$B$2:$B$208,"&gt;="&amp;Cutoff!$B$24,Subscriptions!$B$2:$B$208,"&lt;"&amp;Cutoff!$B$25,Subscriptions!$B$2:$B$208,"&lt;="&amp;Cutoff!$B$10),0)</f>
        <v>0</v>
      </c>
    </row>
    <row r="70" customFormat="false" ht="15" hidden="false" customHeight="false" outlineLevel="0" collapsed="false">
      <c r="A70" s="4" t="s">
        <v>424</v>
      </c>
      <c r="B70" s="4" t="s">
        <v>288</v>
      </c>
      <c r="C70" s="4" t="s">
        <v>425</v>
      </c>
      <c r="D70" s="4" t="s">
        <v>51</v>
      </c>
      <c r="E70" s="4" t="n">
        <v>1776956392</v>
      </c>
      <c r="F70" s="4" t="n">
        <v>1776955888</v>
      </c>
      <c r="G70" s="4" t="n">
        <v>1776955920</v>
      </c>
      <c r="H70" s="4" t="n">
        <v>1777025244</v>
      </c>
      <c r="I70" s="4" t="n">
        <v>1777025268</v>
      </c>
      <c r="J70" s="4" t="n">
        <v>1776957025</v>
      </c>
      <c r="K70" s="4" t="n">
        <v>1000000000000000</v>
      </c>
      <c r="L70" s="12" t="n">
        <f aca="false">IF(AND(B70=Cutoff!$B$12,E70&lt;=Cutoff!$B$10),1,0)</f>
        <v>1</v>
      </c>
      <c r="M70" s="12" t="n">
        <f aca="false">IF(AND(L70=1,F70&lt;1000000000000000,G70&lt;=Cutoff!$B$10),1,0)</f>
        <v>1</v>
      </c>
      <c r="N70" s="12" t="n">
        <f aca="false">IF(AND(M70=1,F70+Cutoff!$B$16&lt;=Cutoff!$B$10),1,0)</f>
        <v>1</v>
      </c>
      <c r="O70" s="12" t="n">
        <f aca="false">IF(N70=1,IF(AND(H70&lt;1000000000000000,H70&gt;=MAX(F70,E70),H70&lt;F70+Cutoff!$B$16,I70&lt;=Cutoff!$B$10),1,0),0)</f>
        <v>1</v>
      </c>
      <c r="P70" s="12" t="n">
        <f aca="false">IF(AND(L70=1,J70&lt;=Cutoff!$B$10),1,0)</f>
        <v>1</v>
      </c>
      <c r="Q70" s="12" t="n">
        <f aca="false">IF(AND(N70=1,E70+Cutoff!$B$17&lt;=Cutoff!$B$10),1,0)</f>
        <v>1</v>
      </c>
      <c r="R70" s="12" t="n">
        <f aca="false">IF(Q70=1,IF(K70&lt;=Cutoff!$B$10,1,0),0)</f>
        <v>0</v>
      </c>
      <c r="S70" s="12" t="n">
        <f aca="false">IF(N70=1,SUMIFS(Subscriptions!$D$2:$D$208,Subscriptions!$A$2:$A$208,C70,Subscriptions!$E$2:$E$208,1,Subscriptions!$B$2:$B$208,"&gt;="&amp;Cutoff!$B$24,Subscriptions!$B$2:$B$208,"&lt;"&amp;Cutoff!$B$25,Subscriptions!$B$2:$B$208,"&lt;="&amp;Cutoff!$B$10),0)</f>
        <v>0</v>
      </c>
    </row>
    <row r="71" customFormat="false" ht="15" hidden="false" customHeight="false" outlineLevel="0" collapsed="false">
      <c r="A71" s="4" t="s">
        <v>426</v>
      </c>
      <c r="B71" s="4" t="s">
        <v>288</v>
      </c>
      <c r="C71" s="4" t="s">
        <v>427</v>
      </c>
      <c r="D71" s="4" t="s">
        <v>52</v>
      </c>
      <c r="E71" s="4" t="n">
        <v>1776956398</v>
      </c>
      <c r="F71" s="4" t="n">
        <v>1776956109</v>
      </c>
      <c r="G71" s="4" t="n">
        <v>1776956134</v>
      </c>
      <c r="H71" s="4" t="n">
        <v>1777228669</v>
      </c>
      <c r="I71" s="4" t="n">
        <v>1777228904</v>
      </c>
      <c r="J71" s="4" t="n">
        <v>1776957115</v>
      </c>
      <c r="K71" s="4" t="n">
        <v>1000000000000000</v>
      </c>
      <c r="L71" s="12" t="n">
        <f aca="false">IF(AND(B71=Cutoff!$B$12,E71&lt;=Cutoff!$B$10),1,0)</f>
        <v>1</v>
      </c>
      <c r="M71" s="12" t="n">
        <f aca="false">IF(AND(L71=1,F71&lt;1000000000000000,G71&lt;=Cutoff!$B$10),1,0)</f>
        <v>1</v>
      </c>
      <c r="N71" s="12" t="n">
        <f aca="false">IF(AND(M71=1,F71+Cutoff!$B$16&lt;=Cutoff!$B$10),1,0)</f>
        <v>1</v>
      </c>
      <c r="O71" s="12" t="n">
        <f aca="false">IF(N71=1,IF(AND(H71&lt;1000000000000000,H71&gt;=MAX(F71,E71),H71&lt;F71+Cutoff!$B$16,I71&lt;=Cutoff!$B$10),1,0),0)</f>
        <v>1</v>
      </c>
      <c r="P71" s="12" t="n">
        <f aca="false">IF(AND(L71=1,J71&lt;=Cutoff!$B$10),1,0)</f>
        <v>1</v>
      </c>
      <c r="Q71" s="12" t="n">
        <f aca="false">IF(AND(N71=1,E71+Cutoff!$B$17&lt;=Cutoff!$B$10),1,0)</f>
        <v>1</v>
      </c>
      <c r="R71" s="12" t="n">
        <f aca="false">IF(Q71=1,IF(K71&lt;=Cutoff!$B$10,1,0),0)</f>
        <v>0</v>
      </c>
      <c r="S71" s="12" t="n">
        <f aca="false">IF(N71=1,SUMIFS(Subscriptions!$D$2:$D$208,Subscriptions!$A$2:$A$208,C71,Subscriptions!$E$2:$E$208,1,Subscriptions!$B$2:$B$208,"&gt;="&amp;Cutoff!$B$24,Subscriptions!$B$2:$B$208,"&lt;"&amp;Cutoff!$B$25,Subscriptions!$B$2:$B$208,"&lt;="&amp;Cutoff!$B$10),0)</f>
        <v>0</v>
      </c>
    </row>
    <row r="72" customFormat="false" ht="15" hidden="false" customHeight="false" outlineLevel="0" collapsed="false">
      <c r="A72" s="4" t="s">
        <v>428</v>
      </c>
      <c r="B72" s="4" t="s">
        <v>288</v>
      </c>
      <c r="C72" s="4" t="s">
        <v>429</v>
      </c>
      <c r="D72" s="4" t="s">
        <v>52</v>
      </c>
      <c r="E72" s="4" t="n">
        <v>1776963213</v>
      </c>
      <c r="F72" s="4" t="n">
        <v>1776962702</v>
      </c>
      <c r="G72" s="4" t="n">
        <v>1776962704</v>
      </c>
      <c r="H72" s="4" t="n">
        <v>1777373262</v>
      </c>
      <c r="I72" s="4" t="n">
        <v>1777379757</v>
      </c>
      <c r="J72" s="4" t="n">
        <v>1776963768</v>
      </c>
      <c r="K72" s="4" t="n">
        <v>1000000000000000</v>
      </c>
      <c r="L72" s="12" t="n">
        <f aca="false">IF(AND(B72=Cutoff!$B$12,E72&lt;=Cutoff!$B$10),1,0)</f>
        <v>1</v>
      </c>
      <c r="M72" s="12" t="n">
        <f aca="false">IF(AND(L72=1,F72&lt;1000000000000000,G72&lt;=Cutoff!$B$10),1,0)</f>
        <v>1</v>
      </c>
      <c r="N72" s="12" t="n">
        <f aca="false">IF(AND(M72=1,F72+Cutoff!$B$16&lt;=Cutoff!$B$10),1,0)</f>
        <v>1</v>
      </c>
      <c r="O72" s="12" t="n">
        <f aca="false">IF(N72=1,IF(AND(H72&lt;1000000000000000,H72&gt;=MAX(F72,E72),H72&lt;F72+Cutoff!$B$16,I72&lt;=Cutoff!$B$10),1,0),0)</f>
        <v>1</v>
      </c>
      <c r="P72" s="12" t="n">
        <f aca="false">IF(AND(L72=1,J72&lt;=Cutoff!$B$10),1,0)</f>
        <v>1</v>
      </c>
      <c r="Q72" s="12" t="n">
        <f aca="false">IF(AND(N72=1,E72+Cutoff!$B$17&lt;=Cutoff!$B$10),1,0)</f>
        <v>1</v>
      </c>
      <c r="R72" s="12" t="n">
        <f aca="false">IF(Q72=1,IF(K72&lt;=Cutoff!$B$10,1,0),0)</f>
        <v>0</v>
      </c>
      <c r="S72" s="12" t="n">
        <f aca="false">IF(N72=1,SUMIFS(Subscriptions!$D$2:$D$208,Subscriptions!$A$2:$A$208,C72,Subscriptions!$E$2:$E$208,1,Subscriptions!$B$2:$B$208,"&gt;="&amp;Cutoff!$B$24,Subscriptions!$B$2:$B$208,"&lt;"&amp;Cutoff!$B$25,Subscriptions!$B$2:$B$208,"&lt;="&amp;Cutoff!$B$10),0)</f>
        <v>0</v>
      </c>
    </row>
    <row r="73" customFormat="false" ht="15" hidden="false" customHeight="false" outlineLevel="0" collapsed="false">
      <c r="A73" s="4" t="s">
        <v>430</v>
      </c>
      <c r="B73" s="4" t="s">
        <v>288</v>
      </c>
      <c r="C73" s="4" t="s">
        <v>431</v>
      </c>
      <c r="D73" s="4" t="s">
        <v>51</v>
      </c>
      <c r="E73" s="4" t="n">
        <v>1776972490</v>
      </c>
      <c r="F73" s="4" t="n">
        <v>1776972366</v>
      </c>
      <c r="G73" s="4" t="n">
        <v>1776978312</v>
      </c>
      <c r="H73" s="4" t="n">
        <v>1000000000000000</v>
      </c>
      <c r="I73" s="4" t="n">
        <v>1000000000000000</v>
      </c>
      <c r="J73" s="4" t="n">
        <v>1776972993</v>
      </c>
      <c r="K73" s="4" t="n">
        <v>1776974121</v>
      </c>
      <c r="L73" s="12" t="n">
        <f aca="false">IF(AND(B73=Cutoff!$B$12,E73&lt;=Cutoff!$B$10),1,0)</f>
        <v>1</v>
      </c>
      <c r="M73" s="12" t="n">
        <f aca="false">IF(AND(L73=1,F73&lt;1000000000000000,G73&lt;=Cutoff!$B$10),1,0)</f>
        <v>1</v>
      </c>
      <c r="N73" s="12" t="n">
        <f aca="false">IF(AND(M73=1,F73+Cutoff!$B$16&lt;=Cutoff!$B$10),1,0)</f>
        <v>1</v>
      </c>
      <c r="O73" s="12" t="n">
        <f aca="false">IF(N73=1,IF(AND(H73&lt;1000000000000000,H73&gt;=MAX(F73,E73),H73&lt;F73+Cutoff!$B$16,I73&lt;=Cutoff!$B$10),1,0),0)</f>
        <v>0</v>
      </c>
      <c r="P73" s="12" t="n">
        <f aca="false">IF(AND(L73=1,J73&lt;=Cutoff!$B$10),1,0)</f>
        <v>1</v>
      </c>
      <c r="Q73" s="12" t="n">
        <f aca="false">IF(AND(N73=1,E73+Cutoff!$B$17&lt;=Cutoff!$B$10),1,0)</f>
        <v>1</v>
      </c>
      <c r="R73" s="12" t="n">
        <f aca="false">IF(Q73=1,IF(K73&lt;=Cutoff!$B$10,1,0),0)</f>
        <v>1</v>
      </c>
      <c r="S73" s="12" t="n">
        <f aca="false">IF(N73=1,SUMIFS(Subscriptions!$D$2:$D$208,Subscriptions!$A$2:$A$208,C73,Subscriptions!$E$2:$E$208,1,Subscriptions!$B$2:$B$208,"&gt;="&amp;Cutoff!$B$24,Subscriptions!$B$2:$B$208,"&lt;"&amp;Cutoff!$B$25,Subscriptions!$B$2:$B$208,"&lt;="&amp;Cutoff!$B$10),0)</f>
        <v>0</v>
      </c>
    </row>
    <row r="74" customFormat="false" ht="15" hidden="false" customHeight="false" outlineLevel="0" collapsed="false">
      <c r="A74" s="4" t="s">
        <v>432</v>
      </c>
      <c r="B74" s="4" t="s">
        <v>288</v>
      </c>
      <c r="C74" s="4" t="s">
        <v>433</v>
      </c>
      <c r="D74" s="4" t="s">
        <v>52</v>
      </c>
      <c r="E74" s="4" t="n">
        <v>1776978566</v>
      </c>
      <c r="F74" s="4" t="n">
        <v>1776977973</v>
      </c>
      <c r="G74" s="4" t="n">
        <v>1776977977</v>
      </c>
      <c r="H74" s="4" t="n">
        <v>1000000000000000</v>
      </c>
      <c r="I74" s="4" t="n">
        <v>1000000000000000</v>
      </c>
      <c r="J74" s="4" t="n">
        <v>1776978863</v>
      </c>
      <c r="K74" s="4" t="n">
        <v>1000000000000000</v>
      </c>
      <c r="L74" s="12" t="n">
        <f aca="false">IF(AND(B74=Cutoff!$B$12,E74&lt;=Cutoff!$B$10),1,0)</f>
        <v>1</v>
      </c>
      <c r="M74" s="12" t="n">
        <f aca="false">IF(AND(L74=1,F74&lt;1000000000000000,G74&lt;=Cutoff!$B$10),1,0)</f>
        <v>1</v>
      </c>
      <c r="N74" s="12" t="n">
        <f aca="false">IF(AND(M74=1,F74+Cutoff!$B$16&lt;=Cutoff!$B$10),1,0)</f>
        <v>1</v>
      </c>
      <c r="O74" s="12" t="n">
        <f aca="false">IF(N74=1,IF(AND(H74&lt;1000000000000000,H74&gt;=MAX(F74,E74),H74&lt;F74+Cutoff!$B$16,I74&lt;=Cutoff!$B$10),1,0),0)</f>
        <v>0</v>
      </c>
      <c r="P74" s="12" t="n">
        <f aca="false">IF(AND(L74=1,J74&lt;=Cutoff!$B$10),1,0)</f>
        <v>1</v>
      </c>
      <c r="Q74" s="12" t="n">
        <f aca="false">IF(AND(N74=1,E74+Cutoff!$B$17&lt;=Cutoff!$B$10),1,0)</f>
        <v>1</v>
      </c>
      <c r="R74" s="12" t="n">
        <f aca="false">IF(Q74=1,IF(K74&lt;=Cutoff!$B$10,1,0),0)</f>
        <v>0</v>
      </c>
      <c r="S74" s="12" t="n">
        <f aca="false">IF(N74=1,SUMIFS(Subscriptions!$D$2:$D$208,Subscriptions!$A$2:$A$208,C74,Subscriptions!$E$2:$E$208,1,Subscriptions!$B$2:$B$208,"&gt;="&amp;Cutoff!$B$24,Subscriptions!$B$2:$B$208,"&lt;"&amp;Cutoff!$B$25,Subscriptions!$B$2:$B$208,"&lt;="&amp;Cutoff!$B$10),0)</f>
        <v>0</v>
      </c>
    </row>
    <row r="75" customFormat="false" ht="15" hidden="false" customHeight="false" outlineLevel="0" collapsed="false">
      <c r="A75" s="4" t="s">
        <v>434</v>
      </c>
      <c r="B75" s="4" t="s">
        <v>288</v>
      </c>
      <c r="C75" s="4" t="s">
        <v>435</v>
      </c>
      <c r="D75" s="4" t="s">
        <v>51</v>
      </c>
      <c r="E75" s="4" t="n">
        <v>1777110562</v>
      </c>
      <c r="F75" s="4" t="n">
        <v>1777110382</v>
      </c>
      <c r="G75" s="4" t="n">
        <v>1777110439</v>
      </c>
      <c r="H75" s="4" t="n">
        <v>1000000000000000</v>
      </c>
      <c r="I75" s="4" t="n">
        <v>1000000000000000</v>
      </c>
      <c r="J75" s="4" t="n">
        <v>1777110950</v>
      </c>
      <c r="K75" s="4" t="n">
        <v>1000000000000000</v>
      </c>
      <c r="L75" s="12" t="n">
        <f aca="false">IF(AND(B75=Cutoff!$B$12,E75&lt;=Cutoff!$B$10),1,0)</f>
        <v>1</v>
      </c>
      <c r="M75" s="12" t="n">
        <f aca="false">IF(AND(L75=1,F75&lt;1000000000000000,G75&lt;=Cutoff!$B$10),1,0)</f>
        <v>1</v>
      </c>
      <c r="N75" s="12" t="n">
        <f aca="false">IF(AND(M75=1,F75+Cutoff!$B$16&lt;=Cutoff!$B$10),1,0)</f>
        <v>1</v>
      </c>
      <c r="O75" s="12" t="n">
        <f aca="false">IF(N75=1,IF(AND(H75&lt;1000000000000000,H75&gt;=MAX(F75,E75),H75&lt;F75+Cutoff!$B$16,I75&lt;=Cutoff!$B$10),1,0),0)</f>
        <v>0</v>
      </c>
      <c r="P75" s="12" t="n">
        <f aca="false">IF(AND(L75=1,J75&lt;=Cutoff!$B$10),1,0)</f>
        <v>1</v>
      </c>
      <c r="Q75" s="12" t="n">
        <f aca="false">IF(AND(N75=1,E75+Cutoff!$B$17&lt;=Cutoff!$B$10),1,0)</f>
        <v>1</v>
      </c>
      <c r="R75" s="12" t="n">
        <f aca="false">IF(Q75=1,IF(K75&lt;=Cutoff!$B$10,1,0),0)</f>
        <v>0</v>
      </c>
      <c r="S75" s="12" t="n">
        <f aca="false">IF(N75=1,SUMIFS(Subscriptions!$D$2:$D$208,Subscriptions!$A$2:$A$208,C75,Subscriptions!$E$2:$E$208,1,Subscriptions!$B$2:$B$208,"&gt;="&amp;Cutoff!$B$24,Subscriptions!$B$2:$B$208,"&lt;"&amp;Cutoff!$B$25,Subscriptions!$B$2:$B$208,"&lt;="&amp;Cutoff!$B$10),0)</f>
        <v>0</v>
      </c>
    </row>
    <row r="76" customFormat="false" ht="15" hidden="false" customHeight="false" outlineLevel="0" collapsed="false">
      <c r="A76" s="4" t="s">
        <v>436</v>
      </c>
      <c r="B76" s="4" t="s">
        <v>288</v>
      </c>
      <c r="C76" s="4" t="s">
        <v>437</v>
      </c>
      <c r="D76" s="4" t="s">
        <v>51</v>
      </c>
      <c r="E76" s="4" t="n">
        <v>1777134575</v>
      </c>
      <c r="F76" s="4" t="n">
        <v>1777134192</v>
      </c>
      <c r="G76" s="4" t="n">
        <v>1777134217</v>
      </c>
      <c r="H76" s="4" t="n">
        <v>1000000000000000</v>
      </c>
      <c r="I76" s="4" t="n">
        <v>1000000000000000</v>
      </c>
      <c r="J76" s="4" t="n">
        <v>1777135458</v>
      </c>
      <c r="K76" s="4" t="n">
        <v>1000000000000000</v>
      </c>
      <c r="L76" s="12" t="n">
        <f aca="false">IF(AND(B76=Cutoff!$B$12,E76&lt;=Cutoff!$B$10),1,0)</f>
        <v>1</v>
      </c>
      <c r="M76" s="12" t="n">
        <f aca="false">IF(AND(L76=1,F76&lt;1000000000000000,G76&lt;=Cutoff!$B$10),1,0)</f>
        <v>1</v>
      </c>
      <c r="N76" s="12" t="n">
        <f aca="false">IF(AND(M76=1,F76+Cutoff!$B$16&lt;=Cutoff!$B$10),1,0)</f>
        <v>1</v>
      </c>
      <c r="O76" s="12" t="n">
        <f aca="false">IF(N76=1,IF(AND(H76&lt;1000000000000000,H76&gt;=MAX(F76,E76),H76&lt;F76+Cutoff!$B$16,I76&lt;=Cutoff!$B$10),1,0),0)</f>
        <v>0</v>
      </c>
      <c r="P76" s="12" t="n">
        <f aca="false">IF(AND(L76=1,J76&lt;=Cutoff!$B$10),1,0)</f>
        <v>1</v>
      </c>
      <c r="Q76" s="12" t="n">
        <f aca="false">IF(AND(N76=1,E76+Cutoff!$B$17&lt;=Cutoff!$B$10),1,0)</f>
        <v>1</v>
      </c>
      <c r="R76" s="12" t="n">
        <f aca="false">IF(Q76=1,IF(K76&lt;=Cutoff!$B$10,1,0),0)</f>
        <v>0</v>
      </c>
      <c r="S76" s="12" t="n">
        <f aca="false">IF(N76=1,SUMIFS(Subscriptions!$D$2:$D$208,Subscriptions!$A$2:$A$208,C76,Subscriptions!$E$2:$E$208,1,Subscriptions!$B$2:$B$208,"&gt;="&amp;Cutoff!$B$24,Subscriptions!$B$2:$B$208,"&lt;"&amp;Cutoff!$B$25,Subscriptions!$B$2:$B$208,"&lt;="&amp;Cutoff!$B$10),0)</f>
        <v>0</v>
      </c>
    </row>
    <row r="77" customFormat="false" ht="15" hidden="false" customHeight="false" outlineLevel="0" collapsed="false">
      <c r="A77" s="4" t="s">
        <v>438</v>
      </c>
      <c r="B77" s="4" t="s">
        <v>288</v>
      </c>
      <c r="C77" s="4" t="s">
        <v>439</v>
      </c>
      <c r="D77" s="4" t="s">
        <v>52</v>
      </c>
      <c r="E77" s="4" t="n">
        <v>1777135015</v>
      </c>
      <c r="F77" s="4" t="n">
        <v>1777134640</v>
      </c>
      <c r="G77" s="4" t="n">
        <v>1777140172</v>
      </c>
      <c r="H77" s="4" t="n">
        <v>1777144290</v>
      </c>
      <c r="I77" s="4" t="n">
        <v>1777144305</v>
      </c>
      <c r="J77" s="4" t="n">
        <v>1777135876</v>
      </c>
      <c r="K77" s="4" t="n">
        <v>1777709476</v>
      </c>
      <c r="L77" s="12" t="n">
        <f aca="false">IF(AND(B77=Cutoff!$B$12,E77&lt;=Cutoff!$B$10),1,0)</f>
        <v>1</v>
      </c>
      <c r="M77" s="12" t="n">
        <f aca="false">IF(AND(L77=1,F77&lt;1000000000000000,G77&lt;=Cutoff!$B$10),1,0)</f>
        <v>1</v>
      </c>
      <c r="N77" s="12" t="n">
        <f aca="false">IF(AND(M77=1,F77+Cutoff!$B$16&lt;=Cutoff!$B$10),1,0)</f>
        <v>1</v>
      </c>
      <c r="O77" s="12" t="n">
        <f aca="false">IF(N77=1,IF(AND(H77&lt;1000000000000000,H77&gt;=MAX(F77,E77),H77&lt;F77+Cutoff!$B$16,I77&lt;=Cutoff!$B$10),1,0),0)</f>
        <v>1</v>
      </c>
      <c r="P77" s="12" t="n">
        <f aca="false">IF(AND(L77=1,J77&lt;=Cutoff!$B$10),1,0)</f>
        <v>1</v>
      </c>
      <c r="Q77" s="12" t="n">
        <f aca="false">IF(AND(N77=1,E77+Cutoff!$B$17&lt;=Cutoff!$B$10),1,0)</f>
        <v>1</v>
      </c>
      <c r="R77" s="12" t="n">
        <f aca="false">IF(Q77=1,IF(K77&lt;=Cutoff!$B$10,1,0),0)</f>
        <v>1</v>
      </c>
      <c r="S77" s="12" t="n">
        <f aca="false">IF(N77=1,SUMIFS(Subscriptions!$D$2:$D$208,Subscriptions!$A$2:$A$208,C77,Subscriptions!$E$2:$E$208,1,Subscriptions!$B$2:$B$208,"&gt;="&amp;Cutoff!$B$24,Subscriptions!$B$2:$B$208,"&lt;"&amp;Cutoff!$B$25,Subscriptions!$B$2:$B$208,"&lt;="&amp;Cutoff!$B$10),0)</f>
        <v>858</v>
      </c>
    </row>
    <row r="78" customFormat="false" ht="15" hidden="false" customHeight="false" outlineLevel="0" collapsed="false">
      <c r="A78" s="4" t="s">
        <v>440</v>
      </c>
      <c r="B78" s="4" t="s">
        <v>288</v>
      </c>
      <c r="C78" s="4" t="s">
        <v>441</v>
      </c>
      <c r="D78" s="4" t="s">
        <v>51</v>
      </c>
      <c r="E78" s="4" t="n">
        <v>1777144178</v>
      </c>
      <c r="F78" s="4" t="n">
        <v>1777144056</v>
      </c>
      <c r="G78" s="4" t="n">
        <v>1777766706</v>
      </c>
      <c r="H78" s="4" t="n">
        <v>1777159810</v>
      </c>
      <c r="I78" s="4" t="n">
        <v>1777159817</v>
      </c>
      <c r="J78" s="4" t="n">
        <v>1777144548</v>
      </c>
      <c r="K78" s="4" t="n">
        <v>1000000000000000</v>
      </c>
      <c r="L78" s="12" t="n">
        <f aca="false">IF(AND(B78=Cutoff!$B$12,E78&lt;=Cutoff!$B$10),1,0)</f>
        <v>1</v>
      </c>
      <c r="M78" s="12" t="n">
        <f aca="false">IF(AND(L78=1,F78&lt;1000000000000000,G78&lt;=Cutoff!$B$10),1,0)</f>
        <v>1</v>
      </c>
      <c r="N78" s="12" t="n">
        <f aca="false">IF(AND(M78=1,F78+Cutoff!$B$16&lt;=Cutoff!$B$10),1,0)</f>
        <v>1</v>
      </c>
      <c r="O78" s="12" t="n">
        <f aca="false">IF(N78=1,IF(AND(H78&lt;1000000000000000,H78&gt;=MAX(F78,E78),H78&lt;F78+Cutoff!$B$16,I78&lt;=Cutoff!$B$10),1,0),0)</f>
        <v>1</v>
      </c>
      <c r="P78" s="12" t="n">
        <f aca="false">IF(AND(L78=1,J78&lt;=Cutoff!$B$10),1,0)</f>
        <v>1</v>
      </c>
      <c r="Q78" s="12" t="n">
        <f aca="false">IF(AND(N78=1,E78+Cutoff!$B$17&lt;=Cutoff!$B$10),1,0)</f>
        <v>1</v>
      </c>
      <c r="R78" s="12" t="n">
        <f aca="false">IF(Q78=1,IF(K78&lt;=Cutoff!$B$10,1,0),0)</f>
        <v>0</v>
      </c>
      <c r="S78" s="12" t="n">
        <f aca="false">IF(N78=1,SUMIFS(Subscriptions!$D$2:$D$208,Subscriptions!$A$2:$A$208,C78,Subscriptions!$E$2:$E$208,1,Subscriptions!$B$2:$B$208,"&gt;="&amp;Cutoff!$B$24,Subscriptions!$B$2:$B$208,"&lt;"&amp;Cutoff!$B$25,Subscriptions!$B$2:$B$208,"&lt;="&amp;Cutoff!$B$10),0)</f>
        <v>0</v>
      </c>
    </row>
    <row r="79" customFormat="false" ht="15" hidden="false" customHeight="false" outlineLevel="0" collapsed="false">
      <c r="A79" s="4" t="s">
        <v>442</v>
      </c>
      <c r="B79" s="4" t="s">
        <v>288</v>
      </c>
      <c r="C79" s="4" t="s">
        <v>443</v>
      </c>
      <c r="D79" s="4" t="s">
        <v>52</v>
      </c>
      <c r="E79" s="4" t="n">
        <v>1777301857</v>
      </c>
      <c r="F79" s="4" t="n">
        <v>1777301769</v>
      </c>
      <c r="G79" s="4" t="n">
        <v>1777301774</v>
      </c>
      <c r="H79" s="4" t="n">
        <v>1777373816</v>
      </c>
      <c r="I79" s="4" t="n">
        <v>1777929496</v>
      </c>
      <c r="J79" s="4" t="n">
        <v>1777302988</v>
      </c>
      <c r="K79" s="4" t="n">
        <v>1000000000000000</v>
      </c>
      <c r="L79" s="12" t="n">
        <f aca="false">IF(AND(B79=Cutoff!$B$12,E79&lt;=Cutoff!$B$10),1,0)</f>
        <v>1</v>
      </c>
      <c r="M79" s="12" t="n">
        <f aca="false">IF(AND(L79=1,F79&lt;1000000000000000,G79&lt;=Cutoff!$B$10),1,0)</f>
        <v>1</v>
      </c>
      <c r="N79" s="12" t="n">
        <f aca="false">IF(AND(M79=1,F79+Cutoff!$B$16&lt;=Cutoff!$B$10),1,0)</f>
        <v>1</v>
      </c>
      <c r="O79" s="12" t="n">
        <f aca="false">IF(N79=1,IF(AND(H79&lt;1000000000000000,H79&gt;=MAX(F79,E79),H79&lt;F79+Cutoff!$B$16,I79&lt;=Cutoff!$B$10),1,0),0)</f>
        <v>1</v>
      </c>
      <c r="P79" s="12" t="n">
        <f aca="false">IF(AND(L79=1,J79&lt;=Cutoff!$B$10),1,0)</f>
        <v>1</v>
      </c>
      <c r="Q79" s="12" t="n">
        <f aca="false">IF(AND(N79=1,E79+Cutoff!$B$17&lt;=Cutoff!$B$10),1,0)</f>
        <v>1</v>
      </c>
      <c r="R79" s="12" t="n">
        <f aca="false">IF(Q79=1,IF(K79&lt;=Cutoff!$B$10,1,0),0)</f>
        <v>0</v>
      </c>
      <c r="S79" s="12" t="n">
        <f aca="false">IF(N79=1,SUMIFS(Subscriptions!$D$2:$D$208,Subscriptions!$A$2:$A$208,C79,Subscriptions!$E$2:$E$208,1,Subscriptions!$B$2:$B$208,"&gt;="&amp;Cutoff!$B$24,Subscriptions!$B$2:$B$208,"&lt;"&amp;Cutoff!$B$25,Subscriptions!$B$2:$B$208,"&lt;="&amp;Cutoff!$B$10),0)</f>
        <v>0</v>
      </c>
    </row>
    <row r="80" customFormat="false" ht="15" hidden="false" customHeight="false" outlineLevel="0" collapsed="false">
      <c r="A80" s="4" t="s">
        <v>444</v>
      </c>
      <c r="B80" s="4" t="s">
        <v>288</v>
      </c>
      <c r="C80" s="4" t="s">
        <v>445</v>
      </c>
      <c r="D80" s="4" t="s">
        <v>52</v>
      </c>
      <c r="E80" s="4" t="n">
        <v>1777305838</v>
      </c>
      <c r="F80" s="4" t="n">
        <v>1777305721</v>
      </c>
      <c r="G80" s="4" t="n">
        <v>1777305729</v>
      </c>
      <c r="H80" s="4" t="n">
        <v>1000000000000000</v>
      </c>
      <c r="I80" s="4" t="n">
        <v>1000000000000000</v>
      </c>
      <c r="J80" s="4" t="n">
        <v>1777305861</v>
      </c>
      <c r="K80" s="4" t="n">
        <v>1000000000000000</v>
      </c>
      <c r="L80" s="12" t="n">
        <f aca="false">IF(AND(B80=Cutoff!$B$12,E80&lt;=Cutoff!$B$10),1,0)</f>
        <v>1</v>
      </c>
      <c r="M80" s="12" t="n">
        <f aca="false">IF(AND(L80=1,F80&lt;1000000000000000,G80&lt;=Cutoff!$B$10),1,0)</f>
        <v>1</v>
      </c>
      <c r="N80" s="12" t="n">
        <f aca="false">IF(AND(M80=1,F80+Cutoff!$B$16&lt;=Cutoff!$B$10),1,0)</f>
        <v>1</v>
      </c>
      <c r="O80" s="12" t="n">
        <f aca="false">IF(N80=1,IF(AND(H80&lt;1000000000000000,H80&gt;=MAX(F80,E80),H80&lt;F80+Cutoff!$B$16,I80&lt;=Cutoff!$B$10),1,0),0)</f>
        <v>0</v>
      </c>
      <c r="P80" s="12" t="n">
        <f aca="false">IF(AND(L80=1,J80&lt;=Cutoff!$B$10),1,0)</f>
        <v>1</v>
      </c>
      <c r="Q80" s="12" t="n">
        <f aca="false">IF(AND(N80=1,E80+Cutoff!$B$17&lt;=Cutoff!$B$10),1,0)</f>
        <v>1</v>
      </c>
      <c r="R80" s="12" t="n">
        <f aca="false">IF(Q80=1,IF(K80&lt;=Cutoff!$B$10,1,0),0)</f>
        <v>0</v>
      </c>
      <c r="S80" s="12" t="n">
        <f aca="false">IF(N80=1,SUMIFS(Subscriptions!$D$2:$D$208,Subscriptions!$A$2:$A$208,C80,Subscriptions!$E$2:$E$208,1,Subscriptions!$B$2:$B$208,"&gt;="&amp;Cutoff!$B$24,Subscriptions!$B$2:$B$208,"&lt;"&amp;Cutoff!$B$25,Subscriptions!$B$2:$B$208,"&lt;="&amp;Cutoff!$B$10),0)</f>
        <v>0</v>
      </c>
    </row>
    <row r="81" customFormat="false" ht="15" hidden="false" customHeight="false" outlineLevel="0" collapsed="false">
      <c r="A81" s="4" t="s">
        <v>446</v>
      </c>
      <c r="B81" s="4" t="s">
        <v>288</v>
      </c>
      <c r="C81" s="4" t="s">
        <v>447</v>
      </c>
      <c r="D81" s="4" t="s">
        <v>51</v>
      </c>
      <c r="E81" s="4" t="n">
        <v>1777310174</v>
      </c>
      <c r="F81" s="4" t="n">
        <v>1777310056</v>
      </c>
      <c r="G81" s="4" t="n">
        <v>1777310060</v>
      </c>
      <c r="H81" s="4" t="n">
        <v>1000000000000000</v>
      </c>
      <c r="I81" s="4" t="n">
        <v>1000000000000000</v>
      </c>
      <c r="J81" s="4" t="n">
        <v>1777310466</v>
      </c>
      <c r="K81" s="4" t="n">
        <v>1777310271</v>
      </c>
      <c r="L81" s="12" t="n">
        <f aca="false">IF(AND(B81=Cutoff!$B$12,E81&lt;=Cutoff!$B$10),1,0)</f>
        <v>1</v>
      </c>
      <c r="M81" s="12" t="n">
        <f aca="false">IF(AND(L81=1,F81&lt;1000000000000000,G81&lt;=Cutoff!$B$10),1,0)</f>
        <v>1</v>
      </c>
      <c r="N81" s="12" t="n">
        <f aca="false">IF(AND(M81=1,F81+Cutoff!$B$16&lt;=Cutoff!$B$10),1,0)</f>
        <v>1</v>
      </c>
      <c r="O81" s="12" t="n">
        <f aca="false">IF(N81=1,IF(AND(H81&lt;1000000000000000,H81&gt;=MAX(F81,E81),H81&lt;F81+Cutoff!$B$16,I81&lt;=Cutoff!$B$10),1,0),0)</f>
        <v>0</v>
      </c>
      <c r="P81" s="12" t="n">
        <f aca="false">IF(AND(L81=1,J81&lt;=Cutoff!$B$10),1,0)</f>
        <v>1</v>
      </c>
      <c r="Q81" s="12" t="n">
        <f aca="false">IF(AND(N81=1,E81+Cutoff!$B$17&lt;=Cutoff!$B$10),1,0)</f>
        <v>1</v>
      </c>
      <c r="R81" s="12" t="n">
        <f aca="false">IF(Q81=1,IF(K81&lt;=Cutoff!$B$10,1,0),0)</f>
        <v>1</v>
      </c>
      <c r="S81" s="12" t="n">
        <f aca="false">IF(N81=1,SUMIFS(Subscriptions!$D$2:$D$208,Subscriptions!$A$2:$A$208,C81,Subscriptions!$E$2:$E$208,1,Subscriptions!$B$2:$B$208,"&gt;="&amp;Cutoff!$B$24,Subscriptions!$B$2:$B$208,"&lt;"&amp;Cutoff!$B$25,Subscriptions!$B$2:$B$208,"&lt;="&amp;Cutoff!$B$10),0)</f>
        <v>0</v>
      </c>
    </row>
    <row r="82" customFormat="false" ht="15" hidden="false" customHeight="false" outlineLevel="0" collapsed="false">
      <c r="A82" s="4" t="s">
        <v>448</v>
      </c>
      <c r="B82" s="4" t="s">
        <v>288</v>
      </c>
      <c r="C82" s="4" t="s">
        <v>449</v>
      </c>
      <c r="D82" s="4" t="s">
        <v>52</v>
      </c>
      <c r="E82" s="4" t="n">
        <v>1777311790</v>
      </c>
      <c r="F82" s="4" t="n">
        <v>1777311722</v>
      </c>
      <c r="G82" s="4" t="n">
        <v>1777311943</v>
      </c>
      <c r="H82" s="4" t="n">
        <v>1777639766</v>
      </c>
      <c r="I82" s="4" t="n">
        <v>1777639783</v>
      </c>
      <c r="J82" s="4" t="n">
        <v>1777312413</v>
      </c>
      <c r="K82" s="4" t="n">
        <v>1000000000000000</v>
      </c>
      <c r="L82" s="12" t="n">
        <f aca="false">IF(AND(B82=Cutoff!$B$12,E82&lt;=Cutoff!$B$10),1,0)</f>
        <v>1</v>
      </c>
      <c r="M82" s="12" t="n">
        <f aca="false">IF(AND(L82=1,F82&lt;1000000000000000,G82&lt;=Cutoff!$B$10),1,0)</f>
        <v>1</v>
      </c>
      <c r="N82" s="12" t="n">
        <f aca="false">IF(AND(M82=1,F82+Cutoff!$B$16&lt;=Cutoff!$B$10),1,0)</f>
        <v>1</v>
      </c>
      <c r="O82" s="12" t="n">
        <f aca="false">IF(N82=1,IF(AND(H82&lt;1000000000000000,H82&gt;=MAX(F82,E82),H82&lt;F82+Cutoff!$B$16,I82&lt;=Cutoff!$B$10),1,0),0)</f>
        <v>1</v>
      </c>
      <c r="P82" s="12" t="n">
        <f aca="false">IF(AND(L82=1,J82&lt;=Cutoff!$B$10),1,0)</f>
        <v>1</v>
      </c>
      <c r="Q82" s="12" t="n">
        <f aca="false">IF(AND(N82=1,E82+Cutoff!$B$17&lt;=Cutoff!$B$10),1,0)</f>
        <v>1</v>
      </c>
      <c r="R82" s="12" t="n">
        <f aca="false">IF(Q82=1,IF(K82&lt;=Cutoff!$B$10,1,0),0)</f>
        <v>0</v>
      </c>
      <c r="S82" s="12" t="n">
        <f aca="false">IF(N82=1,SUMIFS(Subscriptions!$D$2:$D$208,Subscriptions!$A$2:$A$208,C82,Subscriptions!$E$2:$E$208,1,Subscriptions!$B$2:$B$208,"&gt;="&amp;Cutoff!$B$24,Subscriptions!$B$2:$B$208,"&lt;"&amp;Cutoff!$B$25,Subscriptions!$B$2:$B$208,"&lt;="&amp;Cutoff!$B$10),0)</f>
        <v>0</v>
      </c>
    </row>
    <row r="83" customFormat="false" ht="15" hidden="false" customHeight="false" outlineLevel="0" collapsed="false">
      <c r="A83" s="4" t="s">
        <v>450</v>
      </c>
      <c r="B83" s="4" t="s">
        <v>288</v>
      </c>
      <c r="C83" s="4" t="s">
        <v>451</v>
      </c>
      <c r="D83" s="4" t="s">
        <v>52</v>
      </c>
      <c r="E83" s="4" t="n">
        <v>1777316233</v>
      </c>
      <c r="F83" s="4" t="n">
        <v>1777315892</v>
      </c>
      <c r="G83" s="4" t="n">
        <v>1777315915</v>
      </c>
      <c r="H83" s="4" t="n">
        <v>1777530708</v>
      </c>
      <c r="I83" s="4" t="n">
        <v>1777530726</v>
      </c>
      <c r="J83" s="4" t="n">
        <v>1000000000000000</v>
      </c>
      <c r="K83" s="4" t="n">
        <v>1000000000000000</v>
      </c>
      <c r="L83" s="12" t="n">
        <f aca="false">IF(AND(B83=Cutoff!$B$12,E83&lt;=Cutoff!$B$10),1,0)</f>
        <v>1</v>
      </c>
      <c r="M83" s="12" t="n">
        <f aca="false">IF(AND(L83=1,F83&lt;1000000000000000,G83&lt;=Cutoff!$B$10),1,0)</f>
        <v>1</v>
      </c>
      <c r="N83" s="12" t="n">
        <f aca="false">IF(AND(M83=1,F83+Cutoff!$B$16&lt;=Cutoff!$B$10),1,0)</f>
        <v>1</v>
      </c>
      <c r="O83" s="12" t="n">
        <f aca="false">IF(N83=1,IF(AND(H83&lt;1000000000000000,H83&gt;=MAX(F83,E83),H83&lt;F83+Cutoff!$B$16,I83&lt;=Cutoff!$B$10),1,0),0)</f>
        <v>1</v>
      </c>
      <c r="P83" s="12" t="n">
        <f aca="false">IF(AND(L83=1,J83&lt;=Cutoff!$B$10),1,0)</f>
        <v>0</v>
      </c>
      <c r="Q83" s="12" t="n">
        <f aca="false">IF(AND(N83=1,E83+Cutoff!$B$17&lt;=Cutoff!$B$10),1,0)</f>
        <v>1</v>
      </c>
      <c r="R83" s="12" t="n">
        <f aca="false">IF(Q83=1,IF(K83&lt;=Cutoff!$B$10,1,0),0)</f>
        <v>0</v>
      </c>
      <c r="S83" s="12" t="n">
        <f aca="false">IF(N83=1,SUMIFS(Subscriptions!$D$2:$D$208,Subscriptions!$A$2:$A$208,C83,Subscriptions!$E$2:$E$208,1,Subscriptions!$B$2:$B$208,"&gt;="&amp;Cutoff!$B$24,Subscriptions!$B$2:$B$208,"&lt;"&amp;Cutoff!$B$25,Subscriptions!$B$2:$B$208,"&lt;="&amp;Cutoff!$B$10),0)</f>
        <v>0</v>
      </c>
    </row>
    <row r="84" customFormat="false" ht="15" hidden="false" customHeight="false" outlineLevel="0" collapsed="false">
      <c r="A84" s="4" t="s">
        <v>452</v>
      </c>
      <c r="B84" s="4" t="s">
        <v>288</v>
      </c>
      <c r="C84" s="4" t="s">
        <v>453</v>
      </c>
      <c r="D84" s="4" t="s">
        <v>51</v>
      </c>
      <c r="E84" s="4" t="n">
        <v>1777374285</v>
      </c>
      <c r="F84" s="4" t="n">
        <v>1777373878</v>
      </c>
      <c r="G84" s="4" t="n">
        <v>1777373892</v>
      </c>
      <c r="H84" s="4" t="n">
        <v>1777767920</v>
      </c>
      <c r="I84" s="4" t="n">
        <v>1777767939</v>
      </c>
      <c r="J84" s="4" t="n">
        <v>1777374714</v>
      </c>
      <c r="K84" s="4" t="n">
        <v>1000000000000000</v>
      </c>
      <c r="L84" s="12" t="n">
        <f aca="false">IF(AND(B84=Cutoff!$B$12,E84&lt;=Cutoff!$B$10),1,0)</f>
        <v>1</v>
      </c>
      <c r="M84" s="12" t="n">
        <f aca="false">IF(AND(L84=1,F84&lt;1000000000000000,G84&lt;=Cutoff!$B$10),1,0)</f>
        <v>1</v>
      </c>
      <c r="N84" s="12" t="n">
        <f aca="false">IF(AND(M84=1,F84+Cutoff!$B$16&lt;=Cutoff!$B$10),1,0)</f>
        <v>1</v>
      </c>
      <c r="O84" s="12" t="n">
        <f aca="false">IF(N84=1,IF(AND(H84&lt;1000000000000000,H84&gt;=MAX(F84,E84),H84&lt;F84+Cutoff!$B$16,I84&lt;=Cutoff!$B$10),1,0),0)</f>
        <v>1</v>
      </c>
      <c r="P84" s="12" t="n">
        <f aca="false">IF(AND(L84=1,J84&lt;=Cutoff!$B$10),1,0)</f>
        <v>1</v>
      </c>
      <c r="Q84" s="12" t="n">
        <f aca="false">IF(AND(N84=1,E84+Cutoff!$B$17&lt;=Cutoff!$B$10),1,0)</f>
        <v>1</v>
      </c>
      <c r="R84" s="12" t="n">
        <f aca="false">IF(Q84=1,IF(K84&lt;=Cutoff!$B$10,1,0),0)</f>
        <v>0</v>
      </c>
      <c r="S84" s="12" t="n">
        <f aca="false">IF(N84=1,SUMIFS(Subscriptions!$D$2:$D$208,Subscriptions!$A$2:$A$208,C84,Subscriptions!$E$2:$E$208,1,Subscriptions!$B$2:$B$208,"&gt;="&amp;Cutoff!$B$24,Subscriptions!$B$2:$B$208,"&lt;"&amp;Cutoff!$B$25,Subscriptions!$B$2:$B$208,"&lt;="&amp;Cutoff!$B$10),0)</f>
        <v>84</v>
      </c>
    </row>
    <row r="85" customFormat="false" ht="15" hidden="false" customHeight="false" outlineLevel="0" collapsed="false">
      <c r="A85" s="4" t="s">
        <v>454</v>
      </c>
      <c r="B85" s="4" t="s">
        <v>288</v>
      </c>
      <c r="C85" s="4" t="s">
        <v>455</v>
      </c>
      <c r="D85" s="4" t="s">
        <v>51</v>
      </c>
      <c r="E85" s="4" t="n">
        <v>1777381330</v>
      </c>
      <c r="F85" s="4" t="n">
        <v>1777381172</v>
      </c>
      <c r="G85" s="4" t="n">
        <v>1777381182</v>
      </c>
      <c r="H85" s="4" t="n">
        <v>1777947412</v>
      </c>
      <c r="I85" s="4" t="n">
        <v>1777947435</v>
      </c>
      <c r="J85" s="4" t="n">
        <v>1777381540</v>
      </c>
      <c r="K85" s="4" t="n">
        <v>1777633500</v>
      </c>
      <c r="L85" s="12" t="n">
        <f aca="false">IF(AND(B85=Cutoff!$B$12,E85&lt;=Cutoff!$B$10),1,0)</f>
        <v>1</v>
      </c>
      <c r="M85" s="12" t="n">
        <f aca="false">IF(AND(L85=1,F85&lt;1000000000000000,G85&lt;=Cutoff!$B$10),1,0)</f>
        <v>1</v>
      </c>
      <c r="N85" s="12" t="n">
        <f aca="false">IF(AND(M85=1,F85+Cutoff!$B$16&lt;=Cutoff!$B$10),1,0)</f>
        <v>1</v>
      </c>
      <c r="O85" s="12" t="n">
        <f aca="false">IF(N85=1,IF(AND(H85&lt;1000000000000000,H85&gt;=MAX(F85,E85),H85&lt;F85+Cutoff!$B$16,I85&lt;=Cutoff!$B$10),1,0),0)</f>
        <v>1</v>
      </c>
      <c r="P85" s="12" t="n">
        <f aca="false">IF(AND(L85=1,J85&lt;=Cutoff!$B$10),1,0)</f>
        <v>1</v>
      </c>
      <c r="Q85" s="12" t="n">
        <f aca="false">IF(AND(N85=1,E85+Cutoff!$B$17&lt;=Cutoff!$B$10),1,0)</f>
        <v>1</v>
      </c>
      <c r="R85" s="12" t="n">
        <f aca="false">IF(Q85=1,IF(K85&lt;=Cutoff!$B$10,1,0),0)</f>
        <v>1</v>
      </c>
      <c r="S85" s="12" t="n">
        <f aca="false">IF(N85=1,SUMIFS(Subscriptions!$D$2:$D$208,Subscriptions!$A$2:$A$208,C85,Subscriptions!$E$2:$E$208,1,Subscriptions!$B$2:$B$208,"&gt;="&amp;Cutoff!$B$24,Subscriptions!$B$2:$B$208,"&lt;"&amp;Cutoff!$B$25,Subscriptions!$B$2:$B$208,"&lt;="&amp;Cutoff!$B$10),0)</f>
        <v>0</v>
      </c>
    </row>
    <row r="86" customFormat="false" ht="15" hidden="false" customHeight="false" outlineLevel="0" collapsed="false">
      <c r="A86" s="4" t="s">
        <v>456</v>
      </c>
      <c r="B86" s="4" t="s">
        <v>288</v>
      </c>
      <c r="C86" s="4" t="s">
        <v>457</v>
      </c>
      <c r="D86" s="4" t="s">
        <v>51</v>
      </c>
      <c r="E86" s="4" t="n">
        <v>1777387144</v>
      </c>
      <c r="F86" s="4" t="n">
        <v>1777386617</v>
      </c>
      <c r="G86" s="4" t="n">
        <v>1777386758</v>
      </c>
      <c r="H86" s="4" t="n">
        <v>1000000000000000</v>
      </c>
      <c r="I86" s="4" t="n">
        <v>1000000000000000</v>
      </c>
      <c r="J86" s="4" t="n">
        <v>1000000000000000</v>
      </c>
      <c r="K86" s="4" t="n">
        <v>1000000000000000</v>
      </c>
      <c r="L86" s="12" t="n">
        <f aca="false">IF(AND(B86=Cutoff!$B$12,E86&lt;=Cutoff!$B$10),1,0)</f>
        <v>1</v>
      </c>
      <c r="M86" s="12" t="n">
        <f aca="false">IF(AND(L86=1,F86&lt;1000000000000000,G86&lt;=Cutoff!$B$10),1,0)</f>
        <v>1</v>
      </c>
      <c r="N86" s="12" t="n">
        <f aca="false">IF(AND(M86=1,F86+Cutoff!$B$16&lt;=Cutoff!$B$10),1,0)</f>
        <v>1</v>
      </c>
      <c r="O86" s="12" t="n">
        <f aca="false">IF(N86=1,IF(AND(H86&lt;1000000000000000,H86&gt;=MAX(F86,E86),H86&lt;F86+Cutoff!$B$16,I86&lt;=Cutoff!$B$10),1,0),0)</f>
        <v>0</v>
      </c>
      <c r="P86" s="12" t="n">
        <f aca="false">IF(AND(L86=1,J86&lt;=Cutoff!$B$10),1,0)</f>
        <v>0</v>
      </c>
      <c r="Q86" s="12" t="n">
        <f aca="false">IF(AND(N86=1,E86+Cutoff!$B$17&lt;=Cutoff!$B$10),1,0)</f>
        <v>1</v>
      </c>
      <c r="R86" s="12" t="n">
        <f aca="false">IF(Q86=1,IF(K86&lt;=Cutoff!$B$10,1,0),0)</f>
        <v>0</v>
      </c>
      <c r="S86" s="12" t="n">
        <f aca="false">IF(N86=1,SUMIFS(Subscriptions!$D$2:$D$208,Subscriptions!$A$2:$A$208,C86,Subscriptions!$E$2:$E$208,1,Subscriptions!$B$2:$B$208,"&gt;="&amp;Cutoff!$B$24,Subscriptions!$B$2:$B$208,"&lt;"&amp;Cutoff!$B$25,Subscriptions!$B$2:$B$208,"&lt;="&amp;Cutoff!$B$10),0)</f>
        <v>120</v>
      </c>
    </row>
    <row r="87" customFormat="false" ht="15" hidden="false" customHeight="false" outlineLevel="0" collapsed="false">
      <c r="A87" s="4" t="s">
        <v>458</v>
      </c>
      <c r="B87" s="4" t="s">
        <v>288</v>
      </c>
      <c r="C87" s="4" t="s">
        <v>459</v>
      </c>
      <c r="D87" s="4" t="s">
        <v>52</v>
      </c>
      <c r="E87" s="4" t="n">
        <v>1777416627</v>
      </c>
      <c r="F87" s="4" t="n">
        <v>1777416506</v>
      </c>
      <c r="G87" s="4" t="n">
        <v>1777422649</v>
      </c>
      <c r="H87" s="4" t="n">
        <v>1000000000000000</v>
      </c>
      <c r="I87" s="4" t="n">
        <v>1000000000000000</v>
      </c>
      <c r="J87" s="4" t="n">
        <v>1777417455</v>
      </c>
      <c r="K87" s="4" t="n">
        <v>1000000000000000</v>
      </c>
      <c r="L87" s="12" t="n">
        <f aca="false">IF(AND(B87=Cutoff!$B$12,E87&lt;=Cutoff!$B$10),1,0)</f>
        <v>1</v>
      </c>
      <c r="M87" s="12" t="n">
        <f aca="false">IF(AND(L87=1,F87&lt;1000000000000000,G87&lt;=Cutoff!$B$10),1,0)</f>
        <v>1</v>
      </c>
      <c r="N87" s="12" t="n">
        <f aca="false">IF(AND(M87=1,F87+Cutoff!$B$16&lt;=Cutoff!$B$10),1,0)</f>
        <v>1</v>
      </c>
      <c r="O87" s="12" t="n">
        <f aca="false">IF(N87=1,IF(AND(H87&lt;1000000000000000,H87&gt;=MAX(F87,E87),H87&lt;F87+Cutoff!$B$16,I87&lt;=Cutoff!$B$10),1,0),0)</f>
        <v>0</v>
      </c>
      <c r="P87" s="12" t="n">
        <f aca="false">IF(AND(L87=1,J87&lt;=Cutoff!$B$10),1,0)</f>
        <v>1</v>
      </c>
      <c r="Q87" s="12" t="n">
        <f aca="false">IF(AND(N87=1,E87+Cutoff!$B$17&lt;=Cutoff!$B$10),1,0)</f>
        <v>1</v>
      </c>
      <c r="R87" s="12" t="n">
        <f aca="false">IF(Q87=1,IF(K87&lt;=Cutoff!$B$10,1,0),0)</f>
        <v>0</v>
      </c>
      <c r="S87" s="12" t="n">
        <f aca="false">IF(N87=1,SUMIFS(Subscriptions!$D$2:$D$208,Subscriptions!$A$2:$A$208,C87,Subscriptions!$E$2:$E$208,1,Subscriptions!$B$2:$B$208,"&gt;="&amp;Cutoff!$B$24,Subscriptions!$B$2:$B$208,"&lt;"&amp;Cutoff!$B$25,Subscriptions!$B$2:$B$208,"&lt;="&amp;Cutoff!$B$10),0)</f>
        <v>0</v>
      </c>
    </row>
    <row r="88" customFormat="false" ht="15" hidden="false" customHeight="false" outlineLevel="0" collapsed="false">
      <c r="A88" s="4" t="s">
        <v>460</v>
      </c>
      <c r="B88" s="4" t="s">
        <v>288</v>
      </c>
      <c r="C88" s="4" t="s">
        <v>461</v>
      </c>
      <c r="D88" s="4" t="s">
        <v>52</v>
      </c>
      <c r="E88" s="4" t="n">
        <v>1777416752</v>
      </c>
      <c r="F88" s="4" t="n">
        <v>1777416565</v>
      </c>
      <c r="G88" s="4" t="n">
        <v>1777416590</v>
      </c>
      <c r="H88" s="4" t="n">
        <v>1000000000000000</v>
      </c>
      <c r="I88" s="4" t="n">
        <v>1000000000000000</v>
      </c>
      <c r="J88" s="4" t="n">
        <v>1777417327</v>
      </c>
      <c r="K88" s="4" t="n">
        <v>1778196333</v>
      </c>
      <c r="L88" s="12" t="n">
        <f aca="false">IF(AND(B88=Cutoff!$B$12,E88&lt;=Cutoff!$B$10),1,0)</f>
        <v>1</v>
      </c>
      <c r="M88" s="12" t="n">
        <f aca="false">IF(AND(L88=1,F88&lt;1000000000000000,G88&lt;=Cutoff!$B$10),1,0)</f>
        <v>1</v>
      </c>
      <c r="N88" s="12" t="n">
        <f aca="false">IF(AND(M88=1,F88+Cutoff!$B$16&lt;=Cutoff!$B$10),1,0)</f>
        <v>1</v>
      </c>
      <c r="O88" s="12" t="n">
        <f aca="false">IF(N88=1,IF(AND(H88&lt;1000000000000000,H88&gt;=MAX(F88,E88),H88&lt;F88+Cutoff!$B$16,I88&lt;=Cutoff!$B$10),1,0),0)</f>
        <v>0</v>
      </c>
      <c r="P88" s="12" t="n">
        <f aca="false">IF(AND(L88=1,J88&lt;=Cutoff!$B$10),1,0)</f>
        <v>1</v>
      </c>
      <c r="Q88" s="12" t="n">
        <f aca="false">IF(AND(N88=1,E88+Cutoff!$B$17&lt;=Cutoff!$B$10),1,0)</f>
        <v>1</v>
      </c>
      <c r="R88" s="12" t="n">
        <f aca="false">IF(Q88=1,IF(K88&lt;=Cutoff!$B$10,1,0),0)</f>
        <v>1</v>
      </c>
      <c r="S88" s="12" t="n">
        <f aca="false">IF(N88=1,SUMIFS(Subscriptions!$D$2:$D$208,Subscriptions!$A$2:$A$208,C88,Subscriptions!$E$2:$E$208,1,Subscriptions!$B$2:$B$208,"&gt;="&amp;Cutoff!$B$24,Subscriptions!$B$2:$B$208,"&lt;"&amp;Cutoff!$B$25,Subscriptions!$B$2:$B$208,"&lt;="&amp;Cutoff!$B$10),0)</f>
        <v>0</v>
      </c>
    </row>
    <row r="89" customFormat="false" ht="15" hidden="false" customHeight="false" outlineLevel="0" collapsed="false">
      <c r="A89" s="4" t="s">
        <v>462</v>
      </c>
      <c r="B89" s="4" t="s">
        <v>288</v>
      </c>
      <c r="C89" s="4" t="s">
        <v>463</v>
      </c>
      <c r="D89" s="4" t="s">
        <v>51</v>
      </c>
      <c r="E89" s="4" t="n">
        <v>1777458947</v>
      </c>
      <c r="F89" s="4" t="n">
        <v>1777458444</v>
      </c>
      <c r="G89" s="4" t="n">
        <v>1777458456</v>
      </c>
      <c r="H89" s="4" t="n">
        <v>1777531083</v>
      </c>
      <c r="I89" s="4" t="n">
        <v>1777531099</v>
      </c>
      <c r="J89" s="4" t="n">
        <v>1777459221</v>
      </c>
      <c r="K89" s="4" t="n">
        <v>1000000000000000</v>
      </c>
      <c r="L89" s="12" t="n">
        <f aca="false">IF(AND(B89=Cutoff!$B$12,E89&lt;=Cutoff!$B$10),1,0)</f>
        <v>1</v>
      </c>
      <c r="M89" s="12" t="n">
        <f aca="false">IF(AND(L89=1,F89&lt;1000000000000000,G89&lt;=Cutoff!$B$10),1,0)</f>
        <v>1</v>
      </c>
      <c r="N89" s="12" t="n">
        <f aca="false">IF(AND(M89=1,F89+Cutoff!$B$16&lt;=Cutoff!$B$10),1,0)</f>
        <v>1</v>
      </c>
      <c r="O89" s="12" t="n">
        <f aca="false">IF(N89=1,IF(AND(H89&lt;1000000000000000,H89&gt;=MAX(F89,E89),H89&lt;F89+Cutoff!$B$16,I89&lt;=Cutoff!$B$10),1,0),0)</f>
        <v>1</v>
      </c>
      <c r="P89" s="12" t="n">
        <f aca="false">IF(AND(L89=1,J89&lt;=Cutoff!$B$10),1,0)</f>
        <v>1</v>
      </c>
      <c r="Q89" s="12" t="n">
        <f aca="false">IF(AND(N89=1,E89+Cutoff!$B$17&lt;=Cutoff!$B$10),1,0)</f>
        <v>1</v>
      </c>
      <c r="R89" s="12" t="n">
        <f aca="false">IF(Q89=1,IF(K89&lt;=Cutoff!$B$10,1,0),0)</f>
        <v>0</v>
      </c>
      <c r="S89" s="12" t="n">
        <f aca="false">IF(N89=1,SUMIFS(Subscriptions!$D$2:$D$208,Subscriptions!$A$2:$A$208,C89,Subscriptions!$E$2:$E$208,1,Subscriptions!$B$2:$B$208,"&gt;="&amp;Cutoff!$B$24,Subscriptions!$B$2:$B$208,"&lt;"&amp;Cutoff!$B$25,Subscriptions!$B$2:$B$208,"&lt;="&amp;Cutoff!$B$10),0)</f>
        <v>0</v>
      </c>
    </row>
    <row r="90" customFormat="false" ht="15" hidden="false" customHeight="false" outlineLevel="0" collapsed="false">
      <c r="A90" s="4" t="s">
        <v>464</v>
      </c>
      <c r="B90" s="4" t="s">
        <v>288</v>
      </c>
      <c r="C90" s="4" t="s">
        <v>465</v>
      </c>
      <c r="D90" s="4" t="s">
        <v>51</v>
      </c>
      <c r="E90" s="4" t="n">
        <v>1777468960</v>
      </c>
      <c r="F90" s="4" t="n">
        <v>1777468678</v>
      </c>
      <c r="G90" s="4" t="n">
        <v>1777468680</v>
      </c>
      <c r="H90" s="4" t="n">
        <v>1000000000000000</v>
      </c>
      <c r="I90" s="4" t="n">
        <v>1000000000000000</v>
      </c>
      <c r="J90" s="4" t="n">
        <v>1777469477</v>
      </c>
      <c r="K90" s="4" t="n">
        <v>1000000000000000</v>
      </c>
      <c r="L90" s="12" t="n">
        <f aca="false">IF(AND(B90=Cutoff!$B$12,E90&lt;=Cutoff!$B$10),1,0)</f>
        <v>1</v>
      </c>
      <c r="M90" s="12" t="n">
        <f aca="false">IF(AND(L90=1,F90&lt;1000000000000000,G90&lt;=Cutoff!$B$10),1,0)</f>
        <v>1</v>
      </c>
      <c r="N90" s="12" t="n">
        <f aca="false">IF(AND(M90=1,F90+Cutoff!$B$16&lt;=Cutoff!$B$10),1,0)</f>
        <v>1</v>
      </c>
      <c r="O90" s="12" t="n">
        <f aca="false">IF(N90=1,IF(AND(H90&lt;1000000000000000,H90&gt;=MAX(F90,E90),H90&lt;F90+Cutoff!$B$16,I90&lt;=Cutoff!$B$10),1,0),0)</f>
        <v>0</v>
      </c>
      <c r="P90" s="12" t="n">
        <f aca="false">IF(AND(L90=1,J90&lt;=Cutoff!$B$10),1,0)</f>
        <v>1</v>
      </c>
      <c r="Q90" s="12" t="n">
        <f aca="false">IF(AND(N90=1,E90+Cutoff!$B$17&lt;=Cutoff!$B$10),1,0)</f>
        <v>1</v>
      </c>
      <c r="R90" s="12" t="n">
        <f aca="false">IF(Q90=1,IF(K90&lt;=Cutoff!$B$10,1,0),0)</f>
        <v>0</v>
      </c>
      <c r="S90" s="12" t="n">
        <f aca="false">IF(N90=1,SUMIFS(Subscriptions!$D$2:$D$208,Subscriptions!$A$2:$A$208,C90,Subscriptions!$E$2:$E$208,1,Subscriptions!$B$2:$B$208,"&gt;="&amp;Cutoff!$B$24,Subscriptions!$B$2:$B$208,"&lt;"&amp;Cutoff!$B$25,Subscriptions!$B$2:$B$208,"&lt;="&amp;Cutoff!$B$10),0)</f>
        <v>0</v>
      </c>
    </row>
    <row r="91" customFormat="false" ht="15" hidden="false" customHeight="false" outlineLevel="0" collapsed="false">
      <c r="A91" s="4" t="s">
        <v>466</v>
      </c>
      <c r="B91" s="4" t="s">
        <v>288</v>
      </c>
      <c r="C91" s="4" t="s">
        <v>467</v>
      </c>
      <c r="D91" s="4" t="s">
        <v>52</v>
      </c>
      <c r="E91" s="4" t="n">
        <v>1777479097</v>
      </c>
      <c r="F91" s="4" t="n">
        <v>1777478772</v>
      </c>
      <c r="G91" s="4" t="n">
        <v>1777478781</v>
      </c>
      <c r="H91" s="4" t="n">
        <v>1777628525</v>
      </c>
      <c r="I91" s="4" t="n">
        <v>1777630219</v>
      </c>
      <c r="J91" s="4" t="n">
        <v>1777480105</v>
      </c>
      <c r="K91" s="4" t="n">
        <v>1000000000000000</v>
      </c>
      <c r="L91" s="12" t="n">
        <f aca="false">IF(AND(B91=Cutoff!$B$12,E91&lt;=Cutoff!$B$10),1,0)</f>
        <v>1</v>
      </c>
      <c r="M91" s="12" t="n">
        <f aca="false">IF(AND(L91=1,F91&lt;1000000000000000,G91&lt;=Cutoff!$B$10),1,0)</f>
        <v>1</v>
      </c>
      <c r="N91" s="12" t="n">
        <f aca="false">IF(AND(M91=1,F91+Cutoff!$B$16&lt;=Cutoff!$B$10),1,0)</f>
        <v>1</v>
      </c>
      <c r="O91" s="12" t="n">
        <f aca="false">IF(N91=1,IF(AND(H91&lt;1000000000000000,H91&gt;=MAX(F91,E91),H91&lt;F91+Cutoff!$B$16,I91&lt;=Cutoff!$B$10),1,0),0)</f>
        <v>1</v>
      </c>
      <c r="P91" s="12" t="n">
        <f aca="false">IF(AND(L91=1,J91&lt;=Cutoff!$B$10),1,0)</f>
        <v>1</v>
      </c>
      <c r="Q91" s="12" t="n">
        <f aca="false">IF(AND(N91=1,E91+Cutoff!$B$17&lt;=Cutoff!$B$10),1,0)</f>
        <v>1</v>
      </c>
      <c r="R91" s="12" t="n">
        <f aca="false">IF(Q91=1,IF(K91&lt;=Cutoff!$B$10,1,0),0)</f>
        <v>0</v>
      </c>
      <c r="S91" s="12" t="n">
        <f aca="false">IF(N91=1,SUMIFS(Subscriptions!$D$2:$D$208,Subscriptions!$A$2:$A$208,C91,Subscriptions!$E$2:$E$208,1,Subscriptions!$B$2:$B$208,"&gt;="&amp;Cutoff!$B$24,Subscriptions!$B$2:$B$208,"&lt;"&amp;Cutoff!$B$25,Subscriptions!$B$2:$B$208,"&lt;="&amp;Cutoff!$B$10),0)</f>
        <v>0</v>
      </c>
    </row>
    <row r="92" customFormat="false" ht="15" hidden="false" customHeight="false" outlineLevel="0" collapsed="false">
      <c r="A92" s="4" t="s">
        <v>468</v>
      </c>
      <c r="B92" s="4" t="s">
        <v>288</v>
      </c>
      <c r="C92" s="4" t="s">
        <v>469</v>
      </c>
      <c r="D92" s="4" t="s">
        <v>52</v>
      </c>
      <c r="E92" s="4" t="n">
        <v>1777485177</v>
      </c>
      <c r="F92" s="4" t="n">
        <v>1777484973</v>
      </c>
      <c r="G92" s="4" t="n">
        <v>1777484995</v>
      </c>
      <c r="H92" s="4" t="n">
        <v>1000000000000000</v>
      </c>
      <c r="I92" s="4" t="n">
        <v>1000000000000000</v>
      </c>
      <c r="J92" s="4" t="n">
        <v>1777485685</v>
      </c>
      <c r="K92" s="4" t="n">
        <v>1000000000000000</v>
      </c>
      <c r="L92" s="12" t="n">
        <f aca="false">IF(AND(B92=Cutoff!$B$12,E92&lt;=Cutoff!$B$10),1,0)</f>
        <v>1</v>
      </c>
      <c r="M92" s="12" t="n">
        <f aca="false">IF(AND(L92=1,F92&lt;1000000000000000,G92&lt;=Cutoff!$B$10),1,0)</f>
        <v>1</v>
      </c>
      <c r="N92" s="12" t="n">
        <f aca="false">IF(AND(M92=1,F92+Cutoff!$B$16&lt;=Cutoff!$B$10),1,0)</f>
        <v>1</v>
      </c>
      <c r="O92" s="12" t="n">
        <f aca="false">IF(N92=1,IF(AND(H92&lt;1000000000000000,H92&gt;=MAX(F92,E92),H92&lt;F92+Cutoff!$B$16,I92&lt;=Cutoff!$B$10),1,0),0)</f>
        <v>0</v>
      </c>
      <c r="P92" s="12" t="n">
        <f aca="false">IF(AND(L92=1,J92&lt;=Cutoff!$B$10),1,0)</f>
        <v>1</v>
      </c>
      <c r="Q92" s="12" t="n">
        <f aca="false">IF(AND(N92=1,E92+Cutoff!$B$17&lt;=Cutoff!$B$10),1,0)</f>
        <v>1</v>
      </c>
      <c r="R92" s="12" t="n">
        <f aca="false">IF(Q92=1,IF(K92&lt;=Cutoff!$B$10,1,0),0)</f>
        <v>0</v>
      </c>
      <c r="S92" s="12" t="n">
        <f aca="false">IF(N92=1,SUMIFS(Subscriptions!$D$2:$D$208,Subscriptions!$A$2:$A$208,C92,Subscriptions!$E$2:$E$208,1,Subscriptions!$B$2:$B$208,"&gt;="&amp;Cutoff!$B$24,Subscriptions!$B$2:$B$208,"&lt;"&amp;Cutoff!$B$25,Subscriptions!$B$2:$B$208,"&lt;="&amp;Cutoff!$B$10),0)</f>
        <v>0</v>
      </c>
    </row>
    <row r="93" customFormat="false" ht="15" hidden="false" customHeight="false" outlineLevel="0" collapsed="false">
      <c r="A93" s="4" t="s">
        <v>470</v>
      </c>
      <c r="B93" s="4" t="s">
        <v>288</v>
      </c>
      <c r="C93" s="4" t="s">
        <v>471</v>
      </c>
      <c r="D93" s="4" t="s">
        <v>51</v>
      </c>
      <c r="E93" s="4" t="n">
        <v>1777500182</v>
      </c>
      <c r="F93" s="4" t="n">
        <v>1777499881</v>
      </c>
      <c r="G93" s="4" t="n">
        <v>1777499900</v>
      </c>
      <c r="H93" s="4" t="n">
        <v>1000000000000000</v>
      </c>
      <c r="I93" s="4" t="n">
        <v>1000000000000000</v>
      </c>
      <c r="J93" s="4" t="n">
        <v>1777500672</v>
      </c>
      <c r="K93" s="4" t="n">
        <v>1000000000000000</v>
      </c>
      <c r="L93" s="12" t="n">
        <f aca="false">IF(AND(B93=Cutoff!$B$12,E93&lt;=Cutoff!$B$10),1,0)</f>
        <v>1</v>
      </c>
      <c r="M93" s="12" t="n">
        <f aca="false">IF(AND(L93=1,F93&lt;1000000000000000,G93&lt;=Cutoff!$B$10),1,0)</f>
        <v>1</v>
      </c>
      <c r="N93" s="12" t="n">
        <f aca="false">IF(AND(M93=1,F93+Cutoff!$B$16&lt;=Cutoff!$B$10),1,0)</f>
        <v>1</v>
      </c>
      <c r="O93" s="12" t="n">
        <f aca="false">IF(N93=1,IF(AND(H93&lt;1000000000000000,H93&gt;=MAX(F93,E93),H93&lt;F93+Cutoff!$B$16,I93&lt;=Cutoff!$B$10),1,0),0)</f>
        <v>0</v>
      </c>
      <c r="P93" s="12" t="n">
        <f aca="false">IF(AND(L93=1,J93&lt;=Cutoff!$B$10),1,0)</f>
        <v>1</v>
      </c>
      <c r="Q93" s="12" t="n">
        <f aca="false">IF(AND(N93=1,E93+Cutoff!$B$17&lt;=Cutoff!$B$10),1,0)</f>
        <v>1</v>
      </c>
      <c r="R93" s="12" t="n">
        <f aca="false">IF(Q93=1,IF(K93&lt;=Cutoff!$B$10,1,0),0)</f>
        <v>0</v>
      </c>
      <c r="S93" s="12" t="n">
        <f aca="false">IF(N93=1,SUMIFS(Subscriptions!$D$2:$D$208,Subscriptions!$A$2:$A$208,C93,Subscriptions!$E$2:$E$208,1,Subscriptions!$B$2:$B$208,"&gt;="&amp;Cutoff!$B$24,Subscriptions!$B$2:$B$208,"&lt;"&amp;Cutoff!$B$25,Subscriptions!$B$2:$B$208,"&lt;="&amp;Cutoff!$B$10),0)</f>
        <v>0</v>
      </c>
    </row>
    <row r="94" customFormat="false" ht="15" hidden="false" customHeight="false" outlineLevel="0" collapsed="false">
      <c r="A94" s="4" t="s">
        <v>472</v>
      </c>
      <c r="B94" s="4" t="s">
        <v>288</v>
      </c>
      <c r="C94" s="4" t="s">
        <v>473</v>
      </c>
      <c r="D94" s="4" t="s">
        <v>51</v>
      </c>
      <c r="E94" s="4" t="n">
        <v>1777500975</v>
      </c>
      <c r="F94" s="4" t="n">
        <v>1777500450</v>
      </c>
      <c r="G94" s="4" t="n">
        <v>1777500520</v>
      </c>
      <c r="H94" s="4" t="n">
        <v>1000000000000000</v>
      </c>
      <c r="I94" s="4" t="n">
        <v>1000000000000000</v>
      </c>
      <c r="J94" s="4" t="n">
        <v>1777501323</v>
      </c>
      <c r="K94" s="4" t="n">
        <v>1000000000000000</v>
      </c>
      <c r="L94" s="12" t="n">
        <f aca="false">IF(AND(B94=Cutoff!$B$12,E94&lt;=Cutoff!$B$10),1,0)</f>
        <v>1</v>
      </c>
      <c r="M94" s="12" t="n">
        <f aca="false">IF(AND(L94=1,F94&lt;1000000000000000,G94&lt;=Cutoff!$B$10),1,0)</f>
        <v>1</v>
      </c>
      <c r="N94" s="12" t="n">
        <f aca="false">IF(AND(M94=1,F94+Cutoff!$B$16&lt;=Cutoff!$B$10),1,0)</f>
        <v>1</v>
      </c>
      <c r="O94" s="12" t="n">
        <f aca="false">IF(N94=1,IF(AND(H94&lt;1000000000000000,H94&gt;=MAX(F94,E94),H94&lt;F94+Cutoff!$B$16,I94&lt;=Cutoff!$B$10),1,0),0)</f>
        <v>0</v>
      </c>
      <c r="P94" s="12" t="n">
        <f aca="false">IF(AND(L94=1,J94&lt;=Cutoff!$B$10),1,0)</f>
        <v>1</v>
      </c>
      <c r="Q94" s="12" t="n">
        <f aca="false">IF(AND(N94=1,E94+Cutoff!$B$17&lt;=Cutoff!$B$10),1,0)</f>
        <v>1</v>
      </c>
      <c r="R94" s="12" t="n">
        <f aca="false">IF(Q94=1,IF(K94&lt;=Cutoff!$B$10,1,0),0)</f>
        <v>0</v>
      </c>
      <c r="S94" s="12" t="n">
        <f aca="false">IF(N94=1,SUMIFS(Subscriptions!$D$2:$D$208,Subscriptions!$A$2:$A$208,C94,Subscriptions!$E$2:$E$208,1,Subscriptions!$B$2:$B$208,"&gt;="&amp;Cutoff!$B$24,Subscriptions!$B$2:$B$208,"&lt;"&amp;Cutoff!$B$25,Subscriptions!$B$2:$B$208,"&lt;="&amp;Cutoff!$B$10),0)</f>
        <v>0</v>
      </c>
    </row>
    <row r="95" customFormat="false" ht="15" hidden="false" customHeight="false" outlineLevel="0" collapsed="false">
      <c r="A95" s="4" t="s">
        <v>474</v>
      </c>
      <c r="B95" s="4" t="s">
        <v>288</v>
      </c>
      <c r="C95" s="4" t="s">
        <v>475</v>
      </c>
      <c r="D95" s="4" t="s">
        <v>52</v>
      </c>
      <c r="E95" s="4" t="n">
        <v>1777555886</v>
      </c>
      <c r="F95" s="4" t="n">
        <v>1777555750</v>
      </c>
      <c r="G95" s="4" t="n">
        <v>1777555761</v>
      </c>
      <c r="H95" s="4" t="n">
        <v>1777624330</v>
      </c>
      <c r="I95" s="4" t="n">
        <v>1777624536</v>
      </c>
      <c r="J95" s="4" t="n">
        <v>1777556498</v>
      </c>
      <c r="K95" s="4" t="n">
        <v>1000000000000000</v>
      </c>
      <c r="L95" s="12" t="n">
        <f aca="false">IF(AND(B95=Cutoff!$B$12,E95&lt;=Cutoff!$B$10),1,0)</f>
        <v>1</v>
      </c>
      <c r="M95" s="12" t="n">
        <f aca="false">IF(AND(L95=1,F95&lt;1000000000000000,G95&lt;=Cutoff!$B$10),1,0)</f>
        <v>1</v>
      </c>
      <c r="N95" s="12" t="n">
        <f aca="false">IF(AND(M95=1,F95+Cutoff!$B$16&lt;=Cutoff!$B$10),1,0)</f>
        <v>1</v>
      </c>
      <c r="O95" s="12" t="n">
        <f aca="false">IF(N95=1,IF(AND(H95&lt;1000000000000000,H95&gt;=MAX(F95,E95),H95&lt;F95+Cutoff!$B$16,I95&lt;=Cutoff!$B$10),1,0),0)</f>
        <v>1</v>
      </c>
      <c r="P95" s="12" t="n">
        <f aca="false">IF(AND(L95=1,J95&lt;=Cutoff!$B$10),1,0)</f>
        <v>1</v>
      </c>
      <c r="Q95" s="12" t="n">
        <f aca="false">IF(AND(N95=1,E95+Cutoff!$B$17&lt;=Cutoff!$B$10),1,0)</f>
        <v>1</v>
      </c>
      <c r="R95" s="12" t="n">
        <f aca="false">IF(Q95=1,IF(K95&lt;=Cutoff!$B$10,1,0),0)</f>
        <v>0</v>
      </c>
      <c r="S95" s="12" t="n">
        <f aca="false">IF(N95=1,SUMIFS(Subscriptions!$D$2:$D$208,Subscriptions!$A$2:$A$208,C95,Subscriptions!$E$2:$E$208,1,Subscriptions!$B$2:$B$208,"&gt;="&amp;Cutoff!$B$24,Subscriptions!$B$2:$B$208,"&lt;"&amp;Cutoff!$B$25,Subscriptions!$B$2:$B$208,"&lt;="&amp;Cutoff!$B$10),0)</f>
        <v>0</v>
      </c>
    </row>
    <row r="96" customFormat="false" ht="15" hidden="false" customHeight="false" outlineLevel="0" collapsed="false">
      <c r="A96" s="4" t="s">
        <v>476</v>
      </c>
      <c r="B96" s="4" t="s">
        <v>288</v>
      </c>
      <c r="C96" s="4" t="s">
        <v>477</v>
      </c>
      <c r="D96" s="4" t="s">
        <v>52</v>
      </c>
      <c r="E96" s="4" t="n">
        <v>1777562087</v>
      </c>
      <c r="F96" s="4" t="n">
        <v>1777561975</v>
      </c>
      <c r="G96" s="4" t="n">
        <v>1777938883</v>
      </c>
      <c r="H96" s="4" t="n">
        <v>1000000000000000</v>
      </c>
      <c r="I96" s="4" t="n">
        <v>1000000000000000</v>
      </c>
      <c r="J96" s="4" t="n">
        <v>1000000000000000</v>
      </c>
      <c r="K96" s="4" t="n">
        <v>1777915934</v>
      </c>
      <c r="L96" s="12" t="n">
        <f aca="false">IF(AND(B96=Cutoff!$B$12,E96&lt;=Cutoff!$B$10),1,0)</f>
        <v>1</v>
      </c>
      <c r="M96" s="12" t="n">
        <f aca="false">IF(AND(L96=1,F96&lt;1000000000000000,G96&lt;=Cutoff!$B$10),1,0)</f>
        <v>1</v>
      </c>
      <c r="N96" s="12" t="n">
        <f aca="false">IF(AND(M96=1,F96+Cutoff!$B$16&lt;=Cutoff!$B$10),1,0)</f>
        <v>1</v>
      </c>
      <c r="O96" s="12" t="n">
        <f aca="false">IF(N96=1,IF(AND(H96&lt;1000000000000000,H96&gt;=MAX(F96,E96),H96&lt;F96+Cutoff!$B$16,I96&lt;=Cutoff!$B$10),1,0),0)</f>
        <v>0</v>
      </c>
      <c r="P96" s="12" t="n">
        <f aca="false">IF(AND(L96=1,J96&lt;=Cutoff!$B$10),1,0)</f>
        <v>0</v>
      </c>
      <c r="Q96" s="12" t="n">
        <f aca="false">IF(AND(N96=1,E96+Cutoff!$B$17&lt;=Cutoff!$B$10),1,0)</f>
        <v>1</v>
      </c>
      <c r="R96" s="12" t="n">
        <f aca="false">IF(Q96=1,IF(K96&lt;=Cutoff!$B$10,1,0),0)</f>
        <v>1</v>
      </c>
      <c r="S96" s="12" t="n">
        <f aca="false">IF(N96=1,SUMIFS(Subscriptions!$D$2:$D$208,Subscriptions!$A$2:$A$208,C96,Subscriptions!$E$2:$E$208,1,Subscriptions!$B$2:$B$208,"&gt;="&amp;Cutoff!$B$24,Subscriptions!$B$2:$B$208,"&lt;"&amp;Cutoff!$B$25,Subscriptions!$B$2:$B$208,"&lt;="&amp;Cutoff!$B$10),0)</f>
        <v>0</v>
      </c>
    </row>
    <row r="97" customFormat="false" ht="15" hidden="false" customHeight="false" outlineLevel="0" collapsed="false">
      <c r="A97" s="4" t="s">
        <v>478</v>
      </c>
      <c r="B97" s="4" t="s">
        <v>288</v>
      </c>
      <c r="C97" s="4" t="s">
        <v>479</v>
      </c>
      <c r="D97" s="4" t="s">
        <v>51</v>
      </c>
      <c r="E97" s="4" t="n">
        <v>1777581685</v>
      </c>
      <c r="F97" s="4" t="n">
        <v>1777581600</v>
      </c>
      <c r="G97" s="4" t="n">
        <v>1777581620</v>
      </c>
      <c r="H97" s="4" t="n">
        <v>1000000000000000</v>
      </c>
      <c r="I97" s="4" t="n">
        <v>1000000000000000</v>
      </c>
      <c r="J97" s="4" t="n">
        <v>1777581848</v>
      </c>
      <c r="K97" s="4" t="n">
        <v>1777920620</v>
      </c>
      <c r="L97" s="12" t="n">
        <f aca="false">IF(AND(B97=Cutoff!$B$12,E97&lt;=Cutoff!$B$10),1,0)</f>
        <v>1</v>
      </c>
      <c r="M97" s="12" t="n">
        <f aca="false">IF(AND(L97=1,F97&lt;1000000000000000,G97&lt;=Cutoff!$B$10),1,0)</f>
        <v>1</v>
      </c>
      <c r="N97" s="12" t="n">
        <f aca="false">IF(AND(M97=1,F97+Cutoff!$B$16&lt;=Cutoff!$B$10),1,0)</f>
        <v>1</v>
      </c>
      <c r="O97" s="12" t="n">
        <f aca="false">IF(N97=1,IF(AND(H97&lt;1000000000000000,H97&gt;=MAX(F97,E97),H97&lt;F97+Cutoff!$B$16,I97&lt;=Cutoff!$B$10),1,0),0)</f>
        <v>0</v>
      </c>
      <c r="P97" s="12" t="n">
        <f aca="false">IF(AND(L97=1,J97&lt;=Cutoff!$B$10),1,0)</f>
        <v>1</v>
      </c>
      <c r="Q97" s="12" t="n">
        <f aca="false">IF(AND(N97=1,E97+Cutoff!$B$17&lt;=Cutoff!$B$10),1,0)</f>
        <v>1</v>
      </c>
      <c r="R97" s="12" t="n">
        <f aca="false">IF(Q97=1,IF(K97&lt;=Cutoff!$B$10,1,0),0)</f>
        <v>1</v>
      </c>
      <c r="S97" s="12" t="n">
        <f aca="false">IF(N97=1,SUMIFS(Subscriptions!$D$2:$D$208,Subscriptions!$A$2:$A$208,C97,Subscriptions!$E$2:$E$208,1,Subscriptions!$B$2:$B$208,"&gt;="&amp;Cutoff!$B$24,Subscriptions!$B$2:$B$208,"&lt;"&amp;Cutoff!$B$25,Subscriptions!$B$2:$B$208,"&lt;="&amp;Cutoff!$B$10),0)</f>
        <v>0</v>
      </c>
    </row>
    <row r="98" customFormat="false" ht="15" hidden="false" customHeight="false" outlineLevel="0" collapsed="false">
      <c r="A98" s="4" t="s">
        <v>480</v>
      </c>
      <c r="B98" s="4" t="s">
        <v>288</v>
      </c>
      <c r="C98" s="4" t="s">
        <v>481</v>
      </c>
      <c r="D98" s="4" t="s">
        <v>51</v>
      </c>
      <c r="E98" s="4" t="n">
        <v>1777634685</v>
      </c>
      <c r="F98" s="4" t="n">
        <v>1777634297</v>
      </c>
      <c r="G98" s="4" t="n">
        <v>1777634298</v>
      </c>
      <c r="H98" s="4" t="n">
        <v>1777637029</v>
      </c>
      <c r="I98" s="4" t="n">
        <v>1777637034</v>
      </c>
      <c r="J98" s="4" t="n">
        <v>1777635367</v>
      </c>
      <c r="K98" s="4" t="n">
        <v>1000000000000000</v>
      </c>
      <c r="L98" s="12" t="n">
        <f aca="false">IF(AND(B98=Cutoff!$B$12,E98&lt;=Cutoff!$B$10),1,0)</f>
        <v>1</v>
      </c>
      <c r="M98" s="12" t="n">
        <f aca="false">IF(AND(L98=1,F98&lt;1000000000000000,G98&lt;=Cutoff!$B$10),1,0)</f>
        <v>1</v>
      </c>
      <c r="N98" s="12" t="n">
        <f aca="false">IF(AND(M98=1,F98+Cutoff!$B$16&lt;=Cutoff!$B$10),1,0)</f>
        <v>1</v>
      </c>
      <c r="O98" s="12" t="n">
        <f aca="false">IF(N98=1,IF(AND(H98&lt;1000000000000000,H98&gt;=MAX(F98,E98),H98&lt;F98+Cutoff!$B$16,I98&lt;=Cutoff!$B$10),1,0),0)</f>
        <v>1</v>
      </c>
      <c r="P98" s="12" t="n">
        <f aca="false">IF(AND(L98=1,J98&lt;=Cutoff!$B$10),1,0)</f>
        <v>1</v>
      </c>
      <c r="Q98" s="12" t="n">
        <f aca="false">IF(AND(N98=1,E98+Cutoff!$B$17&lt;=Cutoff!$B$10),1,0)</f>
        <v>1</v>
      </c>
      <c r="R98" s="12" t="n">
        <f aca="false">IF(Q98=1,IF(K98&lt;=Cutoff!$B$10,1,0),0)</f>
        <v>0</v>
      </c>
      <c r="S98" s="12" t="n">
        <f aca="false">IF(N98=1,SUMIFS(Subscriptions!$D$2:$D$208,Subscriptions!$A$2:$A$208,C98,Subscriptions!$E$2:$E$208,1,Subscriptions!$B$2:$B$208,"&gt;="&amp;Cutoff!$B$24,Subscriptions!$B$2:$B$208,"&lt;"&amp;Cutoff!$B$25,Subscriptions!$B$2:$B$208,"&lt;="&amp;Cutoff!$B$10),0)</f>
        <v>741</v>
      </c>
    </row>
    <row r="99" customFormat="false" ht="15" hidden="false" customHeight="false" outlineLevel="0" collapsed="false">
      <c r="A99" s="4" t="s">
        <v>482</v>
      </c>
      <c r="B99" s="4" t="s">
        <v>288</v>
      </c>
      <c r="C99" s="4" t="s">
        <v>483</v>
      </c>
      <c r="D99" s="4" t="s">
        <v>51</v>
      </c>
      <c r="E99" s="4" t="n">
        <v>1777650011</v>
      </c>
      <c r="F99" s="4" t="n">
        <v>1777649799</v>
      </c>
      <c r="G99" s="4" t="n">
        <v>1777649814</v>
      </c>
      <c r="H99" s="4" t="n">
        <v>1000000000000000</v>
      </c>
      <c r="I99" s="4" t="n">
        <v>1000000000000000</v>
      </c>
      <c r="J99" s="4" t="n">
        <v>1777651107</v>
      </c>
      <c r="K99" s="4" t="n">
        <v>1000000000000000</v>
      </c>
      <c r="L99" s="12" t="n">
        <f aca="false">IF(AND(B99=Cutoff!$B$12,E99&lt;=Cutoff!$B$10),1,0)</f>
        <v>1</v>
      </c>
      <c r="M99" s="12" t="n">
        <f aca="false">IF(AND(L99=1,F99&lt;1000000000000000,G99&lt;=Cutoff!$B$10),1,0)</f>
        <v>1</v>
      </c>
      <c r="N99" s="12" t="n">
        <f aca="false">IF(AND(M99=1,F99+Cutoff!$B$16&lt;=Cutoff!$B$10),1,0)</f>
        <v>1</v>
      </c>
      <c r="O99" s="12" t="n">
        <f aca="false">IF(N99=1,IF(AND(H99&lt;1000000000000000,H99&gt;=MAX(F99,E99),H99&lt;F99+Cutoff!$B$16,I99&lt;=Cutoff!$B$10),1,0),0)</f>
        <v>0</v>
      </c>
      <c r="P99" s="12" t="n">
        <f aca="false">IF(AND(L99=1,J99&lt;=Cutoff!$B$10),1,0)</f>
        <v>1</v>
      </c>
      <c r="Q99" s="12" t="n">
        <f aca="false">IF(AND(N99=1,E99+Cutoff!$B$17&lt;=Cutoff!$B$10),1,0)</f>
        <v>1</v>
      </c>
      <c r="R99" s="12" t="n">
        <f aca="false">IF(Q99=1,IF(K99&lt;=Cutoff!$B$10,1,0),0)</f>
        <v>0</v>
      </c>
      <c r="S99" s="12" t="n">
        <f aca="false">IF(N99=1,SUMIFS(Subscriptions!$D$2:$D$208,Subscriptions!$A$2:$A$208,C99,Subscriptions!$E$2:$E$208,1,Subscriptions!$B$2:$B$208,"&gt;="&amp;Cutoff!$B$24,Subscriptions!$B$2:$B$208,"&lt;"&amp;Cutoff!$B$25,Subscriptions!$B$2:$B$208,"&lt;="&amp;Cutoff!$B$10),0)</f>
        <v>0</v>
      </c>
    </row>
    <row r="100" customFormat="false" ht="15" hidden="false" customHeight="false" outlineLevel="0" collapsed="false">
      <c r="A100" s="4" t="s">
        <v>484</v>
      </c>
      <c r="B100" s="4" t="s">
        <v>288</v>
      </c>
      <c r="C100" s="4" t="s">
        <v>485</v>
      </c>
      <c r="D100" s="4" t="s">
        <v>52</v>
      </c>
      <c r="E100" s="4" t="n">
        <v>1777663408</v>
      </c>
      <c r="F100" s="4" t="n">
        <v>1777663104</v>
      </c>
      <c r="G100" s="4" t="n">
        <v>1777663116</v>
      </c>
      <c r="H100" s="4" t="n">
        <v>1777933659</v>
      </c>
      <c r="I100" s="4" t="n">
        <v>1777933666</v>
      </c>
      <c r="J100" s="4" t="n">
        <v>1777664338</v>
      </c>
      <c r="K100" s="4" t="n">
        <v>1777923993</v>
      </c>
      <c r="L100" s="12" t="n">
        <f aca="false">IF(AND(B100=Cutoff!$B$12,E100&lt;=Cutoff!$B$10),1,0)</f>
        <v>1</v>
      </c>
      <c r="M100" s="12" t="n">
        <f aca="false">IF(AND(L100=1,F100&lt;1000000000000000,G100&lt;=Cutoff!$B$10),1,0)</f>
        <v>1</v>
      </c>
      <c r="N100" s="12" t="n">
        <f aca="false">IF(AND(M100=1,F100+Cutoff!$B$16&lt;=Cutoff!$B$10),1,0)</f>
        <v>1</v>
      </c>
      <c r="O100" s="12" t="n">
        <f aca="false">IF(N100=1,IF(AND(H100&lt;1000000000000000,H100&gt;=MAX(F100,E100),H100&lt;F100+Cutoff!$B$16,I100&lt;=Cutoff!$B$10),1,0),0)</f>
        <v>1</v>
      </c>
      <c r="P100" s="12" t="n">
        <f aca="false">IF(AND(L100=1,J100&lt;=Cutoff!$B$10),1,0)</f>
        <v>1</v>
      </c>
      <c r="Q100" s="12" t="n">
        <f aca="false">IF(AND(N100=1,E100+Cutoff!$B$17&lt;=Cutoff!$B$10),1,0)</f>
        <v>1</v>
      </c>
      <c r="R100" s="12" t="n">
        <f aca="false">IF(Q100=1,IF(K100&lt;=Cutoff!$B$10,1,0),0)</f>
        <v>1</v>
      </c>
      <c r="S100" s="12" t="n">
        <f aca="false">IF(N100=1,SUMIFS(Subscriptions!$D$2:$D$208,Subscriptions!$A$2:$A$208,C100,Subscriptions!$E$2:$E$208,1,Subscriptions!$B$2:$B$208,"&gt;="&amp;Cutoff!$B$24,Subscriptions!$B$2:$B$208,"&lt;"&amp;Cutoff!$B$25,Subscriptions!$B$2:$B$208,"&lt;="&amp;Cutoff!$B$10),0)</f>
        <v>0</v>
      </c>
    </row>
    <row r="101" customFormat="false" ht="15" hidden="false" customHeight="false" outlineLevel="0" collapsed="false">
      <c r="A101" s="4" t="s">
        <v>486</v>
      </c>
      <c r="B101" s="4" t="s">
        <v>288</v>
      </c>
      <c r="C101" s="4" t="s">
        <v>487</v>
      </c>
      <c r="D101" s="4" t="s">
        <v>52</v>
      </c>
      <c r="E101" s="4" t="n">
        <v>1777663959</v>
      </c>
      <c r="F101" s="4" t="n">
        <v>1777663568</v>
      </c>
      <c r="G101" s="4" t="n">
        <v>1777663586</v>
      </c>
      <c r="H101" s="4" t="n">
        <v>1777904818</v>
      </c>
      <c r="I101" s="4" t="n">
        <v>1777904825</v>
      </c>
      <c r="J101" s="4" t="n">
        <v>1777664623</v>
      </c>
      <c r="K101" s="4" t="n">
        <v>1000000000000000</v>
      </c>
      <c r="L101" s="12" t="n">
        <f aca="false">IF(AND(B101=Cutoff!$B$12,E101&lt;=Cutoff!$B$10),1,0)</f>
        <v>1</v>
      </c>
      <c r="M101" s="12" t="n">
        <f aca="false">IF(AND(L101=1,F101&lt;1000000000000000,G101&lt;=Cutoff!$B$10),1,0)</f>
        <v>1</v>
      </c>
      <c r="N101" s="12" t="n">
        <f aca="false">IF(AND(M101=1,F101+Cutoff!$B$16&lt;=Cutoff!$B$10),1,0)</f>
        <v>1</v>
      </c>
      <c r="O101" s="12" t="n">
        <f aca="false">IF(N101=1,IF(AND(H101&lt;1000000000000000,H101&gt;=MAX(F101,E101),H101&lt;F101+Cutoff!$B$16,I101&lt;=Cutoff!$B$10),1,0),0)</f>
        <v>1</v>
      </c>
      <c r="P101" s="12" t="n">
        <f aca="false">IF(AND(L101=1,J101&lt;=Cutoff!$B$10),1,0)</f>
        <v>1</v>
      </c>
      <c r="Q101" s="12" t="n">
        <f aca="false">IF(AND(N101=1,E101+Cutoff!$B$17&lt;=Cutoff!$B$10),1,0)</f>
        <v>1</v>
      </c>
      <c r="R101" s="12" t="n">
        <f aca="false">IF(Q101=1,IF(K101&lt;=Cutoff!$B$10,1,0),0)</f>
        <v>0</v>
      </c>
      <c r="S101" s="12" t="n">
        <f aca="false">IF(N101=1,SUMIFS(Subscriptions!$D$2:$D$208,Subscriptions!$A$2:$A$208,C101,Subscriptions!$E$2:$E$208,1,Subscriptions!$B$2:$B$208,"&gt;="&amp;Cutoff!$B$24,Subscriptions!$B$2:$B$208,"&lt;"&amp;Cutoff!$B$25,Subscriptions!$B$2:$B$208,"&lt;="&amp;Cutoff!$B$10),0)</f>
        <v>0</v>
      </c>
    </row>
    <row r="102" customFormat="false" ht="15" hidden="false" customHeight="false" outlineLevel="0" collapsed="false">
      <c r="A102" s="4" t="s">
        <v>488</v>
      </c>
      <c r="B102" s="4" t="s">
        <v>288</v>
      </c>
      <c r="C102" s="4" t="s">
        <v>489</v>
      </c>
      <c r="D102" s="4" t="s">
        <v>51</v>
      </c>
      <c r="E102" s="4" t="n">
        <v>1777666009</v>
      </c>
      <c r="F102" s="4" t="n">
        <v>1777665599</v>
      </c>
      <c r="G102" s="4" t="n">
        <v>1777665620</v>
      </c>
      <c r="H102" s="4" t="n">
        <v>1778105804</v>
      </c>
      <c r="I102" s="4" t="n">
        <v>1778105821</v>
      </c>
      <c r="J102" s="4" t="n">
        <v>1777666087</v>
      </c>
      <c r="K102" s="4" t="n">
        <v>1778266776</v>
      </c>
      <c r="L102" s="12" t="n">
        <f aca="false">IF(AND(B102=Cutoff!$B$12,E102&lt;=Cutoff!$B$10),1,0)</f>
        <v>1</v>
      </c>
      <c r="M102" s="12" t="n">
        <f aca="false">IF(AND(L102=1,F102&lt;1000000000000000,G102&lt;=Cutoff!$B$10),1,0)</f>
        <v>1</v>
      </c>
      <c r="N102" s="12" t="n">
        <f aca="false">IF(AND(M102=1,F102+Cutoff!$B$16&lt;=Cutoff!$B$10),1,0)</f>
        <v>1</v>
      </c>
      <c r="O102" s="12" t="n">
        <f aca="false">IF(N102=1,IF(AND(H102&lt;1000000000000000,H102&gt;=MAX(F102,E102),H102&lt;F102+Cutoff!$B$16,I102&lt;=Cutoff!$B$10),1,0),0)</f>
        <v>1</v>
      </c>
      <c r="P102" s="12" t="n">
        <f aca="false">IF(AND(L102=1,J102&lt;=Cutoff!$B$10),1,0)</f>
        <v>1</v>
      </c>
      <c r="Q102" s="12" t="n">
        <f aca="false">IF(AND(N102=1,E102+Cutoff!$B$17&lt;=Cutoff!$B$10),1,0)</f>
        <v>1</v>
      </c>
      <c r="R102" s="12" t="n">
        <f aca="false">IF(Q102=1,IF(K102&lt;=Cutoff!$B$10,1,0),0)</f>
        <v>1</v>
      </c>
      <c r="S102" s="12" t="n">
        <f aca="false">IF(N102=1,SUMIFS(Subscriptions!$D$2:$D$208,Subscriptions!$A$2:$A$208,C102,Subscriptions!$E$2:$E$208,1,Subscriptions!$B$2:$B$208,"&gt;="&amp;Cutoff!$B$24,Subscriptions!$B$2:$B$208,"&lt;"&amp;Cutoff!$B$25,Subscriptions!$B$2:$B$208,"&lt;="&amp;Cutoff!$B$10),0)</f>
        <v>0</v>
      </c>
    </row>
    <row r="103" customFormat="false" ht="15" hidden="false" customHeight="false" outlineLevel="0" collapsed="false">
      <c r="A103" s="4" t="s">
        <v>490</v>
      </c>
      <c r="B103" s="4" t="s">
        <v>288</v>
      </c>
      <c r="C103" s="4" t="s">
        <v>491</v>
      </c>
      <c r="D103" s="4" t="s">
        <v>52</v>
      </c>
      <c r="E103" s="4" t="n">
        <v>1777728079</v>
      </c>
      <c r="F103" s="4" t="n">
        <v>1777727522</v>
      </c>
      <c r="G103" s="4" t="n">
        <v>1777727532</v>
      </c>
      <c r="H103" s="4" t="n">
        <v>1000000000000000</v>
      </c>
      <c r="I103" s="4" t="n">
        <v>1000000000000000</v>
      </c>
      <c r="J103" s="4" t="n">
        <v>1777729238</v>
      </c>
      <c r="K103" s="4" t="n">
        <v>1000000000000000</v>
      </c>
      <c r="L103" s="12" t="n">
        <f aca="false">IF(AND(B103=Cutoff!$B$12,E103&lt;=Cutoff!$B$10),1,0)</f>
        <v>1</v>
      </c>
      <c r="M103" s="12" t="n">
        <f aca="false">IF(AND(L103=1,F103&lt;1000000000000000,G103&lt;=Cutoff!$B$10),1,0)</f>
        <v>1</v>
      </c>
      <c r="N103" s="12" t="n">
        <f aca="false">IF(AND(M103=1,F103+Cutoff!$B$16&lt;=Cutoff!$B$10),1,0)</f>
        <v>1</v>
      </c>
      <c r="O103" s="12" t="n">
        <f aca="false">IF(N103=1,IF(AND(H103&lt;1000000000000000,H103&gt;=MAX(F103,E103),H103&lt;F103+Cutoff!$B$16,I103&lt;=Cutoff!$B$10),1,0),0)</f>
        <v>0</v>
      </c>
      <c r="P103" s="12" t="n">
        <f aca="false">IF(AND(L103=1,J103&lt;=Cutoff!$B$10),1,0)</f>
        <v>1</v>
      </c>
      <c r="Q103" s="12" t="n">
        <f aca="false">IF(AND(N103=1,E103+Cutoff!$B$17&lt;=Cutoff!$B$10),1,0)</f>
        <v>1</v>
      </c>
      <c r="R103" s="12" t="n">
        <f aca="false">IF(Q103=1,IF(K103&lt;=Cutoff!$B$10,1,0),0)</f>
        <v>0</v>
      </c>
      <c r="S103" s="12" t="n">
        <f aca="false">IF(N103=1,SUMIFS(Subscriptions!$D$2:$D$208,Subscriptions!$A$2:$A$208,C103,Subscriptions!$E$2:$E$208,1,Subscriptions!$B$2:$B$208,"&gt;="&amp;Cutoff!$B$24,Subscriptions!$B$2:$B$208,"&lt;"&amp;Cutoff!$B$25,Subscriptions!$B$2:$B$208,"&lt;="&amp;Cutoff!$B$10),0)</f>
        <v>0</v>
      </c>
    </row>
    <row r="104" customFormat="false" ht="15" hidden="false" customHeight="false" outlineLevel="0" collapsed="false">
      <c r="A104" s="4" t="s">
        <v>492</v>
      </c>
      <c r="B104" s="4" t="s">
        <v>288</v>
      </c>
      <c r="C104" s="4" t="s">
        <v>493</v>
      </c>
      <c r="D104" s="4" t="s">
        <v>52</v>
      </c>
      <c r="E104" s="4" t="n">
        <v>1777736159</v>
      </c>
      <c r="F104" s="4" t="n">
        <v>1777735893</v>
      </c>
      <c r="G104" s="4" t="n">
        <v>1777735914</v>
      </c>
      <c r="H104" s="4" t="n">
        <v>1000000000000000</v>
      </c>
      <c r="I104" s="4" t="n">
        <v>1000000000000000</v>
      </c>
      <c r="J104" s="4" t="n">
        <v>1777736266</v>
      </c>
      <c r="K104" s="4" t="n">
        <v>1000000000000000</v>
      </c>
      <c r="L104" s="12" t="n">
        <f aca="false">IF(AND(B104=Cutoff!$B$12,E104&lt;=Cutoff!$B$10),1,0)</f>
        <v>1</v>
      </c>
      <c r="M104" s="12" t="n">
        <f aca="false">IF(AND(L104=1,F104&lt;1000000000000000,G104&lt;=Cutoff!$B$10),1,0)</f>
        <v>1</v>
      </c>
      <c r="N104" s="12" t="n">
        <f aca="false">IF(AND(M104=1,F104+Cutoff!$B$16&lt;=Cutoff!$B$10),1,0)</f>
        <v>1</v>
      </c>
      <c r="O104" s="12" t="n">
        <f aca="false">IF(N104=1,IF(AND(H104&lt;1000000000000000,H104&gt;=MAX(F104,E104),H104&lt;F104+Cutoff!$B$16,I104&lt;=Cutoff!$B$10),1,0),0)</f>
        <v>0</v>
      </c>
      <c r="P104" s="12" t="n">
        <f aca="false">IF(AND(L104=1,J104&lt;=Cutoff!$B$10),1,0)</f>
        <v>1</v>
      </c>
      <c r="Q104" s="12" t="n">
        <f aca="false">IF(AND(N104=1,E104+Cutoff!$B$17&lt;=Cutoff!$B$10),1,0)</f>
        <v>1</v>
      </c>
      <c r="R104" s="12" t="n">
        <f aca="false">IF(Q104=1,IF(K104&lt;=Cutoff!$B$10,1,0),0)</f>
        <v>0</v>
      </c>
      <c r="S104" s="12" t="n">
        <f aca="false">IF(N104=1,SUMIFS(Subscriptions!$D$2:$D$208,Subscriptions!$A$2:$A$208,C104,Subscriptions!$E$2:$E$208,1,Subscriptions!$B$2:$B$208,"&gt;="&amp;Cutoff!$B$24,Subscriptions!$B$2:$B$208,"&lt;"&amp;Cutoff!$B$25,Subscriptions!$B$2:$B$208,"&lt;="&amp;Cutoff!$B$10),0)</f>
        <v>48</v>
      </c>
    </row>
    <row r="105" customFormat="false" ht="15" hidden="false" customHeight="false" outlineLevel="0" collapsed="false">
      <c r="A105" s="4" t="s">
        <v>494</v>
      </c>
      <c r="B105" s="4" t="s">
        <v>288</v>
      </c>
      <c r="C105" s="4" t="s">
        <v>495</v>
      </c>
      <c r="D105" s="4" t="s">
        <v>51</v>
      </c>
      <c r="E105" s="4" t="n">
        <v>1777816885</v>
      </c>
      <c r="F105" s="4" t="n">
        <v>1777816499</v>
      </c>
      <c r="G105" s="4" t="n">
        <v>1777816519</v>
      </c>
      <c r="H105" s="4" t="n">
        <v>1777817544</v>
      </c>
      <c r="I105" s="4" t="n">
        <v>1777817561</v>
      </c>
      <c r="J105" s="4" t="n">
        <v>1777817725</v>
      </c>
      <c r="K105" s="4" t="n">
        <v>1777817808</v>
      </c>
      <c r="L105" s="12" t="n">
        <f aca="false">IF(AND(B105=Cutoff!$B$12,E105&lt;=Cutoff!$B$10),1,0)</f>
        <v>1</v>
      </c>
      <c r="M105" s="12" t="n">
        <f aca="false">IF(AND(L105=1,F105&lt;1000000000000000,G105&lt;=Cutoff!$B$10),1,0)</f>
        <v>1</v>
      </c>
      <c r="N105" s="12" t="n">
        <f aca="false">IF(AND(M105=1,F105+Cutoff!$B$16&lt;=Cutoff!$B$10),1,0)</f>
        <v>1</v>
      </c>
      <c r="O105" s="12" t="n">
        <f aca="false">IF(N105=1,IF(AND(H105&lt;1000000000000000,H105&gt;=MAX(F105,E105),H105&lt;F105+Cutoff!$B$16,I105&lt;=Cutoff!$B$10),1,0),0)</f>
        <v>1</v>
      </c>
      <c r="P105" s="12" t="n">
        <f aca="false">IF(AND(L105=1,J105&lt;=Cutoff!$B$10),1,0)</f>
        <v>1</v>
      </c>
      <c r="Q105" s="12" t="n">
        <f aca="false">IF(AND(N105=1,E105+Cutoff!$B$17&lt;=Cutoff!$B$10),1,0)</f>
        <v>1</v>
      </c>
      <c r="R105" s="12" t="n">
        <f aca="false">IF(Q105=1,IF(K105&lt;=Cutoff!$B$10,1,0),0)</f>
        <v>1</v>
      </c>
      <c r="S105" s="12" t="n">
        <f aca="false">IF(N105=1,SUMIFS(Subscriptions!$D$2:$D$208,Subscriptions!$A$2:$A$208,C105,Subscriptions!$E$2:$E$208,1,Subscriptions!$B$2:$B$208,"&gt;="&amp;Cutoff!$B$24,Subscriptions!$B$2:$B$208,"&lt;"&amp;Cutoff!$B$25,Subscriptions!$B$2:$B$208,"&lt;="&amp;Cutoff!$B$10),0)</f>
        <v>120</v>
      </c>
    </row>
    <row r="106" customFormat="false" ht="15" hidden="false" customHeight="false" outlineLevel="0" collapsed="false">
      <c r="A106" s="4" t="s">
        <v>496</v>
      </c>
      <c r="B106" s="4" t="s">
        <v>288</v>
      </c>
      <c r="C106" s="4" t="s">
        <v>497</v>
      </c>
      <c r="D106" s="4" t="s">
        <v>52</v>
      </c>
      <c r="E106" s="4" t="n">
        <v>1777822944</v>
      </c>
      <c r="F106" s="4" t="n">
        <v>1777822446</v>
      </c>
      <c r="G106" s="4" t="n">
        <v>1778392014</v>
      </c>
      <c r="H106" s="4" t="n">
        <v>1000000000000000</v>
      </c>
      <c r="I106" s="4" t="n">
        <v>1000000000000000</v>
      </c>
      <c r="J106" s="4" t="n">
        <v>1777824136</v>
      </c>
      <c r="K106" s="4" t="n">
        <v>1777913995</v>
      </c>
      <c r="L106" s="12" t="n">
        <f aca="false">IF(AND(B106=Cutoff!$B$12,E106&lt;=Cutoff!$B$10),1,0)</f>
        <v>1</v>
      </c>
      <c r="M106" s="12" t="n">
        <f aca="false">IF(AND(L106=1,F106&lt;1000000000000000,G106&lt;=Cutoff!$B$10),1,0)</f>
        <v>1</v>
      </c>
      <c r="N106" s="12" t="n">
        <f aca="false">IF(AND(M106=1,F106+Cutoff!$B$16&lt;=Cutoff!$B$10),1,0)</f>
        <v>1</v>
      </c>
      <c r="O106" s="12" t="n">
        <f aca="false">IF(N106=1,IF(AND(H106&lt;1000000000000000,H106&gt;=MAX(F106,E106),H106&lt;F106+Cutoff!$B$16,I106&lt;=Cutoff!$B$10),1,0),0)</f>
        <v>0</v>
      </c>
      <c r="P106" s="12" t="n">
        <f aca="false">IF(AND(L106=1,J106&lt;=Cutoff!$B$10),1,0)</f>
        <v>1</v>
      </c>
      <c r="Q106" s="12" t="n">
        <f aca="false">IF(AND(N106=1,E106+Cutoff!$B$17&lt;=Cutoff!$B$10),1,0)</f>
        <v>1</v>
      </c>
      <c r="R106" s="12" t="n">
        <f aca="false">IF(Q106=1,IF(K106&lt;=Cutoff!$B$10,1,0),0)</f>
        <v>1</v>
      </c>
      <c r="S106" s="12" t="n">
        <f aca="false">IF(N106=1,SUMIFS(Subscriptions!$D$2:$D$208,Subscriptions!$A$2:$A$208,C106,Subscriptions!$E$2:$E$208,1,Subscriptions!$B$2:$B$208,"&gt;="&amp;Cutoff!$B$24,Subscriptions!$B$2:$B$208,"&lt;"&amp;Cutoff!$B$25,Subscriptions!$B$2:$B$208,"&lt;="&amp;Cutoff!$B$10),0)</f>
        <v>0</v>
      </c>
    </row>
    <row r="107" customFormat="false" ht="15" hidden="false" customHeight="false" outlineLevel="0" collapsed="false">
      <c r="A107" s="4" t="s">
        <v>498</v>
      </c>
      <c r="B107" s="4" t="s">
        <v>288</v>
      </c>
      <c r="C107" s="4" t="s">
        <v>499</v>
      </c>
      <c r="D107" s="4" t="s">
        <v>51</v>
      </c>
      <c r="E107" s="4" t="n">
        <v>1777890442</v>
      </c>
      <c r="F107" s="4" t="n">
        <v>1777889863</v>
      </c>
      <c r="G107" s="4" t="n">
        <v>1777889884</v>
      </c>
      <c r="H107" s="4" t="n">
        <v>1777909184</v>
      </c>
      <c r="I107" s="4" t="n">
        <v>1777909194</v>
      </c>
      <c r="J107" s="4" t="n">
        <v>1777890910</v>
      </c>
      <c r="K107" s="4" t="n">
        <v>1000000000000000</v>
      </c>
      <c r="L107" s="12" t="n">
        <f aca="false">IF(AND(B107=Cutoff!$B$12,E107&lt;=Cutoff!$B$10),1,0)</f>
        <v>1</v>
      </c>
      <c r="M107" s="12" t="n">
        <f aca="false">IF(AND(L107=1,F107&lt;1000000000000000,G107&lt;=Cutoff!$B$10),1,0)</f>
        <v>1</v>
      </c>
      <c r="N107" s="12" t="n">
        <f aca="false">IF(AND(M107=1,F107+Cutoff!$B$16&lt;=Cutoff!$B$10),1,0)</f>
        <v>1</v>
      </c>
      <c r="O107" s="12" t="n">
        <f aca="false">IF(N107=1,IF(AND(H107&lt;1000000000000000,H107&gt;=MAX(F107,E107),H107&lt;F107+Cutoff!$B$16,I107&lt;=Cutoff!$B$10),1,0),0)</f>
        <v>1</v>
      </c>
      <c r="P107" s="12" t="n">
        <f aca="false">IF(AND(L107=1,J107&lt;=Cutoff!$B$10),1,0)</f>
        <v>1</v>
      </c>
      <c r="Q107" s="12" t="n">
        <f aca="false">IF(AND(N107=1,E107+Cutoff!$B$17&lt;=Cutoff!$B$10),1,0)</f>
        <v>1</v>
      </c>
      <c r="R107" s="12" t="n">
        <f aca="false">IF(Q107=1,IF(K107&lt;=Cutoff!$B$10,1,0),0)</f>
        <v>0</v>
      </c>
      <c r="S107" s="12" t="n">
        <f aca="false">IF(N107=1,SUMIFS(Subscriptions!$D$2:$D$208,Subscriptions!$A$2:$A$208,C107,Subscriptions!$E$2:$E$208,1,Subscriptions!$B$2:$B$208,"&gt;="&amp;Cutoff!$B$24,Subscriptions!$B$2:$B$208,"&lt;"&amp;Cutoff!$B$25,Subscriptions!$B$2:$B$208,"&lt;="&amp;Cutoff!$B$10),0)</f>
        <v>96</v>
      </c>
    </row>
    <row r="108" customFormat="false" ht="15" hidden="false" customHeight="false" outlineLevel="0" collapsed="false">
      <c r="A108" s="4" t="s">
        <v>500</v>
      </c>
      <c r="B108" s="4" t="s">
        <v>288</v>
      </c>
      <c r="C108" s="4" t="s">
        <v>501</v>
      </c>
      <c r="D108" s="4" t="s">
        <v>52</v>
      </c>
      <c r="E108" s="4" t="n">
        <v>1777909163</v>
      </c>
      <c r="F108" s="4" t="n">
        <v>1777908648</v>
      </c>
      <c r="G108" s="4" t="n">
        <v>1777908664</v>
      </c>
      <c r="H108" s="4" t="n">
        <v>1777966986</v>
      </c>
      <c r="I108" s="4" t="n">
        <v>1777972836</v>
      </c>
      <c r="J108" s="4" t="n">
        <v>1000000000000000</v>
      </c>
      <c r="K108" s="4" t="n">
        <v>1000000000000000</v>
      </c>
      <c r="L108" s="12" t="n">
        <f aca="false">IF(AND(B108=Cutoff!$B$12,E108&lt;=Cutoff!$B$10),1,0)</f>
        <v>1</v>
      </c>
      <c r="M108" s="12" t="n">
        <f aca="false">IF(AND(L108=1,F108&lt;1000000000000000,G108&lt;=Cutoff!$B$10),1,0)</f>
        <v>1</v>
      </c>
      <c r="N108" s="12" t="n">
        <f aca="false">IF(AND(M108=1,F108+Cutoff!$B$16&lt;=Cutoff!$B$10),1,0)</f>
        <v>1</v>
      </c>
      <c r="O108" s="12" t="n">
        <f aca="false">IF(N108=1,IF(AND(H108&lt;1000000000000000,H108&gt;=MAX(F108,E108),H108&lt;F108+Cutoff!$B$16,I108&lt;=Cutoff!$B$10),1,0),0)</f>
        <v>1</v>
      </c>
      <c r="P108" s="12" t="n">
        <f aca="false">IF(AND(L108=1,J108&lt;=Cutoff!$B$10),1,0)</f>
        <v>0</v>
      </c>
      <c r="Q108" s="12" t="n">
        <f aca="false">IF(AND(N108=1,E108+Cutoff!$B$17&lt;=Cutoff!$B$10),1,0)</f>
        <v>1</v>
      </c>
      <c r="R108" s="12" t="n">
        <f aca="false">IF(Q108=1,IF(K108&lt;=Cutoff!$B$10,1,0),0)</f>
        <v>0</v>
      </c>
      <c r="S108" s="12" t="n">
        <f aca="false">IF(N108=1,SUMIFS(Subscriptions!$D$2:$D$208,Subscriptions!$A$2:$A$208,C108,Subscriptions!$E$2:$E$208,1,Subscriptions!$B$2:$B$208,"&gt;="&amp;Cutoff!$B$24,Subscriptions!$B$2:$B$208,"&lt;"&amp;Cutoff!$B$25,Subscriptions!$B$2:$B$208,"&lt;="&amp;Cutoff!$B$10),0)</f>
        <v>858</v>
      </c>
    </row>
    <row r="109" customFormat="false" ht="15" hidden="false" customHeight="false" outlineLevel="0" collapsed="false">
      <c r="A109" s="4" t="s">
        <v>502</v>
      </c>
      <c r="B109" s="4" t="s">
        <v>288</v>
      </c>
      <c r="C109" s="4" t="s">
        <v>503</v>
      </c>
      <c r="D109" s="4" t="s">
        <v>51</v>
      </c>
      <c r="E109" s="4" t="n">
        <v>1777917817</v>
      </c>
      <c r="F109" s="4" t="n">
        <v>1777917428</v>
      </c>
      <c r="G109" s="4" t="n">
        <v>1777917449</v>
      </c>
      <c r="H109" s="4" t="n">
        <v>1778091114</v>
      </c>
      <c r="I109" s="4" t="n">
        <v>1778091137</v>
      </c>
      <c r="J109" s="4" t="n">
        <v>1777918492</v>
      </c>
      <c r="K109" s="4" t="n">
        <v>1000000000000000</v>
      </c>
      <c r="L109" s="12" t="n">
        <f aca="false">IF(AND(B109=Cutoff!$B$12,E109&lt;=Cutoff!$B$10),1,0)</f>
        <v>1</v>
      </c>
      <c r="M109" s="12" t="n">
        <f aca="false">IF(AND(L109=1,F109&lt;1000000000000000,G109&lt;=Cutoff!$B$10),1,0)</f>
        <v>1</v>
      </c>
      <c r="N109" s="12" t="n">
        <f aca="false">IF(AND(M109=1,F109+Cutoff!$B$16&lt;=Cutoff!$B$10),1,0)</f>
        <v>1</v>
      </c>
      <c r="O109" s="12" t="n">
        <f aca="false">IF(N109=1,IF(AND(H109&lt;1000000000000000,H109&gt;=MAX(F109,E109),H109&lt;F109+Cutoff!$B$16,I109&lt;=Cutoff!$B$10),1,0),0)</f>
        <v>1</v>
      </c>
      <c r="P109" s="12" t="n">
        <f aca="false">IF(AND(L109=1,J109&lt;=Cutoff!$B$10),1,0)</f>
        <v>1</v>
      </c>
      <c r="Q109" s="12" t="n">
        <f aca="false">IF(AND(N109=1,E109+Cutoff!$B$17&lt;=Cutoff!$B$10),1,0)</f>
        <v>1</v>
      </c>
      <c r="R109" s="12" t="n">
        <f aca="false">IF(Q109=1,IF(K109&lt;=Cutoff!$B$10,1,0),0)</f>
        <v>0</v>
      </c>
      <c r="S109" s="12" t="n">
        <f aca="false">IF(N109=1,SUMIFS(Subscriptions!$D$2:$D$208,Subscriptions!$A$2:$A$208,C109,Subscriptions!$E$2:$E$208,1,Subscriptions!$B$2:$B$208,"&gt;="&amp;Cutoff!$B$24,Subscriptions!$B$2:$B$208,"&lt;"&amp;Cutoff!$B$25,Subscriptions!$B$2:$B$208,"&lt;="&amp;Cutoff!$B$10),0)</f>
        <v>0</v>
      </c>
    </row>
    <row r="110" customFormat="false" ht="15" hidden="false" customHeight="false" outlineLevel="0" collapsed="false">
      <c r="A110" s="4" t="s">
        <v>504</v>
      </c>
      <c r="B110" s="4" t="s">
        <v>288</v>
      </c>
      <c r="C110" s="4" t="s">
        <v>505</v>
      </c>
      <c r="D110" s="4" t="s">
        <v>52</v>
      </c>
      <c r="E110" s="4" t="n">
        <v>1777925826</v>
      </c>
      <c r="F110" s="4" t="n">
        <v>1777925377</v>
      </c>
      <c r="G110" s="4" t="n">
        <v>1777925400</v>
      </c>
      <c r="H110" s="4" t="n">
        <v>1000000000000000</v>
      </c>
      <c r="I110" s="4" t="n">
        <v>1000000000000000</v>
      </c>
      <c r="J110" s="4" t="n">
        <v>1000000000000000</v>
      </c>
      <c r="K110" s="4" t="n">
        <v>1000000000000000</v>
      </c>
      <c r="L110" s="12" t="n">
        <f aca="false">IF(AND(B110=Cutoff!$B$12,E110&lt;=Cutoff!$B$10),1,0)</f>
        <v>1</v>
      </c>
      <c r="M110" s="12" t="n">
        <f aca="false">IF(AND(L110=1,F110&lt;1000000000000000,G110&lt;=Cutoff!$B$10),1,0)</f>
        <v>1</v>
      </c>
      <c r="N110" s="12" t="n">
        <f aca="false">IF(AND(M110=1,F110+Cutoff!$B$16&lt;=Cutoff!$B$10),1,0)</f>
        <v>1</v>
      </c>
      <c r="O110" s="12" t="n">
        <f aca="false">IF(N110=1,IF(AND(H110&lt;1000000000000000,H110&gt;=MAX(F110,E110),H110&lt;F110+Cutoff!$B$16,I110&lt;=Cutoff!$B$10),1,0),0)</f>
        <v>0</v>
      </c>
      <c r="P110" s="12" t="n">
        <f aca="false">IF(AND(L110=1,J110&lt;=Cutoff!$B$10),1,0)</f>
        <v>0</v>
      </c>
      <c r="Q110" s="12" t="n">
        <f aca="false">IF(AND(N110=1,E110+Cutoff!$B$17&lt;=Cutoff!$B$10),1,0)</f>
        <v>1</v>
      </c>
      <c r="R110" s="12" t="n">
        <f aca="false">IF(Q110=1,IF(K110&lt;=Cutoff!$B$10,1,0),0)</f>
        <v>0</v>
      </c>
      <c r="S110" s="12" t="n">
        <f aca="false">IF(N110=1,SUMIFS(Subscriptions!$D$2:$D$208,Subscriptions!$A$2:$A$208,C110,Subscriptions!$E$2:$E$208,1,Subscriptions!$B$2:$B$208,"&gt;="&amp;Cutoff!$B$24,Subscriptions!$B$2:$B$208,"&lt;"&amp;Cutoff!$B$25,Subscriptions!$B$2:$B$208,"&lt;="&amp;Cutoff!$B$10),0)</f>
        <v>0</v>
      </c>
    </row>
    <row r="111" customFormat="false" ht="15" hidden="false" customHeight="false" outlineLevel="0" collapsed="false">
      <c r="A111" s="4" t="s">
        <v>506</v>
      </c>
      <c r="B111" s="4" t="s">
        <v>288</v>
      </c>
      <c r="C111" s="4" t="s">
        <v>507</v>
      </c>
      <c r="D111" s="4" t="s">
        <v>51</v>
      </c>
      <c r="E111" s="4" t="n">
        <v>1777932867</v>
      </c>
      <c r="F111" s="4" t="n">
        <v>1777932299</v>
      </c>
      <c r="G111" s="4" t="n">
        <v>1777932306</v>
      </c>
      <c r="H111" s="4" t="n">
        <v>1000000000000000</v>
      </c>
      <c r="I111" s="4" t="n">
        <v>1000000000000000</v>
      </c>
      <c r="J111" s="4" t="n">
        <v>1777933214</v>
      </c>
      <c r="K111" s="4" t="n">
        <v>1000000000000000</v>
      </c>
      <c r="L111" s="12" t="n">
        <f aca="false">IF(AND(B111=Cutoff!$B$12,E111&lt;=Cutoff!$B$10),1,0)</f>
        <v>1</v>
      </c>
      <c r="M111" s="12" t="n">
        <f aca="false">IF(AND(L111=1,F111&lt;1000000000000000,G111&lt;=Cutoff!$B$10),1,0)</f>
        <v>1</v>
      </c>
      <c r="N111" s="12" t="n">
        <f aca="false">IF(AND(M111=1,F111+Cutoff!$B$16&lt;=Cutoff!$B$10),1,0)</f>
        <v>1</v>
      </c>
      <c r="O111" s="12" t="n">
        <f aca="false">IF(N111=1,IF(AND(H111&lt;1000000000000000,H111&gt;=MAX(F111,E111),H111&lt;F111+Cutoff!$B$16,I111&lt;=Cutoff!$B$10),1,0),0)</f>
        <v>0</v>
      </c>
      <c r="P111" s="12" t="n">
        <f aca="false">IF(AND(L111=1,J111&lt;=Cutoff!$B$10),1,0)</f>
        <v>1</v>
      </c>
      <c r="Q111" s="12" t="n">
        <f aca="false">IF(AND(N111=1,E111+Cutoff!$B$17&lt;=Cutoff!$B$10),1,0)</f>
        <v>1</v>
      </c>
      <c r="R111" s="12" t="n">
        <f aca="false">IF(Q111=1,IF(K111&lt;=Cutoff!$B$10,1,0),0)</f>
        <v>0</v>
      </c>
      <c r="S111" s="12" t="n">
        <f aca="false">IF(N111=1,SUMIFS(Subscriptions!$D$2:$D$208,Subscriptions!$A$2:$A$208,C111,Subscriptions!$E$2:$E$208,1,Subscriptions!$B$2:$B$208,"&gt;="&amp;Cutoff!$B$24,Subscriptions!$B$2:$B$208,"&lt;"&amp;Cutoff!$B$25,Subscriptions!$B$2:$B$208,"&lt;="&amp;Cutoff!$B$10),0)</f>
        <v>0</v>
      </c>
    </row>
    <row r="112" customFormat="false" ht="15" hidden="false" customHeight="false" outlineLevel="0" collapsed="false">
      <c r="A112" s="4" t="s">
        <v>508</v>
      </c>
      <c r="B112" s="4" t="s">
        <v>288</v>
      </c>
      <c r="C112" s="4" t="s">
        <v>509</v>
      </c>
      <c r="D112" s="4" t="s">
        <v>52</v>
      </c>
      <c r="E112" s="4" t="n">
        <v>1777990483</v>
      </c>
      <c r="F112" s="4" t="n">
        <v>1777990097</v>
      </c>
      <c r="G112" s="4" t="n">
        <v>1777990138</v>
      </c>
      <c r="H112" s="4" t="n">
        <v>1000000000000000</v>
      </c>
      <c r="I112" s="4" t="n">
        <v>1000000000000000</v>
      </c>
      <c r="J112" s="4" t="n">
        <v>1777991563</v>
      </c>
      <c r="K112" s="4" t="n">
        <v>1000000000000000</v>
      </c>
      <c r="L112" s="12" t="n">
        <f aca="false">IF(AND(B112=Cutoff!$B$12,E112&lt;=Cutoff!$B$10),1,0)</f>
        <v>1</v>
      </c>
      <c r="M112" s="12" t="n">
        <f aca="false">IF(AND(L112=1,F112&lt;1000000000000000,G112&lt;=Cutoff!$B$10),1,0)</f>
        <v>1</v>
      </c>
      <c r="N112" s="12" t="n">
        <f aca="false">IF(AND(M112=1,F112+Cutoff!$B$16&lt;=Cutoff!$B$10),1,0)</f>
        <v>1</v>
      </c>
      <c r="O112" s="12" t="n">
        <f aca="false">IF(N112=1,IF(AND(H112&lt;1000000000000000,H112&gt;=MAX(F112,E112),H112&lt;F112+Cutoff!$B$16,I112&lt;=Cutoff!$B$10),1,0),0)</f>
        <v>0</v>
      </c>
      <c r="P112" s="12" t="n">
        <f aca="false">IF(AND(L112=1,J112&lt;=Cutoff!$B$10),1,0)</f>
        <v>1</v>
      </c>
      <c r="Q112" s="12" t="n">
        <f aca="false">IF(AND(N112=1,E112+Cutoff!$B$17&lt;=Cutoff!$B$10),1,0)</f>
        <v>1</v>
      </c>
      <c r="R112" s="12" t="n">
        <f aca="false">IF(Q112=1,IF(K112&lt;=Cutoff!$B$10,1,0),0)</f>
        <v>0</v>
      </c>
      <c r="S112" s="12" t="n">
        <f aca="false">IF(N112=1,SUMIFS(Subscriptions!$D$2:$D$208,Subscriptions!$A$2:$A$208,C112,Subscriptions!$E$2:$E$208,1,Subscriptions!$B$2:$B$208,"&gt;="&amp;Cutoff!$B$24,Subscriptions!$B$2:$B$208,"&lt;"&amp;Cutoff!$B$25,Subscriptions!$B$2:$B$208,"&lt;="&amp;Cutoff!$B$10),0)</f>
        <v>1014</v>
      </c>
    </row>
    <row r="113" customFormat="false" ht="15" hidden="false" customHeight="false" outlineLevel="0" collapsed="false">
      <c r="A113" s="4" t="s">
        <v>510</v>
      </c>
      <c r="B113" s="4" t="s">
        <v>288</v>
      </c>
      <c r="C113" s="4" t="s">
        <v>511</v>
      </c>
      <c r="D113" s="4" t="s">
        <v>51</v>
      </c>
      <c r="E113" s="4" t="n">
        <v>1778008972</v>
      </c>
      <c r="F113" s="4" t="n">
        <v>1778008756</v>
      </c>
      <c r="G113" s="4" t="n">
        <v>1778008760</v>
      </c>
      <c r="H113" s="4" t="n">
        <v>1000000000000000</v>
      </c>
      <c r="I113" s="4" t="n">
        <v>1000000000000000</v>
      </c>
      <c r="J113" s="4" t="n">
        <v>1778009909</v>
      </c>
      <c r="K113" s="4" t="n">
        <v>1778010431</v>
      </c>
      <c r="L113" s="12" t="n">
        <f aca="false">IF(AND(B113=Cutoff!$B$12,E113&lt;=Cutoff!$B$10),1,0)</f>
        <v>1</v>
      </c>
      <c r="M113" s="12" t="n">
        <f aca="false">IF(AND(L113=1,F113&lt;1000000000000000,G113&lt;=Cutoff!$B$10),1,0)</f>
        <v>1</v>
      </c>
      <c r="N113" s="12" t="n">
        <f aca="false">IF(AND(M113=1,F113+Cutoff!$B$16&lt;=Cutoff!$B$10),1,0)</f>
        <v>1</v>
      </c>
      <c r="O113" s="12" t="n">
        <f aca="false">IF(N113=1,IF(AND(H113&lt;1000000000000000,H113&gt;=MAX(F113,E113),H113&lt;F113+Cutoff!$B$16,I113&lt;=Cutoff!$B$10),1,0),0)</f>
        <v>0</v>
      </c>
      <c r="P113" s="12" t="n">
        <f aca="false">IF(AND(L113=1,J113&lt;=Cutoff!$B$10),1,0)</f>
        <v>1</v>
      </c>
      <c r="Q113" s="12" t="n">
        <f aca="false">IF(AND(N113=1,E113+Cutoff!$B$17&lt;=Cutoff!$B$10),1,0)</f>
        <v>1</v>
      </c>
      <c r="R113" s="12" t="n">
        <f aca="false">IF(Q113=1,IF(K113&lt;=Cutoff!$B$10,1,0),0)</f>
        <v>1</v>
      </c>
      <c r="S113" s="12" t="n">
        <f aca="false">IF(N113=1,SUMIFS(Subscriptions!$D$2:$D$208,Subscriptions!$A$2:$A$208,C113,Subscriptions!$E$2:$E$208,1,Subscriptions!$B$2:$B$208,"&gt;="&amp;Cutoff!$B$24,Subscriptions!$B$2:$B$208,"&lt;"&amp;Cutoff!$B$25,Subscriptions!$B$2:$B$208,"&lt;="&amp;Cutoff!$B$10),0)</f>
        <v>144</v>
      </c>
    </row>
    <row r="114" customFormat="false" ht="15" hidden="false" customHeight="false" outlineLevel="0" collapsed="false">
      <c r="A114" s="4" t="s">
        <v>512</v>
      </c>
      <c r="B114" s="4" t="s">
        <v>288</v>
      </c>
      <c r="C114" s="4" t="s">
        <v>513</v>
      </c>
      <c r="D114" s="4" t="s">
        <v>52</v>
      </c>
      <c r="E114" s="4" t="n">
        <v>1778010465</v>
      </c>
      <c r="F114" s="4" t="n">
        <v>1778010193</v>
      </c>
      <c r="G114" s="4" t="n">
        <v>1778010198</v>
      </c>
      <c r="H114" s="4" t="n">
        <v>1778741391</v>
      </c>
      <c r="I114" s="4" t="n">
        <v>1778741395</v>
      </c>
      <c r="J114" s="4" t="n">
        <v>1000000000000000</v>
      </c>
      <c r="K114" s="4" t="n">
        <v>1000000000000000</v>
      </c>
      <c r="L114" s="12" t="n">
        <f aca="false">IF(AND(B114=Cutoff!$B$12,E114&lt;=Cutoff!$B$10),1,0)</f>
        <v>1</v>
      </c>
      <c r="M114" s="12" t="n">
        <f aca="false">IF(AND(L114=1,F114&lt;1000000000000000,G114&lt;=Cutoff!$B$10),1,0)</f>
        <v>1</v>
      </c>
      <c r="N114" s="12" t="n">
        <f aca="false">IF(AND(M114=1,F114+Cutoff!$B$16&lt;=Cutoff!$B$10),1,0)</f>
        <v>1</v>
      </c>
      <c r="O114" s="12" t="n">
        <f aca="false">IF(N114=1,IF(AND(H114&lt;1000000000000000,H114&gt;=MAX(F114,E114),H114&lt;F114+Cutoff!$B$16,I114&lt;=Cutoff!$B$10),1,0),0)</f>
        <v>0</v>
      </c>
      <c r="P114" s="12" t="n">
        <f aca="false">IF(AND(L114=1,J114&lt;=Cutoff!$B$10),1,0)</f>
        <v>0</v>
      </c>
      <c r="Q114" s="12" t="n">
        <f aca="false">IF(AND(N114=1,E114+Cutoff!$B$17&lt;=Cutoff!$B$10),1,0)</f>
        <v>1</v>
      </c>
      <c r="R114" s="12" t="n">
        <f aca="false">IF(Q114=1,IF(K114&lt;=Cutoff!$B$10,1,0),0)</f>
        <v>0</v>
      </c>
      <c r="S114" s="12" t="n">
        <f aca="false">IF(N114=1,SUMIFS(Subscriptions!$D$2:$D$208,Subscriptions!$A$2:$A$208,C114,Subscriptions!$E$2:$E$208,1,Subscriptions!$B$2:$B$208,"&gt;="&amp;Cutoff!$B$24,Subscriptions!$B$2:$B$208,"&lt;"&amp;Cutoff!$B$25,Subscriptions!$B$2:$B$208,"&lt;="&amp;Cutoff!$B$10),0)</f>
        <v>0</v>
      </c>
    </row>
    <row r="115" customFormat="false" ht="15" hidden="false" customHeight="false" outlineLevel="0" collapsed="false">
      <c r="A115" s="4" t="s">
        <v>514</v>
      </c>
      <c r="B115" s="4" t="s">
        <v>288</v>
      </c>
      <c r="C115" s="4" t="s">
        <v>515</v>
      </c>
      <c r="D115" s="4" t="s">
        <v>51</v>
      </c>
      <c r="E115" s="4" t="n">
        <v>1778011723</v>
      </c>
      <c r="F115" s="4" t="n">
        <v>1778011370</v>
      </c>
      <c r="G115" s="4" t="n">
        <v>1778011379</v>
      </c>
      <c r="H115" s="4" t="n">
        <v>1000000000000000</v>
      </c>
      <c r="I115" s="4" t="n">
        <v>1000000000000000</v>
      </c>
      <c r="J115" s="4" t="n">
        <v>1778012705</v>
      </c>
      <c r="K115" s="4" t="n">
        <v>1000000000000000</v>
      </c>
      <c r="L115" s="12" t="n">
        <f aca="false">IF(AND(B115=Cutoff!$B$12,E115&lt;=Cutoff!$B$10),1,0)</f>
        <v>1</v>
      </c>
      <c r="M115" s="12" t="n">
        <f aca="false">IF(AND(L115=1,F115&lt;1000000000000000,G115&lt;=Cutoff!$B$10),1,0)</f>
        <v>1</v>
      </c>
      <c r="N115" s="12" t="n">
        <f aca="false">IF(AND(M115=1,F115+Cutoff!$B$16&lt;=Cutoff!$B$10),1,0)</f>
        <v>1</v>
      </c>
      <c r="O115" s="12" t="n">
        <f aca="false">IF(N115=1,IF(AND(H115&lt;1000000000000000,H115&gt;=MAX(F115,E115),H115&lt;F115+Cutoff!$B$16,I115&lt;=Cutoff!$B$10),1,0),0)</f>
        <v>0</v>
      </c>
      <c r="P115" s="12" t="n">
        <f aca="false">IF(AND(L115=1,J115&lt;=Cutoff!$B$10),1,0)</f>
        <v>1</v>
      </c>
      <c r="Q115" s="12" t="n">
        <f aca="false">IF(AND(N115=1,E115+Cutoff!$B$17&lt;=Cutoff!$B$10),1,0)</f>
        <v>1</v>
      </c>
      <c r="R115" s="12" t="n">
        <f aca="false">IF(Q115=1,IF(K115&lt;=Cutoff!$B$10,1,0),0)</f>
        <v>0</v>
      </c>
      <c r="S115" s="12" t="n">
        <f aca="false">IF(N115=1,SUMIFS(Subscriptions!$D$2:$D$208,Subscriptions!$A$2:$A$208,C115,Subscriptions!$E$2:$E$208,1,Subscriptions!$B$2:$B$208,"&gt;="&amp;Cutoff!$B$24,Subscriptions!$B$2:$B$208,"&lt;"&amp;Cutoff!$B$25,Subscriptions!$B$2:$B$208,"&lt;="&amp;Cutoff!$B$10),0)</f>
        <v>0</v>
      </c>
    </row>
    <row r="116" customFormat="false" ht="15" hidden="false" customHeight="false" outlineLevel="0" collapsed="false">
      <c r="A116" s="4" t="s">
        <v>516</v>
      </c>
      <c r="B116" s="4" t="s">
        <v>288</v>
      </c>
      <c r="C116" s="4" t="s">
        <v>517</v>
      </c>
      <c r="D116" s="4" t="s">
        <v>51</v>
      </c>
      <c r="E116" s="4" t="n">
        <v>1778016102</v>
      </c>
      <c r="F116" s="4" t="n">
        <v>1778015672</v>
      </c>
      <c r="G116" s="4" t="n">
        <v>1778015683</v>
      </c>
      <c r="H116" s="4" t="n">
        <v>1000000000000000</v>
      </c>
      <c r="I116" s="4" t="n">
        <v>1000000000000000</v>
      </c>
      <c r="J116" s="4" t="n">
        <v>1000000000000000</v>
      </c>
      <c r="K116" s="4" t="n">
        <v>1778162555</v>
      </c>
      <c r="L116" s="12" t="n">
        <f aca="false">IF(AND(B116=Cutoff!$B$12,E116&lt;=Cutoff!$B$10),1,0)</f>
        <v>1</v>
      </c>
      <c r="M116" s="12" t="n">
        <f aca="false">IF(AND(L116=1,F116&lt;1000000000000000,G116&lt;=Cutoff!$B$10),1,0)</f>
        <v>1</v>
      </c>
      <c r="N116" s="12" t="n">
        <f aca="false">IF(AND(M116=1,F116+Cutoff!$B$16&lt;=Cutoff!$B$10),1,0)</f>
        <v>1</v>
      </c>
      <c r="O116" s="12" t="n">
        <f aca="false">IF(N116=1,IF(AND(H116&lt;1000000000000000,H116&gt;=MAX(F116,E116),H116&lt;F116+Cutoff!$B$16,I116&lt;=Cutoff!$B$10),1,0),0)</f>
        <v>0</v>
      </c>
      <c r="P116" s="12" t="n">
        <f aca="false">IF(AND(L116=1,J116&lt;=Cutoff!$B$10),1,0)</f>
        <v>0</v>
      </c>
      <c r="Q116" s="12" t="n">
        <f aca="false">IF(AND(N116=1,E116+Cutoff!$B$17&lt;=Cutoff!$B$10),1,0)</f>
        <v>1</v>
      </c>
      <c r="R116" s="12" t="n">
        <f aca="false">IF(Q116=1,IF(K116&lt;=Cutoff!$B$10,1,0),0)</f>
        <v>1</v>
      </c>
      <c r="S116" s="12" t="n">
        <f aca="false">IF(N116=1,SUMIFS(Subscriptions!$D$2:$D$208,Subscriptions!$A$2:$A$208,C116,Subscriptions!$E$2:$E$208,1,Subscriptions!$B$2:$B$208,"&gt;="&amp;Cutoff!$B$24,Subscriptions!$B$2:$B$208,"&lt;"&amp;Cutoff!$B$25,Subscriptions!$B$2:$B$208,"&lt;="&amp;Cutoff!$B$10),0)</f>
        <v>120</v>
      </c>
    </row>
    <row r="117" customFormat="false" ht="15" hidden="false" customHeight="false" outlineLevel="0" collapsed="false">
      <c r="A117" s="4" t="s">
        <v>518</v>
      </c>
      <c r="B117" s="4" t="s">
        <v>288</v>
      </c>
      <c r="C117" s="4" t="s">
        <v>519</v>
      </c>
      <c r="D117" s="4" t="s">
        <v>52</v>
      </c>
      <c r="E117" s="4" t="n">
        <v>1778018563</v>
      </c>
      <c r="F117" s="4" t="n">
        <v>1778018171</v>
      </c>
      <c r="G117" s="4" t="n">
        <v>1778018390</v>
      </c>
      <c r="H117" s="4" t="n">
        <v>1778218250</v>
      </c>
      <c r="I117" s="4" t="n">
        <v>1778218264</v>
      </c>
      <c r="J117" s="4" t="n">
        <v>1000000000000000</v>
      </c>
      <c r="K117" s="4" t="n">
        <v>1000000000000000</v>
      </c>
      <c r="L117" s="12" t="n">
        <f aca="false">IF(AND(B117=Cutoff!$B$12,E117&lt;=Cutoff!$B$10),1,0)</f>
        <v>1</v>
      </c>
      <c r="M117" s="12" t="n">
        <f aca="false">IF(AND(L117=1,F117&lt;1000000000000000,G117&lt;=Cutoff!$B$10),1,0)</f>
        <v>1</v>
      </c>
      <c r="N117" s="12" t="n">
        <f aca="false">IF(AND(M117=1,F117+Cutoff!$B$16&lt;=Cutoff!$B$10),1,0)</f>
        <v>1</v>
      </c>
      <c r="O117" s="12" t="n">
        <f aca="false">IF(N117=1,IF(AND(H117&lt;1000000000000000,H117&gt;=MAX(F117,E117),H117&lt;F117+Cutoff!$B$16,I117&lt;=Cutoff!$B$10),1,0),0)</f>
        <v>1</v>
      </c>
      <c r="P117" s="12" t="n">
        <f aca="false">IF(AND(L117=1,J117&lt;=Cutoff!$B$10),1,0)</f>
        <v>0</v>
      </c>
      <c r="Q117" s="12" t="n">
        <f aca="false">IF(AND(N117=1,E117+Cutoff!$B$17&lt;=Cutoff!$B$10),1,0)</f>
        <v>1</v>
      </c>
      <c r="R117" s="12" t="n">
        <f aca="false">IF(Q117=1,IF(K117&lt;=Cutoff!$B$10,1,0),0)</f>
        <v>0</v>
      </c>
      <c r="S117" s="12" t="n">
        <f aca="false">IF(N117=1,SUMIFS(Subscriptions!$D$2:$D$208,Subscriptions!$A$2:$A$208,C117,Subscriptions!$E$2:$E$208,1,Subscriptions!$B$2:$B$208,"&gt;="&amp;Cutoff!$B$24,Subscriptions!$B$2:$B$208,"&lt;"&amp;Cutoff!$B$25,Subscriptions!$B$2:$B$208,"&lt;="&amp;Cutoff!$B$10),0)</f>
        <v>0</v>
      </c>
    </row>
    <row r="118" customFormat="false" ht="15" hidden="false" customHeight="false" outlineLevel="0" collapsed="false">
      <c r="A118" s="4" t="s">
        <v>520</v>
      </c>
      <c r="B118" s="4" t="s">
        <v>288</v>
      </c>
      <c r="C118" s="4" t="s">
        <v>521</v>
      </c>
      <c r="D118" s="4" t="s">
        <v>52</v>
      </c>
      <c r="E118" s="4" t="n">
        <v>1778065916</v>
      </c>
      <c r="F118" s="4" t="n">
        <v>1778065735</v>
      </c>
      <c r="G118" s="4" t="n">
        <v>1778065742</v>
      </c>
      <c r="H118" s="4" t="n">
        <v>1778066526</v>
      </c>
      <c r="I118" s="4" t="n">
        <v>1778066753</v>
      </c>
      <c r="J118" s="4" t="n">
        <v>1778067012</v>
      </c>
      <c r="K118" s="4" t="n">
        <v>1000000000000000</v>
      </c>
      <c r="L118" s="12" t="n">
        <f aca="false">IF(AND(B118=Cutoff!$B$12,E118&lt;=Cutoff!$B$10),1,0)</f>
        <v>1</v>
      </c>
      <c r="M118" s="12" t="n">
        <f aca="false">IF(AND(L118=1,F118&lt;1000000000000000,G118&lt;=Cutoff!$B$10),1,0)</f>
        <v>1</v>
      </c>
      <c r="N118" s="12" t="n">
        <f aca="false">IF(AND(M118=1,F118+Cutoff!$B$16&lt;=Cutoff!$B$10),1,0)</f>
        <v>1</v>
      </c>
      <c r="O118" s="12" t="n">
        <f aca="false">IF(N118=1,IF(AND(H118&lt;1000000000000000,H118&gt;=MAX(F118,E118),H118&lt;F118+Cutoff!$B$16,I118&lt;=Cutoff!$B$10),1,0),0)</f>
        <v>1</v>
      </c>
      <c r="P118" s="12" t="n">
        <f aca="false">IF(AND(L118=1,J118&lt;=Cutoff!$B$10),1,0)</f>
        <v>1</v>
      </c>
      <c r="Q118" s="12" t="n">
        <f aca="false">IF(AND(N118=1,E118+Cutoff!$B$17&lt;=Cutoff!$B$10),1,0)</f>
        <v>1</v>
      </c>
      <c r="R118" s="12" t="n">
        <f aca="false">IF(Q118=1,IF(K118&lt;=Cutoff!$B$10,1,0),0)</f>
        <v>0</v>
      </c>
      <c r="S118" s="12" t="n">
        <f aca="false">IF(N118=1,SUMIFS(Subscriptions!$D$2:$D$208,Subscriptions!$A$2:$A$208,C118,Subscriptions!$E$2:$E$208,1,Subscriptions!$B$2:$B$208,"&gt;="&amp;Cutoff!$B$24,Subscriptions!$B$2:$B$208,"&lt;"&amp;Cutoff!$B$25,Subscriptions!$B$2:$B$208,"&lt;="&amp;Cutoff!$B$10),0)</f>
        <v>234</v>
      </c>
    </row>
    <row r="119" customFormat="false" ht="15" hidden="false" customHeight="false" outlineLevel="0" collapsed="false">
      <c r="A119" s="4" t="s">
        <v>522</v>
      </c>
      <c r="B119" s="4" t="s">
        <v>288</v>
      </c>
      <c r="C119" s="4" t="s">
        <v>523</v>
      </c>
      <c r="D119" s="4" t="s">
        <v>52</v>
      </c>
      <c r="E119" s="4" t="n">
        <v>1778089681</v>
      </c>
      <c r="F119" s="4" t="n">
        <v>1778089424</v>
      </c>
      <c r="G119" s="4" t="n">
        <v>1778089434</v>
      </c>
      <c r="H119" s="4" t="n">
        <v>1000000000000000</v>
      </c>
      <c r="I119" s="4" t="n">
        <v>1000000000000000</v>
      </c>
      <c r="J119" s="4" t="n">
        <v>1778090101</v>
      </c>
      <c r="K119" s="4" t="n">
        <v>1000000000000000</v>
      </c>
      <c r="L119" s="12" t="n">
        <f aca="false">IF(AND(B119=Cutoff!$B$12,E119&lt;=Cutoff!$B$10),1,0)</f>
        <v>1</v>
      </c>
      <c r="M119" s="12" t="n">
        <f aca="false">IF(AND(L119=1,F119&lt;1000000000000000,G119&lt;=Cutoff!$B$10),1,0)</f>
        <v>1</v>
      </c>
      <c r="N119" s="12" t="n">
        <f aca="false">IF(AND(M119=1,F119+Cutoff!$B$16&lt;=Cutoff!$B$10),1,0)</f>
        <v>1</v>
      </c>
      <c r="O119" s="12" t="n">
        <f aca="false">IF(N119=1,IF(AND(H119&lt;1000000000000000,H119&gt;=MAX(F119,E119),H119&lt;F119+Cutoff!$B$16,I119&lt;=Cutoff!$B$10),1,0),0)</f>
        <v>0</v>
      </c>
      <c r="P119" s="12" t="n">
        <f aca="false">IF(AND(L119=1,J119&lt;=Cutoff!$B$10),1,0)</f>
        <v>1</v>
      </c>
      <c r="Q119" s="12" t="n">
        <f aca="false">IF(AND(N119=1,E119+Cutoff!$B$17&lt;=Cutoff!$B$10),1,0)</f>
        <v>1</v>
      </c>
      <c r="R119" s="12" t="n">
        <f aca="false">IF(Q119=1,IF(K119&lt;=Cutoff!$B$10,1,0),0)</f>
        <v>0</v>
      </c>
      <c r="S119" s="12" t="n">
        <f aca="false">IF(N119=1,SUMIFS(Subscriptions!$D$2:$D$208,Subscriptions!$A$2:$A$208,C119,Subscriptions!$E$2:$E$208,1,Subscriptions!$B$2:$B$208,"&gt;="&amp;Cutoff!$B$24,Subscriptions!$B$2:$B$208,"&lt;"&amp;Cutoff!$B$25,Subscriptions!$B$2:$B$208,"&lt;="&amp;Cutoff!$B$10),0)</f>
        <v>156</v>
      </c>
    </row>
    <row r="120" customFormat="false" ht="15" hidden="false" customHeight="false" outlineLevel="0" collapsed="false">
      <c r="A120" s="4" t="s">
        <v>524</v>
      </c>
      <c r="B120" s="4" t="s">
        <v>288</v>
      </c>
      <c r="C120" s="4" t="s">
        <v>525</v>
      </c>
      <c r="D120" s="4" t="s">
        <v>51</v>
      </c>
      <c r="E120" s="4" t="n">
        <v>1778101862</v>
      </c>
      <c r="F120" s="4" t="n">
        <v>1778101535</v>
      </c>
      <c r="G120" s="4" t="n">
        <v>1778101558</v>
      </c>
      <c r="H120" s="4" t="n">
        <v>1778154307</v>
      </c>
      <c r="I120" s="4" t="n">
        <v>1778154310</v>
      </c>
      <c r="J120" s="4" t="n">
        <v>1778102334</v>
      </c>
      <c r="K120" s="4" t="n">
        <v>1000000000000000</v>
      </c>
      <c r="L120" s="12" t="n">
        <f aca="false">IF(AND(B120=Cutoff!$B$12,E120&lt;=Cutoff!$B$10),1,0)</f>
        <v>1</v>
      </c>
      <c r="M120" s="12" t="n">
        <f aca="false">IF(AND(L120=1,F120&lt;1000000000000000,G120&lt;=Cutoff!$B$10),1,0)</f>
        <v>1</v>
      </c>
      <c r="N120" s="12" t="n">
        <f aca="false">IF(AND(M120=1,F120+Cutoff!$B$16&lt;=Cutoff!$B$10),1,0)</f>
        <v>1</v>
      </c>
      <c r="O120" s="12" t="n">
        <f aca="false">IF(N120=1,IF(AND(H120&lt;1000000000000000,H120&gt;=MAX(F120,E120),H120&lt;F120+Cutoff!$B$16,I120&lt;=Cutoff!$B$10),1,0),0)</f>
        <v>1</v>
      </c>
      <c r="P120" s="12" t="n">
        <f aca="false">IF(AND(L120=1,J120&lt;=Cutoff!$B$10),1,0)</f>
        <v>1</v>
      </c>
      <c r="Q120" s="12" t="n">
        <f aca="false">IF(AND(N120=1,E120+Cutoff!$B$17&lt;=Cutoff!$B$10),1,0)</f>
        <v>1</v>
      </c>
      <c r="R120" s="12" t="n">
        <f aca="false">IF(Q120=1,IF(K120&lt;=Cutoff!$B$10,1,0),0)</f>
        <v>0</v>
      </c>
      <c r="S120" s="12" t="n">
        <f aca="false">IF(N120=1,SUMIFS(Subscriptions!$D$2:$D$208,Subscriptions!$A$2:$A$208,C120,Subscriptions!$E$2:$E$208,1,Subscriptions!$B$2:$B$208,"&gt;="&amp;Cutoff!$B$24,Subscriptions!$B$2:$B$208,"&lt;"&amp;Cutoff!$B$25,Subscriptions!$B$2:$B$208,"&lt;="&amp;Cutoff!$B$10),0)</f>
        <v>0</v>
      </c>
    </row>
    <row r="121" customFormat="false" ht="15" hidden="false" customHeight="false" outlineLevel="0" collapsed="false">
      <c r="A121" s="4" t="s">
        <v>526</v>
      </c>
      <c r="B121" s="4" t="s">
        <v>288</v>
      </c>
      <c r="C121" s="4" t="s">
        <v>527</v>
      </c>
      <c r="D121" s="4" t="s">
        <v>51</v>
      </c>
      <c r="E121" s="4" t="n">
        <v>1778169934</v>
      </c>
      <c r="F121" s="4" t="n">
        <v>1778169618</v>
      </c>
      <c r="G121" s="4" t="n">
        <v>1778169625</v>
      </c>
      <c r="H121" s="4" t="n">
        <v>1000000000000000</v>
      </c>
      <c r="I121" s="4" t="n">
        <v>1000000000000000</v>
      </c>
      <c r="J121" s="4" t="n">
        <v>1778171123</v>
      </c>
      <c r="K121" s="4" t="n">
        <v>1000000000000000</v>
      </c>
      <c r="L121" s="12" t="n">
        <f aca="false">IF(AND(B121=Cutoff!$B$12,E121&lt;=Cutoff!$B$10),1,0)</f>
        <v>1</v>
      </c>
      <c r="M121" s="12" t="n">
        <f aca="false">IF(AND(L121=1,F121&lt;1000000000000000,G121&lt;=Cutoff!$B$10),1,0)</f>
        <v>1</v>
      </c>
      <c r="N121" s="12" t="n">
        <f aca="false">IF(AND(M121=1,F121+Cutoff!$B$16&lt;=Cutoff!$B$10),1,0)</f>
        <v>1</v>
      </c>
      <c r="O121" s="12" t="n">
        <f aca="false">IF(N121=1,IF(AND(H121&lt;1000000000000000,H121&gt;=MAX(F121,E121),H121&lt;F121+Cutoff!$B$16,I121&lt;=Cutoff!$B$10),1,0),0)</f>
        <v>0</v>
      </c>
      <c r="P121" s="12" t="n">
        <f aca="false">IF(AND(L121=1,J121&lt;=Cutoff!$B$10),1,0)</f>
        <v>1</v>
      </c>
      <c r="Q121" s="12" t="n">
        <f aca="false">IF(AND(N121=1,E121+Cutoff!$B$17&lt;=Cutoff!$B$10),1,0)</f>
        <v>1</v>
      </c>
      <c r="R121" s="12" t="n">
        <f aca="false">IF(Q121=1,IF(K121&lt;=Cutoff!$B$10,1,0),0)</f>
        <v>0</v>
      </c>
      <c r="S121" s="12" t="n">
        <f aca="false">IF(N121=1,SUMIFS(Subscriptions!$D$2:$D$208,Subscriptions!$A$2:$A$208,C121,Subscriptions!$E$2:$E$208,1,Subscriptions!$B$2:$B$208,"&gt;="&amp;Cutoff!$B$24,Subscriptions!$B$2:$B$208,"&lt;"&amp;Cutoff!$B$25,Subscriptions!$B$2:$B$208,"&lt;="&amp;Cutoff!$B$10),0)</f>
        <v>168</v>
      </c>
    </row>
    <row r="122" customFormat="false" ht="15" hidden="false" customHeight="false" outlineLevel="0" collapsed="false">
      <c r="A122" s="4" t="s">
        <v>528</v>
      </c>
      <c r="B122" s="4" t="s">
        <v>288</v>
      </c>
      <c r="C122" s="4" t="s">
        <v>529</v>
      </c>
      <c r="D122" s="4" t="s">
        <v>51</v>
      </c>
      <c r="E122" s="4" t="n">
        <v>1778178728</v>
      </c>
      <c r="F122" s="4" t="n">
        <v>1778178506</v>
      </c>
      <c r="G122" s="4" t="n">
        <v>1778178509</v>
      </c>
      <c r="H122" s="4" t="n">
        <v>1000000000000000</v>
      </c>
      <c r="I122" s="4" t="n">
        <v>1000000000000000</v>
      </c>
      <c r="J122" s="4" t="n">
        <v>1778178817</v>
      </c>
      <c r="K122" s="4" t="n">
        <v>1000000000000000</v>
      </c>
      <c r="L122" s="12" t="n">
        <f aca="false">IF(AND(B122=Cutoff!$B$12,E122&lt;=Cutoff!$B$10),1,0)</f>
        <v>1</v>
      </c>
      <c r="M122" s="12" t="n">
        <f aca="false">IF(AND(L122=1,F122&lt;1000000000000000,G122&lt;=Cutoff!$B$10),1,0)</f>
        <v>1</v>
      </c>
      <c r="N122" s="12" t="n">
        <f aca="false">IF(AND(M122=1,F122+Cutoff!$B$16&lt;=Cutoff!$B$10),1,0)</f>
        <v>1</v>
      </c>
      <c r="O122" s="12" t="n">
        <f aca="false">IF(N122=1,IF(AND(H122&lt;1000000000000000,H122&gt;=MAX(F122,E122),H122&lt;F122+Cutoff!$B$16,I122&lt;=Cutoff!$B$10),1,0),0)</f>
        <v>0</v>
      </c>
      <c r="P122" s="12" t="n">
        <f aca="false">IF(AND(L122=1,J122&lt;=Cutoff!$B$10),1,0)</f>
        <v>1</v>
      </c>
      <c r="Q122" s="12" t="n">
        <f aca="false">IF(AND(N122=1,E122+Cutoff!$B$17&lt;=Cutoff!$B$10),1,0)</f>
        <v>1</v>
      </c>
      <c r="R122" s="12" t="n">
        <f aca="false">IF(Q122=1,IF(K122&lt;=Cutoff!$B$10,1,0),0)</f>
        <v>0</v>
      </c>
      <c r="S122" s="12" t="n">
        <f aca="false">IF(N122=1,SUMIFS(Subscriptions!$D$2:$D$208,Subscriptions!$A$2:$A$208,C122,Subscriptions!$E$2:$E$208,1,Subscriptions!$B$2:$B$208,"&gt;="&amp;Cutoff!$B$24,Subscriptions!$B$2:$B$208,"&lt;"&amp;Cutoff!$B$25,Subscriptions!$B$2:$B$208,"&lt;="&amp;Cutoff!$B$10),0)</f>
        <v>0</v>
      </c>
    </row>
    <row r="123" customFormat="false" ht="15" hidden="false" customHeight="false" outlineLevel="0" collapsed="false">
      <c r="A123" s="4" t="s">
        <v>530</v>
      </c>
      <c r="B123" s="4" t="s">
        <v>288</v>
      </c>
      <c r="C123" s="4" t="s">
        <v>531</v>
      </c>
      <c r="D123" s="4" t="s">
        <v>51</v>
      </c>
      <c r="E123" s="4" t="n">
        <v>1778180528</v>
      </c>
      <c r="F123" s="4" t="n">
        <v>1778180072</v>
      </c>
      <c r="G123" s="4" t="n">
        <v>1778180084</v>
      </c>
      <c r="H123" s="4" t="n">
        <v>1778194325</v>
      </c>
      <c r="I123" s="4" t="n">
        <v>1778194334</v>
      </c>
      <c r="J123" s="4" t="n">
        <v>1778181552</v>
      </c>
      <c r="K123" s="4" t="n">
        <v>1000000000000000</v>
      </c>
      <c r="L123" s="12" t="n">
        <f aca="false">IF(AND(B123=Cutoff!$B$12,E123&lt;=Cutoff!$B$10),1,0)</f>
        <v>1</v>
      </c>
      <c r="M123" s="12" t="n">
        <f aca="false">IF(AND(L123=1,F123&lt;1000000000000000,G123&lt;=Cutoff!$B$10),1,0)</f>
        <v>1</v>
      </c>
      <c r="N123" s="12" t="n">
        <f aca="false">IF(AND(M123=1,F123+Cutoff!$B$16&lt;=Cutoff!$B$10),1,0)</f>
        <v>1</v>
      </c>
      <c r="O123" s="12" t="n">
        <f aca="false">IF(N123=1,IF(AND(H123&lt;1000000000000000,H123&gt;=MAX(F123,E123),H123&lt;F123+Cutoff!$B$16,I123&lt;=Cutoff!$B$10),1,0),0)</f>
        <v>1</v>
      </c>
      <c r="P123" s="12" t="n">
        <f aca="false">IF(AND(L123=1,J123&lt;=Cutoff!$B$10),1,0)</f>
        <v>1</v>
      </c>
      <c r="Q123" s="12" t="n">
        <f aca="false">IF(AND(N123=1,E123+Cutoff!$B$17&lt;=Cutoff!$B$10),1,0)</f>
        <v>1</v>
      </c>
      <c r="R123" s="12" t="n">
        <f aca="false">IF(Q123=1,IF(K123&lt;=Cutoff!$B$10,1,0),0)</f>
        <v>0</v>
      </c>
      <c r="S123" s="12" t="n">
        <f aca="false">IF(N123=1,SUMIFS(Subscriptions!$D$2:$D$208,Subscriptions!$A$2:$A$208,C123,Subscriptions!$E$2:$E$208,1,Subscriptions!$B$2:$B$208,"&gt;="&amp;Cutoff!$B$24,Subscriptions!$B$2:$B$208,"&lt;"&amp;Cutoff!$B$25,Subscriptions!$B$2:$B$208,"&lt;="&amp;Cutoff!$B$10),0)</f>
        <v>0</v>
      </c>
    </row>
    <row r="124" customFormat="false" ht="15" hidden="false" customHeight="false" outlineLevel="0" collapsed="false">
      <c r="A124" s="4" t="s">
        <v>532</v>
      </c>
      <c r="B124" s="4" t="s">
        <v>288</v>
      </c>
      <c r="C124" s="4" t="s">
        <v>533</v>
      </c>
      <c r="D124" s="4" t="s">
        <v>52</v>
      </c>
      <c r="E124" s="4" t="n">
        <v>1778181086</v>
      </c>
      <c r="F124" s="4" t="n">
        <v>1778180839</v>
      </c>
      <c r="G124" s="4" t="n">
        <v>1778180844</v>
      </c>
      <c r="H124" s="4" t="n">
        <v>1000000000000000</v>
      </c>
      <c r="I124" s="4" t="n">
        <v>1000000000000000</v>
      </c>
      <c r="J124" s="4" t="n">
        <v>1778181440</v>
      </c>
      <c r="K124" s="4" t="n">
        <v>1000000000000000</v>
      </c>
      <c r="L124" s="12" t="n">
        <f aca="false">IF(AND(B124=Cutoff!$B$12,E124&lt;=Cutoff!$B$10),1,0)</f>
        <v>1</v>
      </c>
      <c r="M124" s="12" t="n">
        <f aca="false">IF(AND(L124=1,F124&lt;1000000000000000,G124&lt;=Cutoff!$B$10),1,0)</f>
        <v>1</v>
      </c>
      <c r="N124" s="12" t="n">
        <f aca="false">IF(AND(M124=1,F124+Cutoff!$B$16&lt;=Cutoff!$B$10),1,0)</f>
        <v>1</v>
      </c>
      <c r="O124" s="12" t="n">
        <f aca="false">IF(N124=1,IF(AND(H124&lt;1000000000000000,H124&gt;=MAX(F124,E124),H124&lt;F124+Cutoff!$B$16,I124&lt;=Cutoff!$B$10),1,0),0)</f>
        <v>0</v>
      </c>
      <c r="P124" s="12" t="n">
        <f aca="false">IF(AND(L124=1,J124&lt;=Cutoff!$B$10),1,0)</f>
        <v>1</v>
      </c>
      <c r="Q124" s="12" t="n">
        <f aca="false">IF(AND(N124=1,E124+Cutoff!$B$17&lt;=Cutoff!$B$10),1,0)</f>
        <v>1</v>
      </c>
      <c r="R124" s="12" t="n">
        <f aca="false">IF(Q124=1,IF(K124&lt;=Cutoff!$B$10,1,0),0)</f>
        <v>0</v>
      </c>
      <c r="S124" s="12" t="n">
        <f aca="false">IF(N124=1,SUMIFS(Subscriptions!$D$2:$D$208,Subscriptions!$A$2:$A$208,C124,Subscriptions!$E$2:$E$208,1,Subscriptions!$B$2:$B$208,"&gt;="&amp;Cutoff!$B$24,Subscriptions!$B$2:$B$208,"&lt;"&amp;Cutoff!$B$25,Subscriptions!$B$2:$B$208,"&lt;="&amp;Cutoff!$B$10),0)</f>
        <v>0</v>
      </c>
    </row>
    <row r="125" customFormat="false" ht="15" hidden="false" customHeight="false" outlineLevel="0" collapsed="false">
      <c r="A125" s="4" t="s">
        <v>534</v>
      </c>
      <c r="B125" s="4" t="s">
        <v>288</v>
      </c>
      <c r="C125" s="4" t="s">
        <v>535</v>
      </c>
      <c r="D125" s="4" t="s">
        <v>52</v>
      </c>
      <c r="E125" s="4" t="n">
        <v>1778187892</v>
      </c>
      <c r="F125" s="4" t="n">
        <v>1778187796</v>
      </c>
      <c r="G125" s="4" t="n">
        <v>1778187797</v>
      </c>
      <c r="H125" s="4" t="n">
        <v>1000000000000000</v>
      </c>
      <c r="I125" s="4" t="n">
        <v>1000000000000000</v>
      </c>
      <c r="J125" s="4" t="n">
        <v>1778188059</v>
      </c>
      <c r="K125" s="4" t="n">
        <v>1000000000000000</v>
      </c>
      <c r="L125" s="12" t="n">
        <f aca="false">IF(AND(B125=Cutoff!$B$12,E125&lt;=Cutoff!$B$10),1,0)</f>
        <v>1</v>
      </c>
      <c r="M125" s="12" t="n">
        <f aca="false">IF(AND(L125=1,F125&lt;1000000000000000,G125&lt;=Cutoff!$B$10),1,0)</f>
        <v>1</v>
      </c>
      <c r="N125" s="12" t="n">
        <f aca="false">IF(AND(M125=1,F125+Cutoff!$B$16&lt;=Cutoff!$B$10),1,0)</f>
        <v>1</v>
      </c>
      <c r="O125" s="12" t="n">
        <f aca="false">IF(N125=1,IF(AND(H125&lt;1000000000000000,H125&gt;=MAX(F125,E125),H125&lt;F125+Cutoff!$B$16,I125&lt;=Cutoff!$B$10),1,0),0)</f>
        <v>0</v>
      </c>
      <c r="P125" s="12" t="n">
        <f aca="false">IF(AND(L125=1,J125&lt;=Cutoff!$B$10),1,0)</f>
        <v>1</v>
      </c>
      <c r="Q125" s="12" t="n">
        <f aca="false">IF(AND(N125=1,E125+Cutoff!$B$17&lt;=Cutoff!$B$10),1,0)</f>
        <v>1</v>
      </c>
      <c r="R125" s="12" t="n">
        <f aca="false">IF(Q125=1,IF(K125&lt;=Cutoff!$B$10,1,0),0)</f>
        <v>0</v>
      </c>
      <c r="S125" s="12" t="n">
        <f aca="false">IF(N125=1,SUMIFS(Subscriptions!$D$2:$D$208,Subscriptions!$A$2:$A$208,C125,Subscriptions!$E$2:$E$208,1,Subscriptions!$B$2:$B$208,"&gt;="&amp;Cutoff!$B$24,Subscriptions!$B$2:$B$208,"&lt;"&amp;Cutoff!$B$25,Subscriptions!$B$2:$B$208,"&lt;="&amp;Cutoff!$B$10),0)</f>
        <v>0</v>
      </c>
    </row>
    <row r="126" customFormat="false" ht="15" hidden="false" customHeight="false" outlineLevel="0" collapsed="false">
      <c r="A126" s="4" t="s">
        <v>536</v>
      </c>
      <c r="B126" s="4" t="s">
        <v>288</v>
      </c>
      <c r="C126" s="4" t="s">
        <v>537</v>
      </c>
      <c r="D126" s="4" t="s">
        <v>52</v>
      </c>
      <c r="E126" s="4" t="n">
        <v>1778202941</v>
      </c>
      <c r="F126" s="4" t="n">
        <v>1778202684</v>
      </c>
      <c r="G126" s="4" t="n">
        <v>1778207301</v>
      </c>
      <c r="H126" s="4" t="n">
        <v>1000000000000000</v>
      </c>
      <c r="I126" s="4" t="n">
        <v>1000000000000000</v>
      </c>
      <c r="J126" s="4" t="n">
        <v>1778204028</v>
      </c>
      <c r="K126" s="4" t="n">
        <v>1000000000000000</v>
      </c>
      <c r="L126" s="12" t="n">
        <f aca="false">IF(AND(B126=Cutoff!$B$12,E126&lt;=Cutoff!$B$10),1,0)</f>
        <v>1</v>
      </c>
      <c r="M126" s="12" t="n">
        <f aca="false">IF(AND(L126=1,F126&lt;1000000000000000,G126&lt;=Cutoff!$B$10),1,0)</f>
        <v>1</v>
      </c>
      <c r="N126" s="12" t="n">
        <f aca="false">IF(AND(M126=1,F126+Cutoff!$B$16&lt;=Cutoff!$B$10),1,0)</f>
        <v>1</v>
      </c>
      <c r="O126" s="12" t="n">
        <f aca="false">IF(N126=1,IF(AND(H126&lt;1000000000000000,H126&gt;=MAX(F126,E126),H126&lt;F126+Cutoff!$B$16,I126&lt;=Cutoff!$B$10),1,0),0)</f>
        <v>0</v>
      </c>
      <c r="P126" s="12" t="n">
        <f aca="false">IF(AND(L126=1,J126&lt;=Cutoff!$B$10),1,0)</f>
        <v>1</v>
      </c>
      <c r="Q126" s="12" t="n">
        <f aca="false">IF(AND(N126=1,E126+Cutoff!$B$17&lt;=Cutoff!$B$10),1,0)</f>
        <v>1</v>
      </c>
      <c r="R126" s="12" t="n">
        <f aca="false">IF(Q126=1,IF(K126&lt;=Cutoff!$B$10,1,0),0)</f>
        <v>0</v>
      </c>
      <c r="S126" s="12" t="n">
        <f aca="false">IF(N126=1,SUMIFS(Subscriptions!$D$2:$D$208,Subscriptions!$A$2:$A$208,C126,Subscriptions!$E$2:$E$208,1,Subscriptions!$B$2:$B$208,"&gt;="&amp;Cutoff!$B$24,Subscriptions!$B$2:$B$208,"&lt;"&amp;Cutoff!$B$25,Subscriptions!$B$2:$B$208,"&lt;="&amp;Cutoff!$B$10),0)</f>
        <v>0</v>
      </c>
    </row>
    <row r="127" customFormat="false" ht="15" hidden="false" customHeight="false" outlineLevel="0" collapsed="false">
      <c r="A127" s="4" t="s">
        <v>538</v>
      </c>
      <c r="B127" s="4" t="s">
        <v>288</v>
      </c>
      <c r="C127" s="4" t="s">
        <v>539</v>
      </c>
      <c r="D127" s="4" t="s">
        <v>52</v>
      </c>
      <c r="E127" s="4" t="n">
        <v>1778244072</v>
      </c>
      <c r="F127" s="4" t="n">
        <v>1778243727</v>
      </c>
      <c r="G127" s="4" t="n">
        <v>1778243739</v>
      </c>
      <c r="H127" s="4" t="n">
        <v>1778246383</v>
      </c>
      <c r="I127" s="4" t="n">
        <v>1778246402</v>
      </c>
      <c r="J127" s="4" t="n">
        <v>1778245104</v>
      </c>
      <c r="K127" s="4" t="n">
        <v>1000000000000000</v>
      </c>
      <c r="L127" s="12" t="n">
        <f aca="false">IF(AND(B127=Cutoff!$B$12,E127&lt;=Cutoff!$B$10),1,0)</f>
        <v>1</v>
      </c>
      <c r="M127" s="12" t="n">
        <f aca="false">IF(AND(L127=1,F127&lt;1000000000000000,G127&lt;=Cutoff!$B$10),1,0)</f>
        <v>1</v>
      </c>
      <c r="N127" s="12" t="n">
        <f aca="false">IF(AND(M127=1,F127+Cutoff!$B$16&lt;=Cutoff!$B$10),1,0)</f>
        <v>1</v>
      </c>
      <c r="O127" s="12" t="n">
        <f aca="false">IF(N127=1,IF(AND(H127&lt;1000000000000000,H127&gt;=MAX(F127,E127),H127&lt;F127+Cutoff!$B$16,I127&lt;=Cutoff!$B$10),1,0),0)</f>
        <v>1</v>
      </c>
      <c r="P127" s="12" t="n">
        <f aca="false">IF(AND(L127=1,J127&lt;=Cutoff!$B$10),1,0)</f>
        <v>1</v>
      </c>
      <c r="Q127" s="12" t="n">
        <f aca="false">IF(AND(N127=1,E127+Cutoff!$B$17&lt;=Cutoff!$B$10),1,0)</f>
        <v>1</v>
      </c>
      <c r="R127" s="12" t="n">
        <f aca="false">IF(Q127=1,IF(K127&lt;=Cutoff!$B$10,1,0),0)</f>
        <v>0</v>
      </c>
      <c r="S127" s="12" t="n">
        <f aca="false">IF(N127=1,SUMIFS(Subscriptions!$D$2:$D$208,Subscriptions!$A$2:$A$208,C127,Subscriptions!$E$2:$E$208,1,Subscriptions!$B$2:$B$208,"&gt;="&amp;Cutoff!$B$24,Subscriptions!$B$2:$B$208,"&lt;"&amp;Cutoff!$B$25,Subscriptions!$B$2:$B$208,"&lt;="&amp;Cutoff!$B$10),0)</f>
        <v>0</v>
      </c>
    </row>
    <row r="128" customFormat="false" ht="15" hidden="false" customHeight="false" outlineLevel="0" collapsed="false">
      <c r="A128" s="4" t="s">
        <v>540</v>
      </c>
      <c r="B128" s="4" t="s">
        <v>288</v>
      </c>
      <c r="C128" s="4" t="s">
        <v>541</v>
      </c>
      <c r="D128" s="4" t="s">
        <v>51</v>
      </c>
      <c r="E128" s="4" t="n">
        <v>1778265167</v>
      </c>
      <c r="F128" s="4" t="n">
        <v>1778264936</v>
      </c>
      <c r="G128" s="4" t="n">
        <v>1778264959</v>
      </c>
      <c r="H128" s="4" t="n">
        <v>1000000000000000</v>
      </c>
      <c r="I128" s="4" t="n">
        <v>1000000000000000</v>
      </c>
      <c r="J128" s="4" t="n">
        <v>1778265494</v>
      </c>
      <c r="K128" s="4" t="n">
        <v>1000000000000000</v>
      </c>
      <c r="L128" s="12" t="n">
        <f aca="false">IF(AND(B128=Cutoff!$B$12,E128&lt;=Cutoff!$B$10),1,0)</f>
        <v>1</v>
      </c>
      <c r="M128" s="12" t="n">
        <f aca="false">IF(AND(L128=1,F128&lt;1000000000000000,G128&lt;=Cutoff!$B$10),1,0)</f>
        <v>1</v>
      </c>
      <c r="N128" s="12" t="n">
        <f aca="false">IF(AND(M128=1,F128+Cutoff!$B$16&lt;=Cutoff!$B$10),1,0)</f>
        <v>1</v>
      </c>
      <c r="O128" s="12" t="n">
        <f aca="false">IF(N128=1,IF(AND(H128&lt;1000000000000000,H128&gt;=MAX(F128,E128),H128&lt;F128+Cutoff!$B$16,I128&lt;=Cutoff!$B$10),1,0),0)</f>
        <v>0</v>
      </c>
      <c r="P128" s="12" t="n">
        <f aca="false">IF(AND(L128=1,J128&lt;=Cutoff!$B$10),1,0)</f>
        <v>1</v>
      </c>
      <c r="Q128" s="12" t="n">
        <f aca="false">IF(AND(N128=1,E128+Cutoff!$B$17&lt;=Cutoff!$B$10),1,0)</f>
        <v>1</v>
      </c>
      <c r="R128" s="12" t="n">
        <f aca="false">IF(Q128=1,IF(K128&lt;=Cutoff!$B$10,1,0),0)</f>
        <v>0</v>
      </c>
      <c r="S128" s="12" t="n">
        <f aca="false">IF(N128=1,SUMIFS(Subscriptions!$D$2:$D$208,Subscriptions!$A$2:$A$208,C128,Subscriptions!$E$2:$E$208,1,Subscriptions!$B$2:$B$208,"&gt;="&amp;Cutoff!$B$24,Subscriptions!$B$2:$B$208,"&lt;"&amp;Cutoff!$B$25,Subscriptions!$B$2:$B$208,"&lt;="&amp;Cutoff!$B$10),0)</f>
        <v>1404</v>
      </c>
    </row>
    <row r="129" customFormat="false" ht="15" hidden="false" customHeight="false" outlineLevel="0" collapsed="false">
      <c r="A129" s="4" t="s">
        <v>542</v>
      </c>
      <c r="B129" s="4" t="s">
        <v>288</v>
      </c>
      <c r="C129" s="4" t="s">
        <v>543</v>
      </c>
      <c r="D129" s="4" t="s">
        <v>51</v>
      </c>
      <c r="E129" s="4" t="n">
        <v>1778273997</v>
      </c>
      <c r="F129" s="4" t="n">
        <v>1778273439</v>
      </c>
      <c r="G129" s="4" t="n">
        <v>1778273563</v>
      </c>
      <c r="H129" s="4" t="n">
        <v>1000000000000000</v>
      </c>
      <c r="I129" s="4" t="n">
        <v>1000000000000000</v>
      </c>
      <c r="J129" s="4" t="n">
        <v>1000000000000000</v>
      </c>
      <c r="K129" s="4" t="n">
        <v>1000000000000000</v>
      </c>
      <c r="L129" s="12" t="n">
        <f aca="false">IF(AND(B129=Cutoff!$B$12,E129&lt;=Cutoff!$B$10),1,0)</f>
        <v>1</v>
      </c>
      <c r="M129" s="12" t="n">
        <f aca="false">IF(AND(L129=1,F129&lt;1000000000000000,G129&lt;=Cutoff!$B$10),1,0)</f>
        <v>1</v>
      </c>
      <c r="N129" s="12" t="n">
        <f aca="false">IF(AND(M129=1,F129+Cutoff!$B$16&lt;=Cutoff!$B$10),1,0)</f>
        <v>1</v>
      </c>
      <c r="O129" s="12" t="n">
        <f aca="false">IF(N129=1,IF(AND(H129&lt;1000000000000000,H129&gt;=MAX(F129,E129),H129&lt;F129+Cutoff!$B$16,I129&lt;=Cutoff!$B$10),1,0),0)</f>
        <v>0</v>
      </c>
      <c r="P129" s="12" t="n">
        <f aca="false">IF(AND(L129=1,J129&lt;=Cutoff!$B$10),1,0)</f>
        <v>0</v>
      </c>
      <c r="Q129" s="12" t="n">
        <f aca="false">IF(AND(N129=1,E129+Cutoff!$B$17&lt;=Cutoff!$B$10),1,0)</f>
        <v>1</v>
      </c>
      <c r="R129" s="12" t="n">
        <f aca="false">IF(Q129=1,IF(K129&lt;=Cutoff!$B$10,1,0),0)</f>
        <v>0</v>
      </c>
      <c r="S129" s="12" t="n">
        <f aca="false">IF(N129=1,SUMIFS(Subscriptions!$D$2:$D$208,Subscriptions!$A$2:$A$208,C129,Subscriptions!$E$2:$E$208,1,Subscriptions!$B$2:$B$208,"&gt;="&amp;Cutoff!$B$24,Subscriptions!$B$2:$B$208,"&lt;"&amp;Cutoff!$B$25,Subscriptions!$B$2:$B$208,"&lt;="&amp;Cutoff!$B$10),0)</f>
        <v>0</v>
      </c>
    </row>
    <row r="130" customFormat="false" ht="15" hidden="false" customHeight="false" outlineLevel="0" collapsed="false">
      <c r="A130" s="4" t="s">
        <v>544</v>
      </c>
      <c r="B130" s="4" t="s">
        <v>288</v>
      </c>
      <c r="C130" s="4" t="s">
        <v>545</v>
      </c>
      <c r="D130" s="4" t="s">
        <v>51</v>
      </c>
      <c r="E130" s="4" t="n">
        <v>1778352084</v>
      </c>
      <c r="F130" s="4" t="n">
        <v>1778351634</v>
      </c>
      <c r="G130" s="4" t="n">
        <v>1778351647</v>
      </c>
      <c r="H130" s="4" t="n">
        <v>1000000000000000</v>
      </c>
      <c r="I130" s="4" t="n">
        <v>1000000000000000</v>
      </c>
      <c r="J130" s="4" t="n">
        <v>1778352320</v>
      </c>
      <c r="K130" s="4" t="n">
        <v>1778793614</v>
      </c>
      <c r="L130" s="12" t="n">
        <f aca="false">IF(AND(B130=Cutoff!$B$12,E130&lt;=Cutoff!$B$10),1,0)</f>
        <v>1</v>
      </c>
      <c r="M130" s="12" t="n">
        <f aca="false">IF(AND(L130=1,F130&lt;1000000000000000,G130&lt;=Cutoff!$B$10),1,0)</f>
        <v>1</v>
      </c>
      <c r="N130" s="12" t="n">
        <f aca="false">IF(AND(M130=1,F130+Cutoff!$B$16&lt;=Cutoff!$B$10),1,0)</f>
        <v>1</v>
      </c>
      <c r="O130" s="12" t="n">
        <f aca="false">IF(N130=1,IF(AND(H130&lt;1000000000000000,H130&gt;=MAX(F130,E130),H130&lt;F130+Cutoff!$B$16,I130&lt;=Cutoff!$B$10),1,0),0)</f>
        <v>0</v>
      </c>
      <c r="P130" s="12" t="n">
        <f aca="false">IF(AND(L130=1,J130&lt;=Cutoff!$B$10),1,0)</f>
        <v>1</v>
      </c>
      <c r="Q130" s="12" t="n">
        <f aca="false">IF(AND(N130=1,E130+Cutoff!$B$17&lt;=Cutoff!$B$10),1,0)</f>
        <v>1</v>
      </c>
      <c r="R130" s="12" t="n">
        <f aca="false">IF(Q130=1,IF(K130&lt;=Cutoff!$B$10,1,0),0)</f>
        <v>1</v>
      </c>
      <c r="S130" s="12" t="n">
        <f aca="false">IF(N130=1,SUMIFS(Subscriptions!$D$2:$D$208,Subscriptions!$A$2:$A$208,C130,Subscriptions!$E$2:$E$208,1,Subscriptions!$B$2:$B$208,"&gt;="&amp;Cutoff!$B$24,Subscriptions!$B$2:$B$208,"&lt;"&amp;Cutoff!$B$25,Subscriptions!$B$2:$B$208,"&lt;="&amp;Cutoff!$B$10),0)</f>
        <v>168</v>
      </c>
    </row>
    <row r="131" customFormat="false" ht="15" hidden="false" customHeight="false" outlineLevel="0" collapsed="false">
      <c r="A131" s="4" t="s">
        <v>546</v>
      </c>
      <c r="B131" s="4" t="s">
        <v>288</v>
      </c>
      <c r="C131" s="4" t="s">
        <v>547</v>
      </c>
      <c r="D131" s="4" t="s">
        <v>52</v>
      </c>
      <c r="E131" s="4" t="n">
        <v>1778510313</v>
      </c>
      <c r="F131" s="4" t="n">
        <v>1778510177</v>
      </c>
      <c r="G131" s="4" t="n">
        <v>1778510312</v>
      </c>
      <c r="H131" s="4" t="n">
        <v>1778528532</v>
      </c>
      <c r="I131" s="4" t="n">
        <v>1778528549</v>
      </c>
      <c r="J131" s="4" t="n">
        <v>1778510531</v>
      </c>
      <c r="K131" s="4" t="n">
        <v>1000000000000000</v>
      </c>
      <c r="L131" s="12" t="n">
        <f aca="false">IF(AND(B131=Cutoff!$B$12,E131&lt;=Cutoff!$B$10),1,0)</f>
        <v>1</v>
      </c>
      <c r="M131" s="12" t="n">
        <f aca="false">IF(AND(L131=1,F131&lt;1000000000000000,G131&lt;=Cutoff!$B$10),1,0)</f>
        <v>1</v>
      </c>
      <c r="N131" s="12" t="n">
        <f aca="false">IF(AND(M131=1,F131+Cutoff!$B$16&lt;=Cutoff!$B$10),1,0)</f>
        <v>1</v>
      </c>
      <c r="O131" s="12" t="n">
        <f aca="false">IF(N131=1,IF(AND(H131&lt;1000000000000000,H131&gt;=MAX(F131,E131),H131&lt;F131+Cutoff!$B$16,I131&lt;=Cutoff!$B$10),1,0),0)</f>
        <v>1</v>
      </c>
      <c r="P131" s="12" t="n">
        <f aca="false">IF(AND(L131=1,J131&lt;=Cutoff!$B$10),1,0)</f>
        <v>1</v>
      </c>
      <c r="Q131" s="12" t="n">
        <f aca="false">IF(AND(N131=1,E131+Cutoff!$B$17&lt;=Cutoff!$B$10),1,0)</f>
        <v>1</v>
      </c>
      <c r="R131" s="12" t="n">
        <f aca="false">IF(Q131=1,IF(K131&lt;=Cutoff!$B$10,1,0),0)</f>
        <v>0</v>
      </c>
      <c r="S131" s="12" t="n">
        <f aca="false">IF(N131=1,SUMIFS(Subscriptions!$D$2:$D$208,Subscriptions!$A$2:$A$208,C131,Subscriptions!$E$2:$E$208,1,Subscriptions!$B$2:$B$208,"&gt;="&amp;Cutoff!$B$24,Subscriptions!$B$2:$B$208,"&lt;"&amp;Cutoff!$B$25,Subscriptions!$B$2:$B$208,"&lt;="&amp;Cutoff!$B$10),0)</f>
        <v>0</v>
      </c>
    </row>
    <row r="132" customFormat="false" ht="15" hidden="false" customHeight="false" outlineLevel="0" collapsed="false">
      <c r="A132" s="4" t="s">
        <v>548</v>
      </c>
      <c r="B132" s="4" t="s">
        <v>288</v>
      </c>
      <c r="C132" s="4" t="s">
        <v>549</v>
      </c>
      <c r="D132" s="4" t="s">
        <v>51</v>
      </c>
      <c r="E132" s="4" t="n">
        <v>1778520075</v>
      </c>
      <c r="F132" s="4" t="n">
        <v>1778519824</v>
      </c>
      <c r="G132" s="4" t="n">
        <v>1778519848</v>
      </c>
      <c r="H132" s="4" t="n">
        <v>1000000000000000</v>
      </c>
      <c r="I132" s="4" t="n">
        <v>1000000000000000</v>
      </c>
      <c r="J132" s="4" t="n">
        <v>1778520983</v>
      </c>
      <c r="K132" s="4" t="n">
        <v>1000000000000000</v>
      </c>
      <c r="L132" s="12" t="n">
        <f aca="false">IF(AND(B132=Cutoff!$B$12,E132&lt;=Cutoff!$B$10),1,0)</f>
        <v>1</v>
      </c>
      <c r="M132" s="12" t="n">
        <f aca="false">IF(AND(L132=1,F132&lt;1000000000000000,G132&lt;=Cutoff!$B$10),1,0)</f>
        <v>1</v>
      </c>
      <c r="N132" s="12" t="n">
        <f aca="false">IF(AND(M132=1,F132+Cutoff!$B$16&lt;=Cutoff!$B$10),1,0)</f>
        <v>1</v>
      </c>
      <c r="O132" s="12" t="n">
        <f aca="false">IF(N132=1,IF(AND(H132&lt;1000000000000000,H132&gt;=MAX(F132,E132),H132&lt;F132+Cutoff!$B$16,I132&lt;=Cutoff!$B$10),1,0),0)</f>
        <v>0</v>
      </c>
      <c r="P132" s="12" t="n">
        <f aca="false">IF(AND(L132=1,J132&lt;=Cutoff!$B$10),1,0)</f>
        <v>1</v>
      </c>
      <c r="Q132" s="12" t="n">
        <f aca="false">IF(AND(N132=1,E132+Cutoff!$B$17&lt;=Cutoff!$B$10),1,0)</f>
        <v>1</v>
      </c>
      <c r="R132" s="12" t="n">
        <f aca="false">IF(Q132=1,IF(K132&lt;=Cutoff!$B$10,1,0),0)</f>
        <v>0</v>
      </c>
      <c r="S132" s="12" t="n">
        <f aca="false">IF(N132=1,SUMIFS(Subscriptions!$D$2:$D$208,Subscriptions!$A$2:$A$208,C132,Subscriptions!$E$2:$E$208,1,Subscriptions!$B$2:$B$208,"&gt;="&amp;Cutoff!$B$24,Subscriptions!$B$2:$B$208,"&lt;"&amp;Cutoff!$B$25,Subscriptions!$B$2:$B$208,"&lt;="&amp;Cutoff!$B$10),0)</f>
        <v>0</v>
      </c>
    </row>
    <row r="133" customFormat="false" ht="15" hidden="false" customHeight="false" outlineLevel="0" collapsed="false">
      <c r="A133" s="4" t="s">
        <v>550</v>
      </c>
      <c r="B133" s="4" t="s">
        <v>288</v>
      </c>
      <c r="C133" s="4" t="s">
        <v>551</v>
      </c>
      <c r="D133" s="4" t="s">
        <v>52</v>
      </c>
      <c r="E133" s="4" t="n">
        <v>1778527188</v>
      </c>
      <c r="F133" s="4" t="n">
        <v>1778527084</v>
      </c>
      <c r="G133" s="4" t="n">
        <v>1778527098</v>
      </c>
      <c r="H133" s="4" t="n">
        <v>1000000000000000</v>
      </c>
      <c r="I133" s="4" t="n">
        <v>1000000000000000</v>
      </c>
      <c r="J133" s="4" t="n">
        <v>1778527430</v>
      </c>
      <c r="K133" s="4" t="n">
        <v>1000000000000000</v>
      </c>
      <c r="L133" s="12" t="n">
        <f aca="false">IF(AND(B133=Cutoff!$B$12,E133&lt;=Cutoff!$B$10),1,0)</f>
        <v>1</v>
      </c>
      <c r="M133" s="12" t="n">
        <f aca="false">IF(AND(L133=1,F133&lt;1000000000000000,G133&lt;=Cutoff!$B$10),1,0)</f>
        <v>1</v>
      </c>
      <c r="N133" s="12" t="n">
        <f aca="false">IF(AND(M133=1,F133+Cutoff!$B$16&lt;=Cutoff!$B$10),1,0)</f>
        <v>1</v>
      </c>
      <c r="O133" s="12" t="n">
        <f aca="false">IF(N133=1,IF(AND(H133&lt;1000000000000000,H133&gt;=MAX(F133,E133),H133&lt;F133+Cutoff!$B$16,I133&lt;=Cutoff!$B$10),1,0),0)</f>
        <v>0</v>
      </c>
      <c r="P133" s="12" t="n">
        <f aca="false">IF(AND(L133=1,J133&lt;=Cutoff!$B$10),1,0)</f>
        <v>1</v>
      </c>
      <c r="Q133" s="12" t="n">
        <f aca="false">IF(AND(N133=1,E133+Cutoff!$B$17&lt;=Cutoff!$B$10),1,0)</f>
        <v>1</v>
      </c>
      <c r="R133" s="12" t="n">
        <f aca="false">IF(Q133=1,IF(K133&lt;=Cutoff!$B$10,1,0),0)</f>
        <v>0</v>
      </c>
      <c r="S133" s="12" t="n">
        <f aca="false">IF(N133=1,SUMIFS(Subscriptions!$D$2:$D$208,Subscriptions!$A$2:$A$208,C133,Subscriptions!$E$2:$E$208,1,Subscriptions!$B$2:$B$208,"&gt;="&amp;Cutoff!$B$24,Subscriptions!$B$2:$B$208,"&lt;"&amp;Cutoff!$B$25,Subscriptions!$B$2:$B$208,"&lt;="&amp;Cutoff!$B$10),0)</f>
        <v>0</v>
      </c>
    </row>
    <row r="134" customFormat="false" ht="15" hidden="false" customHeight="false" outlineLevel="0" collapsed="false">
      <c r="A134" s="4" t="s">
        <v>552</v>
      </c>
      <c r="B134" s="4" t="s">
        <v>288</v>
      </c>
      <c r="C134" s="4" t="s">
        <v>553</v>
      </c>
      <c r="D134" s="4" t="s">
        <v>52</v>
      </c>
      <c r="E134" s="4" t="n">
        <v>1778528500</v>
      </c>
      <c r="F134" s="4" t="n">
        <v>1778528348</v>
      </c>
      <c r="G134" s="4" t="n">
        <v>1778528371</v>
      </c>
      <c r="H134" s="4" t="n">
        <v>1778537143</v>
      </c>
      <c r="I134" s="4" t="n">
        <v>1778537165</v>
      </c>
      <c r="J134" s="4" t="n">
        <v>1778528797</v>
      </c>
      <c r="K134" s="4" t="n">
        <v>1000000000000000</v>
      </c>
      <c r="L134" s="12" t="n">
        <f aca="false">IF(AND(B134=Cutoff!$B$12,E134&lt;=Cutoff!$B$10),1,0)</f>
        <v>1</v>
      </c>
      <c r="M134" s="12" t="n">
        <f aca="false">IF(AND(L134=1,F134&lt;1000000000000000,G134&lt;=Cutoff!$B$10),1,0)</f>
        <v>1</v>
      </c>
      <c r="N134" s="12" t="n">
        <f aca="false">IF(AND(M134=1,F134+Cutoff!$B$16&lt;=Cutoff!$B$10),1,0)</f>
        <v>1</v>
      </c>
      <c r="O134" s="12" t="n">
        <f aca="false">IF(N134=1,IF(AND(H134&lt;1000000000000000,H134&gt;=MAX(F134,E134),H134&lt;F134+Cutoff!$B$16,I134&lt;=Cutoff!$B$10),1,0),0)</f>
        <v>1</v>
      </c>
      <c r="P134" s="12" t="n">
        <f aca="false">IF(AND(L134=1,J134&lt;=Cutoff!$B$10),1,0)</f>
        <v>1</v>
      </c>
      <c r="Q134" s="12" t="n">
        <f aca="false">IF(AND(N134=1,E134+Cutoff!$B$17&lt;=Cutoff!$B$10),1,0)</f>
        <v>1</v>
      </c>
      <c r="R134" s="12" t="n">
        <f aca="false">IF(Q134=1,IF(K134&lt;=Cutoff!$B$10,1,0),0)</f>
        <v>0</v>
      </c>
      <c r="S134" s="12" t="n">
        <f aca="false">IF(N134=1,SUMIFS(Subscriptions!$D$2:$D$208,Subscriptions!$A$2:$A$208,C134,Subscriptions!$E$2:$E$208,1,Subscriptions!$B$2:$B$208,"&gt;="&amp;Cutoff!$B$24,Subscriptions!$B$2:$B$208,"&lt;"&amp;Cutoff!$B$25,Subscriptions!$B$2:$B$208,"&lt;="&amp;Cutoff!$B$10),0)</f>
        <v>0</v>
      </c>
    </row>
    <row r="135" customFormat="false" ht="15" hidden="false" customHeight="false" outlineLevel="0" collapsed="false">
      <c r="A135" s="4" t="s">
        <v>554</v>
      </c>
      <c r="B135" s="4" t="s">
        <v>288</v>
      </c>
      <c r="C135" s="4" t="s">
        <v>555</v>
      </c>
      <c r="D135" s="4" t="s">
        <v>51</v>
      </c>
      <c r="E135" s="4" t="n">
        <v>1778537848</v>
      </c>
      <c r="F135" s="4" t="n">
        <v>1778537334</v>
      </c>
      <c r="G135" s="4" t="n">
        <v>1778537354</v>
      </c>
      <c r="H135" s="4" t="n">
        <v>1778557244</v>
      </c>
      <c r="I135" s="4" t="n">
        <v>1778557427</v>
      </c>
      <c r="J135" s="4" t="n">
        <v>1778538663</v>
      </c>
      <c r="K135" s="4" t="n">
        <v>1000000000000000</v>
      </c>
      <c r="L135" s="12" t="n">
        <f aca="false">IF(AND(B135=Cutoff!$B$12,E135&lt;=Cutoff!$B$10),1,0)</f>
        <v>1</v>
      </c>
      <c r="M135" s="12" t="n">
        <f aca="false">IF(AND(L135=1,F135&lt;1000000000000000,G135&lt;=Cutoff!$B$10),1,0)</f>
        <v>1</v>
      </c>
      <c r="N135" s="12" t="n">
        <f aca="false">IF(AND(M135=1,F135+Cutoff!$B$16&lt;=Cutoff!$B$10),1,0)</f>
        <v>1</v>
      </c>
      <c r="O135" s="12" t="n">
        <f aca="false">IF(N135=1,IF(AND(H135&lt;1000000000000000,H135&gt;=MAX(F135,E135),H135&lt;F135+Cutoff!$B$16,I135&lt;=Cutoff!$B$10),1,0),0)</f>
        <v>1</v>
      </c>
      <c r="P135" s="12" t="n">
        <f aca="false">IF(AND(L135=1,J135&lt;=Cutoff!$B$10),1,0)</f>
        <v>1</v>
      </c>
      <c r="Q135" s="12" t="n">
        <f aca="false">IF(AND(N135=1,E135+Cutoff!$B$17&lt;=Cutoff!$B$10),1,0)</f>
        <v>1</v>
      </c>
      <c r="R135" s="12" t="n">
        <f aca="false">IF(Q135=1,IF(K135&lt;=Cutoff!$B$10,1,0),0)</f>
        <v>0</v>
      </c>
      <c r="S135" s="12" t="n">
        <f aca="false">IF(N135=1,SUMIFS(Subscriptions!$D$2:$D$208,Subscriptions!$A$2:$A$208,C135,Subscriptions!$E$2:$E$208,1,Subscriptions!$B$2:$B$208,"&gt;="&amp;Cutoff!$B$24,Subscriptions!$B$2:$B$208,"&lt;"&amp;Cutoff!$B$25,Subscriptions!$B$2:$B$208,"&lt;="&amp;Cutoff!$B$10),0)</f>
        <v>96</v>
      </c>
    </row>
    <row r="136" customFormat="false" ht="15" hidden="false" customHeight="false" outlineLevel="0" collapsed="false">
      <c r="A136" s="4" t="s">
        <v>556</v>
      </c>
      <c r="B136" s="4" t="s">
        <v>288</v>
      </c>
      <c r="C136" s="4" t="s">
        <v>557</v>
      </c>
      <c r="D136" s="4" t="s">
        <v>51</v>
      </c>
      <c r="E136" s="4" t="n">
        <v>1778581906</v>
      </c>
      <c r="F136" s="4" t="n">
        <v>1778581568</v>
      </c>
      <c r="G136" s="4" t="n">
        <v>1778581587</v>
      </c>
      <c r="H136" s="4" t="n">
        <v>1000000000000000</v>
      </c>
      <c r="I136" s="4" t="n">
        <v>1000000000000000</v>
      </c>
      <c r="J136" s="4" t="n">
        <v>1778583097</v>
      </c>
      <c r="K136" s="4" t="n">
        <v>1778673596</v>
      </c>
      <c r="L136" s="12" t="n">
        <f aca="false">IF(AND(B136=Cutoff!$B$12,E136&lt;=Cutoff!$B$10),1,0)</f>
        <v>1</v>
      </c>
      <c r="M136" s="12" t="n">
        <f aca="false">IF(AND(L136=1,F136&lt;1000000000000000,G136&lt;=Cutoff!$B$10),1,0)</f>
        <v>1</v>
      </c>
      <c r="N136" s="12" t="n">
        <f aca="false">IF(AND(M136=1,F136+Cutoff!$B$16&lt;=Cutoff!$B$10),1,0)</f>
        <v>1</v>
      </c>
      <c r="O136" s="12" t="n">
        <f aca="false">IF(N136=1,IF(AND(H136&lt;1000000000000000,H136&gt;=MAX(F136,E136),H136&lt;F136+Cutoff!$B$16,I136&lt;=Cutoff!$B$10),1,0),0)</f>
        <v>0</v>
      </c>
      <c r="P136" s="12" t="n">
        <f aca="false">IF(AND(L136=1,J136&lt;=Cutoff!$B$10),1,0)</f>
        <v>1</v>
      </c>
      <c r="Q136" s="12" t="n">
        <f aca="false">IF(AND(N136=1,E136+Cutoff!$B$17&lt;=Cutoff!$B$10),1,0)</f>
        <v>1</v>
      </c>
      <c r="R136" s="12" t="n">
        <f aca="false">IF(Q136=1,IF(K136&lt;=Cutoff!$B$10,1,0),0)</f>
        <v>1</v>
      </c>
      <c r="S136" s="12" t="n">
        <f aca="false">IF(N136=1,SUMIFS(Subscriptions!$D$2:$D$208,Subscriptions!$A$2:$A$208,C136,Subscriptions!$E$2:$E$208,1,Subscriptions!$B$2:$B$208,"&gt;="&amp;Cutoff!$B$24,Subscriptions!$B$2:$B$208,"&lt;"&amp;Cutoff!$B$25,Subscriptions!$B$2:$B$208,"&lt;="&amp;Cutoff!$B$10),0)</f>
        <v>0</v>
      </c>
    </row>
    <row r="137" customFormat="false" ht="15" hidden="false" customHeight="false" outlineLevel="0" collapsed="false">
      <c r="A137" s="4" t="s">
        <v>558</v>
      </c>
      <c r="B137" s="4" t="s">
        <v>288</v>
      </c>
      <c r="C137" s="4" t="s">
        <v>559</v>
      </c>
      <c r="D137" s="4" t="s">
        <v>52</v>
      </c>
      <c r="E137" s="4" t="n">
        <v>1778600789</v>
      </c>
      <c r="F137" s="4" t="n">
        <v>1778600237</v>
      </c>
      <c r="G137" s="4" t="n">
        <v>1778600253</v>
      </c>
      <c r="H137" s="4" t="n">
        <v>1779726124</v>
      </c>
      <c r="I137" s="4" t="n">
        <v>1779726129</v>
      </c>
      <c r="J137" s="4" t="n">
        <v>1778601615</v>
      </c>
      <c r="K137" s="4" t="n">
        <v>1778601011</v>
      </c>
      <c r="L137" s="12" t="n">
        <f aca="false">IF(AND(B137=Cutoff!$B$12,E137&lt;=Cutoff!$B$10),1,0)</f>
        <v>1</v>
      </c>
      <c r="M137" s="12" t="n">
        <f aca="false">IF(AND(L137=1,F137&lt;1000000000000000,G137&lt;=Cutoff!$B$10),1,0)</f>
        <v>1</v>
      </c>
      <c r="N137" s="12" t="n">
        <f aca="false">IF(AND(M137=1,F137+Cutoff!$B$16&lt;=Cutoff!$B$10),1,0)</f>
        <v>1</v>
      </c>
      <c r="O137" s="12" t="n">
        <f aca="false">IF(N137=1,IF(AND(H137&lt;1000000000000000,H137&gt;=MAX(F137,E137),H137&lt;F137+Cutoff!$B$16,I137&lt;=Cutoff!$B$10),1,0),0)</f>
        <v>0</v>
      </c>
      <c r="P137" s="12" t="n">
        <f aca="false">IF(AND(L137=1,J137&lt;=Cutoff!$B$10),1,0)</f>
        <v>1</v>
      </c>
      <c r="Q137" s="12" t="n">
        <f aca="false">IF(AND(N137=1,E137+Cutoff!$B$17&lt;=Cutoff!$B$10),1,0)</f>
        <v>1</v>
      </c>
      <c r="R137" s="12" t="n">
        <f aca="false">IF(Q137=1,IF(K137&lt;=Cutoff!$B$10,1,0),0)</f>
        <v>1</v>
      </c>
      <c r="S137" s="12" t="n">
        <f aca="false">IF(N137=1,SUMIFS(Subscriptions!$D$2:$D$208,Subscriptions!$A$2:$A$208,C137,Subscriptions!$E$2:$E$208,1,Subscriptions!$B$2:$B$208,"&gt;="&amp;Cutoff!$B$24,Subscriptions!$B$2:$B$208,"&lt;"&amp;Cutoff!$B$25,Subscriptions!$B$2:$B$208,"&lt;="&amp;Cutoff!$B$10),0)</f>
        <v>0</v>
      </c>
    </row>
    <row r="138" customFormat="false" ht="15" hidden="false" customHeight="false" outlineLevel="0" collapsed="false">
      <c r="A138" s="4" t="s">
        <v>560</v>
      </c>
      <c r="B138" s="4" t="s">
        <v>288</v>
      </c>
      <c r="C138" s="4" t="s">
        <v>561</v>
      </c>
      <c r="D138" s="4" t="s">
        <v>51</v>
      </c>
      <c r="E138" s="4" t="n">
        <v>1778608496</v>
      </c>
      <c r="F138" s="4" t="n">
        <v>1778608303</v>
      </c>
      <c r="G138" s="4" t="n">
        <v>1778608325</v>
      </c>
      <c r="H138" s="4" t="n">
        <v>1000000000000000</v>
      </c>
      <c r="I138" s="4" t="n">
        <v>1000000000000000</v>
      </c>
      <c r="J138" s="4" t="n">
        <v>1778609124</v>
      </c>
      <c r="K138" s="4" t="n">
        <v>1000000000000000</v>
      </c>
      <c r="L138" s="12" t="n">
        <f aca="false">IF(AND(B138=Cutoff!$B$12,E138&lt;=Cutoff!$B$10),1,0)</f>
        <v>1</v>
      </c>
      <c r="M138" s="12" t="n">
        <f aca="false">IF(AND(L138=1,F138&lt;1000000000000000,G138&lt;=Cutoff!$B$10),1,0)</f>
        <v>1</v>
      </c>
      <c r="N138" s="12" t="n">
        <f aca="false">IF(AND(M138=1,F138+Cutoff!$B$16&lt;=Cutoff!$B$10),1,0)</f>
        <v>1</v>
      </c>
      <c r="O138" s="12" t="n">
        <f aca="false">IF(N138=1,IF(AND(H138&lt;1000000000000000,H138&gt;=MAX(F138,E138),H138&lt;F138+Cutoff!$B$16,I138&lt;=Cutoff!$B$10),1,0),0)</f>
        <v>0</v>
      </c>
      <c r="P138" s="12" t="n">
        <f aca="false">IF(AND(L138=1,J138&lt;=Cutoff!$B$10),1,0)</f>
        <v>1</v>
      </c>
      <c r="Q138" s="12" t="n">
        <f aca="false">IF(AND(N138=1,E138+Cutoff!$B$17&lt;=Cutoff!$B$10),1,0)</f>
        <v>1</v>
      </c>
      <c r="R138" s="12" t="n">
        <f aca="false">IF(Q138=1,IF(K138&lt;=Cutoff!$B$10,1,0),0)</f>
        <v>0</v>
      </c>
      <c r="S138" s="12" t="n">
        <f aca="false">IF(N138=1,SUMIFS(Subscriptions!$D$2:$D$208,Subscriptions!$A$2:$A$208,C138,Subscriptions!$E$2:$E$208,1,Subscriptions!$B$2:$B$208,"&gt;="&amp;Cutoff!$B$24,Subscriptions!$B$2:$B$208,"&lt;"&amp;Cutoff!$B$25,Subscriptions!$B$2:$B$208,"&lt;="&amp;Cutoff!$B$10),0)</f>
        <v>0</v>
      </c>
    </row>
    <row r="139" customFormat="false" ht="15" hidden="false" customHeight="false" outlineLevel="0" collapsed="false">
      <c r="A139" s="4" t="s">
        <v>562</v>
      </c>
      <c r="B139" s="4" t="s">
        <v>288</v>
      </c>
      <c r="C139" s="4" t="s">
        <v>563</v>
      </c>
      <c r="D139" s="4" t="s">
        <v>51</v>
      </c>
      <c r="E139" s="4" t="n">
        <v>1778680803</v>
      </c>
      <c r="F139" s="4" t="n">
        <v>1778680589</v>
      </c>
      <c r="G139" s="4" t="n">
        <v>1778680591</v>
      </c>
      <c r="H139" s="4" t="n">
        <v>1778789783</v>
      </c>
      <c r="I139" s="4" t="n">
        <v>1778789793</v>
      </c>
      <c r="J139" s="4" t="n">
        <v>1778681731</v>
      </c>
      <c r="K139" s="4" t="n">
        <v>1000000000000000</v>
      </c>
      <c r="L139" s="12" t="n">
        <f aca="false">IF(AND(B139=Cutoff!$B$12,E139&lt;=Cutoff!$B$10),1,0)</f>
        <v>1</v>
      </c>
      <c r="M139" s="12" t="n">
        <f aca="false">IF(AND(L139=1,F139&lt;1000000000000000,G139&lt;=Cutoff!$B$10),1,0)</f>
        <v>1</v>
      </c>
      <c r="N139" s="12" t="n">
        <f aca="false">IF(AND(M139=1,F139+Cutoff!$B$16&lt;=Cutoff!$B$10),1,0)</f>
        <v>1</v>
      </c>
      <c r="O139" s="12" t="n">
        <f aca="false">IF(N139=1,IF(AND(H139&lt;1000000000000000,H139&gt;=MAX(F139,E139),H139&lt;F139+Cutoff!$B$16,I139&lt;=Cutoff!$B$10),1,0),0)</f>
        <v>1</v>
      </c>
      <c r="P139" s="12" t="n">
        <f aca="false">IF(AND(L139=1,J139&lt;=Cutoff!$B$10),1,0)</f>
        <v>1</v>
      </c>
      <c r="Q139" s="12" t="n">
        <f aca="false">IF(AND(N139=1,E139+Cutoff!$B$17&lt;=Cutoff!$B$10),1,0)</f>
        <v>1</v>
      </c>
      <c r="R139" s="12" t="n">
        <f aca="false">IF(Q139=1,IF(K139&lt;=Cutoff!$B$10,1,0),0)</f>
        <v>0</v>
      </c>
      <c r="S139" s="12" t="n">
        <f aca="false">IF(N139=1,SUMIFS(Subscriptions!$D$2:$D$208,Subscriptions!$A$2:$A$208,C139,Subscriptions!$E$2:$E$208,1,Subscriptions!$B$2:$B$208,"&gt;="&amp;Cutoff!$B$24,Subscriptions!$B$2:$B$208,"&lt;"&amp;Cutoff!$B$25,Subscriptions!$B$2:$B$208,"&lt;="&amp;Cutoff!$B$10),0)</f>
        <v>96</v>
      </c>
    </row>
    <row r="140" customFormat="false" ht="15" hidden="false" customHeight="false" outlineLevel="0" collapsed="false">
      <c r="A140" s="4" t="s">
        <v>564</v>
      </c>
      <c r="B140" s="4" t="s">
        <v>288</v>
      </c>
      <c r="C140" s="4" t="s">
        <v>565</v>
      </c>
      <c r="D140" s="4" t="s">
        <v>52</v>
      </c>
      <c r="E140" s="4" t="n">
        <v>1778695837</v>
      </c>
      <c r="F140" s="4" t="n">
        <v>1778695634</v>
      </c>
      <c r="G140" s="4" t="n">
        <v>1778695654</v>
      </c>
      <c r="H140" s="4" t="n">
        <v>1778695919</v>
      </c>
      <c r="I140" s="4" t="n">
        <v>1778695929</v>
      </c>
      <c r="J140" s="4" t="n">
        <v>1778696173</v>
      </c>
      <c r="K140" s="4" t="n">
        <v>1778696177</v>
      </c>
      <c r="L140" s="12" t="n">
        <f aca="false">IF(AND(B140=Cutoff!$B$12,E140&lt;=Cutoff!$B$10),1,0)</f>
        <v>1</v>
      </c>
      <c r="M140" s="12" t="n">
        <f aca="false">IF(AND(L140=1,F140&lt;1000000000000000,G140&lt;=Cutoff!$B$10),1,0)</f>
        <v>1</v>
      </c>
      <c r="N140" s="12" t="n">
        <f aca="false">IF(AND(M140=1,F140+Cutoff!$B$16&lt;=Cutoff!$B$10),1,0)</f>
        <v>1</v>
      </c>
      <c r="O140" s="12" t="n">
        <f aca="false">IF(N140=1,IF(AND(H140&lt;1000000000000000,H140&gt;=MAX(F140,E140),H140&lt;F140+Cutoff!$B$16,I140&lt;=Cutoff!$B$10),1,0),0)</f>
        <v>1</v>
      </c>
      <c r="P140" s="12" t="n">
        <f aca="false">IF(AND(L140=1,J140&lt;=Cutoff!$B$10),1,0)</f>
        <v>1</v>
      </c>
      <c r="Q140" s="12" t="n">
        <f aca="false">IF(AND(N140=1,E140+Cutoff!$B$17&lt;=Cutoff!$B$10),1,0)</f>
        <v>1</v>
      </c>
      <c r="R140" s="12" t="n">
        <f aca="false">IF(Q140=1,IF(K140&lt;=Cutoff!$B$10,1,0),0)</f>
        <v>1</v>
      </c>
      <c r="S140" s="12" t="n">
        <f aca="false">IF(N140=1,SUMIFS(Subscriptions!$D$2:$D$208,Subscriptions!$A$2:$A$208,C140,Subscriptions!$E$2:$E$208,1,Subscriptions!$B$2:$B$208,"&gt;="&amp;Cutoff!$B$24,Subscriptions!$B$2:$B$208,"&lt;"&amp;Cutoff!$B$25,Subscriptions!$B$2:$B$208,"&lt;="&amp;Cutoff!$B$10),0)</f>
        <v>858</v>
      </c>
    </row>
    <row r="141" customFormat="false" ht="15" hidden="false" customHeight="false" outlineLevel="0" collapsed="false">
      <c r="A141" s="4" t="s">
        <v>566</v>
      </c>
      <c r="B141" s="4" t="s">
        <v>288</v>
      </c>
      <c r="C141" s="4" t="s">
        <v>567</v>
      </c>
      <c r="D141" s="4" t="s">
        <v>52</v>
      </c>
      <c r="E141" s="4" t="n">
        <v>1778697592</v>
      </c>
      <c r="F141" s="4" t="n">
        <v>1778697126</v>
      </c>
      <c r="G141" s="4" t="n">
        <v>1778697137</v>
      </c>
      <c r="H141" s="4" t="n">
        <v>1778703200</v>
      </c>
      <c r="I141" s="4" t="n">
        <v>1778703208</v>
      </c>
      <c r="J141" s="4" t="n">
        <v>1778698510</v>
      </c>
      <c r="K141" s="4" t="n">
        <v>1000000000000000</v>
      </c>
      <c r="L141" s="12" t="n">
        <f aca="false">IF(AND(B141=Cutoff!$B$12,E141&lt;=Cutoff!$B$10),1,0)</f>
        <v>1</v>
      </c>
      <c r="M141" s="12" t="n">
        <f aca="false">IF(AND(L141=1,F141&lt;1000000000000000,G141&lt;=Cutoff!$B$10),1,0)</f>
        <v>1</v>
      </c>
      <c r="N141" s="12" t="n">
        <f aca="false">IF(AND(M141=1,F141+Cutoff!$B$16&lt;=Cutoff!$B$10),1,0)</f>
        <v>1</v>
      </c>
      <c r="O141" s="12" t="n">
        <f aca="false">IF(N141=1,IF(AND(H141&lt;1000000000000000,H141&gt;=MAX(F141,E141),H141&lt;F141+Cutoff!$B$16,I141&lt;=Cutoff!$B$10),1,0),0)</f>
        <v>1</v>
      </c>
      <c r="P141" s="12" t="n">
        <f aca="false">IF(AND(L141=1,J141&lt;=Cutoff!$B$10),1,0)</f>
        <v>1</v>
      </c>
      <c r="Q141" s="12" t="n">
        <f aca="false">IF(AND(N141=1,E141+Cutoff!$B$17&lt;=Cutoff!$B$10),1,0)</f>
        <v>1</v>
      </c>
      <c r="R141" s="12" t="n">
        <f aca="false">IF(Q141=1,IF(K141&lt;=Cutoff!$B$10,1,0),0)</f>
        <v>0</v>
      </c>
      <c r="S141" s="12" t="n">
        <f aca="false">IF(N141=1,SUMIFS(Subscriptions!$D$2:$D$208,Subscriptions!$A$2:$A$208,C141,Subscriptions!$E$2:$E$208,1,Subscriptions!$B$2:$B$208,"&gt;="&amp;Cutoff!$B$24,Subscriptions!$B$2:$B$208,"&lt;"&amp;Cutoff!$B$25,Subscriptions!$B$2:$B$208,"&lt;="&amp;Cutoff!$B$10),0)</f>
        <v>168</v>
      </c>
    </row>
    <row r="142" customFormat="false" ht="15" hidden="false" customHeight="false" outlineLevel="0" collapsed="false">
      <c r="A142" s="4" t="s">
        <v>568</v>
      </c>
      <c r="B142" s="4" t="s">
        <v>288</v>
      </c>
      <c r="C142" s="4" t="s">
        <v>569</v>
      </c>
      <c r="D142" s="4" t="s">
        <v>51</v>
      </c>
      <c r="E142" s="4" t="n">
        <v>1778699691</v>
      </c>
      <c r="F142" s="4" t="n">
        <v>1778699248</v>
      </c>
      <c r="G142" s="4" t="n">
        <v>1778699264</v>
      </c>
      <c r="H142" s="4" t="n">
        <v>1000000000000000</v>
      </c>
      <c r="I142" s="4" t="n">
        <v>1000000000000000</v>
      </c>
      <c r="J142" s="4" t="n">
        <v>1778699898</v>
      </c>
      <c r="K142" s="4" t="n">
        <v>1000000000000000</v>
      </c>
      <c r="L142" s="12" t="n">
        <f aca="false">IF(AND(B142=Cutoff!$B$12,E142&lt;=Cutoff!$B$10),1,0)</f>
        <v>1</v>
      </c>
      <c r="M142" s="12" t="n">
        <f aca="false">IF(AND(L142=1,F142&lt;1000000000000000,G142&lt;=Cutoff!$B$10),1,0)</f>
        <v>1</v>
      </c>
      <c r="N142" s="12" t="n">
        <f aca="false">IF(AND(M142=1,F142+Cutoff!$B$16&lt;=Cutoff!$B$10),1,0)</f>
        <v>1</v>
      </c>
      <c r="O142" s="12" t="n">
        <f aca="false">IF(N142=1,IF(AND(H142&lt;1000000000000000,H142&gt;=MAX(F142,E142),H142&lt;F142+Cutoff!$B$16,I142&lt;=Cutoff!$B$10),1,0),0)</f>
        <v>0</v>
      </c>
      <c r="P142" s="12" t="n">
        <f aca="false">IF(AND(L142=1,J142&lt;=Cutoff!$B$10),1,0)</f>
        <v>1</v>
      </c>
      <c r="Q142" s="12" t="n">
        <f aca="false">IF(AND(N142=1,E142+Cutoff!$B$17&lt;=Cutoff!$B$10),1,0)</f>
        <v>1</v>
      </c>
      <c r="R142" s="12" t="n">
        <f aca="false">IF(Q142=1,IF(K142&lt;=Cutoff!$B$10,1,0),0)</f>
        <v>0</v>
      </c>
      <c r="S142" s="12" t="n">
        <f aca="false">IF(N142=1,SUMIFS(Subscriptions!$D$2:$D$208,Subscriptions!$A$2:$A$208,C142,Subscriptions!$E$2:$E$208,1,Subscriptions!$B$2:$B$208,"&gt;="&amp;Cutoff!$B$24,Subscriptions!$B$2:$B$208,"&lt;"&amp;Cutoff!$B$25,Subscriptions!$B$2:$B$208,"&lt;="&amp;Cutoff!$B$10),0)</f>
        <v>96</v>
      </c>
    </row>
    <row r="143" customFormat="false" ht="15" hidden="false" customHeight="false" outlineLevel="0" collapsed="false">
      <c r="A143" s="4" t="s">
        <v>570</v>
      </c>
      <c r="B143" s="4" t="s">
        <v>288</v>
      </c>
      <c r="C143" s="4" t="s">
        <v>571</v>
      </c>
      <c r="D143" s="4" t="s">
        <v>52</v>
      </c>
      <c r="E143" s="4" t="n">
        <v>1778699783</v>
      </c>
      <c r="F143" s="4" t="n">
        <v>1778699362</v>
      </c>
      <c r="G143" s="4" t="n">
        <v>1778699615</v>
      </c>
      <c r="H143" s="4" t="n">
        <v>1000000000000000</v>
      </c>
      <c r="I143" s="4" t="n">
        <v>1000000000000000</v>
      </c>
      <c r="J143" s="4" t="n">
        <v>1778700340</v>
      </c>
      <c r="K143" s="4" t="n">
        <v>1000000000000000</v>
      </c>
      <c r="L143" s="12" t="n">
        <f aca="false">IF(AND(B143=Cutoff!$B$12,E143&lt;=Cutoff!$B$10),1,0)</f>
        <v>1</v>
      </c>
      <c r="M143" s="12" t="n">
        <f aca="false">IF(AND(L143=1,F143&lt;1000000000000000,G143&lt;=Cutoff!$B$10),1,0)</f>
        <v>1</v>
      </c>
      <c r="N143" s="12" t="n">
        <f aca="false">IF(AND(M143=1,F143+Cutoff!$B$16&lt;=Cutoff!$B$10),1,0)</f>
        <v>1</v>
      </c>
      <c r="O143" s="12" t="n">
        <f aca="false">IF(N143=1,IF(AND(H143&lt;1000000000000000,H143&gt;=MAX(F143,E143),H143&lt;F143+Cutoff!$B$16,I143&lt;=Cutoff!$B$10),1,0),0)</f>
        <v>0</v>
      </c>
      <c r="P143" s="12" t="n">
        <f aca="false">IF(AND(L143=1,J143&lt;=Cutoff!$B$10),1,0)</f>
        <v>1</v>
      </c>
      <c r="Q143" s="12" t="n">
        <f aca="false">IF(AND(N143=1,E143+Cutoff!$B$17&lt;=Cutoff!$B$10),1,0)</f>
        <v>1</v>
      </c>
      <c r="R143" s="12" t="n">
        <f aca="false">IF(Q143=1,IF(K143&lt;=Cutoff!$B$10,1,0),0)</f>
        <v>0</v>
      </c>
      <c r="S143" s="12" t="n">
        <f aca="false">IF(N143=1,SUMIFS(Subscriptions!$D$2:$D$208,Subscriptions!$A$2:$A$208,C143,Subscriptions!$E$2:$E$208,1,Subscriptions!$B$2:$B$208,"&gt;="&amp;Cutoff!$B$24,Subscriptions!$B$2:$B$208,"&lt;"&amp;Cutoff!$B$25,Subscriptions!$B$2:$B$208,"&lt;="&amp;Cutoff!$B$10),0)</f>
        <v>0</v>
      </c>
    </row>
    <row r="144" customFormat="false" ht="15" hidden="false" customHeight="false" outlineLevel="0" collapsed="false">
      <c r="A144" s="4" t="s">
        <v>572</v>
      </c>
      <c r="B144" s="4" t="s">
        <v>288</v>
      </c>
      <c r="C144" s="4" t="s">
        <v>573</v>
      </c>
      <c r="D144" s="4" t="s">
        <v>51</v>
      </c>
      <c r="E144" s="4" t="n">
        <v>1778705665</v>
      </c>
      <c r="F144" s="4" t="n">
        <v>1778705145</v>
      </c>
      <c r="G144" s="4" t="n">
        <v>1778705170</v>
      </c>
      <c r="H144" s="4" t="n">
        <v>1778784761</v>
      </c>
      <c r="I144" s="4" t="n">
        <v>1778784781</v>
      </c>
      <c r="J144" s="4" t="n">
        <v>1778706522</v>
      </c>
      <c r="K144" s="4" t="n">
        <v>1000000000000000</v>
      </c>
      <c r="L144" s="12" t="n">
        <f aca="false">IF(AND(B144=Cutoff!$B$12,E144&lt;=Cutoff!$B$10),1,0)</f>
        <v>1</v>
      </c>
      <c r="M144" s="12" t="n">
        <f aca="false">IF(AND(L144=1,F144&lt;1000000000000000,G144&lt;=Cutoff!$B$10),1,0)</f>
        <v>1</v>
      </c>
      <c r="N144" s="12" t="n">
        <f aca="false">IF(AND(M144=1,F144+Cutoff!$B$16&lt;=Cutoff!$B$10),1,0)</f>
        <v>1</v>
      </c>
      <c r="O144" s="12" t="n">
        <f aca="false">IF(N144=1,IF(AND(H144&lt;1000000000000000,H144&gt;=MAX(F144,E144),H144&lt;F144+Cutoff!$B$16,I144&lt;=Cutoff!$B$10),1,0),0)</f>
        <v>1</v>
      </c>
      <c r="P144" s="12" t="n">
        <f aca="false">IF(AND(L144=1,J144&lt;=Cutoff!$B$10),1,0)</f>
        <v>1</v>
      </c>
      <c r="Q144" s="12" t="n">
        <f aca="false">IF(AND(N144=1,E144+Cutoff!$B$17&lt;=Cutoff!$B$10),1,0)</f>
        <v>1</v>
      </c>
      <c r="R144" s="12" t="n">
        <f aca="false">IF(Q144=1,IF(K144&lt;=Cutoff!$B$10,1,0),0)</f>
        <v>0</v>
      </c>
      <c r="S144" s="12" t="n">
        <f aca="false">IF(N144=1,SUMIFS(Subscriptions!$D$2:$D$208,Subscriptions!$A$2:$A$208,C144,Subscriptions!$E$2:$E$208,1,Subscriptions!$B$2:$B$208,"&gt;="&amp;Cutoff!$B$24,Subscriptions!$B$2:$B$208,"&lt;"&amp;Cutoff!$B$25,Subscriptions!$B$2:$B$208,"&lt;="&amp;Cutoff!$B$10),0)</f>
        <v>72</v>
      </c>
    </row>
    <row r="145" customFormat="false" ht="15" hidden="false" customHeight="false" outlineLevel="0" collapsed="false">
      <c r="A145" s="4" t="s">
        <v>574</v>
      </c>
      <c r="B145" s="4" t="s">
        <v>288</v>
      </c>
      <c r="C145" s="4" t="s">
        <v>575</v>
      </c>
      <c r="D145" s="4" t="s">
        <v>52</v>
      </c>
      <c r="E145" s="4" t="n">
        <v>1778706513</v>
      </c>
      <c r="F145" s="4" t="n">
        <v>1778706304</v>
      </c>
      <c r="G145" s="4" t="n">
        <v>1778706308</v>
      </c>
      <c r="H145" s="4" t="n">
        <v>1778722663</v>
      </c>
      <c r="I145" s="4" t="n">
        <v>1778722673</v>
      </c>
      <c r="J145" s="4" t="n">
        <v>1778706876</v>
      </c>
      <c r="K145" s="4" t="n">
        <v>1000000000000000</v>
      </c>
      <c r="L145" s="12" t="n">
        <f aca="false">IF(AND(B145=Cutoff!$B$12,E145&lt;=Cutoff!$B$10),1,0)</f>
        <v>1</v>
      </c>
      <c r="M145" s="12" t="n">
        <f aca="false">IF(AND(L145=1,F145&lt;1000000000000000,G145&lt;=Cutoff!$B$10),1,0)</f>
        <v>1</v>
      </c>
      <c r="N145" s="12" t="n">
        <f aca="false">IF(AND(M145=1,F145+Cutoff!$B$16&lt;=Cutoff!$B$10),1,0)</f>
        <v>1</v>
      </c>
      <c r="O145" s="12" t="n">
        <f aca="false">IF(N145=1,IF(AND(H145&lt;1000000000000000,H145&gt;=MAX(F145,E145),H145&lt;F145+Cutoff!$B$16,I145&lt;=Cutoff!$B$10),1,0),0)</f>
        <v>1</v>
      </c>
      <c r="P145" s="12" t="n">
        <f aca="false">IF(AND(L145=1,J145&lt;=Cutoff!$B$10),1,0)</f>
        <v>1</v>
      </c>
      <c r="Q145" s="12" t="n">
        <f aca="false">IF(AND(N145=1,E145+Cutoff!$B$17&lt;=Cutoff!$B$10),1,0)</f>
        <v>1</v>
      </c>
      <c r="R145" s="12" t="n">
        <f aca="false">IF(Q145=1,IF(K145&lt;=Cutoff!$B$10,1,0),0)</f>
        <v>0</v>
      </c>
      <c r="S145" s="12" t="n">
        <f aca="false">IF(N145=1,SUMIFS(Subscriptions!$D$2:$D$208,Subscriptions!$A$2:$A$208,C145,Subscriptions!$E$2:$E$208,1,Subscriptions!$B$2:$B$208,"&gt;="&amp;Cutoff!$B$24,Subscriptions!$B$2:$B$208,"&lt;"&amp;Cutoff!$B$25,Subscriptions!$B$2:$B$208,"&lt;="&amp;Cutoff!$B$10),0)</f>
        <v>84</v>
      </c>
    </row>
    <row r="146" customFormat="false" ht="15" hidden="false" customHeight="false" outlineLevel="0" collapsed="false">
      <c r="A146" s="4" t="s">
        <v>576</v>
      </c>
      <c r="B146" s="4" t="s">
        <v>288</v>
      </c>
      <c r="C146" s="4" t="s">
        <v>577</v>
      </c>
      <c r="D146" s="4" t="s">
        <v>52</v>
      </c>
      <c r="E146" s="4" t="n">
        <v>1778716901</v>
      </c>
      <c r="F146" s="4" t="n">
        <v>1778716620</v>
      </c>
      <c r="G146" s="4" t="n">
        <v>1778716641</v>
      </c>
      <c r="H146" s="4" t="n">
        <v>1000000000000000</v>
      </c>
      <c r="I146" s="4" t="n">
        <v>1000000000000000</v>
      </c>
      <c r="J146" s="4" t="n">
        <v>1778717519</v>
      </c>
      <c r="K146" s="4" t="n">
        <v>1000000000000000</v>
      </c>
      <c r="L146" s="12" t="n">
        <f aca="false">IF(AND(B146=Cutoff!$B$12,E146&lt;=Cutoff!$B$10),1,0)</f>
        <v>1</v>
      </c>
      <c r="M146" s="12" t="n">
        <f aca="false">IF(AND(L146=1,F146&lt;1000000000000000,G146&lt;=Cutoff!$B$10),1,0)</f>
        <v>1</v>
      </c>
      <c r="N146" s="12" t="n">
        <f aca="false">IF(AND(M146=1,F146+Cutoff!$B$16&lt;=Cutoff!$B$10),1,0)</f>
        <v>1</v>
      </c>
      <c r="O146" s="12" t="n">
        <f aca="false">IF(N146=1,IF(AND(H146&lt;1000000000000000,H146&gt;=MAX(F146,E146),H146&lt;F146+Cutoff!$B$16,I146&lt;=Cutoff!$B$10),1,0),0)</f>
        <v>0</v>
      </c>
      <c r="P146" s="12" t="n">
        <f aca="false">IF(AND(L146=1,J146&lt;=Cutoff!$B$10),1,0)</f>
        <v>1</v>
      </c>
      <c r="Q146" s="12" t="n">
        <f aca="false">IF(AND(N146=1,E146+Cutoff!$B$17&lt;=Cutoff!$B$10),1,0)</f>
        <v>1</v>
      </c>
      <c r="R146" s="12" t="n">
        <f aca="false">IF(Q146=1,IF(K146&lt;=Cutoff!$B$10,1,0),0)</f>
        <v>0</v>
      </c>
      <c r="S146" s="12" t="n">
        <f aca="false">IF(N146=1,SUMIFS(Subscriptions!$D$2:$D$208,Subscriptions!$A$2:$A$208,C146,Subscriptions!$E$2:$E$208,1,Subscriptions!$B$2:$B$208,"&gt;="&amp;Cutoff!$B$24,Subscriptions!$B$2:$B$208,"&lt;"&amp;Cutoff!$B$25,Subscriptions!$B$2:$B$208,"&lt;="&amp;Cutoff!$B$10),0)</f>
        <v>0</v>
      </c>
    </row>
    <row r="147" customFormat="false" ht="15" hidden="false" customHeight="false" outlineLevel="0" collapsed="false">
      <c r="A147" s="4" t="s">
        <v>578</v>
      </c>
      <c r="B147" s="4" t="s">
        <v>288</v>
      </c>
      <c r="C147" s="4" t="s">
        <v>579</v>
      </c>
      <c r="D147" s="4" t="s">
        <v>51</v>
      </c>
      <c r="E147" s="4" t="n">
        <v>1778772246</v>
      </c>
      <c r="F147" s="4" t="n">
        <v>1778771958</v>
      </c>
      <c r="G147" s="4" t="n">
        <v>1778771980</v>
      </c>
      <c r="H147" s="4" t="n">
        <v>1000000000000000</v>
      </c>
      <c r="I147" s="4" t="n">
        <v>1000000000000000</v>
      </c>
      <c r="J147" s="4" t="n">
        <v>1778772824</v>
      </c>
      <c r="K147" s="4" t="n">
        <v>1000000000000000</v>
      </c>
      <c r="L147" s="12" t="n">
        <f aca="false">IF(AND(B147=Cutoff!$B$12,E147&lt;=Cutoff!$B$10),1,0)</f>
        <v>1</v>
      </c>
      <c r="M147" s="12" t="n">
        <f aca="false">IF(AND(L147=1,F147&lt;1000000000000000,G147&lt;=Cutoff!$B$10),1,0)</f>
        <v>1</v>
      </c>
      <c r="N147" s="12" t="n">
        <f aca="false">IF(AND(M147=1,F147+Cutoff!$B$16&lt;=Cutoff!$B$10),1,0)</f>
        <v>1</v>
      </c>
      <c r="O147" s="12" t="n">
        <f aca="false">IF(N147=1,IF(AND(H147&lt;1000000000000000,H147&gt;=MAX(F147,E147),H147&lt;F147+Cutoff!$B$16,I147&lt;=Cutoff!$B$10),1,0),0)</f>
        <v>0</v>
      </c>
      <c r="P147" s="12" t="n">
        <f aca="false">IF(AND(L147=1,J147&lt;=Cutoff!$B$10),1,0)</f>
        <v>1</v>
      </c>
      <c r="Q147" s="12" t="n">
        <f aca="false">IF(AND(N147=1,E147+Cutoff!$B$17&lt;=Cutoff!$B$10),1,0)</f>
        <v>1</v>
      </c>
      <c r="R147" s="12" t="n">
        <f aca="false">IF(Q147=1,IF(K147&lt;=Cutoff!$B$10,1,0),0)</f>
        <v>0</v>
      </c>
      <c r="S147" s="12" t="n">
        <f aca="false">IF(N147=1,SUMIFS(Subscriptions!$D$2:$D$208,Subscriptions!$A$2:$A$208,C147,Subscriptions!$E$2:$E$208,1,Subscriptions!$B$2:$B$208,"&gt;="&amp;Cutoff!$B$24,Subscriptions!$B$2:$B$208,"&lt;"&amp;Cutoff!$B$25,Subscriptions!$B$2:$B$208,"&lt;="&amp;Cutoff!$B$10),0)</f>
        <v>0</v>
      </c>
    </row>
    <row r="148" customFormat="false" ht="15" hidden="false" customHeight="false" outlineLevel="0" collapsed="false">
      <c r="A148" s="4" t="s">
        <v>580</v>
      </c>
      <c r="B148" s="4" t="s">
        <v>288</v>
      </c>
      <c r="C148" s="4" t="s">
        <v>581</v>
      </c>
      <c r="D148" s="4" t="s">
        <v>51</v>
      </c>
      <c r="E148" s="4" t="n">
        <v>1778774274</v>
      </c>
      <c r="F148" s="4" t="n">
        <v>1778774028</v>
      </c>
      <c r="G148" s="4" t="n">
        <v>1778776053</v>
      </c>
      <c r="H148" s="4" t="n">
        <v>1000000000000000</v>
      </c>
      <c r="I148" s="4" t="n">
        <v>1000000000000000</v>
      </c>
      <c r="J148" s="4" t="n">
        <v>1778775339</v>
      </c>
      <c r="K148" s="4" t="n">
        <v>1000000000000000</v>
      </c>
      <c r="L148" s="12" t="n">
        <f aca="false">IF(AND(B148=Cutoff!$B$12,E148&lt;=Cutoff!$B$10),1,0)</f>
        <v>1</v>
      </c>
      <c r="M148" s="12" t="n">
        <f aca="false">IF(AND(L148=1,F148&lt;1000000000000000,G148&lt;=Cutoff!$B$10),1,0)</f>
        <v>1</v>
      </c>
      <c r="N148" s="12" t="n">
        <f aca="false">IF(AND(M148=1,F148+Cutoff!$B$16&lt;=Cutoff!$B$10),1,0)</f>
        <v>1</v>
      </c>
      <c r="O148" s="12" t="n">
        <f aca="false">IF(N148=1,IF(AND(H148&lt;1000000000000000,H148&gt;=MAX(F148,E148),H148&lt;F148+Cutoff!$B$16,I148&lt;=Cutoff!$B$10),1,0),0)</f>
        <v>0</v>
      </c>
      <c r="P148" s="12" t="n">
        <f aca="false">IF(AND(L148=1,J148&lt;=Cutoff!$B$10),1,0)</f>
        <v>1</v>
      </c>
      <c r="Q148" s="12" t="n">
        <f aca="false">IF(AND(N148=1,E148+Cutoff!$B$17&lt;=Cutoff!$B$10),1,0)</f>
        <v>1</v>
      </c>
      <c r="R148" s="12" t="n">
        <f aca="false">IF(Q148=1,IF(K148&lt;=Cutoff!$B$10,1,0),0)</f>
        <v>0</v>
      </c>
      <c r="S148" s="12" t="n">
        <f aca="false">IF(N148=1,SUMIFS(Subscriptions!$D$2:$D$208,Subscriptions!$A$2:$A$208,C148,Subscriptions!$E$2:$E$208,1,Subscriptions!$B$2:$B$208,"&gt;="&amp;Cutoff!$B$24,Subscriptions!$B$2:$B$208,"&lt;"&amp;Cutoff!$B$25,Subscriptions!$B$2:$B$208,"&lt;="&amp;Cutoff!$B$10),0)</f>
        <v>936</v>
      </c>
    </row>
    <row r="149" customFormat="false" ht="15" hidden="false" customHeight="false" outlineLevel="0" collapsed="false">
      <c r="A149" s="4" t="s">
        <v>582</v>
      </c>
      <c r="B149" s="4" t="s">
        <v>288</v>
      </c>
      <c r="C149" s="4" t="s">
        <v>583</v>
      </c>
      <c r="D149" s="4" t="s">
        <v>52</v>
      </c>
      <c r="E149" s="4" t="n">
        <v>1778859659</v>
      </c>
      <c r="F149" s="4" t="n">
        <v>1778859062</v>
      </c>
      <c r="G149" s="4" t="n">
        <v>1778859065</v>
      </c>
      <c r="H149" s="4" t="n">
        <v>1778901593</v>
      </c>
      <c r="I149" s="4" t="n">
        <v>1778901613</v>
      </c>
      <c r="J149" s="4" t="n">
        <v>1778860772</v>
      </c>
      <c r="K149" s="4" t="n">
        <v>1000000000000000</v>
      </c>
      <c r="L149" s="12" t="n">
        <f aca="false">IF(AND(B149=Cutoff!$B$12,E149&lt;=Cutoff!$B$10),1,0)</f>
        <v>1</v>
      </c>
      <c r="M149" s="12" t="n">
        <f aca="false">IF(AND(L149=1,F149&lt;1000000000000000,G149&lt;=Cutoff!$B$10),1,0)</f>
        <v>1</v>
      </c>
      <c r="N149" s="12" t="n">
        <f aca="false">IF(AND(M149=1,F149+Cutoff!$B$16&lt;=Cutoff!$B$10),1,0)</f>
        <v>1</v>
      </c>
      <c r="O149" s="12" t="n">
        <f aca="false">IF(N149=1,IF(AND(H149&lt;1000000000000000,H149&gt;=MAX(F149,E149),H149&lt;F149+Cutoff!$B$16,I149&lt;=Cutoff!$B$10),1,0),0)</f>
        <v>1</v>
      </c>
      <c r="P149" s="12" t="n">
        <f aca="false">IF(AND(L149=1,J149&lt;=Cutoff!$B$10),1,0)</f>
        <v>1</v>
      </c>
      <c r="Q149" s="12" t="n">
        <f aca="false">IF(AND(N149=1,E149+Cutoff!$B$17&lt;=Cutoff!$B$10),1,0)</f>
        <v>1</v>
      </c>
      <c r="R149" s="12" t="n">
        <f aca="false">IF(Q149=1,IF(K149&lt;=Cutoff!$B$10,1,0),0)</f>
        <v>0</v>
      </c>
      <c r="S149" s="12" t="n">
        <f aca="false">IF(N149=1,SUMIFS(Subscriptions!$D$2:$D$208,Subscriptions!$A$2:$A$208,C149,Subscriptions!$E$2:$E$208,1,Subscriptions!$B$2:$B$208,"&gt;="&amp;Cutoff!$B$24,Subscriptions!$B$2:$B$208,"&lt;"&amp;Cutoff!$B$25,Subscriptions!$B$2:$B$208,"&lt;="&amp;Cutoff!$B$10),0)</f>
        <v>0</v>
      </c>
    </row>
    <row r="150" customFormat="false" ht="15" hidden="false" customHeight="false" outlineLevel="0" collapsed="false">
      <c r="A150" s="4" t="s">
        <v>584</v>
      </c>
      <c r="B150" s="4" t="s">
        <v>288</v>
      </c>
      <c r="C150" s="4" t="s">
        <v>585</v>
      </c>
      <c r="D150" s="4" t="s">
        <v>52</v>
      </c>
      <c r="E150" s="4" t="n">
        <v>1778861420</v>
      </c>
      <c r="F150" s="4" t="n">
        <v>1778861025</v>
      </c>
      <c r="G150" s="4" t="n">
        <v>1778861042</v>
      </c>
      <c r="H150" s="4" t="n">
        <v>1779426712</v>
      </c>
      <c r="I150" s="4" t="n">
        <v>1779426735</v>
      </c>
      <c r="J150" s="4" t="n">
        <v>1000000000000000</v>
      </c>
      <c r="K150" s="4" t="n">
        <v>1000000000000000</v>
      </c>
      <c r="L150" s="12" t="n">
        <f aca="false">IF(AND(B150=Cutoff!$B$12,E150&lt;=Cutoff!$B$10),1,0)</f>
        <v>1</v>
      </c>
      <c r="M150" s="12" t="n">
        <f aca="false">IF(AND(L150=1,F150&lt;1000000000000000,G150&lt;=Cutoff!$B$10),1,0)</f>
        <v>1</v>
      </c>
      <c r="N150" s="12" t="n">
        <f aca="false">IF(AND(M150=1,F150+Cutoff!$B$16&lt;=Cutoff!$B$10),1,0)</f>
        <v>1</v>
      </c>
      <c r="O150" s="12" t="n">
        <f aca="false">IF(N150=1,IF(AND(H150&lt;1000000000000000,H150&gt;=MAX(F150,E150),H150&lt;F150+Cutoff!$B$16,I150&lt;=Cutoff!$B$10),1,0),0)</f>
        <v>1</v>
      </c>
      <c r="P150" s="12" t="n">
        <f aca="false">IF(AND(L150=1,J150&lt;=Cutoff!$B$10),1,0)</f>
        <v>0</v>
      </c>
      <c r="Q150" s="12" t="n">
        <f aca="false">IF(AND(N150=1,E150+Cutoff!$B$17&lt;=Cutoff!$B$10),1,0)</f>
        <v>1</v>
      </c>
      <c r="R150" s="12" t="n">
        <f aca="false">IF(Q150=1,IF(K150&lt;=Cutoff!$B$10,1,0),0)</f>
        <v>0</v>
      </c>
      <c r="S150" s="12" t="n">
        <f aca="false">IF(N150=1,SUMIFS(Subscriptions!$D$2:$D$208,Subscriptions!$A$2:$A$208,C150,Subscriptions!$E$2:$E$208,1,Subscriptions!$B$2:$B$208,"&gt;="&amp;Cutoff!$B$24,Subscriptions!$B$2:$B$208,"&lt;"&amp;Cutoff!$B$25,Subscriptions!$B$2:$B$208,"&lt;="&amp;Cutoff!$B$10),0)</f>
        <v>0</v>
      </c>
    </row>
    <row r="151" customFormat="false" ht="15" hidden="false" customHeight="false" outlineLevel="0" collapsed="false">
      <c r="A151" s="4" t="s">
        <v>586</v>
      </c>
      <c r="B151" s="4" t="s">
        <v>288</v>
      </c>
      <c r="C151" s="4" t="s">
        <v>587</v>
      </c>
      <c r="D151" s="4" t="s">
        <v>51</v>
      </c>
      <c r="E151" s="4" t="n">
        <v>1778867467</v>
      </c>
      <c r="F151" s="4" t="n">
        <v>1778866872</v>
      </c>
      <c r="G151" s="4" t="n">
        <v>1778866885</v>
      </c>
      <c r="H151" s="4" t="n">
        <v>1778870157</v>
      </c>
      <c r="I151" s="4" t="n">
        <v>1778870259</v>
      </c>
      <c r="J151" s="4" t="n">
        <v>1778867513</v>
      </c>
      <c r="K151" s="4" t="n">
        <v>1000000000000000</v>
      </c>
      <c r="L151" s="12" t="n">
        <f aca="false">IF(AND(B151=Cutoff!$B$12,E151&lt;=Cutoff!$B$10),1,0)</f>
        <v>1</v>
      </c>
      <c r="M151" s="12" t="n">
        <f aca="false">IF(AND(L151=1,F151&lt;1000000000000000,G151&lt;=Cutoff!$B$10),1,0)</f>
        <v>1</v>
      </c>
      <c r="N151" s="12" t="n">
        <f aca="false">IF(AND(M151=1,F151+Cutoff!$B$16&lt;=Cutoff!$B$10),1,0)</f>
        <v>1</v>
      </c>
      <c r="O151" s="12" t="n">
        <f aca="false">IF(N151=1,IF(AND(H151&lt;1000000000000000,H151&gt;=MAX(F151,E151),H151&lt;F151+Cutoff!$B$16,I151&lt;=Cutoff!$B$10),1,0),0)</f>
        <v>1</v>
      </c>
      <c r="P151" s="12" t="n">
        <f aca="false">IF(AND(L151=1,J151&lt;=Cutoff!$B$10),1,0)</f>
        <v>1</v>
      </c>
      <c r="Q151" s="12" t="n">
        <f aca="false">IF(AND(N151=1,E151+Cutoff!$B$17&lt;=Cutoff!$B$10),1,0)</f>
        <v>1</v>
      </c>
      <c r="R151" s="12" t="n">
        <f aca="false">IF(Q151=1,IF(K151&lt;=Cutoff!$B$10,1,0),0)</f>
        <v>0</v>
      </c>
      <c r="S151" s="12" t="n">
        <f aca="false">IF(N151=1,SUMIFS(Subscriptions!$D$2:$D$208,Subscriptions!$A$2:$A$208,C151,Subscriptions!$E$2:$E$208,1,Subscriptions!$B$2:$B$208,"&gt;="&amp;Cutoff!$B$24,Subscriptions!$B$2:$B$208,"&lt;"&amp;Cutoff!$B$25,Subscriptions!$B$2:$B$208,"&lt;="&amp;Cutoff!$B$10),0)</f>
        <v>1482</v>
      </c>
    </row>
    <row r="152" customFormat="false" ht="15" hidden="false" customHeight="false" outlineLevel="0" collapsed="false">
      <c r="A152" s="4" t="s">
        <v>588</v>
      </c>
      <c r="B152" s="4" t="s">
        <v>288</v>
      </c>
      <c r="C152" s="4" t="s">
        <v>589</v>
      </c>
      <c r="D152" s="4" t="s">
        <v>52</v>
      </c>
      <c r="E152" s="4" t="n">
        <v>1778872675</v>
      </c>
      <c r="F152" s="4" t="n">
        <v>1778872552</v>
      </c>
      <c r="G152" s="4" t="n">
        <v>1778872564</v>
      </c>
      <c r="H152" s="4" t="n">
        <v>1778873069</v>
      </c>
      <c r="I152" s="4" t="n">
        <v>1778873074</v>
      </c>
      <c r="J152" s="4" t="n">
        <v>1778873149</v>
      </c>
      <c r="K152" s="4" t="n">
        <v>1000000000000000</v>
      </c>
      <c r="L152" s="12" t="n">
        <f aca="false">IF(AND(B152=Cutoff!$B$12,E152&lt;=Cutoff!$B$10),1,0)</f>
        <v>1</v>
      </c>
      <c r="M152" s="12" t="n">
        <f aca="false">IF(AND(L152=1,F152&lt;1000000000000000,G152&lt;=Cutoff!$B$10),1,0)</f>
        <v>1</v>
      </c>
      <c r="N152" s="12" t="n">
        <f aca="false">IF(AND(M152=1,F152+Cutoff!$B$16&lt;=Cutoff!$B$10),1,0)</f>
        <v>1</v>
      </c>
      <c r="O152" s="12" t="n">
        <f aca="false">IF(N152=1,IF(AND(H152&lt;1000000000000000,H152&gt;=MAX(F152,E152),H152&lt;F152+Cutoff!$B$16,I152&lt;=Cutoff!$B$10),1,0),0)</f>
        <v>1</v>
      </c>
      <c r="P152" s="12" t="n">
        <f aca="false">IF(AND(L152=1,J152&lt;=Cutoff!$B$10),1,0)</f>
        <v>1</v>
      </c>
      <c r="Q152" s="12" t="n">
        <f aca="false">IF(AND(N152=1,E152+Cutoff!$B$17&lt;=Cutoff!$B$10),1,0)</f>
        <v>1</v>
      </c>
      <c r="R152" s="12" t="n">
        <f aca="false">IF(Q152=1,IF(K152&lt;=Cutoff!$B$10,1,0),0)</f>
        <v>0</v>
      </c>
      <c r="S152" s="12" t="n">
        <f aca="false">IF(N152=1,SUMIFS(Subscriptions!$D$2:$D$208,Subscriptions!$A$2:$A$208,C152,Subscriptions!$E$2:$E$208,1,Subscriptions!$B$2:$B$208,"&gt;="&amp;Cutoff!$B$24,Subscriptions!$B$2:$B$208,"&lt;"&amp;Cutoff!$B$25,Subscriptions!$B$2:$B$208,"&lt;="&amp;Cutoff!$B$10),0)</f>
        <v>1443</v>
      </c>
    </row>
    <row r="153" customFormat="false" ht="15" hidden="false" customHeight="false" outlineLevel="0" collapsed="false">
      <c r="A153" s="4" t="s">
        <v>590</v>
      </c>
      <c r="B153" s="4" t="s">
        <v>288</v>
      </c>
      <c r="C153" s="4" t="s">
        <v>591</v>
      </c>
      <c r="D153" s="4" t="s">
        <v>51</v>
      </c>
      <c r="E153" s="4" t="n">
        <v>1778873541</v>
      </c>
      <c r="F153" s="4" t="n">
        <v>1778873312</v>
      </c>
      <c r="G153" s="4" t="n">
        <v>1778873329</v>
      </c>
      <c r="H153" s="4" t="n">
        <v>1779094097</v>
      </c>
      <c r="I153" s="4" t="n">
        <v>1779094117</v>
      </c>
      <c r="J153" s="4" t="n">
        <v>1778874403</v>
      </c>
      <c r="K153" s="4" t="n">
        <v>1778985059</v>
      </c>
      <c r="L153" s="12" t="n">
        <f aca="false">IF(AND(B153=Cutoff!$B$12,E153&lt;=Cutoff!$B$10),1,0)</f>
        <v>1</v>
      </c>
      <c r="M153" s="12" t="n">
        <f aca="false">IF(AND(L153=1,F153&lt;1000000000000000,G153&lt;=Cutoff!$B$10),1,0)</f>
        <v>1</v>
      </c>
      <c r="N153" s="12" t="n">
        <f aca="false">IF(AND(M153=1,F153+Cutoff!$B$16&lt;=Cutoff!$B$10),1,0)</f>
        <v>1</v>
      </c>
      <c r="O153" s="12" t="n">
        <f aca="false">IF(N153=1,IF(AND(H153&lt;1000000000000000,H153&gt;=MAX(F153,E153),H153&lt;F153+Cutoff!$B$16,I153&lt;=Cutoff!$B$10),1,0),0)</f>
        <v>1</v>
      </c>
      <c r="P153" s="12" t="n">
        <f aca="false">IF(AND(L153=1,J153&lt;=Cutoff!$B$10),1,0)</f>
        <v>1</v>
      </c>
      <c r="Q153" s="12" t="n">
        <f aca="false">IF(AND(N153=1,E153+Cutoff!$B$17&lt;=Cutoff!$B$10),1,0)</f>
        <v>1</v>
      </c>
      <c r="R153" s="12" t="n">
        <f aca="false">IF(Q153=1,IF(K153&lt;=Cutoff!$B$10,1,0),0)</f>
        <v>1</v>
      </c>
      <c r="S153" s="12" t="n">
        <f aca="false">IF(N153=1,SUMIFS(Subscriptions!$D$2:$D$208,Subscriptions!$A$2:$A$208,C153,Subscriptions!$E$2:$E$208,1,Subscriptions!$B$2:$B$208,"&gt;="&amp;Cutoff!$B$24,Subscriptions!$B$2:$B$208,"&lt;"&amp;Cutoff!$B$25,Subscriptions!$B$2:$B$208,"&lt;="&amp;Cutoff!$B$10),0)</f>
        <v>60</v>
      </c>
    </row>
    <row r="154" customFormat="false" ht="15" hidden="false" customHeight="false" outlineLevel="0" collapsed="false">
      <c r="A154" s="4" t="s">
        <v>592</v>
      </c>
      <c r="B154" s="4" t="s">
        <v>288</v>
      </c>
      <c r="C154" s="4" t="s">
        <v>593</v>
      </c>
      <c r="D154" s="4" t="s">
        <v>51</v>
      </c>
      <c r="E154" s="4" t="n">
        <v>1778874209</v>
      </c>
      <c r="F154" s="4" t="n">
        <v>1778874049</v>
      </c>
      <c r="G154" s="4" t="n">
        <v>1778874151</v>
      </c>
      <c r="H154" s="4" t="n">
        <v>1000000000000000</v>
      </c>
      <c r="I154" s="4" t="n">
        <v>1000000000000000</v>
      </c>
      <c r="J154" s="4" t="n">
        <v>1000000000000000</v>
      </c>
      <c r="K154" s="4" t="n">
        <v>1000000000000000</v>
      </c>
      <c r="L154" s="12" t="n">
        <f aca="false">IF(AND(B154=Cutoff!$B$12,E154&lt;=Cutoff!$B$10),1,0)</f>
        <v>1</v>
      </c>
      <c r="M154" s="12" t="n">
        <f aca="false">IF(AND(L154=1,F154&lt;1000000000000000,G154&lt;=Cutoff!$B$10),1,0)</f>
        <v>1</v>
      </c>
      <c r="N154" s="12" t="n">
        <f aca="false">IF(AND(M154=1,F154+Cutoff!$B$16&lt;=Cutoff!$B$10),1,0)</f>
        <v>1</v>
      </c>
      <c r="O154" s="12" t="n">
        <f aca="false">IF(N154=1,IF(AND(H154&lt;1000000000000000,H154&gt;=MAX(F154,E154),H154&lt;F154+Cutoff!$B$16,I154&lt;=Cutoff!$B$10),1,0),0)</f>
        <v>0</v>
      </c>
      <c r="P154" s="12" t="n">
        <f aca="false">IF(AND(L154=1,J154&lt;=Cutoff!$B$10),1,0)</f>
        <v>0</v>
      </c>
      <c r="Q154" s="12" t="n">
        <f aca="false">IF(AND(N154=1,E154+Cutoff!$B$17&lt;=Cutoff!$B$10),1,0)</f>
        <v>1</v>
      </c>
      <c r="R154" s="12" t="n">
        <f aca="false">IF(Q154=1,IF(K154&lt;=Cutoff!$B$10,1,0),0)</f>
        <v>0</v>
      </c>
      <c r="S154" s="12" t="n">
        <f aca="false">IF(N154=1,SUMIFS(Subscriptions!$D$2:$D$208,Subscriptions!$A$2:$A$208,C154,Subscriptions!$E$2:$E$208,1,Subscriptions!$B$2:$B$208,"&gt;="&amp;Cutoff!$B$24,Subscriptions!$B$2:$B$208,"&lt;"&amp;Cutoff!$B$25,Subscriptions!$B$2:$B$208,"&lt;="&amp;Cutoff!$B$10),0)</f>
        <v>0</v>
      </c>
    </row>
    <row r="155" customFormat="false" ht="15" hidden="false" customHeight="false" outlineLevel="0" collapsed="false">
      <c r="A155" s="4" t="s">
        <v>594</v>
      </c>
      <c r="B155" s="4" t="s">
        <v>288</v>
      </c>
      <c r="C155" s="4" t="s">
        <v>595</v>
      </c>
      <c r="D155" s="4" t="s">
        <v>52</v>
      </c>
      <c r="E155" s="4" t="n">
        <v>1778889518</v>
      </c>
      <c r="F155" s="4" t="n">
        <v>1778888991</v>
      </c>
      <c r="G155" s="4" t="n">
        <v>1778889000</v>
      </c>
      <c r="H155" s="4" t="n">
        <v>1778903891</v>
      </c>
      <c r="I155" s="4" t="n">
        <v>1778903894</v>
      </c>
      <c r="J155" s="4" t="n">
        <v>1000000000000000</v>
      </c>
      <c r="K155" s="4" t="n">
        <v>1000000000000000</v>
      </c>
      <c r="L155" s="12" t="n">
        <f aca="false">IF(AND(B155=Cutoff!$B$12,E155&lt;=Cutoff!$B$10),1,0)</f>
        <v>1</v>
      </c>
      <c r="M155" s="12" t="n">
        <f aca="false">IF(AND(L155=1,F155&lt;1000000000000000,G155&lt;=Cutoff!$B$10),1,0)</f>
        <v>1</v>
      </c>
      <c r="N155" s="12" t="n">
        <f aca="false">IF(AND(M155=1,F155+Cutoff!$B$16&lt;=Cutoff!$B$10),1,0)</f>
        <v>1</v>
      </c>
      <c r="O155" s="12" t="n">
        <f aca="false">IF(N155=1,IF(AND(H155&lt;1000000000000000,H155&gt;=MAX(F155,E155),H155&lt;F155+Cutoff!$B$16,I155&lt;=Cutoff!$B$10),1,0),0)</f>
        <v>1</v>
      </c>
      <c r="P155" s="12" t="n">
        <f aca="false">IF(AND(L155=1,J155&lt;=Cutoff!$B$10),1,0)</f>
        <v>0</v>
      </c>
      <c r="Q155" s="12" t="n">
        <f aca="false">IF(AND(N155=1,E155+Cutoff!$B$17&lt;=Cutoff!$B$10),1,0)</f>
        <v>1</v>
      </c>
      <c r="R155" s="12" t="n">
        <f aca="false">IF(Q155=1,IF(K155&lt;=Cutoff!$B$10,1,0),0)</f>
        <v>0</v>
      </c>
      <c r="S155" s="12" t="n">
        <f aca="false">IF(N155=1,SUMIFS(Subscriptions!$D$2:$D$208,Subscriptions!$A$2:$A$208,C155,Subscriptions!$E$2:$E$208,1,Subscriptions!$B$2:$B$208,"&gt;="&amp;Cutoff!$B$24,Subscriptions!$B$2:$B$208,"&lt;"&amp;Cutoff!$B$25,Subscriptions!$B$2:$B$208,"&lt;="&amp;Cutoff!$B$10),0)</f>
        <v>1014</v>
      </c>
    </row>
    <row r="156" customFormat="false" ht="15" hidden="false" customHeight="false" outlineLevel="0" collapsed="false">
      <c r="A156" s="4" t="s">
        <v>596</v>
      </c>
      <c r="B156" s="4" t="s">
        <v>288</v>
      </c>
      <c r="C156" s="4" t="s">
        <v>597</v>
      </c>
      <c r="D156" s="4" t="s">
        <v>52</v>
      </c>
      <c r="E156" s="4" t="n">
        <v>1778954623</v>
      </c>
      <c r="F156" s="4" t="n">
        <v>1778954117</v>
      </c>
      <c r="G156" s="4" t="n">
        <v>1778954140</v>
      </c>
      <c r="H156" s="4" t="n">
        <v>1000000000000000</v>
      </c>
      <c r="I156" s="4" t="n">
        <v>1000000000000000</v>
      </c>
      <c r="J156" s="4" t="n">
        <v>1778954686</v>
      </c>
      <c r="K156" s="4" t="n">
        <v>1778955200</v>
      </c>
      <c r="L156" s="12" t="n">
        <f aca="false">IF(AND(B156=Cutoff!$B$12,E156&lt;=Cutoff!$B$10),1,0)</f>
        <v>1</v>
      </c>
      <c r="M156" s="12" t="n">
        <f aca="false">IF(AND(L156=1,F156&lt;1000000000000000,G156&lt;=Cutoff!$B$10),1,0)</f>
        <v>1</v>
      </c>
      <c r="N156" s="12" t="n">
        <f aca="false">IF(AND(M156=1,F156+Cutoff!$B$16&lt;=Cutoff!$B$10),1,0)</f>
        <v>1</v>
      </c>
      <c r="O156" s="12" t="n">
        <f aca="false">IF(N156=1,IF(AND(H156&lt;1000000000000000,H156&gt;=MAX(F156,E156),H156&lt;F156+Cutoff!$B$16,I156&lt;=Cutoff!$B$10),1,0),0)</f>
        <v>0</v>
      </c>
      <c r="P156" s="12" t="n">
        <f aca="false">IF(AND(L156=1,J156&lt;=Cutoff!$B$10),1,0)</f>
        <v>1</v>
      </c>
      <c r="Q156" s="12" t="n">
        <f aca="false">IF(AND(N156=1,E156+Cutoff!$B$17&lt;=Cutoff!$B$10),1,0)</f>
        <v>1</v>
      </c>
      <c r="R156" s="12" t="n">
        <f aca="false">IF(Q156=1,IF(K156&lt;=Cutoff!$B$10,1,0),0)</f>
        <v>1</v>
      </c>
      <c r="S156" s="12" t="n">
        <f aca="false">IF(N156=1,SUMIFS(Subscriptions!$D$2:$D$208,Subscriptions!$A$2:$A$208,C156,Subscriptions!$E$2:$E$208,1,Subscriptions!$B$2:$B$208,"&gt;="&amp;Cutoff!$B$24,Subscriptions!$B$2:$B$208,"&lt;"&amp;Cutoff!$B$25,Subscriptions!$B$2:$B$208,"&lt;="&amp;Cutoff!$B$10),0)</f>
        <v>1092</v>
      </c>
    </row>
    <row r="157" customFormat="false" ht="15" hidden="false" customHeight="false" outlineLevel="0" collapsed="false">
      <c r="A157" s="4" t="s">
        <v>598</v>
      </c>
      <c r="B157" s="4" t="s">
        <v>288</v>
      </c>
      <c r="C157" s="4" t="s">
        <v>599</v>
      </c>
      <c r="D157" s="4" t="s">
        <v>51</v>
      </c>
      <c r="E157" s="4" t="n">
        <v>1779112210</v>
      </c>
      <c r="F157" s="4" t="n">
        <v>1779111912</v>
      </c>
      <c r="G157" s="4" t="n">
        <v>1779111936</v>
      </c>
      <c r="H157" s="4" t="n">
        <v>1000000000000000</v>
      </c>
      <c r="I157" s="4" t="n">
        <v>1000000000000000</v>
      </c>
      <c r="J157" s="4" t="n">
        <v>1779113050</v>
      </c>
      <c r="K157" s="4" t="n">
        <v>1779112304</v>
      </c>
      <c r="L157" s="12" t="n">
        <f aca="false">IF(AND(B157=Cutoff!$B$12,E157&lt;=Cutoff!$B$10),1,0)</f>
        <v>1</v>
      </c>
      <c r="M157" s="12" t="n">
        <f aca="false">IF(AND(L157=1,F157&lt;1000000000000000,G157&lt;=Cutoff!$B$10),1,0)</f>
        <v>1</v>
      </c>
      <c r="N157" s="12" t="n">
        <f aca="false">IF(AND(M157=1,F157+Cutoff!$B$16&lt;=Cutoff!$B$10),1,0)</f>
        <v>1</v>
      </c>
      <c r="O157" s="12" t="n">
        <f aca="false">IF(N157=1,IF(AND(H157&lt;1000000000000000,H157&gt;=MAX(F157,E157),H157&lt;F157+Cutoff!$B$16,I157&lt;=Cutoff!$B$10),1,0),0)</f>
        <v>0</v>
      </c>
      <c r="P157" s="12" t="n">
        <f aca="false">IF(AND(L157=1,J157&lt;=Cutoff!$B$10),1,0)</f>
        <v>1</v>
      </c>
      <c r="Q157" s="12" t="n">
        <f aca="false">IF(AND(N157=1,E157+Cutoff!$B$17&lt;=Cutoff!$B$10),1,0)</f>
        <v>1</v>
      </c>
      <c r="R157" s="12" t="n">
        <f aca="false">IF(Q157=1,IF(K157&lt;=Cutoff!$B$10,1,0),0)</f>
        <v>1</v>
      </c>
      <c r="S157" s="12" t="n">
        <f aca="false">IF(N157=1,SUMIFS(Subscriptions!$D$2:$D$208,Subscriptions!$A$2:$A$208,C157,Subscriptions!$E$2:$E$208,1,Subscriptions!$B$2:$B$208,"&gt;="&amp;Cutoff!$B$24,Subscriptions!$B$2:$B$208,"&lt;"&amp;Cutoff!$B$25,Subscriptions!$B$2:$B$208,"&lt;="&amp;Cutoff!$B$10),0)</f>
        <v>0</v>
      </c>
    </row>
    <row r="158" customFormat="false" ht="15" hidden="false" customHeight="false" outlineLevel="0" collapsed="false">
      <c r="A158" s="4" t="s">
        <v>600</v>
      </c>
      <c r="B158" s="4" t="s">
        <v>288</v>
      </c>
      <c r="C158" s="4" t="s">
        <v>601</v>
      </c>
      <c r="D158" s="4" t="s">
        <v>52</v>
      </c>
      <c r="E158" s="4" t="n">
        <v>1779127386</v>
      </c>
      <c r="F158" s="4" t="n">
        <v>1779126997</v>
      </c>
      <c r="G158" s="4" t="n">
        <v>1779127263</v>
      </c>
      <c r="H158" s="4" t="n">
        <v>1000000000000000</v>
      </c>
      <c r="I158" s="4" t="n">
        <v>1000000000000000</v>
      </c>
      <c r="J158" s="4" t="n">
        <v>1779128562</v>
      </c>
      <c r="K158" s="4" t="n">
        <v>1000000000000000</v>
      </c>
      <c r="L158" s="12" t="n">
        <f aca="false">IF(AND(B158=Cutoff!$B$12,E158&lt;=Cutoff!$B$10),1,0)</f>
        <v>1</v>
      </c>
      <c r="M158" s="12" t="n">
        <f aca="false">IF(AND(L158=1,F158&lt;1000000000000000,G158&lt;=Cutoff!$B$10),1,0)</f>
        <v>1</v>
      </c>
      <c r="N158" s="12" t="n">
        <f aca="false">IF(AND(M158=1,F158+Cutoff!$B$16&lt;=Cutoff!$B$10),1,0)</f>
        <v>1</v>
      </c>
      <c r="O158" s="12" t="n">
        <f aca="false">IF(N158=1,IF(AND(H158&lt;1000000000000000,H158&gt;=MAX(F158,E158),H158&lt;F158+Cutoff!$B$16,I158&lt;=Cutoff!$B$10),1,0),0)</f>
        <v>0</v>
      </c>
      <c r="P158" s="12" t="n">
        <f aca="false">IF(AND(L158=1,J158&lt;=Cutoff!$B$10),1,0)</f>
        <v>1</v>
      </c>
      <c r="Q158" s="12" t="n">
        <f aca="false">IF(AND(N158=1,E158+Cutoff!$B$17&lt;=Cutoff!$B$10),1,0)</f>
        <v>1</v>
      </c>
      <c r="R158" s="12" t="n">
        <f aca="false">IF(Q158=1,IF(K158&lt;=Cutoff!$B$10,1,0),0)</f>
        <v>0</v>
      </c>
      <c r="S158" s="12" t="n">
        <f aca="false">IF(N158=1,SUMIFS(Subscriptions!$D$2:$D$208,Subscriptions!$A$2:$A$208,C158,Subscriptions!$E$2:$E$208,1,Subscriptions!$B$2:$B$208,"&gt;="&amp;Cutoff!$B$24,Subscriptions!$B$2:$B$208,"&lt;"&amp;Cutoff!$B$25,Subscriptions!$B$2:$B$208,"&lt;="&amp;Cutoff!$B$10),0)</f>
        <v>0</v>
      </c>
    </row>
    <row r="159" customFormat="false" ht="15" hidden="false" customHeight="false" outlineLevel="0" collapsed="false">
      <c r="A159" s="4" t="s">
        <v>602</v>
      </c>
      <c r="B159" s="4" t="s">
        <v>288</v>
      </c>
      <c r="C159" s="4" t="s">
        <v>603</v>
      </c>
      <c r="D159" s="4" t="s">
        <v>51</v>
      </c>
      <c r="E159" s="4" t="n">
        <v>1779182789</v>
      </c>
      <c r="F159" s="4" t="n">
        <v>1779182654</v>
      </c>
      <c r="G159" s="4" t="n">
        <v>1779182656</v>
      </c>
      <c r="H159" s="4" t="n">
        <v>1779266286</v>
      </c>
      <c r="I159" s="4" t="n">
        <v>1779266294</v>
      </c>
      <c r="J159" s="4" t="n">
        <v>1779183563</v>
      </c>
      <c r="K159" s="4" t="n">
        <v>1000000000000000</v>
      </c>
      <c r="L159" s="12" t="n">
        <f aca="false">IF(AND(B159=Cutoff!$B$12,E159&lt;=Cutoff!$B$10),1,0)</f>
        <v>1</v>
      </c>
      <c r="M159" s="12" t="n">
        <f aca="false">IF(AND(L159=1,F159&lt;1000000000000000,G159&lt;=Cutoff!$B$10),1,0)</f>
        <v>1</v>
      </c>
      <c r="N159" s="12" t="n">
        <f aca="false">IF(AND(M159=1,F159+Cutoff!$B$16&lt;=Cutoff!$B$10),1,0)</f>
        <v>1</v>
      </c>
      <c r="O159" s="12" t="n">
        <f aca="false">IF(N159=1,IF(AND(H159&lt;1000000000000000,H159&gt;=MAX(F159,E159),H159&lt;F159+Cutoff!$B$16,I159&lt;=Cutoff!$B$10),1,0),0)</f>
        <v>1</v>
      </c>
      <c r="P159" s="12" t="n">
        <f aca="false">IF(AND(L159=1,J159&lt;=Cutoff!$B$10),1,0)</f>
        <v>1</v>
      </c>
      <c r="Q159" s="12" t="n">
        <f aca="false">IF(AND(N159=1,E159+Cutoff!$B$17&lt;=Cutoff!$B$10),1,0)</f>
        <v>1</v>
      </c>
      <c r="R159" s="12" t="n">
        <f aca="false">IF(Q159=1,IF(K159&lt;=Cutoff!$B$10,1,0),0)</f>
        <v>0</v>
      </c>
      <c r="S159" s="12" t="n">
        <f aca="false">IF(N159=1,SUMIFS(Subscriptions!$D$2:$D$208,Subscriptions!$A$2:$A$208,C159,Subscriptions!$E$2:$E$208,1,Subscriptions!$B$2:$B$208,"&gt;="&amp;Cutoff!$B$24,Subscriptions!$B$2:$B$208,"&lt;"&amp;Cutoff!$B$25,Subscriptions!$B$2:$B$208,"&lt;="&amp;Cutoff!$B$10),0)</f>
        <v>975</v>
      </c>
    </row>
    <row r="160" customFormat="false" ht="15" hidden="false" customHeight="false" outlineLevel="0" collapsed="false">
      <c r="A160" s="4" t="s">
        <v>604</v>
      </c>
      <c r="B160" s="4" t="s">
        <v>288</v>
      </c>
      <c r="C160" s="4" t="s">
        <v>605</v>
      </c>
      <c r="D160" s="4" t="s">
        <v>51</v>
      </c>
      <c r="E160" s="4" t="n">
        <v>1779203323</v>
      </c>
      <c r="F160" s="4" t="n">
        <v>1779203176</v>
      </c>
      <c r="G160" s="4" t="n">
        <v>1779203857</v>
      </c>
      <c r="H160" s="4" t="n">
        <v>1000000000000000</v>
      </c>
      <c r="I160" s="4" t="n">
        <v>1000000000000000</v>
      </c>
      <c r="J160" s="4" t="n">
        <v>1000000000000000</v>
      </c>
      <c r="K160" s="4" t="n">
        <v>1000000000000000</v>
      </c>
      <c r="L160" s="12" t="n">
        <f aca="false">IF(AND(B160=Cutoff!$B$12,E160&lt;=Cutoff!$B$10),1,0)</f>
        <v>1</v>
      </c>
      <c r="M160" s="12" t="n">
        <f aca="false">IF(AND(L160=1,F160&lt;1000000000000000,G160&lt;=Cutoff!$B$10),1,0)</f>
        <v>1</v>
      </c>
      <c r="N160" s="12" t="n">
        <f aca="false">IF(AND(M160=1,F160+Cutoff!$B$16&lt;=Cutoff!$B$10),1,0)</f>
        <v>1</v>
      </c>
      <c r="O160" s="12" t="n">
        <f aca="false">IF(N160=1,IF(AND(H160&lt;1000000000000000,H160&gt;=MAX(F160,E160),H160&lt;F160+Cutoff!$B$16,I160&lt;=Cutoff!$B$10),1,0),0)</f>
        <v>0</v>
      </c>
      <c r="P160" s="12" t="n">
        <f aca="false">IF(AND(L160=1,J160&lt;=Cutoff!$B$10),1,0)</f>
        <v>0</v>
      </c>
      <c r="Q160" s="12" t="n">
        <f aca="false">IF(AND(N160=1,E160+Cutoff!$B$17&lt;=Cutoff!$B$10),1,0)</f>
        <v>1</v>
      </c>
      <c r="R160" s="12" t="n">
        <f aca="false">IF(Q160=1,IF(K160&lt;=Cutoff!$B$10,1,0),0)</f>
        <v>0</v>
      </c>
      <c r="S160" s="12" t="n">
        <f aca="false">IF(N160=1,SUMIFS(Subscriptions!$D$2:$D$208,Subscriptions!$A$2:$A$208,C160,Subscriptions!$E$2:$E$208,1,Subscriptions!$B$2:$B$208,"&gt;="&amp;Cutoff!$B$24,Subscriptions!$B$2:$B$208,"&lt;"&amp;Cutoff!$B$25,Subscriptions!$B$2:$B$208,"&lt;="&amp;Cutoff!$B$10),0)</f>
        <v>0</v>
      </c>
    </row>
    <row r="161" customFormat="false" ht="15" hidden="false" customHeight="false" outlineLevel="0" collapsed="false">
      <c r="A161" s="4" t="s">
        <v>606</v>
      </c>
      <c r="B161" s="4" t="s">
        <v>288</v>
      </c>
      <c r="C161" s="4" t="s">
        <v>607</v>
      </c>
      <c r="D161" s="4" t="s">
        <v>52</v>
      </c>
      <c r="E161" s="4" t="n">
        <v>1779210274</v>
      </c>
      <c r="F161" s="4" t="n">
        <v>1779209760</v>
      </c>
      <c r="G161" s="4" t="n">
        <v>1779209782</v>
      </c>
      <c r="H161" s="4" t="n">
        <v>1779632871</v>
      </c>
      <c r="I161" s="4" t="n">
        <v>1779632878</v>
      </c>
      <c r="J161" s="4" t="n">
        <v>1779211117</v>
      </c>
      <c r="K161" s="4" t="n">
        <v>1000000000000000</v>
      </c>
      <c r="L161" s="12" t="n">
        <f aca="false">IF(AND(B161=Cutoff!$B$12,E161&lt;=Cutoff!$B$10),1,0)</f>
        <v>1</v>
      </c>
      <c r="M161" s="12" t="n">
        <f aca="false">IF(AND(L161=1,F161&lt;1000000000000000,G161&lt;=Cutoff!$B$10),1,0)</f>
        <v>1</v>
      </c>
      <c r="N161" s="12" t="n">
        <f aca="false">IF(AND(M161=1,F161+Cutoff!$B$16&lt;=Cutoff!$B$10),1,0)</f>
        <v>1</v>
      </c>
      <c r="O161" s="12" t="n">
        <f aca="false">IF(N161=1,IF(AND(H161&lt;1000000000000000,H161&gt;=MAX(F161,E161),H161&lt;F161+Cutoff!$B$16,I161&lt;=Cutoff!$B$10),1,0),0)</f>
        <v>1</v>
      </c>
      <c r="P161" s="12" t="n">
        <f aca="false">IF(AND(L161=1,J161&lt;=Cutoff!$B$10),1,0)</f>
        <v>1</v>
      </c>
      <c r="Q161" s="12" t="n">
        <f aca="false">IF(AND(N161=1,E161+Cutoff!$B$17&lt;=Cutoff!$B$10),1,0)</f>
        <v>1</v>
      </c>
      <c r="R161" s="12" t="n">
        <f aca="false">IF(Q161=1,IF(K161&lt;=Cutoff!$B$10,1,0),0)</f>
        <v>0</v>
      </c>
      <c r="S161" s="12" t="n">
        <f aca="false">IF(N161=1,SUMIFS(Subscriptions!$D$2:$D$208,Subscriptions!$A$2:$A$208,C161,Subscriptions!$E$2:$E$208,1,Subscriptions!$B$2:$B$208,"&gt;="&amp;Cutoff!$B$24,Subscriptions!$B$2:$B$208,"&lt;"&amp;Cutoff!$B$25,Subscriptions!$B$2:$B$208,"&lt;="&amp;Cutoff!$B$10),0)</f>
        <v>0</v>
      </c>
    </row>
    <row r="162" customFormat="false" ht="15" hidden="false" customHeight="false" outlineLevel="0" collapsed="false">
      <c r="A162" s="4" t="s">
        <v>608</v>
      </c>
      <c r="B162" s="4" t="s">
        <v>288</v>
      </c>
      <c r="C162" s="4" t="s">
        <v>609</v>
      </c>
      <c r="D162" s="4" t="s">
        <v>52</v>
      </c>
      <c r="E162" s="4" t="n">
        <v>1779220359</v>
      </c>
      <c r="F162" s="4" t="n">
        <v>1779220273</v>
      </c>
      <c r="G162" s="4" t="n">
        <v>1779220275</v>
      </c>
      <c r="H162" s="4" t="n">
        <v>1000000000000000</v>
      </c>
      <c r="I162" s="4" t="n">
        <v>1000000000000000</v>
      </c>
      <c r="J162" s="4" t="n">
        <v>1779220380</v>
      </c>
      <c r="K162" s="4" t="n">
        <v>1000000000000000</v>
      </c>
      <c r="L162" s="12" t="n">
        <f aca="false">IF(AND(B162=Cutoff!$B$12,E162&lt;=Cutoff!$B$10),1,0)</f>
        <v>1</v>
      </c>
      <c r="M162" s="12" t="n">
        <f aca="false">IF(AND(L162=1,F162&lt;1000000000000000,G162&lt;=Cutoff!$B$10),1,0)</f>
        <v>1</v>
      </c>
      <c r="N162" s="12" t="n">
        <f aca="false">IF(AND(M162=1,F162+Cutoff!$B$16&lt;=Cutoff!$B$10),1,0)</f>
        <v>1</v>
      </c>
      <c r="O162" s="12" t="n">
        <f aca="false">IF(N162=1,IF(AND(H162&lt;1000000000000000,H162&gt;=MAX(F162,E162),H162&lt;F162+Cutoff!$B$16,I162&lt;=Cutoff!$B$10),1,0),0)</f>
        <v>0</v>
      </c>
      <c r="P162" s="12" t="n">
        <f aca="false">IF(AND(L162=1,J162&lt;=Cutoff!$B$10),1,0)</f>
        <v>1</v>
      </c>
      <c r="Q162" s="12" t="n">
        <f aca="false">IF(AND(N162=1,E162+Cutoff!$B$17&lt;=Cutoff!$B$10),1,0)</f>
        <v>1</v>
      </c>
      <c r="R162" s="12" t="n">
        <f aca="false">IF(Q162=1,IF(K162&lt;=Cutoff!$B$10,1,0),0)</f>
        <v>0</v>
      </c>
      <c r="S162" s="12" t="n">
        <f aca="false">IF(N162=1,SUMIFS(Subscriptions!$D$2:$D$208,Subscriptions!$A$2:$A$208,C162,Subscriptions!$E$2:$E$208,1,Subscriptions!$B$2:$B$208,"&gt;="&amp;Cutoff!$B$24,Subscriptions!$B$2:$B$208,"&lt;"&amp;Cutoff!$B$25,Subscriptions!$B$2:$B$208,"&lt;="&amp;Cutoff!$B$10),0)</f>
        <v>0</v>
      </c>
    </row>
    <row r="163" customFormat="false" ht="15" hidden="false" customHeight="false" outlineLevel="0" collapsed="false">
      <c r="A163" s="4" t="s">
        <v>610</v>
      </c>
      <c r="B163" s="4" t="s">
        <v>288</v>
      </c>
      <c r="C163" s="4" t="s">
        <v>611</v>
      </c>
      <c r="D163" s="4" t="s">
        <v>51</v>
      </c>
      <c r="E163" s="4" t="n">
        <v>1779222432</v>
      </c>
      <c r="F163" s="4" t="n">
        <v>1779222371</v>
      </c>
      <c r="G163" s="4" t="n">
        <v>1779227983</v>
      </c>
      <c r="H163" s="4" t="n">
        <v>1779376792</v>
      </c>
      <c r="I163" s="4" t="n">
        <v>1779376815</v>
      </c>
      <c r="J163" s="4" t="n">
        <v>1779223495</v>
      </c>
      <c r="K163" s="4" t="n">
        <v>1779564630</v>
      </c>
      <c r="L163" s="12" t="n">
        <f aca="false">IF(AND(B163=Cutoff!$B$12,E163&lt;=Cutoff!$B$10),1,0)</f>
        <v>1</v>
      </c>
      <c r="M163" s="12" t="n">
        <f aca="false">IF(AND(L163=1,F163&lt;1000000000000000,G163&lt;=Cutoff!$B$10),1,0)</f>
        <v>1</v>
      </c>
      <c r="N163" s="12" t="n">
        <f aca="false">IF(AND(M163=1,F163+Cutoff!$B$16&lt;=Cutoff!$B$10),1,0)</f>
        <v>1</v>
      </c>
      <c r="O163" s="12" t="n">
        <f aca="false">IF(N163=1,IF(AND(H163&lt;1000000000000000,H163&gt;=MAX(F163,E163),H163&lt;F163+Cutoff!$B$16,I163&lt;=Cutoff!$B$10),1,0),0)</f>
        <v>1</v>
      </c>
      <c r="P163" s="12" t="n">
        <f aca="false">IF(AND(L163=1,J163&lt;=Cutoff!$B$10),1,0)</f>
        <v>1</v>
      </c>
      <c r="Q163" s="12" t="n">
        <f aca="false">IF(AND(N163=1,E163+Cutoff!$B$17&lt;=Cutoff!$B$10),1,0)</f>
        <v>1</v>
      </c>
      <c r="R163" s="12" t="n">
        <f aca="false">IF(Q163=1,IF(K163&lt;=Cutoff!$B$10,1,0),0)</f>
        <v>1</v>
      </c>
      <c r="S163" s="12" t="n">
        <f aca="false">IF(N163=1,SUMIFS(Subscriptions!$D$2:$D$208,Subscriptions!$A$2:$A$208,C163,Subscriptions!$E$2:$E$208,1,Subscriptions!$B$2:$B$208,"&gt;="&amp;Cutoff!$B$24,Subscriptions!$B$2:$B$208,"&lt;"&amp;Cutoff!$B$25,Subscriptions!$B$2:$B$208,"&lt;="&amp;Cutoff!$B$10),0)</f>
        <v>0</v>
      </c>
    </row>
    <row r="164" customFormat="false" ht="15" hidden="false" customHeight="false" outlineLevel="0" collapsed="false">
      <c r="A164" s="4" t="s">
        <v>612</v>
      </c>
      <c r="B164" s="4" t="s">
        <v>288</v>
      </c>
      <c r="C164" s="4" t="s">
        <v>613</v>
      </c>
      <c r="D164" s="4" t="s">
        <v>52</v>
      </c>
      <c r="E164" s="4" t="n">
        <v>1779278199</v>
      </c>
      <c r="F164" s="4" t="n">
        <v>1779277932</v>
      </c>
      <c r="G164" s="4" t="n">
        <v>1779279415</v>
      </c>
      <c r="H164" s="4" t="n">
        <v>1000000000000000</v>
      </c>
      <c r="I164" s="4" t="n">
        <v>1000000000000000</v>
      </c>
      <c r="J164" s="4" t="n">
        <v>1779278318</v>
      </c>
      <c r="K164" s="4" t="n">
        <v>1000000000000000</v>
      </c>
      <c r="L164" s="12" t="n">
        <f aca="false">IF(AND(B164=Cutoff!$B$12,E164&lt;=Cutoff!$B$10),1,0)</f>
        <v>1</v>
      </c>
      <c r="M164" s="12" t="n">
        <f aca="false">IF(AND(L164=1,F164&lt;1000000000000000,G164&lt;=Cutoff!$B$10),1,0)</f>
        <v>1</v>
      </c>
      <c r="N164" s="12" t="n">
        <f aca="false">IF(AND(M164=1,F164+Cutoff!$B$16&lt;=Cutoff!$B$10),1,0)</f>
        <v>1</v>
      </c>
      <c r="O164" s="12" t="n">
        <f aca="false">IF(N164=1,IF(AND(H164&lt;1000000000000000,H164&gt;=MAX(F164,E164),H164&lt;F164+Cutoff!$B$16,I164&lt;=Cutoff!$B$10),1,0),0)</f>
        <v>0</v>
      </c>
      <c r="P164" s="12" t="n">
        <f aca="false">IF(AND(L164=1,J164&lt;=Cutoff!$B$10),1,0)</f>
        <v>1</v>
      </c>
      <c r="Q164" s="12" t="n">
        <f aca="false">IF(AND(N164=1,E164+Cutoff!$B$17&lt;=Cutoff!$B$10),1,0)</f>
        <v>1</v>
      </c>
      <c r="R164" s="12" t="n">
        <f aca="false">IF(Q164=1,IF(K164&lt;=Cutoff!$B$10,1,0),0)</f>
        <v>0</v>
      </c>
      <c r="S164" s="12" t="n">
        <f aca="false">IF(N164=1,SUMIFS(Subscriptions!$D$2:$D$208,Subscriptions!$A$2:$A$208,C164,Subscriptions!$E$2:$E$208,1,Subscriptions!$B$2:$B$208,"&gt;="&amp;Cutoff!$B$24,Subscriptions!$B$2:$B$208,"&lt;"&amp;Cutoff!$B$25,Subscriptions!$B$2:$B$208,"&lt;="&amp;Cutoff!$B$10),0)</f>
        <v>0</v>
      </c>
    </row>
    <row r="165" customFormat="false" ht="15" hidden="false" customHeight="false" outlineLevel="0" collapsed="false">
      <c r="A165" s="4" t="s">
        <v>614</v>
      </c>
      <c r="B165" s="4" t="s">
        <v>288</v>
      </c>
      <c r="C165" s="4" t="s">
        <v>615</v>
      </c>
      <c r="D165" s="4" t="s">
        <v>51</v>
      </c>
      <c r="E165" s="4" t="n">
        <v>1779283714</v>
      </c>
      <c r="F165" s="4" t="n">
        <v>1779283487</v>
      </c>
      <c r="G165" s="4" t="n">
        <v>1779284352</v>
      </c>
      <c r="H165" s="4" t="n">
        <v>1779333505</v>
      </c>
      <c r="I165" s="4" t="n">
        <v>1779333509</v>
      </c>
      <c r="J165" s="4" t="n">
        <v>1779284468</v>
      </c>
      <c r="K165" s="4" t="n">
        <v>1000000000000000</v>
      </c>
      <c r="L165" s="12" t="n">
        <f aca="false">IF(AND(B165=Cutoff!$B$12,E165&lt;=Cutoff!$B$10),1,0)</f>
        <v>1</v>
      </c>
      <c r="M165" s="12" t="n">
        <f aca="false">IF(AND(L165=1,F165&lt;1000000000000000,G165&lt;=Cutoff!$B$10),1,0)</f>
        <v>1</v>
      </c>
      <c r="N165" s="12" t="n">
        <f aca="false">IF(AND(M165=1,F165+Cutoff!$B$16&lt;=Cutoff!$B$10),1,0)</f>
        <v>1</v>
      </c>
      <c r="O165" s="12" t="n">
        <f aca="false">IF(N165=1,IF(AND(H165&lt;1000000000000000,H165&gt;=MAX(F165,E165),H165&lt;F165+Cutoff!$B$16,I165&lt;=Cutoff!$B$10),1,0),0)</f>
        <v>1</v>
      </c>
      <c r="P165" s="12" t="n">
        <f aca="false">IF(AND(L165=1,J165&lt;=Cutoff!$B$10),1,0)</f>
        <v>1</v>
      </c>
      <c r="Q165" s="12" t="n">
        <f aca="false">IF(AND(N165=1,E165+Cutoff!$B$17&lt;=Cutoff!$B$10),1,0)</f>
        <v>1</v>
      </c>
      <c r="R165" s="12" t="n">
        <f aca="false">IF(Q165=1,IF(K165&lt;=Cutoff!$B$10,1,0),0)</f>
        <v>0</v>
      </c>
      <c r="S165" s="12" t="n">
        <f aca="false">IF(N165=1,SUMIFS(Subscriptions!$D$2:$D$208,Subscriptions!$A$2:$A$208,C165,Subscriptions!$E$2:$E$208,1,Subscriptions!$B$2:$B$208,"&gt;="&amp;Cutoff!$B$24,Subscriptions!$B$2:$B$208,"&lt;"&amp;Cutoff!$B$25,Subscriptions!$B$2:$B$208,"&lt;="&amp;Cutoff!$B$10),0)</f>
        <v>0</v>
      </c>
    </row>
    <row r="166" customFormat="false" ht="15" hidden="false" customHeight="false" outlineLevel="0" collapsed="false">
      <c r="A166" s="4" t="s">
        <v>616</v>
      </c>
      <c r="B166" s="4" t="s">
        <v>288</v>
      </c>
      <c r="C166" s="4" t="s">
        <v>617</v>
      </c>
      <c r="D166" s="4" t="s">
        <v>51</v>
      </c>
      <c r="E166" s="4" t="n">
        <v>1779289644</v>
      </c>
      <c r="F166" s="4" t="n">
        <v>1779289539</v>
      </c>
      <c r="G166" s="4" t="n">
        <v>1779289545</v>
      </c>
      <c r="H166" s="4" t="n">
        <v>1779293096</v>
      </c>
      <c r="I166" s="4" t="n">
        <v>1779293121</v>
      </c>
      <c r="J166" s="4" t="n">
        <v>1000000000000000</v>
      </c>
      <c r="K166" s="4" t="n">
        <v>1000000000000000</v>
      </c>
      <c r="L166" s="12" t="n">
        <f aca="false">IF(AND(B166=Cutoff!$B$12,E166&lt;=Cutoff!$B$10),1,0)</f>
        <v>1</v>
      </c>
      <c r="M166" s="12" t="n">
        <f aca="false">IF(AND(L166=1,F166&lt;1000000000000000,G166&lt;=Cutoff!$B$10),1,0)</f>
        <v>1</v>
      </c>
      <c r="N166" s="12" t="n">
        <f aca="false">IF(AND(M166=1,F166+Cutoff!$B$16&lt;=Cutoff!$B$10),1,0)</f>
        <v>1</v>
      </c>
      <c r="O166" s="12" t="n">
        <f aca="false">IF(N166=1,IF(AND(H166&lt;1000000000000000,H166&gt;=MAX(F166,E166),H166&lt;F166+Cutoff!$B$16,I166&lt;=Cutoff!$B$10),1,0),0)</f>
        <v>1</v>
      </c>
      <c r="P166" s="12" t="n">
        <f aca="false">IF(AND(L166=1,J166&lt;=Cutoff!$B$10),1,0)</f>
        <v>0</v>
      </c>
      <c r="Q166" s="12" t="n">
        <f aca="false">IF(AND(N166=1,E166+Cutoff!$B$17&lt;=Cutoff!$B$10),1,0)</f>
        <v>1</v>
      </c>
      <c r="R166" s="12" t="n">
        <f aca="false">IF(Q166=1,IF(K166&lt;=Cutoff!$B$10,1,0),0)</f>
        <v>0</v>
      </c>
      <c r="S166" s="12" t="n">
        <f aca="false">IF(N166=1,SUMIFS(Subscriptions!$D$2:$D$208,Subscriptions!$A$2:$A$208,C166,Subscriptions!$E$2:$E$208,1,Subscriptions!$B$2:$B$208,"&gt;="&amp;Cutoff!$B$24,Subscriptions!$B$2:$B$208,"&lt;"&amp;Cutoff!$B$25,Subscriptions!$B$2:$B$208,"&lt;="&amp;Cutoff!$B$10),0)</f>
        <v>0</v>
      </c>
    </row>
    <row r="167" customFormat="false" ht="15" hidden="false" customHeight="false" outlineLevel="0" collapsed="false">
      <c r="A167" s="4" t="s">
        <v>618</v>
      </c>
      <c r="B167" s="4" t="s">
        <v>288</v>
      </c>
      <c r="C167" s="4" t="s">
        <v>619</v>
      </c>
      <c r="D167" s="4" t="s">
        <v>52</v>
      </c>
      <c r="E167" s="4" t="n">
        <v>1779292030</v>
      </c>
      <c r="F167" s="4" t="n">
        <v>1779291450</v>
      </c>
      <c r="G167" s="4" t="n">
        <v>1779291466</v>
      </c>
      <c r="H167" s="4" t="n">
        <v>1000000000000000</v>
      </c>
      <c r="I167" s="4" t="n">
        <v>1000000000000000</v>
      </c>
      <c r="J167" s="4" t="n">
        <v>1000000000000000</v>
      </c>
      <c r="K167" s="4" t="n">
        <v>1000000000000000</v>
      </c>
      <c r="L167" s="12" t="n">
        <f aca="false">IF(AND(B167=Cutoff!$B$12,E167&lt;=Cutoff!$B$10),1,0)</f>
        <v>1</v>
      </c>
      <c r="M167" s="12" t="n">
        <f aca="false">IF(AND(L167=1,F167&lt;1000000000000000,G167&lt;=Cutoff!$B$10),1,0)</f>
        <v>1</v>
      </c>
      <c r="N167" s="12" t="n">
        <f aca="false">IF(AND(M167=1,F167+Cutoff!$B$16&lt;=Cutoff!$B$10),1,0)</f>
        <v>1</v>
      </c>
      <c r="O167" s="12" t="n">
        <f aca="false">IF(N167=1,IF(AND(H167&lt;1000000000000000,H167&gt;=MAX(F167,E167),H167&lt;F167+Cutoff!$B$16,I167&lt;=Cutoff!$B$10),1,0),0)</f>
        <v>0</v>
      </c>
      <c r="P167" s="12" t="n">
        <f aca="false">IF(AND(L167=1,J167&lt;=Cutoff!$B$10),1,0)</f>
        <v>0</v>
      </c>
      <c r="Q167" s="12" t="n">
        <f aca="false">IF(AND(N167=1,E167+Cutoff!$B$17&lt;=Cutoff!$B$10),1,0)</f>
        <v>1</v>
      </c>
      <c r="R167" s="12" t="n">
        <f aca="false">IF(Q167=1,IF(K167&lt;=Cutoff!$B$10,1,0),0)</f>
        <v>0</v>
      </c>
      <c r="S167" s="12" t="n">
        <f aca="false">IF(N167=1,SUMIFS(Subscriptions!$D$2:$D$208,Subscriptions!$A$2:$A$208,C167,Subscriptions!$E$2:$E$208,1,Subscriptions!$B$2:$B$208,"&gt;="&amp;Cutoff!$B$24,Subscriptions!$B$2:$B$208,"&lt;"&amp;Cutoff!$B$25,Subscriptions!$B$2:$B$208,"&lt;="&amp;Cutoff!$B$10),0)</f>
        <v>84</v>
      </c>
    </row>
    <row r="168" customFormat="false" ht="15" hidden="false" customHeight="false" outlineLevel="0" collapsed="false">
      <c r="A168" s="4" t="s">
        <v>620</v>
      </c>
      <c r="B168" s="4" t="s">
        <v>288</v>
      </c>
      <c r="C168" s="4" t="s">
        <v>621</v>
      </c>
      <c r="D168" s="4" t="s">
        <v>52</v>
      </c>
      <c r="E168" s="4" t="n">
        <v>1779306539</v>
      </c>
      <c r="F168" s="4" t="n">
        <v>1779306281</v>
      </c>
      <c r="G168" s="4" t="n">
        <v>1779306287</v>
      </c>
      <c r="H168" s="4" t="n">
        <v>1000000000000000</v>
      </c>
      <c r="I168" s="4" t="n">
        <v>1000000000000000</v>
      </c>
      <c r="J168" s="4" t="n">
        <v>1779307414</v>
      </c>
      <c r="K168" s="4" t="n">
        <v>1779306777</v>
      </c>
      <c r="L168" s="12" t="n">
        <f aca="false">IF(AND(B168=Cutoff!$B$12,E168&lt;=Cutoff!$B$10),1,0)</f>
        <v>1</v>
      </c>
      <c r="M168" s="12" t="n">
        <f aca="false">IF(AND(L168=1,F168&lt;1000000000000000,G168&lt;=Cutoff!$B$10),1,0)</f>
        <v>1</v>
      </c>
      <c r="N168" s="12" t="n">
        <f aca="false">IF(AND(M168=1,F168+Cutoff!$B$16&lt;=Cutoff!$B$10),1,0)</f>
        <v>1</v>
      </c>
      <c r="O168" s="12" t="n">
        <f aca="false">IF(N168=1,IF(AND(H168&lt;1000000000000000,H168&gt;=MAX(F168,E168),H168&lt;F168+Cutoff!$B$16,I168&lt;=Cutoff!$B$10),1,0),0)</f>
        <v>0</v>
      </c>
      <c r="P168" s="12" t="n">
        <f aca="false">IF(AND(L168=1,J168&lt;=Cutoff!$B$10),1,0)</f>
        <v>1</v>
      </c>
      <c r="Q168" s="12" t="n">
        <f aca="false">IF(AND(N168=1,E168+Cutoff!$B$17&lt;=Cutoff!$B$10),1,0)</f>
        <v>1</v>
      </c>
      <c r="R168" s="12" t="n">
        <f aca="false">IF(Q168=1,IF(K168&lt;=Cutoff!$B$10,1,0),0)</f>
        <v>1</v>
      </c>
      <c r="S168" s="12" t="n">
        <f aca="false">IF(N168=1,SUMIFS(Subscriptions!$D$2:$D$208,Subscriptions!$A$2:$A$208,C168,Subscriptions!$E$2:$E$208,1,Subscriptions!$B$2:$B$208,"&gt;="&amp;Cutoff!$B$24,Subscriptions!$B$2:$B$208,"&lt;"&amp;Cutoff!$B$25,Subscriptions!$B$2:$B$208,"&lt;="&amp;Cutoff!$B$10),0)</f>
        <v>0</v>
      </c>
    </row>
    <row r="169" customFormat="false" ht="15" hidden="false" customHeight="false" outlineLevel="0" collapsed="false">
      <c r="A169" s="4" t="s">
        <v>622</v>
      </c>
      <c r="B169" s="4" t="s">
        <v>288</v>
      </c>
      <c r="C169" s="4" t="s">
        <v>623</v>
      </c>
      <c r="D169" s="4" t="s">
        <v>51</v>
      </c>
      <c r="E169" s="4" t="n">
        <v>1779319271</v>
      </c>
      <c r="F169" s="4" t="n">
        <v>1779319174</v>
      </c>
      <c r="G169" s="4" t="n">
        <v>1779319195</v>
      </c>
      <c r="H169" s="4" t="n">
        <v>1000000000000000</v>
      </c>
      <c r="I169" s="4" t="n">
        <v>1000000000000000</v>
      </c>
      <c r="J169" s="4" t="n">
        <v>1779320300</v>
      </c>
      <c r="K169" s="4" t="n">
        <v>1000000000000000</v>
      </c>
      <c r="L169" s="12" t="n">
        <f aca="false">IF(AND(B169=Cutoff!$B$12,E169&lt;=Cutoff!$B$10),1,0)</f>
        <v>1</v>
      </c>
      <c r="M169" s="12" t="n">
        <f aca="false">IF(AND(L169=1,F169&lt;1000000000000000,G169&lt;=Cutoff!$B$10),1,0)</f>
        <v>1</v>
      </c>
      <c r="N169" s="12" t="n">
        <f aca="false">IF(AND(M169=1,F169+Cutoff!$B$16&lt;=Cutoff!$B$10),1,0)</f>
        <v>1</v>
      </c>
      <c r="O169" s="12" t="n">
        <f aca="false">IF(N169=1,IF(AND(H169&lt;1000000000000000,H169&gt;=MAX(F169,E169),H169&lt;F169+Cutoff!$B$16,I169&lt;=Cutoff!$B$10),1,0),0)</f>
        <v>0</v>
      </c>
      <c r="P169" s="12" t="n">
        <f aca="false">IF(AND(L169=1,J169&lt;=Cutoff!$B$10),1,0)</f>
        <v>1</v>
      </c>
      <c r="Q169" s="12" t="n">
        <f aca="false">IF(AND(N169=1,E169+Cutoff!$B$17&lt;=Cutoff!$B$10),1,0)</f>
        <v>1</v>
      </c>
      <c r="R169" s="12" t="n">
        <f aca="false">IF(Q169=1,IF(K169&lt;=Cutoff!$B$10,1,0),0)</f>
        <v>0</v>
      </c>
      <c r="S169" s="12" t="n">
        <f aca="false">IF(N169=1,SUMIFS(Subscriptions!$D$2:$D$208,Subscriptions!$A$2:$A$208,C169,Subscriptions!$E$2:$E$208,1,Subscriptions!$B$2:$B$208,"&gt;="&amp;Cutoff!$B$24,Subscriptions!$B$2:$B$208,"&lt;"&amp;Cutoff!$B$25,Subscriptions!$B$2:$B$208,"&lt;="&amp;Cutoff!$B$10),0)</f>
        <v>0</v>
      </c>
    </row>
    <row r="170" customFormat="false" ht="15" hidden="false" customHeight="false" outlineLevel="0" collapsed="false">
      <c r="A170" s="4" t="s">
        <v>624</v>
      </c>
      <c r="B170" s="4" t="s">
        <v>288</v>
      </c>
      <c r="C170" s="4" t="s">
        <v>625</v>
      </c>
      <c r="D170" s="4" t="s">
        <v>51</v>
      </c>
      <c r="E170" s="4" t="n">
        <v>1779355617</v>
      </c>
      <c r="F170" s="4" t="n">
        <v>1779355178</v>
      </c>
      <c r="G170" s="4" t="n">
        <v>1779355472</v>
      </c>
      <c r="H170" s="4" t="n">
        <v>1779409278</v>
      </c>
      <c r="I170" s="4" t="n">
        <v>1779409538</v>
      </c>
      <c r="J170" s="4" t="n">
        <v>1779356631</v>
      </c>
      <c r="K170" s="4" t="n">
        <v>1000000000000000</v>
      </c>
      <c r="L170" s="12" t="n">
        <f aca="false">IF(AND(B170=Cutoff!$B$12,E170&lt;=Cutoff!$B$10),1,0)</f>
        <v>1</v>
      </c>
      <c r="M170" s="12" t="n">
        <f aca="false">IF(AND(L170=1,F170&lt;1000000000000000,G170&lt;=Cutoff!$B$10),1,0)</f>
        <v>1</v>
      </c>
      <c r="N170" s="12" t="n">
        <f aca="false">IF(AND(M170=1,F170+Cutoff!$B$16&lt;=Cutoff!$B$10),1,0)</f>
        <v>1</v>
      </c>
      <c r="O170" s="12" t="n">
        <f aca="false">IF(N170=1,IF(AND(H170&lt;1000000000000000,H170&gt;=MAX(F170,E170),H170&lt;F170+Cutoff!$B$16,I170&lt;=Cutoff!$B$10),1,0),0)</f>
        <v>1</v>
      </c>
      <c r="P170" s="12" t="n">
        <f aca="false">IF(AND(L170=1,J170&lt;=Cutoff!$B$10),1,0)</f>
        <v>1</v>
      </c>
      <c r="Q170" s="12" t="n">
        <f aca="false">IF(AND(N170=1,E170+Cutoff!$B$17&lt;=Cutoff!$B$10),1,0)</f>
        <v>1</v>
      </c>
      <c r="R170" s="12" t="n">
        <f aca="false">IF(Q170=1,IF(K170&lt;=Cutoff!$B$10,1,0),0)</f>
        <v>0</v>
      </c>
      <c r="S170" s="12" t="n">
        <f aca="false">IF(N170=1,SUMIFS(Subscriptions!$D$2:$D$208,Subscriptions!$A$2:$A$208,C170,Subscriptions!$E$2:$E$208,1,Subscriptions!$B$2:$B$208,"&gt;="&amp;Cutoff!$B$24,Subscriptions!$B$2:$B$208,"&lt;"&amp;Cutoff!$B$25,Subscriptions!$B$2:$B$208,"&lt;="&amp;Cutoff!$B$10),0)</f>
        <v>0</v>
      </c>
    </row>
    <row r="171" customFormat="false" ht="15" hidden="false" customHeight="false" outlineLevel="0" collapsed="false">
      <c r="A171" s="4" t="s">
        <v>626</v>
      </c>
      <c r="B171" s="4" t="s">
        <v>288</v>
      </c>
      <c r="C171" s="4" t="s">
        <v>627</v>
      </c>
      <c r="D171" s="4" t="s">
        <v>52</v>
      </c>
      <c r="E171" s="4" t="n">
        <v>1779378907</v>
      </c>
      <c r="F171" s="4" t="n">
        <v>1779378383</v>
      </c>
      <c r="G171" s="4" t="n">
        <v>1779379719</v>
      </c>
      <c r="H171" s="4" t="n">
        <v>1000000000000000</v>
      </c>
      <c r="I171" s="4" t="n">
        <v>1000000000000000</v>
      </c>
      <c r="J171" s="4" t="n">
        <v>1779379448</v>
      </c>
      <c r="K171" s="4" t="n">
        <v>1779464345</v>
      </c>
      <c r="L171" s="12" t="n">
        <f aca="false">IF(AND(B171=Cutoff!$B$12,E171&lt;=Cutoff!$B$10),1,0)</f>
        <v>1</v>
      </c>
      <c r="M171" s="12" t="n">
        <f aca="false">IF(AND(L171=1,F171&lt;1000000000000000,G171&lt;=Cutoff!$B$10),1,0)</f>
        <v>1</v>
      </c>
      <c r="N171" s="12" t="n">
        <f aca="false">IF(AND(M171=1,F171+Cutoff!$B$16&lt;=Cutoff!$B$10),1,0)</f>
        <v>1</v>
      </c>
      <c r="O171" s="12" t="n">
        <f aca="false">IF(N171=1,IF(AND(H171&lt;1000000000000000,H171&gt;=MAX(F171,E171),H171&lt;F171+Cutoff!$B$16,I171&lt;=Cutoff!$B$10),1,0),0)</f>
        <v>0</v>
      </c>
      <c r="P171" s="12" t="n">
        <f aca="false">IF(AND(L171=1,J171&lt;=Cutoff!$B$10),1,0)</f>
        <v>1</v>
      </c>
      <c r="Q171" s="12" t="n">
        <f aca="false">IF(AND(N171=1,E171+Cutoff!$B$17&lt;=Cutoff!$B$10),1,0)</f>
        <v>1</v>
      </c>
      <c r="R171" s="12" t="n">
        <f aca="false">IF(Q171=1,IF(K171&lt;=Cutoff!$B$10,1,0),0)</f>
        <v>1</v>
      </c>
      <c r="S171" s="12" t="n">
        <f aca="false">IF(N171=1,SUMIFS(Subscriptions!$D$2:$D$208,Subscriptions!$A$2:$A$208,C171,Subscriptions!$E$2:$E$208,1,Subscriptions!$B$2:$B$208,"&gt;="&amp;Cutoff!$B$24,Subscriptions!$B$2:$B$208,"&lt;"&amp;Cutoff!$B$25,Subscriptions!$B$2:$B$208,"&lt;="&amp;Cutoff!$B$10),0)</f>
        <v>312</v>
      </c>
    </row>
    <row r="172" customFormat="false" ht="15" hidden="false" customHeight="false" outlineLevel="0" collapsed="false">
      <c r="A172" s="4" t="s">
        <v>628</v>
      </c>
      <c r="B172" s="4" t="s">
        <v>288</v>
      </c>
      <c r="C172" s="4" t="s">
        <v>629</v>
      </c>
      <c r="D172" s="4" t="s">
        <v>51</v>
      </c>
      <c r="E172" s="4" t="n">
        <v>1779393048</v>
      </c>
      <c r="F172" s="4" t="n">
        <v>1779392526</v>
      </c>
      <c r="G172" s="4" t="n">
        <v>1779392548</v>
      </c>
      <c r="H172" s="4" t="n">
        <v>1000000000000000</v>
      </c>
      <c r="I172" s="4" t="n">
        <v>1000000000000000</v>
      </c>
      <c r="J172" s="4" t="n">
        <v>1000000000000000</v>
      </c>
      <c r="K172" s="4" t="n">
        <v>1000000000000000</v>
      </c>
      <c r="L172" s="12" t="n">
        <f aca="false">IF(AND(B172=Cutoff!$B$12,E172&lt;=Cutoff!$B$10),1,0)</f>
        <v>1</v>
      </c>
      <c r="M172" s="12" t="n">
        <f aca="false">IF(AND(L172=1,F172&lt;1000000000000000,G172&lt;=Cutoff!$B$10),1,0)</f>
        <v>1</v>
      </c>
      <c r="N172" s="12" t="n">
        <f aca="false">IF(AND(M172=1,F172+Cutoff!$B$16&lt;=Cutoff!$B$10),1,0)</f>
        <v>1</v>
      </c>
      <c r="O172" s="12" t="n">
        <f aca="false">IF(N172=1,IF(AND(H172&lt;1000000000000000,H172&gt;=MAX(F172,E172),H172&lt;F172+Cutoff!$B$16,I172&lt;=Cutoff!$B$10),1,0),0)</f>
        <v>0</v>
      </c>
      <c r="P172" s="12" t="n">
        <f aca="false">IF(AND(L172=1,J172&lt;=Cutoff!$B$10),1,0)</f>
        <v>0</v>
      </c>
      <c r="Q172" s="12" t="n">
        <f aca="false">IF(AND(N172=1,E172+Cutoff!$B$17&lt;=Cutoff!$B$10),1,0)</f>
        <v>1</v>
      </c>
      <c r="R172" s="12" t="n">
        <f aca="false">IF(Q172=1,IF(K172&lt;=Cutoff!$B$10,1,0),0)</f>
        <v>0</v>
      </c>
      <c r="S172" s="12" t="n">
        <f aca="false">IF(N172=1,SUMIFS(Subscriptions!$D$2:$D$208,Subscriptions!$A$2:$A$208,C172,Subscriptions!$E$2:$E$208,1,Subscriptions!$B$2:$B$208,"&gt;="&amp;Cutoff!$B$24,Subscriptions!$B$2:$B$208,"&lt;"&amp;Cutoff!$B$25,Subscriptions!$B$2:$B$208,"&lt;="&amp;Cutoff!$B$10),0)</f>
        <v>120</v>
      </c>
    </row>
    <row r="173" customFormat="false" ht="15" hidden="false" customHeight="false" outlineLevel="0" collapsed="false">
      <c r="A173" s="4" t="s">
        <v>630</v>
      </c>
      <c r="B173" s="4" t="s">
        <v>288</v>
      </c>
      <c r="C173" s="4" t="s">
        <v>631</v>
      </c>
      <c r="D173" s="4" t="s">
        <v>52</v>
      </c>
      <c r="E173" s="4" t="n">
        <v>1779453032</v>
      </c>
      <c r="F173" s="4" t="n">
        <v>1779452451</v>
      </c>
      <c r="G173" s="4" t="n">
        <v>1779452469</v>
      </c>
      <c r="H173" s="4" t="n">
        <v>1000000000000000</v>
      </c>
      <c r="I173" s="4" t="n">
        <v>1000000000000000</v>
      </c>
      <c r="J173" s="4" t="n">
        <v>1779453509</v>
      </c>
      <c r="K173" s="4" t="n">
        <v>1000000000000000</v>
      </c>
      <c r="L173" s="12" t="n">
        <f aca="false">IF(AND(B173=Cutoff!$B$12,E173&lt;=Cutoff!$B$10),1,0)</f>
        <v>1</v>
      </c>
      <c r="M173" s="12" t="n">
        <f aca="false">IF(AND(L173=1,F173&lt;1000000000000000,G173&lt;=Cutoff!$B$10),1,0)</f>
        <v>1</v>
      </c>
      <c r="N173" s="12" t="n">
        <f aca="false">IF(AND(M173=1,F173+Cutoff!$B$16&lt;=Cutoff!$B$10),1,0)</f>
        <v>1</v>
      </c>
      <c r="O173" s="12" t="n">
        <f aca="false">IF(N173=1,IF(AND(H173&lt;1000000000000000,H173&gt;=MAX(F173,E173),H173&lt;F173+Cutoff!$B$16,I173&lt;=Cutoff!$B$10),1,0),0)</f>
        <v>0</v>
      </c>
      <c r="P173" s="12" t="n">
        <f aca="false">IF(AND(L173=1,J173&lt;=Cutoff!$B$10),1,0)</f>
        <v>1</v>
      </c>
      <c r="Q173" s="12" t="n">
        <f aca="false">IF(AND(N173=1,E173+Cutoff!$B$17&lt;=Cutoff!$B$10),1,0)</f>
        <v>1</v>
      </c>
      <c r="R173" s="12" t="n">
        <f aca="false">IF(Q173=1,IF(K173&lt;=Cutoff!$B$10,1,0),0)</f>
        <v>0</v>
      </c>
      <c r="S173" s="12" t="n">
        <f aca="false">IF(N173=1,SUMIFS(Subscriptions!$D$2:$D$208,Subscriptions!$A$2:$A$208,C173,Subscriptions!$E$2:$E$208,1,Subscriptions!$B$2:$B$208,"&gt;="&amp;Cutoff!$B$24,Subscriptions!$B$2:$B$208,"&lt;"&amp;Cutoff!$B$25,Subscriptions!$B$2:$B$208,"&lt;="&amp;Cutoff!$B$10),0)</f>
        <v>168</v>
      </c>
    </row>
    <row r="174" customFormat="false" ht="15" hidden="false" customHeight="false" outlineLevel="0" collapsed="false">
      <c r="A174" s="4" t="s">
        <v>632</v>
      </c>
      <c r="B174" s="4" t="s">
        <v>288</v>
      </c>
      <c r="C174" s="4" t="s">
        <v>633</v>
      </c>
      <c r="D174" s="4" t="s">
        <v>51</v>
      </c>
      <c r="E174" s="4" t="n">
        <v>1779453307</v>
      </c>
      <c r="F174" s="4" t="n">
        <v>1779453142</v>
      </c>
      <c r="G174" s="4" t="n">
        <v>1779453153</v>
      </c>
      <c r="H174" s="4" t="n">
        <v>1000000000000000</v>
      </c>
      <c r="I174" s="4" t="n">
        <v>1000000000000000</v>
      </c>
      <c r="J174" s="4" t="n">
        <v>1779454455</v>
      </c>
      <c r="K174" s="4" t="n">
        <v>1000000000000000</v>
      </c>
      <c r="L174" s="12" t="n">
        <f aca="false">IF(AND(B174=Cutoff!$B$12,E174&lt;=Cutoff!$B$10),1,0)</f>
        <v>1</v>
      </c>
      <c r="M174" s="12" t="n">
        <f aca="false">IF(AND(L174=1,F174&lt;1000000000000000,G174&lt;=Cutoff!$B$10),1,0)</f>
        <v>1</v>
      </c>
      <c r="N174" s="12" t="n">
        <f aca="false">IF(AND(M174=1,F174+Cutoff!$B$16&lt;=Cutoff!$B$10),1,0)</f>
        <v>1</v>
      </c>
      <c r="O174" s="12" t="n">
        <f aca="false">IF(N174=1,IF(AND(H174&lt;1000000000000000,H174&gt;=MAX(F174,E174),H174&lt;F174+Cutoff!$B$16,I174&lt;=Cutoff!$B$10),1,0),0)</f>
        <v>0</v>
      </c>
      <c r="P174" s="12" t="n">
        <f aca="false">IF(AND(L174=1,J174&lt;=Cutoff!$B$10),1,0)</f>
        <v>1</v>
      </c>
      <c r="Q174" s="12" t="n">
        <f aca="false">IF(AND(N174=1,E174+Cutoff!$B$17&lt;=Cutoff!$B$10),1,0)</f>
        <v>1</v>
      </c>
      <c r="R174" s="12" t="n">
        <f aca="false">IF(Q174=1,IF(K174&lt;=Cutoff!$B$10,1,0),0)</f>
        <v>0</v>
      </c>
      <c r="S174" s="12" t="n">
        <f aca="false">IF(N174=1,SUMIFS(Subscriptions!$D$2:$D$208,Subscriptions!$A$2:$A$208,C174,Subscriptions!$E$2:$E$208,1,Subscriptions!$B$2:$B$208,"&gt;="&amp;Cutoff!$B$24,Subscriptions!$B$2:$B$208,"&lt;"&amp;Cutoff!$B$25,Subscriptions!$B$2:$B$208,"&lt;="&amp;Cutoff!$B$10),0)</f>
        <v>0</v>
      </c>
    </row>
    <row r="175" customFormat="false" ht="15" hidden="false" customHeight="false" outlineLevel="0" collapsed="false">
      <c r="A175" s="4" t="s">
        <v>634</v>
      </c>
      <c r="B175" s="4" t="s">
        <v>288</v>
      </c>
      <c r="C175" s="4" t="s">
        <v>635</v>
      </c>
      <c r="D175" s="4" t="s">
        <v>52</v>
      </c>
      <c r="E175" s="4" t="n">
        <v>1779488055</v>
      </c>
      <c r="F175" s="4" t="n">
        <v>1779487880</v>
      </c>
      <c r="G175" s="4" t="n">
        <v>1779487900</v>
      </c>
      <c r="H175" s="4" t="n">
        <v>1779659640</v>
      </c>
      <c r="I175" s="4" t="n">
        <v>1779659653</v>
      </c>
      <c r="J175" s="4" t="n">
        <v>1779488606</v>
      </c>
      <c r="K175" s="4" t="n">
        <v>1000000000000000</v>
      </c>
      <c r="L175" s="12" t="n">
        <f aca="false">IF(AND(B175=Cutoff!$B$12,E175&lt;=Cutoff!$B$10),1,0)</f>
        <v>1</v>
      </c>
      <c r="M175" s="12" t="n">
        <f aca="false">IF(AND(L175=1,F175&lt;1000000000000000,G175&lt;=Cutoff!$B$10),1,0)</f>
        <v>1</v>
      </c>
      <c r="N175" s="12" t="n">
        <f aca="false">IF(AND(M175=1,F175+Cutoff!$B$16&lt;=Cutoff!$B$10),1,0)</f>
        <v>1</v>
      </c>
      <c r="O175" s="12" t="n">
        <f aca="false">IF(N175=1,IF(AND(H175&lt;1000000000000000,H175&gt;=MAX(F175,E175),H175&lt;F175+Cutoff!$B$16,I175&lt;=Cutoff!$B$10),1,0),0)</f>
        <v>1</v>
      </c>
      <c r="P175" s="12" t="n">
        <f aca="false">IF(AND(L175=1,J175&lt;=Cutoff!$B$10),1,0)</f>
        <v>1</v>
      </c>
      <c r="Q175" s="12" t="n">
        <f aca="false">IF(AND(N175=1,E175+Cutoff!$B$17&lt;=Cutoff!$B$10),1,0)</f>
        <v>1</v>
      </c>
      <c r="R175" s="12" t="n">
        <f aca="false">IF(Q175=1,IF(K175&lt;=Cutoff!$B$10,1,0),0)</f>
        <v>0</v>
      </c>
      <c r="S175" s="12" t="n">
        <f aca="false">IF(N175=1,SUMIFS(Subscriptions!$D$2:$D$208,Subscriptions!$A$2:$A$208,C175,Subscriptions!$E$2:$E$208,1,Subscriptions!$B$2:$B$208,"&gt;="&amp;Cutoff!$B$24,Subscriptions!$B$2:$B$208,"&lt;"&amp;Cutoff!$B$25,Subscriptions!$B$2:$B$208,"&lt;="&amp;Cutoff!$B$10),0)</f>
        <v>132</v>
      </c>
    </row>
    <row r="176" customFormat="false" ht="15" hidden="false" customHeight="false" outlineLevel="0" collapsed="false">
      <c r="A176" s="4" t="s">
        <v>636</v>
      </c>
      <c r="B176" s="4" t="s">
        <v>288</v>
      </c>
      <c r="C176" s="4" t="s">
        <v>637</v>
      </c>
      <c r="D176" s="4" t="s">
        <v>51</v>
      </c>
      <c r="E176" s="4" t="n">
        <v>1779495503</v>
      </c>
      <c r="F176" s="4" t="n">
        <v>1779495297</v>
      </c>
      <c r="G176" s="4" t="n">
        <v>1779495463</v>
      </c>
      <c r="H176" s="4" t="n">
        <v>1779537957</v>
      </c>
      <c r="I176" s="4" t="n">
        <v>1779537979</v>
      </c>
      <c r="J176" s="4" t="n">
        <v>1000000000000000</v>
      </c>
      <c r="K176" s="4" t="n">
        <v>1000000000000000</v>
      </c>
      <c r="L176" s="12" t="n">
        <f aca="false">IF(AND(B176=Cutoff!$B$12,E176&lt;=Cutoff!$B$10),1,0)</f>
        <v>1</v>
      </c>
      <c r="M176" s="12" t="n">
        <f aca="false">IF(AND(L176=1,F176&lt;1000000000000000,G176&lt;=Cutoff!$B$10),1,0)</f>
        <v>1</v>
      </c>
      <c r="N176" s="12" t="n">
        <f aca="false">IF(AND(M176=1,F176+Cutoff!$B$16&lt;=Cutoff!$B$10),1,0)</f>
        <v>1</v>
      </c>
      <c r="O176" s="12" t="n">
        <f aca="false">IF(N176=1,IF(AND(H176&lt;1000000000000000,H176&gt;=MAX(F176,E176),H176&lt;F176+Cutoff!$B$16,I176&lt;=Cutoff!$B$10),1,0),0)</f>
        <v>1</v>
      </c>
      <c r="P176" s="12" t="n">
        <f aca="false">IF(AND(L176=1,J176&lt;=Cutoff!$B$10),1,0)</f>
        <v>0</v>
      </c>
      <c r="Q176" s="12" t="n">
        <f aca="false">IF(AND(N176=1,E176+Cutoff!$B$17&lt;=Cutoff!$B$10),1,0)</f>
        <v>1</v>
      </c>
      <c r="R176" s="12" t="n">
        <f aca="false">IF(Q176=1,IF(K176&lt;=Cutoff!$B$10,1,0),0)</f>
        <v>0</v>
      </c>
      <c r="S176" s="12" t="n">
        <f aca="false">IF(N176=1,SUMIFS(Subscriptions!$D$2:$D$208,Subscriptions!$A$2:$A$208,C176,Subscriptions!$E$2:$E$208,1,Subscriptions!$B$2:$B$208,"&gt;="&amp;Cutoff!$B$24,Subscriptions!$B$2:$B$208,"&lt;"&amp;Cutoff!$B$25,Subscriptions!$B$2:$B$208,"&lt;="&amp;Cutoff!$B$10),0)</f>
        <v>0</v>
      </c>
    </row>
    <row r="177" customFormat="false" ht="15" hidden="false" customHeight="false" outlineLevel="0" collapsed="false">
      <c r="A177" s="4" t="s">
        <v>638</v>
      </c>
      <c r="B177" s="4" t="s">
        <v>288</v>
      </c>
      <c r="C177" s="4" t="s">
        <v>639</v>
      </c>
      <c r="D177" s="4" t="s">
        <v>52</v>
      </c>
      <c r="E177" s="4" t="n">
        <v>1779545469</v>
      </c>
      <c r="F177" s="4" t="n">
        <v>1779545359</v>
      </c>
      <c r="G177" s="4" t="n">
        <v>1779545360</v>
      </c>
      <c r="H177" s="4" t="n">
        <v>1779608683</v>
      </c>
      <c r="I177" s="4" t="n">
        <v>1779608700</v>
      </c>
      <c r="J177" s="4" t="n">
        <v>1779545861</v>
      </c>
      <c r="K177" s="4" t="n">
        <v>1000000000000000</v>
      </c>
      <c r="L177" s="12" t="n">
        <f aca="false">IF(AND(B177=Cutoff!$B$12,E177&lt;=Cutoff!$B$10),1,0)</f>
        <v>1</v>
      </c>
      <c r="M177" s="12" t="n">
        <f aca="false">IF(AND(L177=1,F177&lt;1000000000000000,G177&lt;=Cutoff!$B$10),1,0)</f>
        <v>1</v>
      </c>
      <c r="N177" s="12" t="n">
        <f aca="false">IF(AND(M177=1,F177+Cutoff!$B$16&lt;=Cutoff!$B$10),1,0)</f>
        <v>1</v>
      </c>
      <c r="O177" s="12" t="n">
        <f aca="false">IF(N177=1,IF(AND(H177&lt;1000000000000000,H177&gt;=MAX(F177,E177),H177&lt;F177+Cutoff!$B$16,I177&lt;=Cutoff!$B$10),1,0),0)</f>
        <v>1</v>
      </c>
      <c r="P177" s="12" t="n">
        <f aca="false">IF(AND(L177=1,J177&lt;=Cutoff!$B$10),1,0)</f>
        <v>1</v>
      </c>
      <c r="Q177" s="12" t="n">
        <f aca="false">IF(AND(N177=1,E177+Cutoff!$B$17&lt;=Cutoff!$B$10),1,0)</f>
        <v>1</v>
      </c>
      <c r="R177" s="12" t="n">
        <f aca="false">IF(Q177=1,IF(K177&lt;=Cutoff!$B$10,1,0),0)</f>
        <v>0</v>
      </c>
      <c r="S177" s="12" t="n">
        <f aca="false">IF(N177=1,SUMIFS(Subscriptions!$D$2:$D$208,Subscriptions!$A$2:$A$208,C177,Subscriptions!$E$2:$E$208,1,Subscriptions!$B$2:$B$208,"&gt;="&amp;Cutoff!$B$24,Subscriptions!$B$2:$B$208,"&lt;"&amp;Cutoff!$B$25,Subscriptions!$B$2:$B$208,"&lt;="&amp;Cutoff!$B$10),0)</f>
        <v>0</v>
      </c>
    </row>
    <row r="178" customFormat="false" ht="15" hidden="false" customHeight="false" outlineLevel="0" collapsed="false">
      <c r="A178" s="4" t="s">
        <v>640</v>
      </c>
      <c r="B178" s="4" t="s">
        <v>288</v>
      </c>
      <c r="C178" s="4" t="s">
        <v>641</v>
      </c>
      <c r="D178" s="4" t="s">
        <v>51</v>
      </c>
      <c r="E178" s="4" t="n">
        <v>1779573841</v>
      </c>
      <c r="F178" s="4" t="n">
        <v>1779573313</v>
      </c>
      <c r="G178" s="4" t="n">
        <v>1779573332</v>
      </c>
      <c r="H178" s="4" t="n">
        <v>1000000000000000</v>
      </c>
      <c r="I178" s="4" t="n">
        <v>1000000000000000</v>
      </c>
      <c r="J178" s="4" t="n">
        <v>1779574535</v>
      </c>
      <c r="K178" s="4" t="n">
        <v>1000000000000000</v>
      </c>
      <c r="L178" s="12" t="n">
        <f aca="false">IF(AND(B178=Cutoff!$B$12,E178&lt;=Cutoff!$B$10),1,0)</f>
        <v>1</v>
      </c>
      <c r="M178" s="12" t="n">
        <f aca="false">IF(AND(L178=1,F178&lt;1000000000000000,G178&lt;=Cutoff!$B$10),1,0)</f>
        <v>1</v>
      </c>
      <c r="N178" s="12" t="n">
        <f aca="false">IF(AND(M178=1,F178+Cutoff!$B$16&lt;=Cutoff!$B$10),1,0)</f>
        <v>1</v>
      </c>
      <c r="O178" s="12" t="n">
        <f aca="false">IF(N178=1,IF(AND(H178&lt;1000000000000000,H178&gt;=MAX(F178,E178),H178&lt;F178+Cutoff!$B$16,I178&lt;=Cutoff!$B$10),1,0),0)</f>
        <v>0</v>
      </c>
      <c r="P178" s="12" t="n">
        <f aca="false">IF(AND(L178=1,J178&lt;=Cutoff!$B$10),1,0)</f>
        <v>1</v>
      </c>
      <c r="Q178" s="12" t="n">
        <f aca="false">IF(AND(N178=1,E178+Cutoff!$B$17&lt;=Cutoff!$B$10),1,0)</f>
        <v>1</v>
      </c>
      <c r="R178" s="12" t="n">
        <f aca="false">IF(Q178=1,IF(K178&lt;=Cutoff!$B$10,1,0),0)</f>
        <v>0</v>
      </c>
      <c r="S178" s="12" t="n">
        <f aca="false">IF(N178=1,SUMIFS(Subscriptions!$D$2:$D$208,Subscriptions!$A$2:$A$208,C178,Subscriptions!$E$2:$E$208,1,Subscriptions!$B$2:$B$208,"&gt;="&amp;Cutoff!$B$24,Subscriptions!$B$2:$B$208,"&lt;"&amp;Cutoff!$B$25,Subscriptions!$B$2:$B$208,"&lt;="&amp;Cutoff!$B$10),0)</f>
        <v>0</v>
      </c>
    </row>
    <row r="179" customFormat="false" ht="15" hidden="false" customHeight="false" outlineLevel="0" collapsed="false">
      <c r="A179" s="4" t="s">
        <v>642</v>
      </c>
      <c r="B179" s="4" t="s">
        <v>288</v>
      </c>
      <c r="C179" s="4" t="s">
        <v>643</v>
      </c>
      <c r="D179" s="4" t="s">
        <v>52</v>
      </c>
      <c r="E179" s="4" t="n">
        <v>1779581171</v>
      </c>
      <c r="F179" s="4" t="n">
        <v>1779580616</v>
      </c>
      <c r="G179" s="4" t="n">
        <v>1779580865</v>
      </c>
      <c r="H179" s="4" t="n">
        <v>1000000000000000</v>
      </c>
      <c r="I179" s="4" t="n">
        <v>1000000000000000</v>
      </c>
      <c r="J179" s="4" t="n">
        <v>1779581297</v>
      </c>
      <c r="K179" s="4" t="n">
        <v>1000000000000000</v>
      </c>
      <c r="L179" s="12" t="n">
        <f aca="false">IF(AND(B179=Cutoff!$B$12,E179&lt;=Cutoff!$B$10),1,0)</f>
        <v>1</v>
      </c>
      <c r="M179" s="12" t="n">
        <f aca="false">IF(AND(L179=1,F179&lt;1000000000000000,G179&lt;=Cutoff!$B$10),1,0)</f>
        <v>1</v>
      </c>
      <c r="N179" s="12" t="n">
        <f aca="false">IF(AND(M179=1,F179+Cutoff!$B$16&lt;=Cutoff!$B$10),1,0)</f>
        <v>1</v>
      </c>
      <c r="O179" s="12" t="n">
        <f aca="false">IF(N179=1,IF(AND(H179&lt;1000000000000000,H179&gt;=MAX(F179,E179),H179&lt;F179+Cutoff!$B$16,I179&lt;=Cutoff!$B$10),1,0),0)</f>
        <v>0</v>
      </c>
      <c r="P179" s="12" t="n">
        <f aca="false">IF(AND(L179=1,J179&lt;=Cutoff!$B$10),1,0)</f>
        <v>1</v>
      </c>
      <c r="Q179" s="12" t="n">
        <f aca="false">IF(AND(N179=1,E179+Cutoff!$B$17&lt;=Cutoff!$B$10),1,0)</f>
        <v>1</v>
      </c>
      <c r="R179" s="12" t="n">
        <f aca="false">IF(Q179=1,IF(K179&lt;=Cutoff!$B$10,1,0),0)</f>
        <v>0</v>
      </c>
      <c r="S179" s="12" t="n">
        <f aca="false">IF(N179=1,SUMIFS(Subscriptions!$D$2:$D$208,Subscriptions!$A$2:$A$208,C179,Subscriptions!$E$2:$E$208,1,Subscriptions!$B$2:$B$208,"&gt;="&amp;Cutoff!$B$24,Subscriptions!$B$2:$B$208,"&lt;"&amp;Cutoff!$B$25,Subscriptions!$B$2:$B$208,"&lt;="&amp;Cutoff!$B$10),0)</f>
        <v>0</v>
      </c>
    </row>
    <row r="180" customFormat="false" ht="15" hidden="false" customHeight="false" outlineLevel="0" collapsed="false">
      <c r="A180" s="4" t="s">
        <v>644</v>
      </c>
      <c r="B180" s="4" t="s">
        <v>288</v>
      </c>
      <c r="C180" s="4" t="s">
        <v>645</v>
      </c>
      <c r="D180" s="4" t="s">
        <v>51</v>
      </c>
      <c r="E180" s="4" t="n">
        <v>1779588102</v>
      </c>
      <c r="F180" s="4" t="n">
        <v>1779587852</v>
      </c>
      <c r="G180" s="4" t="n">
        <v>1779587853</v>
      </c>
      <c r="H180" s="4" t="n">
        <v>1000000000000000</v>
      </c>
      <c r="I180" s="4" t="n">
        <v>1000000000000000</v>
      </c>
      <c r="J180" s="4" t="n">
        <v>1779588254</v>
      </c>
      <c r="K180" s="4" t="n">
        <v>1000000000000000</v>
      </c>
      <c r="L180" s="12" t="n">
        <f aca="false">IF(AND(B180=Cutoff!$B$12,E180&lt;=Cutoff!$B$10),1,0)</f>
        <v>1</v>
      </c>
      <c r="M180" s="12" t="n">
        <f aca="false">IF(AND(L180=1,F180&lt;1000000000000000,G180&lt;=Cutoff!$B$10),1,0)</f>
        <v>1</v>
      </c>
      <c r="N180" s="12" t="n">
        <f aca="false">IF(AND(M180=1,F180+Cutoff!$B$16&lt;=Cutoff!$B$10),1,0)</f>
        <v>1</v>
      </c>
      <c r="O180" s="12" t="n">
        <f aca="false">IF(N180=1,IF(AND(H180&lt;1000000000000000,H180&gt;=MAX(F180,E180),H180&lt;F180+Cutoff!$B$16,I180&lt;=Cutoff!$B$10),1,0),0)</f>
        <v>0</v>
      </c>
      <c r="P180" s="12" t="n">
        <f aca="false">IF(AND(L180=1,J180&lt;=Cutoff!$B$10),1,0)</f>
        <v>1</v>
      </c>
      <c r="Q180" s="12" t="n">
        <f aca="false">IF(AND(N180=1,E180+Cutoff!$B$17&lt;=Cutoff!$B$10),1,0)</f>
        <v>1</v>
      </c>
      <c r="R180" s="12" t="n">
        <f aca="false">IF(Q180=1,IF(K180&lt;=Cutoff!$B$10,1,0),0)</f>
        <v>0</v>
      </c>
      <c r="S180" s="12" t="n">
        <f aca="false">IF(N180=1,SUMIFS(Subscriptions!$D$2:$D$208,Subscriptions!$A$2:$A$208,C180,Subscriptions!$E$2:$E$208,1,Subscriptions!$B$2:$B$208,"&gt;="&amp;Cutoff!$B$24,Subscriptions!$B$2:$B$208,"&lt;"&amp;Cutoff!$B$25,Subscriptions!$B$2:$B$208,"&lt;="&amp;Cutoff!$B$10),0)</f>
        <v>0</v>
      </c>
    </row>
    <row r="181" customFormat="false" ht="15" hidden="false" customHeight="false" outlineLevel="0" collapsed="false">
      <c r="A181" s="4" t="s">
        <v>646</v>
      </c>
      <c r="B181" s="4" t="s">
        <v>288</v>
      </c>
      <c r="C181" s="4" t="s">
        <v>647</v>
      </c>
      <c r="D181" s="4" t="s">
        <v>52</v>
      </c>
      <c r="E181" s="4" t="n">
        <v>1779715246</v>
      </c>
      <c r="F181" s="4" t="n">
        <v>1779714884</v>
      </c>
      <c r="G181" s="4" t="n">
        <v>1779714895</v>
      </c>
      <c r="H181" s="4" t="n">
        <v>1000000000000000</v>
      </c>
      <c r="I181" s="4" t="n">
        <v>1000000000000000</v>
      </c>
      <c r="J181" s="4" t="n">
        <v>1779716302</v>
      </c>
      <c r="K181" s="4" t="n">
        <v>1000000000000000</v>
      </c>
      <c r="L181" s="12" t="n">
        <f aca="false">IF(AND(B181=Cutoff!$B$12,E181&lt;=Cutoff!$B$10),1,0)</f>
        <v>1</v>
      </c>
      <c r="M181" s="12" t="n">
        <f aca="false">IF(AND(L181=1,F181&lt;1000000000000000,G181&lt;=Cutoff!$B$10),1,0)</f>
        <v>1</v>
      </c>
      <c r="N181" s="12" t="n">
        <f aca="false">IF(AND(M181=1,F181+Cutoff!$B$16&lt;=Cutoff!$B$10),1,0)</f>
        <v>1</v>
      </c>
      <c r="O181" s="12" t="n">
        <f aca="false">IF(N181=1,IF(AND(H181&lt;1000000000000000,H181&gt;=MAX(F181,E181),H181&lt;F181+Cutoff!$B$16,I181&lt;=Cutoff!$B$10),1,0),0)</f>
        <v>0</v>
      </c>
      <c r="P181" s="12" t="n">
        <f aca="false">IF(AND(L181=1,J181&lt;=Cutoff!$B$10),1,0)</f>
        <v>1</v>
      </c>
      <c r="Q181" s="12" t="n">
        <f aca="false">IF(AND(N181=1,E181+Cutoff!$B$17&lt;=Cutoff!$B$10),1,0)</f>
        <v>1</v>
      </c>
      <c r="R181" s="12" t="n">
        <f aca="false">IF(Q181=1,IF(K181&lt;=Cutoff!$B$10,1,0),0)</f>
        <v>0</v>
      </c>
      <c r="S181" s="12" t="n">
        <f aca="false">IF(N181=1,SUMIFS(Subscriptions!$D$2:$D$208,Subscriptions!$A$2:$A$208,C181,Subscriptions!$E$2:$E$208,1,Subscriptions!$B$2:$B$208,"&gt;="&amp;Cutoff!$B$24,Subscriptions!$B$2:$B$208,"&lt;"&amp;Cutoff!$B$25,Subscriptions!$B$2:$B$208,"&lt;="&amp;Cutoff!$B$10),0)</f>
        <v>168</v>
      </c>
    </row>
    <row r="182" customFormat="false" ht="15" hidden="false" customHeight="false" outlineLevel="0" collapsed="false">
      <c r="A182" s="4" t="s">
        <v>648</v>
      </c>
      <c r="B182" s="4" t="s">
        <v>288</v>
      </c>
      <c r="C182" s="4" t="s">
        <v>649</v>
      </c>
      <c r="D182" s="4" t="s">
        <v>52</v>
      </c>
      <c r="E182" s="4" t="n">
        <v>1779717061</v>
      </c>
      <c r="F182" s="4" t="n">
        <v>1779716553</v>
      </c>
      <c r="G182" s="4" t="n">
        <v>1779716561</v>
      </c>
      <c r="H182" s="4" t="n">
        <v>1779797436</v>
      </c>
      <c r="I182" s="4" t="n">
        <v>1779797447</v>
      </c>
      <c r="J182" s="4" t="n">
        <v>1779718252</v>
      </c>
      <c r="K182" s="4" t="n">
        <v>1000000000000000</v>
      </c>
      <c r="L182" s="12" t="n">
        <f aca="false">IF(AND(B182=Cutoff!$B$12,E182&lt;=Cutoff!$B$10),1,0)</f>
        <v>1</v>
      </c>
      <c r="M182" s="12" t="n">
        <f aca="false">IF(AND(L182=1,F182&lt;1000000000000000,G182&lt;=Cutoff!$B$10),1,0)</f>
        <v>1</v>
      </c>
      <c r="N182" s="12" t="n">
        <f aca="false">IF(AND(M182=1,F182+Cutoff!$B$16&lt;=Cutoff!$B$10),1,0)</f>
        <v>1</v>
      </c>
      <c r="O182" s="12" t="n">
        <f aca="false">IF(N182=1,IF(AND(H182&lt;1000000000000000,H182&gt;=MAX(F182,E182),H182&lt;F182+Cutoff!$B$16,I182&lt;=Cutoff!$B$10),1,0),0)</f>
        <v>1</v>
      </c>
      <c r="P182" s="12" t="n">
        <f aca="false">IF(AND(L182=1,J182&lt;=Cutoff!$B$10),1,0)</f>
        <v>1</v>
      </c>
      <c r="Q182" s="12" t="n">
        <f aca="false">IF(AND(N182=1,E182+Cutoff!$B$17&lt;=Cutoff!$B$10),1,0)</f>
        <v>1</v>
      </c>
      <c r="R182" s="12" t="n">
        <f aca="false">IF(Q182=1,IF(K182&lt;=Cutoff!$B$10,1,0),0)</f>
        <v>0</v>
      </c>
      <c r="S182" s="12" t="n">
        <f aca="false">IF(N182=1,SUMIFS(Subscriptions!$D$2:$D$208,Subscriptions!$A$2:$A$208,C182,Subscriptions!$E$2:$E$208,1,Subscriptions!$B$2:$B$208,"&gt;="&amp;Cutoff!$B$24,Subscriptions!$B$2:$B$208,"&lt;"&amp;Cutoff!$B$25,Subscriptions!$B$2:$B$208,"&lt;="&amp;Cutoff!$B$10),0)</f>
        <v>0</v>
      </c>
    </row>
    <row r="183" customFormat="false" ht="15" hidden="false" customHeight="false" outlineLevel="0" collapsed="false">
      <c r="A183" s="4" t="s">
        <v>650</v>
      </c>
      <c r="B183" s="4" t="s">
        <v>288</v>
      </c>
      <c r="C183" s="4" t="s">
        <v>651</v>
      </c>
      <c r="D183" s="4" t="s">
        <v>51</v>
      </c>
      <c r="E183" s="4" t="n">
        <v>1779721512</v>
      </c>
      <c r="F183" s="4" t="n">
        <v>1779721337</v>
      </c>
      <c r="G183" s="4" t="n">
        <v>1779721347</v>
      </c>
      <c r="H183" s="4" t="n">
        <v>1780277994</v>
      </c>
      <c r="I183" s="4" t="n">
        <v>1780278157</v>
      </c>
      <c r="J183" s="4" t="n">
        <v>1779721759</v>
      </c>
      <c r="K183" s="4" t="n">
        <v>1000000000000000</v>
      </c>
      <c r="L183" s="12" t="n">
        <f aca="false">IF(AND(B183=Cutoff!$B$12,E183&lt;=Cutoff!$B$10),1,0)</f>
        <v>1</v>
      </c>
      <c r="M183" s="12" t="n">
        <f aca="false">IF(AND(L183=1,F183&lt;1000000000000000,G183&lt;=Cutoff!$B$10),1,0)</f>
        <v>1</v>
      </c>
      <c r="N183" s="12" t="n">
        <f aca="false">IF(AND(M183=1,F183+Cutoff!$B$16&lt;=Cutoff!$B$10),1,0)</f>
        <v>1</v>
      </c>
      <c r="O183" s="12" t="n">
        <f aca="false">IF(N183=1,IF(AND(H183&lt;1000000000000000,H183&gt;=MAX(F183,E183),H183&lt;F183+Cutoff!$B$16,I183&lt;=Cutoff!$B$10),1,0),0)</f>
        <v>1</v>
      </c>
      <c r="P183" s="12" t="n">
        <f aca="false">IF(AND(L183=1,J183&lt;=Cutoff!$B$10),1,0)</f>
        <v>1</v>
      </c>
      <c r="Q183" s="12" t="n">
        <f aca="false">IF(AND(N183=1,E183+Cutoff!$B$17&lt;=Cutoff!$B$10),1,0)</f>
        <v>1</v>
      </c>
      <c r="R183" s="12" t="n">
        <f aca="false">IF(Q183=1,IF(K183&lt;=Cutoff!$B$10,1,0),0)</f>
        <v>0</v>
      </c>
      <c r="S183" s="12" t="n">
        <f aca="false">IF(N183=1,SUMIFS(Subscriptions!$D$2:$D$208,Subscriptions!$A$2:$A$208,C183,Subscriptions!$E$2:$E$208,1,Subscriptions!$B$2:$B$208,"&gt;="&amp;Cutoff!$B$24,Subscriptions!$B$2:$B$208,"&lt;"&amp;Cutoff!$B$25,Subscriptions!$B$2:$B$208,"&lt;="&amp;Cutoff!$B$10),0)</f>
        <v>0</v>
      </c>
    </row>
    <row r="184" customFormat="false" ht="15" hidden="false" customHeight="false" outlineLevel="0" collapsed="false">
      <c r="A184" s="4" t="s">
        <v>652</v>
      </c>
      <c r="B184" s="4" t="s">
        <v>288</v>
      </c>
      <c r="C184" s="4" t="s">
        <v>653</v>
      </c>
      <c r="D184" s="4" t="s">
        <v>51</v>
      </c>
      <c r="E184" s="4" t="n">
        <v>1779722636</v>
      </c>
      <c r="F184" s="4" t="n">
        <v>1779722514</v>
      </c>
      <c r="G184" s="4" t="n">
        <v>1779722534</v>
      </c>
      <c r="H184" s="4" t="n">
        <v>1000000000000000</v>
      </c>
      <c r="I184" s="4" t="n">
        <v>1000000000000000</v>
      </c>
      <c r="J184" s="4" t="n">
        <v>1779723803</v>
      </c>
      <c r="K184" s="4" t="n">
        <v>1000000000000000</v>
      </c>
      <c r="L184" s="12" t="n">
        <f aca="false">IF(AND(B184=Cutoff!$B$12,E184&lt;=Cutoff!$B$10),1,0)</f>
        <v>1</v>
      </c>
      <c r="M184" s="12" t="n">
        <f aca="false">IF(AND(L184=1,F184&lt;1000000000000000,G184&lt;=Cutoff!$B$10),1,0)</f>
        <v>1</v>
      </c>
      <c r="N184" s="12" t="n">
        <f aca="false">IF(AND(M184=1,F184+Cutoff!$B$16&lt;=Cutoff!$B$10),1,0)</f>
        <v>1</v>
      </c>
      <c r="O184" s="12" t="n">
        <f aca="false">IF(N184=1,IF(AND(H184&lt;1000000000000000,H184&gt;=MAX(F184,E184),H184&lt;F184+Cutoff!$B$16,I184&lt;=Cutoff!$B$10),1,0),0)</f>
        <v>0</v>
      </c>
      <c r="P184" s="12" t="n">
        <f aca="false">IF(AND(L184=1,J184&lt;=Cutoff!$B$10),1,0)</f>
        <v>1</v>
      </c>
      <c r="Q184" s="12" t="n">
        <f aca="false">IF(AND(N184=1,E184+Cutoff!$B$17&lt;=Cutoff!$B$10),1,0)</f>
        <v>1</v>
      </c>
      <c r="R184" s="12" t="n">
        <f aca="false">IF(Q184=1,IF(K184&lt;=Cutoff!$B$10,1,0),0)</f>
        <v>0</v>
      </c>
      <c r="S184" s="12" t="n">
        <f aca="false">IF(N184=1,SUMIFS(Subscriptions!$D$2:$D$208,Subscriptions!$A$2:$A$208,C184,Subscriptions!$E$2:$E$208,1,Subscriptions!$B$2:$B$208,"&gt;="&amp;Cutoff!$B$24,Subscriptions!$B$2:$B$208,"&lt;"&amp;Cutoff!$B$25,Subscriptions!$B$2:$B$208,"&lt;="&amp;Cutoff!$B$10),0)</f>
        <v>0</v>
      </c>
    </row>
    <row r="185" customFormat="false" ht="15" hidden="false" customHeight="false" outlineLevel="0" collapsed="false">
      <c r="A185" s="4" t="s">
        <v>654</v>
      </c>
      <c r="B185" s="4" t="s">
        <v>288</v>
      </c>
      <c r="C185" s="4" t="s">
        <v>655</v>
      </c>
      <c r="D185" s="4" t="s">
        <v>52</v>
      </c>
      <c r="E185" s="4" t="n">
        <v>1779722827</v>
      </c>
      <c r="F185" s="4" t="n">
        <v>1779722501</v>
      </c>
      <c r="G185" s="4" t="n">
        <v>1780117744</v>
      </c>
      <c r="H185" s="4" t="n">
        <v>1779756567</v>
      </c>
      <c r="I185" s="4" t="n">
        <v>1779757584</v>
      </c>
      <c r="J185" s="4" t="n">
        <v>1779723615</v>
      </c>
      <c r="K185" s="4" t="n">
        <v>1779815812</v>
      </c>
      <c r="L185" s="12" t="n">
        <f aca="false">IF(AND(B185=Cutoff!$B$12,E185&lt;=Cutoff!$B$10),1,0)</f>
        <v>1</v>
      </c>
      <c r="M185" s="12" t="n">
        <f aca="false">IF(AND(L185=1,F185&lt;1000000000000000,G185&lt;=Cutoff!$B$10),1,0)</f>
        <v>1</v>
      </c>
      <c r="N185" s="12" t="n">
        <f aca="false">IF(AND(M185=1,F185+Cutoff!$B$16&lt;=Cutoff!$B$10),1,0)</f>
        <v>1</v>
      </c>
      <c r="O185" s="12" t="n">
        <f aca="false">IF(N185=1,IF(AND(H185&lt;1000000000000000,H185&gt;=MAX(F185,E185),H185&lt;F185+Cutoff!$B$16,I185&lt;=Cutoff!$B$10),1,0),0)</f>
        <v>1</v>
      </c>
      <c r="P185" s="12" t="n">
        <f aca="false">IF(AND(L185=1,J185&lt;=Cutoff!$B$10),1,0)</f>
        <v>1</v>
      </c>
      <c r="Q185" s="12" t="n">
        <f aca="false">IF(AND(N185=1,E185+Cutoff!$B$17&lt;=Cutoff!$B$10),1,0)</f>
        <v>1</v>
      </c>
      <c r="R185" s="12" t="n">
        <f aca="false">IF(Q185=1,IF(K185&lt;=Cutoff!$B$10,1,0),0)</f>
        <v>1</v>
      </c>
      <c r="S185" s="12" t="n">
        <f aca="false">IF(N185=1,SUMIFS(Subscriptions!$D$2:$D$208,Subscriptions!$A$2:$A$208,C185,Subscriptions!$E$2:$E$208,1,Subscriptions!$B$2:$B$208,"&gt;="&amp;Cutoff!$B$24,Subscriptions!$B$2:$B$208,"&lt;"&amp;Cutoff!$B$25,Subscriptions!$B$2:$B$208,"&lt;="&amp;Cutoff!$B$10),0)</f>
        <v>0</v>
      </c>
    </row>
    <row r="186" customFormat="false" ht="15" hidden="false" customHeight="false" outlineLevel="0" collapsed="false">
      <c r="A186" s="4" t="s">
        <v>656</v>
      </c>
      <c r="B186" s="4" t="s">
        <v>288</v>
      </c>
      <c r="C186" s="4" t="s">
        <v>657</v>
      </c>
      <c r="D186" s="4" t="s">
        <v>52</v>
      </c>
      <c r="E186" s="4" t="n">
        <v>1779723807</v>
      </c>
      <c r="F186" s="4" t="n">
        <v>1779723558</v>
      </c>
      <c r="G186" s="4" t="n">
        <v>1779723575</v>
      </c>
      <c r="H186" s="4" t="n">
        <v>1779743184</v>
      </c>
      <c r="I186" s="4" t="n">
        <v>1779743208</v>
      </c>
      <c r="J186" s="4" t="n">
        <v>1779724775</v>
      </c>
      <c r="K186" s="4" t="n">
        <v>1000000000000000</v>
      </c>
      <c r="L186" s="12" t="n">
        <f aca="false">IF(AND(B186=Cutoff!$B$12,E186&lt;=Cutoff!$B$10),1,0)</f>
        <v>1</v>
      </c>
      <c r="M186" s="12" t="n">
        <f aca="false">IF(AND(L186=1,F186&lt;1000000000000000,G186&lt;=Cutoff!$B$10),1,0)</f>
        <v>1</v>
      </c>
      <c r="N186" s="12" t="n">
        <f aca="false">IF(AND(M186=1,F186+Cutoff!$B$16&lt;=Cutoff!$B$10),1,0)</f>
        <v>1</v>
      </c>
      <c r="O186" s="12" t="n">
        <f aca="false">IF(N186=1,IF(AND(H186&lt;1000000000000000,H186&gt;=MAX(F186,E186),H186&lt;F186+Cutoff!$B$16,I186&lt;=Cutoff!$B$10),1,0),0)</f>
        <v>1</v>
      </c>
      <c r="P186" s="12" t="n">
        <f aca="false">IF(AND(L186=1,J186&lt;=Cutoff!$B$10),1,0)</f>
        <v>1</v>
      </c>
      <c r="Q186" s="12" t="n">
        <f aca="false">IF(AND(N186=1,E186+Cutoff!$B$17&lt;=Cutoff!$B$10),1,0)</f>
        <v>1</v>
      </c>
      <c r="R186" s="12" t="n">
        <f aca="false">IF(Q186=1,IF(K186&lt;=Cutoff!$B$10,1,0),0)</f>
        <v>0</v>
      </c>
      <c r="S186" s="12" t="n">
        <f aca="false">IF(N186=1,SUMIFS(Subscriptions!$D$2:$D$208,Subscriptions!$A$2:$A$208,C186,Subscriptions!$E$2:$E$208,1,Subscriptions!$B$2:$B$208,"&gt;="&amp;Cutoff!$B$24,Subscriptions!$B$2:$B$208,"&lt;"&amp;Cutoff!$B$25,Subscriptions!$B$2:$B$208,"&lt;="&amp;Cutoff!$B$10),0)</f>
        <v>0</v>
      </c>
    </row>
    <row r="187" customFormat="false" ht="15" hidden="false" customHeight="false" outlineLevel="0" collapsed="false">
      <c r="A187" s="4" t="s">
        <v>658</v>
      </c>
      <c r="B187" s="4" t="s">
        <v>288</v>
      </c>
      <c r="C187" s="4" t="s">
        <v>659</v>
      </c>
      <c r="D187" s="4" t="s">
        <v>52</v>
      </c>
      <c r="E187" s="4" t="n">
        <v>1779743566</v>
      </c>
      <c r="F187" s="4" t="n">
        <v>1779743344</v>
      </c>
      <c r="G187" s="4" t="n">
        <v>1779743487</v>
      </c>
      <c r="H187" s="4" t="n">
        <v>1779759244</v>
      </c>
      <c r="I187" s="4" t="n">
        <v>1779759258</v>
      </c>
      <c r="J187" s="4" t="n">
        <v>1779744479</v>
      </c>
      <c r="K187" s="4" t="n">
        <v>1000000000000000</v>
      </c>
      <c r="L187" s="12" t="n">
        <f aca="false">IF(AND(B187=Cutoff!$B$12,E187&lt;=Cutoff!$B$10),1,0)</f>
        <v>1</v>
      </c>
      <c r="M187" s="12" t="n">
        <f aca="false">IF(AND(L187=1,F187&lt;1000000000000000,G187&lt;=Cutoff!$B$10),1,0)</f>
        <v>1</v>
      </c>
      <c r="N187" s="12" t="n">
        <f aca="false">IF(AND(M187=1,F187+Cutoff!$B$16&lt;=Cutoff!$B$10),1,0)</f>
        <v>1</v>
      </c>
      <c r="O187" s="12" t="n">
        <f aca="false">IF(N187=1,IF(AND(H187&lt;1000000000000000,H187&gt;=MAX(F187,E187),H187&lt;F187+Cutoff!$B$16,I187&lt;=Cutoff!$B$10),1,0),0)</f>
        <v>1</v>
      </c>
      <c r="P187" s="12" t="n">
        <f aca="false">IF(AND(L187=1,J187&lt;=Cutoff!$B$10),1,0)</f>
        <v>1</v>
      </c>
      <c r="Q187" s="12" t="n">
        <f aca="false">IF(AND(N187=1,E187+Cutoff!$B$17&lt;=Cutoff!$B$10),1,0)</f>
        <v>1</v>
      </c>
      <c r="R187" s="12" t="n">
        <f aca="false">IF(Q187=1,IF(K187&lt;=Cutoff!$B$10,1,0),0)</f>
        <v>0</v>
      </c>
      <c r="S187" s="12" t="n">
        <f aca="false">IF(N187=1,SUMIFS(Subscriptions!$D$2:$D$208,Subscriptions!$A$2:$A$208,C187,Subscriptions!$E$2:$E$208,1,Subscriptions!$B$2:$B$208,"&gt;="&amp;Cutoff!$B$24,Subscriptions!$B$2:$B$208,"&lt;"&amp;Cutoff!$B$25,Subscriptions!$B$2:$B$208,"&lt;="&amp;Cutoff!$B$10),0)</f>
        <v>0</v>
      </c>
    </row>
    <row r="188" customFormat="false" ht="15" hidden="false" customHeight="false" outlineLevel="0" collapsed="false">
      <c r="A188" s="4" t="s">
        <v>660</v>
      </c>
      <c r="B188" s="4" t="s">
        <v>288</v>
      </c>
      <c r="C188" s="4" t="s">
        <v>661</v>
      </c>
      <c r="D188" s="4" t="s">
        <v>51</v>
      </c>
      <c r="E188" s="4" t="n">
        <v>1779810446</v>
      </c>
      <c r="F188" s="4" t="n">
        <v>1779809951</v>
      </c>
      <c r="G188" s="4" t="n">
        <v>1779809972</v>
      </c>
      <c r="H188" s="4" t="n">
        <v>1000000000000000</v>
      </c>
      <c r="I188" s="4" t="n">
        <v>1000000000000000</v>
      </c>
      <c r="J188" s="4" t="n">
        <v>1779811507</v>
      </c>
      <c r="K188" s="4" t="n">
        <v>1000000000000000</v>
      </c>
      <c r="L188" s="12" t="n">
        <f aca="false">IF(AND(B188=Cutoff!$B$12,E188&lt;=Cutoff!$B$10),1,0)</f>
        <v>1</v>
      </c>
      <c r="M188" s="12" t="n">
        <f aca="false">IF(AND(L188=1,F188&lt;1000000000000000,G188&lt;=Cutoff!$B$10),1,0)</f>
        <v>1</v>
      </c>
      <c r="N188" s="12" t="n">
        <f aca="false">IF(AND(M188=1,F188+Cutoff!$B$16&lt;=Cutoff!$B$10),1,0)</f>
        <v>1</v>
      </c>
      <c r="O188" s="12" t="n">
        <f aca="false">IF(N188=1,IF(AND(H188&lt;1000000000000000,H188&gt;=MAX(F188,E188),H188&lt;F188+Cutoff!$B$16,I188&lt;=Cutoff!$B$10),1,0),0)</f>
        <v>0</v>
      </c>
      <c r="P188" s="12" t="n">
        <f aca="false">IF(AND(L188=1,J188&lt;=Cutoff!$B$10),1,0)</f>
        <v>1</v>
      </c>
      <c r="Q188" s="12" t="n">
        <f aca="false">IF(AND(N188=1,E188+Cutoff!$B$17&lt;=Cutoff!$B$10),1,0)</f>
        <v>1</v>
      </c>
      <c r="R188" s="12" t="n">
        <f aca="false">IF(Q188=1,IF(K188&lt;=Cutoff!$B$10,1,0),0)</f>
        <v>0</v>
      </c>
      <c r="S188" s="12" t="n">
        <f aca="false">IF(N188=1,SUMIFS(Subscriptions!$D$2:$D$208,Subscriptions!$A$2:$A$208,C188,Subscriptions!$E$2:$E$208,1,Subscriptions!$B$2:$B$208,"&gt;="&amp;Cutoff!$B$24,Subscriptions!$B$2:$B$208,"&lt;"&amp;Cutoff!$B$25,Subscriptions!$B$2:$B$208,"&lt;="&amp;Cutoff!$B$10),0)</f>
        <v>897</v>
      </c>
    </row>
    <row r="189" customFormat="false" ht="15" hidden="false" customHeight="false" outlineLevel="0" collapsed="false">
      <c r="A189" s="4" t="s">
        <v>662</v>
      </c>
      <c r="B189" s="4" t="s">
        <v>288</v>
      </c>
      <c r="C189" s="4" t="s">
        <v>663</v>
      </c>
      <c r="D189" s="4" t="s">
        <v>51</v>
      </c>
      <c r="E189" s="4" t="n">
        <v>1779842394</v>
      </c>
      <c r="F189" s="4" t="n">
        <v>1779842010</v>
      </c>
      <c r="G189" s="4" t="n">
        <v>1779842021</v>
      </c>
      <c r="H189" s="4" t="n">
        <v>1000000000000000</v>
      </c>
      <c r="I189" s="4" t="n">
        <v>1000000000000000</v>
      </c>
      <c r="J189" s="4" t="n">
        <v>1779842724</v>
      </c>
      <c r="K189" s="4" t="n">
        <v>1000000000000000</v>
      </c>
      <c r="L189" s="12" t="n">
        <f aca="false">IF(AND(B189=Cutoff!$B$12,E189&lt;=Cutoff!$B$10),1,0)</f>
        <v>1</v>
      </c>
      <c r="M189" s="12" t="n">
        <f aca="false">IF(AND(L189=1,F189&lt;1000000000000000,G189&lt;=Cutoff!$B$10),1,0)</f>
        <v>1</v>
      </c>
      <c r="N189" s="12" t="n">
        <f aca="false">IF(AND(M189=1,F189+Cutoff!$B$16&lt;=Cutoff!$B$10),1,0)</f>
        <v>1</v>
      </c>
      <c r="O189" s="12" t="n">
        <f aca="false">IF(N189=1,IF(AND(H189&lt;1000000000000000,H189&gt;=MAX(F189,E189),H189&lt;F189+Cutoff!$B$16,I189&lt;=Cutoff!$B$10),1,0),0)</f>
        <v>0</v>
      </c>
      <c r="P189" s="12" t="n">
        <f aca="false">IF(AND(L189=1,J189&lt;=Cutoff!$B$10),1,0)</f>
        <v>1</v>
      </c>
      <c r="Q189" s="12" t="n">
        <f aca="false">IF(AND(N189=1,E189+Cutoff!$B$17&lt;=Cutoff!$B$10),1,0)</f>
        <v>1</v>
      </c>
      <c r="R189" s="12" t="n">
        <f aca="false">IF(Q189=1,IF(K189&lt;=Cutoff!$B$10,1,0),0)</f>
        <v>0</v>
      </c>
      <c r="S189" s="12" t="n">
        <f aca="false">IF(N189=1,SUMIFS(Subscriptions!$D$2:$D$208,Subscriptions!$A$2:$A$208,C189,Subscriptions!$E$2:$E$208,1,Subscriptions!$B$2:$B$208,"&gt;="&amp;Cutoff!$B$24,Subscriptions!$B$2:$B$208,"&lt;"&amp;Cutoff!$B$25,Subscriptions!$B$2:$B$208,"&lt;="&amp;Cutoff!$B$10),0)</f>
        <v>0</v>
      </c>
    </row>
    <row r="190" customFormat="false" ht="15" hidden="false" customHeight="false" outlineLevel="0" collapsed="false">
      <c r="A190" s="4" t="s">
        <v>664</v>
      </c>
      <c r="B190" s="4" t="s">
        <v>288</v>
      </c>
      <c r="C190" s="4" t="s">
        <v>665</v>
      </c>
      <c r="D190" s="4" t="s">
        <v>51</v>
      </c>
      <c r="E190" s="4" t="n">
        <v>1779877789</v>
      </c>
      <c r="F190" s="4" t="n">
        <v>1779877419</v>
      </c>
      <c r="G190" s="4" t="n">
        <v>1779877428</v>
      </c>
      <c r="H190" s="4" t="n">
        <v>1000000000000000</v>
      </c>
      <c r="I190" s="4" t="n">
        <v>1000000000000000</v>
      </c>
      <c r="J190" s="4" t="n">
        <v>1779878644</v>
      </c>
      <c r="K190" s="4" t="n">
        <v>1000000000000000</v>
      </c>
      <c r="L190" s="12" t="n">
        <f aca="false">IF(AND(B190=Cutoff!$B$12,E190&lt;=Cutoff!$B$10),1,0)</f>
        <v>1</v>
      </c>
      <c r="M190" s="12" t="n">
        <f aca="false">IF(AND(L190=1,F190&lt;1000000000000000,G190&lt;=Cutoff!$B$10),1,0)</f>
        <v>1</v>
      </c>
      <c r="N190" s="12" t="n">
        <f aca="false">IF(AND(M190=1,F190+Cutoff!$B$16&lt;=Cutoff!$B$10),1,0)</f>
        <v>1</v>
      </c>
      <c r="O190" s="12" t="n">
        <f aca="false">IF(N190=1,IF(AND(H190&lt;1000000000000000,H190&gt;=MAX(F190,E190),H190&lt;F190+Cutoff!$B$16,I190&lt;=Cutoff!$B$10),1,0),0)</f>
        <v>0</v>
      </c>
      <c r="P190" s="12" t="n">
        <f aca="false">IF(AND(L190=1,J190&lt;=Cutoff!$B$10),1,0)</f>
        <v>1</v>
      </c>
      <c r="Q190" s="12" t="n">
        <f aca="false">IF(AND(N190=1,E190+Cutoff!$B$17&lt;=Cutoff!$B$10),1,0)</f>
        <v>1</v>
      </c>
      <c r="R190" s="12" t="n">
        <f aca="false">IF(Q190=1,IF(K190&lt;=Cutoff!$B$10,1,0),0)</f>
        <v>0</v>
      </c>
      <c r="S190" s="12" t="n">
        <f aca="false">IF(N190=1,SUMIFS(Subscriptions!$D$2:$D$208,Subscriptions!$A$2:$A$208,C190,Subscriptions!$E$2:$E$208,1,Subscriptions!$B$2:$B$208,"&gt;="&amp;Cutoff!$B$24,Subscriptions!$B$2:$B$208,"&lt;"&amp;Cutoff!$B$25,Subscriptions!$B$2:$B$208,"&lt;="&amp;Cutoff!$B$10),0)</f>
        <v>0</v>
      </c>
    </row>
    <row r="191" customFormat="false" ht="15" hidden="false" customHeight="false" outlineLevel="0" collapsed="false">
      <c r="A191" s="4" t="s">
        <v>666</v>
      </c>
      <c r="B191" s="4" t="s">
        <v>288</v>
      </c>
      <c r="C191" s="4" t="s">
        <v>667</v>
      </c>
      <c r="D191" s="4" t="s">
        <v>51</v>
      </c>
      <c r="E191" s="4" t="n">
        <v>1779906553</v>
      </c>
      <c r="F191" s="4" t="n">
        <v>1779906435</v>
      </c>
      <c r="G191" s="4" t="n">
        <v>1779906456</v>
      </c>
      <c r="H191" s="4" t="n">
        <v>1000000000000000</v>
      </c>
      <c r="I191" s="4" t="n">
        <v>1000000000000000</v>
      </c>
      <c r="J191" s="4" t="n">
        <v>1779907439</v>
      </c>
      <c r="K191" s="4" t="n">
        <v>1000000000000000</v>
      </c>
      <c r="L191" s="12" t="n">
        <f aca="false">IF(AND(B191=Cutoff!$B$12,E191&lt;=Cutoff!$B$10),1,0)</f>
        <v>1</v>
      </c>
      <c r="M191" s="12" t="n">
        <f aca="false">IF(AND(L191=1,F191&lt;1000000000000000,G191&lt;=Cutoff!$B$10),1,0)</f>
        <v>1</v>
      </c>
      <c r="N191" s="12" t="n">
        <f aca="false">IF(AND(M191=1,F191+Cutoff!$B$16&lt;=Cutoff!$B$10),1,0)</f>
        <v>1</v>
      </c>
      <c r="O191" s="12" t="n">
        <f aca="false">IF(N191=1,IF(AND(H191&lt;1000000000000000,H191&gt;=MAX(F191,E191),H191&lt;F191+Cutoff!$B$16,I191&lt;=Cutoff!$B$10),1,0),0)</f>
        <v>0</v>
      </c>
      <c r="P191" s="12" t="n">
        <f aca="false">IF(AND(L191=1,J191&lt;=Cutoff!$B$10),1,0)</f>
        <v>1</v>
      </c>
      <c r="Q191" s="12" t="n">
        <f aca="false">IF(AND(N191=1,E191+Cutoff!$B$17&lt;=Cutoff!$B$10),1,0)</f>
        <v>1</v>
      </c>
      <c r="R191" s="12" t="n">
        <f aca="false">IF(Q191=1,IF(K191&lt;=Cutoff!$B$10,1,0),0)</f>
        <v>0</v>
      </c>
      <c r="S191" s="12" t="n">
        <f aca="false">IF(N191=1,SUMIFS(Subscriptions!$D$2:$D$208,Subscriptions!$A$2:$A$208,C191,Subscriptions!$E$2:$E$208,1,Subscriptions!$B$2:$B$208,"&gt;="&amp;Cutoff!$B$24,Subscriptions!$B$2:$B$208,"&lt;"&amp;Cutoff!$B$25,Subscriptions!$B$2:$B$208,"&lt;="&amp;Cutoff!$B$10),0)</f>
        <v>0</v>
      </c>
    </row>
    <row r="192" customFormat="false" ht="15" hidden="false" customHeight="false" outlineLevel="0" collapsed="false">
      <c r="A192" s="4" t="s">
        <v>668</v>
      </c>
      <c r="B192" s="4" t="s">
        <v>288</v>
      </c>
      <c r="C192" s="4" t="s">
        <v>669</v>
      </c>
      <c r="D192" s="4" t="s">
        <v>52</v>
      </c>
      <c r="E192" s="4" t="n">
        <v>1779909080</v>
      </c>
      <c r="F192" s="4" t="n">
        <v>1779908950</v>
      </c>
      <c r="G192" s="4" t="n">
        <v>1779908952</v>
      </c>
      <c r="H192" s="4" t="n">
        <v>1000000000000000</v>
      </c>
      <c r="I192" s="4" t="n">
        <v>1000000000000000</v>
      </c>
      <c r="J192" s="4" t="n">
        <v>1779909506</v>
      </c>
      <c r="K192" s="4" t="n">
        <v>1000000000000000</v>
      </c>
      <c r="L192" s="12" t="n">
        <f aca="false">IF(AND(B192=Cutoff!$B$12,E192&lt;=Cutoff!$B$10),1,0)</f>
        <v>1</v>
      </c>
      <c r="M192" s="12" t="n">
        <f aca="false">IF(AND(L192=1,F192&lt;1000000000000000,G192&lt;=Cutoff!$B$10),1,0)</f>
        <v>1</v>
      </c>
      <c r="N192" s="12" t="n">
        <f aca="false">IF(AND(M192=1,F192+Cutoff!$B$16&lt;=Cutoff!$B$10),1,0)</f>
        <v>1</v>
      </c>
      <c r="O192" s="12" t="n">
        <f aca="false">IF(N192=1,IF(AND(H192&lt;1000000000000000,H192&gt;=MAX(F192,E192),H192&lt;F192+Cutoff!$B$16,I192&lt;=Cutoff!$B$10),1,0),0)</f>
        <v>0</v>
      </c>
      <c r="P192" s="12" t="n">
        <f aca="false">IF(AND(L192=1,J192&lt;=Cutoff!$B$10),1,0)</f>
        <v>1</v>
      </c>
      <c r="Q192" s="12" t="n">
        <f aca="false">IF(AND(N192=1,E192+Cutoff!$B$17&lt;=Cutoff!$B$10),1,0)</f>
        <v>1</v>
      </c>
      <c r="R192" s="12" t="n">
        <f aca="false">IF(Q192=1,IF(K192&lt;=Cutoff!$B$10,1,0),0)</f>
        <v>0</v>
      </c>
      <c r="S192" s="12" t="n">
        <f aca="false">IF(N192=1,SUMIFS(Subscriptions!$D$2:$D$208,Subscriptions!$A$2:$A$208,C192,Subscriptions!$E$2:$E$208,1,Subscriptions!$B$2:$B$208,"&gt;="&amp;Cutoff!$B$24,Subscriptions!$B$2:$B$208,"&lt;"&amp;Cutoff!$B$25,Subscriptions!$B$2:$B$208,"&lt;="&amp;Cutoff!$B$10),0)</f>
        <v>216</v>
      </c>
    </row>
    <row r="193" customFormat="false" ht="15" hidden="false" customHeight="false" outlineLevel="0" collapsed="false">
      <c r="A193" s="4" t="s">
        <v>670</v>
      </c>
      <c r="B193" s="4" t="s">
        <v>288</v>
      </c>
      <c r="C193" s="4" t="s">
        <v>671</v>
      </c>
      <c r="D193" s="4" t="s">
        <v>52</v>
      </c>
      <c r="E193" s="4" t="n">
        <v>1779966930</v>
      </c>
      <c r="F193" s="4" t="n">
        <v>1779966716</v>
      </c>
      <c r="G193" s="4" t="n">
        <v>1779966727</v>
      </c>
      <c r="H193" s="4" t="n">
        <v>1000000000000000</v>
      </c>
      <c r="I193" s="4" t="n">
        <v>1000000000000000</v>
      </c>
      <c r="J193" s="4" t="n">
        <v>1779967733</v>
      </c>
      <c r="K193" s="4" t="n">
        <v>1000000000000000</v>
      </c>
      <c r="L193" s="12" t="n">
        <f aca="false">IF(AND(B193=Cutoff!$B$12,E193&lt;=Cutoff!$B$10),1,0)</f>
        <v>1</v>
      </c>
      <c r="M193" s="12" t="n">
        <f aca="false">IF(AND(L193=1,F193&lt;1000000000000000,G193&lt;=Cutoff!$B$10),1,0)</f>
        <v>1</v>
      </c>
      <c r="N193" s="12" t="n">
        <f aca="false">IF(AND(M193=1,F193+Cutoff!$B$16&lt;=Cutoff!$B$10),1,0)</f>
        <v>1</v>
      </c>
      <c r="O193" s="12" t="n">
        <f aca="false">IF(N193=1,IF(AND(H193&lt;1000000000000000,H193&gt;=MAX(F193,E193),H193&lt;F193+Cutoff!$B$16,I193&lt;=Cutoff!$B$10),1,0),0)</f>
        <v>0</v>
      </c>
      <c r="P193" s="12" t="n">
        <f aca="false">IF(AND(L193=1,J193&lt;=Cutoff!$B$10),1,0)</f>
        <v>1</v>
      </c>
      <c r="Q193" s="12" t="n">
        <f aca="false">IF(AND(N193=1,E193+Cutoff!$B$17&lt;=Cutoff!$B$10),1,0)</f>
        <v>1</v>
      </c>
      <c r="R193" s="12" t="n">
        <f aca="false">IF(Q193=1,IF(K193&lt;=Cutoff!$B$10,1,0),0)</f>
        <v>0</v>
      </c>
      <c r="S193" s="12" t="n">
        <f aca="false">IF(N193=1,SUMIFS(Subscriptions!$D$2:$D$208,Subscriptions!$A$2:$A$208,C193,Subscriptions!$E$2:$E$208,1,Subscriptions!$B$2:$B$208,"&gt;="&amp;Cutoff!$B$24,Subscriptions!$B$2:$B$208,"&lt;"&amp;Cutoff!$B$25,Subscriptions!$B$2:$B$208,"&lt;="&amp;Cutoff!$B$10),0)</f>
        <v>0</v>
      </c>
    </row>
    <row r="194" customFormat="false" ht="15" hidden="false" customHeight="false" outlineLevel="0" collapsed="false">
      <c r="A194" s="4" t="s">
        <v>672</v>
      </c>
      <c r="B194" s="4" t="s">
        <v>288</v>
      </c>
      <c r="C194" s="4" t="s">
        <v>673</v>
      </c>
      <c r="D194" s="4" t="s">
        <v>52</v>
      </c>
      <c r="E194" s="4" t="n">
        <v>1779969001</v>
      </c>
      <c r="F194" s="4" t="n">
        <v>1779968842</v>
      </c>
      <c r="G194" s="4" t="n">
        <v>1779968938</v>
      </c>
      <c r="H194" s="4" t="n">
        <v>1000000000000000</v>
      </c>
      <c r="I194" s="4" t="n">
        <v>1000000000000000</v>
      </c>
      <c r="J194" s="4" t="n">
        <v>1779969258</v>
      </c>
      <c r="K194" s="4" t="n">
        <v>1000000000000000</v>
      </c>
      <c r="L194" s="12" t="n">
        <f aca="false">IF(AND(B194=Cutoff!$B$12,E194&lt;=Cutoff!$B$10),1,0)</f>
        <v>1</v>
      </c>
      <c r="M194" s="12" t="n">
        <f aca="false">IF(AND(L194=1,F194&lt;1000000000000000,G194&lt;=Cutoff!$B$10),1,0)</f>
        <v>1</v>
      </c>
      <c r="N194" s="12" t="n">
        <f aca="false">IF(AND(M194=1,F194+Cutoff!$B$16&lt;=Cutoff!$B$10),1,0)</f>
        <v>1</v>
      </c>
      <c r="O194" s="12" t="n">
        <f aca="false">IF(N194=1,IF(AND(H194&lt;1000000000000000,H194&gt;=MAX(F194,E194),H194&lt;F194+Cutoff!$B$16,I194&lt;=Cutoff!$B$10),1,0),0)</f>
        <v>0</v>
      </c>
      <c r="P194" s="12" t="n">
        <f aca="false">IF(AND(L194=1,J194&lt;=Cutoff!$B$10),1,0)</f>
        <v>1</v>
      </c>
      <c r="Q194" s="12" t="n">
        <f aca="false">IF(AND(N194=1,E194+Cutoff!$B$17&lt;=Cutoff!$B$10),1,0)</f>
        <v>1</v>
      </c>
      <c r="R194" s="12" t="n">
        <f aca="false">IF(Q194=1,IF(K194&lt;=Cutoff!$B$10,1,0),0)</f>
        <v>0</v>
      </c>
      <c r="S194" s="12" t="n">
        <f aca="false">IF(N194=1,SUMIFS(Subscriptions!$D$2:$D$208,Subscriptions!$A$2:$A$208,C194,Subscriptions!$E$2:$E$208,1,Subscriptions!$B$2:$B$208,"&gt;="&amp;Cutoff!$B$24,Subscriptions!$B$2:$B$208,"&lt;"&amp;Cutoff!$B$25,Subscriptions!$B$2:$B$208,"&lt;="&amp;Cutoff!$B$10),0)</f>
        <v>0</v>
      </c>
    </row>
    <row r="195" customFormat="false" ht="15" hidden="false" customHeight="false" outlineLevel="0" collapsed="false">
      <c r="A195" s="4" t="s">
        <v>674</v>
      </c>
      <c r="B195" s="4" t="s">
        <v>288</v>
      </c>
      <c r="C195" s="4" t="s">
        <v>675</v>
      </c>
      <c r="D195" s="4" t="s">
        <v>51</v>
      </c>
      <c r="E195" s="4" t="n">
        <v>1779984617</v>
      </c>
      <c r="F195" s="4" t="n">
        <v>1779984217</v>
      </c>
      <c r="G195" s="4" t="n">
        <v>1779984370</v>
      </c>
      <c r="H195" s="4" t="n">
        <v>1000000000000000</v>
      </c>
      <c r="I195" s="4" t="n">
        <v>1000000000000000</v>
      </c>
      <c r="J195" s="4" t="n">
        <v>1779984918</v>
      </c>
      <c r="K195" s="4" t="n">
        <v>1000000000000000</v>
      </c>
      <c r="L195" s="12" t="n">
        <f aca="false">IF(AND(B195=Cutoff!$B$12,E195&lt;=Cutoff!$B$10),1,0)</f>
        <v>1</v>
      </c>
      <c r="M195" s="12" t="n">
        <f aca="false">IF(AND(L195=1,F195&lt;1000000000000000,G195&lt;=Cutoff!$B$10),1,0)</f>
        <v>1</v>
      </c>
      <c r="N195" s="12" t="n">
        <f aca="false">IF(AND(M195=1,F195+Cutoff!$B$16&lt;=Cutoff!$B$10),1,0)</f>
        <v>1</v>
      </c>
      <c r="O195" s="12" t="n">
        <f aca="false">IF(N195=1,IF(AND(H195&lt;1000000000000000,H195&gt;=MAX(F195,E195),H195&lt;F195+Cutoff!$B$16,I195&lt;=Cutoff!$B$10),1,0),0)</f>
        <v>0</v>
      </c>
      <c r="P195" s="12" t="n">
        <f aca="false">IF(AND(L195=1,J195&lt;=Cutoff!$B$10),1,0)</f>
        <v>1</v>
      </c>
      <c r="Q195" s="12" t="n">
        <f aca="false">IF(AND(N195=1,E195+Cutoff!$B$17&lt;=Cutoff!$B$10),1,0)</f>
        <v>1</v>
      </c>
      <c r="R195" s="12" t="n">
        <f aca="false">IF(Q195=1,IF(K195&lt;=Cutoff!$B$10,1,0),0)</f>
        <v>0</v>
      </c>
      <c r="S195" s="12" t="n">
        <f aca="false">IF(N195=1,SUMIFS(Subscriptions!$D$2:$D$208,Subscriptions!$A$2:$A$208,C195,Subscriptions!$E$2:$E$208,1,Subscriptions!$B$2:$B$208,"&gt;="&amp;Cutoff!$B$24,Subscriptions!$B$2:$B$208,"&lt;"&amp;Cutoff!$B$25,Subscriptions!$B$2:$B$208,"&lt;="&amp;Cutoff!$B$10),0)</f>
        <v>0</v>
      </c>
    </row>
    <row r="196" customFormat="false" ht="15" hidden="false" customHeight="false" outlineLevel="0" collapsed="false">
      <c r="A196" s="4" t="s">
        <v>676</v>
      </c>
      <c r="B196" s="4" t="s">
        <v>288</v>
      </c>
      <c r="C196" s="4" t="s">
        <v>677</v>
      </c>
      <c r="D196" s="4" t="s">
        <v>52</v>
      </c>
      <c r="E196" s="4" t="n">
        <v>1779990998</v>
      </c>
      <c r="F196" s="4" t="n">
        <v>1779990817</v>
      </c>
      <c r="G196" s="4" t="n">
        <v>1779990839</v>
      </c>
      <c r="H196" s="4" t="n">
        <v>1780326694</v>
      </c>
      <c r="I196" s="4" t="n">
        <v>1780801892</v>
      </c>
      <c r="J196" s="4" t="n">
        <v>1779991875</v>
      </c>
      <c r="K196" s="4" t="n">
        <v>1000000000000000</v>
      </c>
      <c r="L196" s="12" t="n">
        <f aca="false">IF(AND(B196=Cutoff!$B$12,E196&lt;=Cutoff!$B$10),1,0)</f>
        <v>1</v>
      </c>
      <c r="M196" s="12" t="n">
        <f aca="false">IF(AND(L196=1,F196&lt;1000000000000000,G196&lt;=Cutoff!$B$10),1,0)</f>
        <v>1</v>
      </c>
      <c r="N196" s="12" t="n">
        <f aca="false">IF(AND(M196=1,F196+Cutoff!$B$16&lt;=Cutoff!$B$10),1,0)</f>
        <v>1</v>
      </c>
      <c r="O196" s="12" t="n">
        <f aca="false">IF(N196=1,IF(AND(H196&lt;1000000000000000,H196&gt;=MAX(F196,E196),H196&lt;F196+Cutoff!$B$16,I196&lt;=Cutoff!$B$10),1,0),0)</f>
        <v>1</v>
      </c>
      <c r="P196" s="12" t="n">
        <f aca="false">IF(AND(L196=1,J196&lt;=Cutoff!$B$10),1,0)</f>
        <v>1</v>
      </c>
      <c r="Q196" s="12" t="n">
        <f aca="false">IF(AND(N196=1,E196+Cutoff!$B$17&lt;=Cutoff!$B$10),1,0)</f>
        <v>1</v>
      </c>
      <c r="R196" s="12" t="n">
        <f aca="false">IF(Q196=1,IF(K196&lt;=Cutoff!$B$10,1,0),0)</f>
        <v>0</v>
      </c>
      <c r="S196" s="12" t="n">
        <f aca="false">IF(N196=1,SUMIFS(Subscriptions!$D$2:$D$208,Subscriptions!$A$2:$A$208,C196,Subscriptions!$E$2:$E$208,1,Subscriptions!$B$2:$B$208,"&gt;="&amp;Cutoff!$B$24,Subscriptions!$B$2:$B$208,"&lt;"&amp;Cutoff!$B$25,Subscriptions!$B$2:$B$208,"&lt;="&amp;Cutoff!$B$10),0)</f>
        <v>0</v>
      </c>
    </row>
    <row r="197" customFormat="false" ht="15" hidden="false" customHeight="false" outlineLevel="0" collapsed="false">
      <c r="A197" s="4" t="s">
        <v>678</v>
      </c>
      <c r="B197" s="4" t="s">
        <v>288</v>
      </c>
      <c r="C197" s="4" t="s">
        <v>679</v>
      </c>
      <c r="D197" s="4" t="s">
        <v>51</v>
      </c>
      <c r="E197" s="4" t="n">
        <v>1779997732</v>
      </c>
      <c r="F197" s="4" t="n">
        <v>1779997557</v>
      </c>
      <c r="G197" s="4" t="n">
        <v>1779997559</v>
      </c>
      <c r="H197" s="4" t="n">
        <v>1000000000000000</v>
      </c>
      <c r="I197" s="4" t="n">
        <v>1000000000000000</v>
      </c>
      <c r="J197" s="4" t="n">
        <v>1779997881</v>
      </c>
      <c r="K197" s="4" t="n">
        <v>1000000000000000</v>
      </c>
      <c r="L197" s="12" t="n">
        <f aca="false">IF(AND(B197=Cutoff!$B$12,E197&lt;=Cutoff!$B$10),1,0)</f>
        <v>1</v>
      </c>
      <c r="M197" s="12" t="n">
        <f aca="false">IF(AND(L197=1,F197&lt;1000000000000000,G197&lt;=Cutoff!$B$10),1,0)</f>
        <v>1</v>
      </c>
      <c r="N197" s="12" t="n">
        <f aca="false">IF(AND(M197=1,F197+Cutoff!$B$16&lt;=Cutoff!$B$10),1,0)</f>
        <v>1</v>
      </c>
      <c r="O197" s="12" t="n">
        <f aca="false">IF(N197=1,IF(AND(H197&lt;1000000000000000,H197&gt;=MAX(F197,E197),H197&lt;F197+Cutoff!$B$16,I197&lt;=Cutoff!$B$10),1,0),0)</f>
        <v>0</v>
      </c>
      <c r="P197" s="12" t="n">
        <f aca="false">IF(AND(L197=1,J197&lt;=Cutoff!$B$10),1,0)</f>
        <v>1</v>
      </c>
      <c r="Q197" s="12" t="n">
        <f aca="false">IF(AND(N197=1,E197+Cutoff!$B$17&lt;=Cutoff!$B$10),1,0)</f>
        <v>1</v>
      </c>
      <c r="R197" s="12" t="n">
        <f aca="false">IF(Q197=1,IF(K197&lt;=Cutoff!$B$10,1,0),0)</f>
        <v>0</v>
      </c>
      <c r="S197" s="12" t="n">
        <f aca="false">IF(N197=1,SUMIFS(Subscriptions!$D$2:$D$208,Subscriptions!$A$2:$A$208,C197,Subscriptions!$E$2:$E$208,1,Subscriptions!$B$2:$B$208,"&gt;="&amp;Cutoff!$B$24,Subscriptions!$B$2:$B$208,"&lt;"&amp;Cutoff!$B$25,Subscriptions!$B$2:$B$208,"&lt;="&amp;Cutoff!$B$10),0)</f>
        <v>0</v>
      </c>
    </row>
    <row r="198" customFormat="false" ht="15" hidden="false" customHeight="false" outlineLevel="0" collapsed="false">
      <c r="A198" s="4" t="s">
        <v>680</v>
      </c>
      <c r="B198" s="4" t="s">
        <v>288</v>
      </c>
      <c r="C198" s="4" t="s">
        <v>681</v>
      </c>
      <c r="D198" s="4" t="s">
        <v>52</v>
      </c>
      <c r="E198" s="4" t="n">
        <v>1780063158</v>
      </c>
      <c r="F198" s="4" t="n">
        <v>1780062594</v>
      </c>
      <c r="G198" s="4" t="n">
        <v>1780062612</v>
      </c>
      <c r="H198" s="4" t="n">
        <v>1780073162</v>
      </c>
      <c r="I198" s="4" t="n">
        <v>1780073165</v>
      </c>
      <c r="J198" s="4" t="n">
        <v>1780064151</v>
      </c>
      <c r="K198" s="4" t="n">
        <v>1000000000000000</v>
      </c>
      <c r="L198" s="12" t="n">
        <f aca="false">IF(AND(B198=Cutoff!$B$12,E198&lt;=Cutoff!$B$10),1,0)</f>
        <v>1</v>
      </c>
      <c r="M198" s="12" t="n">
        <f aca="false">IF(AND(L198=1,F198&lt;1000000000000000,G198&lt;=Cutoff!$B$10),1,0)</f>
        <v>1</v>
      </c>
      <c r="N198" s="12" t="n">
        <f aca="false">IF(AND(M198=1,F198+Cutoff!$B$16&lt;=Cutoff!$B$10),1,0)</f>
        <v>1</v>
      </c>
      <c r="O198" s="12" t="n">
        <f aca="false">IF(N198=1,IF(AND(H198&lt;1000000000000000,H198&gt;=MAX(F198,E198),H198&lt;F198+Cutoff!$B$16,I198&lt;=Cutoff!$B$10),1,0),0)</f>
        <v>1</v>
      </c>
      <c r="P198" s="12" t="n">
        <f aca="false">IF(AND(L198=1,J198&lt;=Cutoff!$B$10),1,0)</f>
        <v>1</v>
      </c>
      <c r="Q198" s="12" t="n">
        <f aca="false">IF(AND(N198=1,E198+Cutoff!$B$17&lt;=Cutoff!$B$10),1,0)</f>
        <v>1</v>
      </c>
      <c r="R198" s="12" t="n">
        <f aca="false">IF(Q198=1,IF(K198&lt;=Cutoff!$B$10,1,0),0)</f>
        <v>0</v>
      </c>
      <c r="S198" s="12" t="n">
        <f aca="false">IF(N198=1,SUMIFS(Subscriptions!$D$2:$D$208,Subscriptions!$A$2:$A$208,C198,Subscriptions!$E$2:$E$208,1,Subscriptions!$B$2:$B$208,"&gt;="&amp;Cutoff!$B$24,Subscriptions!$B$2:$B$208,"&lt;"&amp;Cutoff!$B$25,Subscriptions!$B$2:$B$208,"&lt;="&amp;Cutoff!$B$10),0)</f>
        <v>0</v>
      </c>
    </row>
    <row r="199" customFormat="false" ht="15" hidden="false" customHeight="false" outlineLevel="0" collapsed="false">
      <c r="A199" s="4" t="s">
        <v>682</v>
      </c>
      <c r="B199" s="4" t="s">
        <v>288</v>
      </c>
      <c r="C199" s="4" t="s">
        <v>683</v>
      </c>
      <c r="D199" s="4" t="s">
        <v>51</v>
      </c>
      <c r="E199" s="4" t="n">
        <v>1780064722</v>
      </c>
      <c r="F199" s="4" t="n">
        <v>1780064132</v>
      </c>
      <c r="G199" s="4" t="n">
        <v>1780066515</v>
      </c>
      <c r="H199" s="4" t="n">
        <v>1000000000000000</v>
      </c>
      <c r="I199" s="4" t="n">
        <v>1000000000000000</v>
      </c>
      <c r="J199" s="4" t="n">
        <v>1780065405</v>
      </c>
      <c r="K199" s="4" t="n">
        <v>1780587610</v>
      </c>
      <c r="L199" s="12" t="n">
        <f aca="false">IF(AND(B199=Cutoff!$B$12,E199&lt;=Cutoff!$B$10),1,0)</f>
        <v>1</v>
      </c>
      <c r="M199" s="12" t="n">
        <f aca="false">IF(AND(L199=1,F199&lt;1000000000000000,G199&lt;=Cutoff!$B$10),1,0)</f>
        <v>1</v>
      </c>
      <c r="N199" s="12" t="n">
        <f aca="false">IF(AND(M199=1,F199+Cutoff!$B$16&lt;=Cutoff!$B$10),1,0)</f>
        <v>1</v>
      </c>
      <c r="O199" s="12" t="n">
        <f aca="false">IF(N199=1,IF(AND(H199&lt;1000000000000000,H199&gt;=MAX(F199,E199),H199&lt;F199+Cutoff!$B$16,I199&lt;=Cutoff!$B$10),1,0),0)</f>
        <v>0</v>
      </c>
      <c r="P199" s="12" t="n">
        <f aca="false">IF(AND(L199=1,J199&lt;=Cutoff!$B$10),1,0)</f>
        <v>1</v>
      </c>
      <c r="Q199" s="12" t="n">
        <f aca="false">IF(AND(N199=1,E199+Cutoff!$B$17&lt;=Cutoff!$B$10),1,0)</f>
        <v>1</v>
      </c>
      <c r="R199" s="12" t="n">
        <f aca="false">IF(Q199=1,IF(K199&lt;=Cutoff!$B$10,1,0),0)</f>
        <v>1</v>
      </c>
      <c r="S199" s="12" t="n">
        <f aca="false">IF(N199=1,SUMIFS(Subscriptions!$D$2:$D$208,Subscriptions!$A$2:$A$208,C199,Subscriptions!$E$2:$E$208,1,Subscriptions!$B$2:$B$208,"&gt;="&amp;Cutoff!$B$24,Subscriptions!$B$2:$B$208,"&lt;"&amp;Cutoff!$B$25,Subscriptions!$B$2:$B$208,"&lt;="&amp;Cutoff!$B$10),0)</f>
        <v>1521</v>
      </c>
    </row>
    <row r="200" customFormat="false" ht="15" hidden="false" customHeight="false" outlineLevel="0" collapsed="false">
      <c r="A200" s="4" t="s">
        <v>684</v>
      </c>
      <c r="B200" s="4" t="s">
        <v>288</v>
      </c>
      <c r="C200" s="4" t="s">
        <v>685</v>
      </c>
      <c r="D200" s="4" t="s">
        <v>52</v>
      </c>
      <c r="E200" s="4" t="n">
        <v>1780073162</v>
      </c>
      <c r="F200" s="4" t="n">
        <v>1780072924</v>
      </c>
      <c r="G200" s="4" t="n">
        <v>1780072940</v>
      </c>
      <c r="H200" s="4" t="n">
        <v>1780284216</v>
      </c>
      <c r="I200" s="4" t="n">
        <v>1780284232</v>
      </c>
      <c r="J200" s="4" t="n">
        <v>1780074209</v>
      </c>
      <c r="K200" s="4" t="n">
        <v>1000000000000000</v>
      </c>
      <c r="L200" s="12" t="n">
        <f aca="false">IF(AND(B200=Cutoff!$B$12,E200&lt;=Cutoff!$B$10),1,0)</f>
        <v>1</v>
      </c>
      <c r="M200" s="12" t="n">
        <f aca="false">IF(AND(L200=1,F200&lt;1000000000000000,G200&lt;=Cutoff!$B$10),1,0)</f>
        <v>1</v>
      </c>
      <c r="N200" s="12" t="n">
        <f aca="false">IF(AND(M200=1,F200+Cutoff!$B$16&lt;=Cutoff!$B$10),1,0)</f>
        <v>1</v>
      </c>
      <c r="O200" s="12" t="n">
        <f aca="false">IF(N200=1,IF(AND(H200&lt;1000000000000000,H200&gt;=MAX(F200,E200),H200&lt;F200+Cutoff!$B$16,I200&lt;=Cutoff!$B$10),1,0),0)</f>
        <v>1</v>
      </c>
      <c r="P200" s="12" t="n">
        <f aca="false">IF(AND(L200=1,J200&lt;=Cutoff!$B$10),1,0)</f>
        <v>1</v>
      </c>
      <c r="Q200" s="12" t="n">
        <f aca="false">IF(AND(N200=1,E200+Cutoff!$B$17&lt;=Cutoff!$B$10),1,0)</f>
        <v>1</v>
      </c>
      <c r="R200" s="12" t="n">
        <f aca="false">IF(Q200=1,IF(K200&lt;=Cutoff!$B$10,1,0),0)</f>
        <v>0</v>
      </c>
      <c r="S200" s="12" t="n">
        <f aca="false">IF(N200=1,SUMIFS(Subscriptions!$D$2:$D$208,Subscriptions!$A$2:$A$208,C200,Subscriptions!$E$2:$E$208,1,Subscriptions!$B$2:$B$208,"&gt;="&amp;Cutoff!$B$24,Subscriptions!$B$2:$B$208,"&lt;"&amp;Cutoff!$B$25,Subscriptions!$B$2:$B$208,"&lt;="&amp;Cutoff!$B$10),0)</f>
        <v>1521</v>
      </c>
    </row>
    <row r="201" customFormat="false" ht="15" hidden="false" customHeight="false" outlineLevel="0" collapsed="false">
      <c r="A201" s="4" t="s">
        <v>686</v>
      </c>
      <c r="B201" s="4" t="s">
        <v>288</v>
      </c>
      <c r="C201" s="4" t="s">
        <v>687</v>
      </c>
      <c r="D201" s="4" t="s">
        <v>51</v>
      </c>
      <c r="E201" s="4" t="n">
        <v>1780082910</v>
      </c>
      <c r="F201" s="4" t="n">
        <v>1780082669</v>
      </c>
      <c r="G201" s="4" t="n">
        <v>1780082911</v>
      </c>
      <c r="H201" s="4" t="n">
        <v>1000000000000000</v>
      </c>
      <c r="I201" s="4" t="n">
        <v>1000000000000000</v>
      </c>
      <c r="J201" s="4" t="n">
        <v>1000000000000000</v>
      </c>
      <c r="K201" s="4" t="n">
        <v>1000000000000000</v>
      </c>
      <c r="L201" s="12" t="n">
        <f aca="false">IF(AND(B201=Cutoff!$B$12,E201&lt;=Cutoff!$B$10),1,0)</f>
        <v>1</v>
      </c>
      <c r="M201" s="12" t="n">
        <f aca="false">IF(AND(L201=1,F201&lt;1000000000000000,G201&lt;=Cutoff!$B$10),1,0)</f>
        <v>1</v>
      </c>
      <c r="N201" s="12" t="n">
        <f aca="false">IF(AND(M201=1,F201+Cutoff!$B$16&lt;=Cutoff!$B$10),1,0)</f>
        <v>1</v>
      </c>
      <c r="O201" s="12" t="n">
        <f aca="false">IF(N201=1,IF(AND(H201&lt;1000000000000000,H201&gt;=MAX(F201,E201),H201&lt;F201+Cutoff!$B$16,I201&lt;=Cutoff!$B$10),1,0),0)</f>
        <v>0</v>
      </c>
      <c r="P201" s="12" t="n">
        <f aca="false">IF(AND(L201=1,J201&lt;=Cutoff!$B$10),1,0)</f>
        <v>0</v>
      </c>
      <c r="Q201" s="12" t="n">
        <f aca="false">IF(AND(N201=1,E201+Cutoff!$B$17&lt;=Cutoff!$B$10),1,0)</f>
        <v>1</v>
      </c>
      <c r="R201" s="12" t="n">
        <f aca="false">IF(Q201=1,IF(K201&lt;=Cutoff!$B$10,1,0),0)</f>
        <v>0</v>
      </c>
      <c r="S201" s="12" t="n">
        <f aca="false">IF(N201=1,SUMIFS(Subscriptions!$D$2:$D$208,Subscriptions!$A$2:$A$208,C201,Subscriptions!$E$2:$E$208,1,Subscriptions!$B$2:$B$208,"&gt;="&amp;Cutoff!$B$24,Subscriptions!$B$2:$B$208,"&lt;"&amp;Cutoff!$B$25,Subscriptions!$B$2:$B$208,"&lt;="&amp;Cutoff!$B$10),0)</f>
        <v>0</v>
      </c>
    </row>
    <row r="202" customFormat="false" ht="15" hidden="false" customHeight="false" outlineLevel="0" collapsed="false">
      <c r="A202" s="4" t="s">
        <v>688</v>
      </c>
      <c r="B202" s="4" t="s">
        <v>288</v>
      </c>
      <c r="C202" s="4" t="s">
        <v>689</v>
      </c>
      <c r="D202" s="4" t="s">
        <v>52</v>
      </c>
      <c r="E202" s="4" t="n">
        <v>1780084601</v>
      </c>
      <c r="F202" s="4" t="n">
        <v>1780084503</v>
      </c>
      <c r="G202" s="4" t="n">
        <v>1780084515</v>
      </c>
      <c r="H202" s="4" t="n">
        <v>1000000000000000</v>
      </c>
      <c r="I202" s="4" t="n">
        <v>1000000000000000</v>
      </c>
      <c r="J202" s="4" t="n">
        <v>1000000000000000</v>
      </c>
      <c r="K202" s="4" t="n">
        <v>1000000000000000</v>
      </c>
      <c r="L202" s="12" t="n">
        <f aca="false">IF(AND(B202=Cutoff!$B$12,E202&lt;=Cutoff!$B$10),1,0)</f>
        <v>1</v>
      </c>
      <c r="M202" s="12" t="n">
        <f aca="false">IF(AND(L202=1,F202&lt;1000000000000000,G202&lt;=Cutoff!$B$10),1,0)</f>
        <v>1</v>
      </c>
      <c r="N202" s="12" t="n">
        <f aca="false">IF(AND(M202=1,F202+Cutoff!$B$16&lt;=Cutoff!$B$10),1,0)</f>
        <v>1</v>
      </c>
      <c r="O202" s="12" t="n">
        <f aca="false">IF(N202=1,IF(AND(H202&lt;1000000000000000,H202&gt;=MAX(F202,E202),H202&lt;F202+Cutoff!$B$16,I202&lt;=Cutoff!$B$10),1,0),0)</f>
        <v>0</v>
      </c>
      <c r="P202" s="12" t="n">
        <f aca="false">IF(AND(L202=1,J202&lt;=Cutoff!$B$10),1,0)</f>
        <v>0</v>
      </c>
      <c r="Q202" s="12" t="n">
        <f aca="false">IF(AND(N202=1,E202+Cutoff!$B$17&lt;=Cutoff!$B$10),1,0)</f>
        <v>1</v>
      </c>
      <c r="R202" s="12" t="n">
        <f aca="false">IF(Q202=1,IF(K202&lt;=Cutoff!$B$10,1,0),0)</f>
        <v>0</v>
      </c>
      <c r="S202" s="12" t="n">
        <f aca="false">IF(N202=1,SUMIFS(Subscriptions!$D$2:$D$208,Subscriptions!$A$2:$A$208,C202,Subscriptions!$E$2:$E$208,1,Subscriptions!$B$2:$B$208,"&gt;="&amp;Cutoff!$B$24,Subscriptions!$B$2:$B$208,"&lt;"&amp;Cutoff!$B$25,Subscriptions!$B$2:$B$208,"&lt;="&amp;Cutoff!$B$10),0)</f>
        <v>132</v>
      </c>
    </row>
    <row r="203" customFormat="false" ht="15" hidden="false" customHeight="false" outlineLevel="0" collapsed="false">
      <c r="A203" s="4" t="s">
        <v>690</v>
      </c>
      <c r="B203" s="4" t="s">
        <v>288</v>
      </c>
      <c r="C203" s="4" t="s">
        <v>691</v>
      </c>
      <c r="D203" s="4" t="s">
        <v>51</v>
      </c>
      <c r="E203" s="4" t="n">
        <v>1780084816</v>
      </c>
      <c r="F203" s="4" t="n">
        <v>1780084506</v>
      </c>
      <c r="G203" s="4" t="n">
        <v>1780084513</v>
      </c>
      <c r="H203" s="4" t="n">
        <v>1780095883</v>
      </c>
      <c r="I203" s="4" t="n">
        <v>1780095899</v>
      </c>
      <c r="J203" s="4" t="n">
        <v>1780085250</v>
      </c>
      <c r="K203" s="4" t="n">
        <v>1000000000000000</v>
      </c>
      <c r="L203" s="12" t="n">
        <f aca="false">IF(AND(B203=Cutoff!$B$12,E203&lt;=Cutoff!$B$10),1,0)</f>
        <v>1</v>
      </c>
      <c r="M203" s="12" t="n">
        <f aca="false">IF(AND(L203=1,F203&lt;1000000000000000,G203&lt;=Cutoff!$B$10),1,0)</f>
        <v>1</v>
      </c>
      <c r="N203" s="12" t="n">
        <f aca="false">IF(AND(M203=1,F203+Cutoff!$B$16&lt;=Cutoff!$B$10),1,0)</f>
        <v>1</v>
      </c>
      <c r="O203" s="12" t="n">
        <f aca="false">IF(N203=1,IF(AND(H203&lt;1000000000000000,H203&gt;=MAX(F203,E203),H203&lt;F203+Cutoff!$B$16,I203&lt;=Cutoff!$B$10),1,0),0)</f>
        <v>1</v>
      </c>
      <c r="P203" s="12" t="n">
        <f aca="false">IF(AND(L203=1,J203&lt;=Cutoff!$B$10),1,0)</f>
        <v>1</v>
      </c>
      <c r="Q203" s="12" t="n">
        <f aca="false">IF(AND(N203=1,E203+Cutoff!$B$17&lt;=Cutoff!$B$10),1,0)</f>
        <v>1</v>
      </c>
      <c r="R203" s="12" t="n">
        <f aca="false">IF(Q203=1,IF(K203&lt;=Cutoff!$B$10,1,0),0)</f>
        <v>0</v>
      </c>
      <c r="S203" s="12" t="n">
        <f aca="false">IF(N203=1,SUMIFS(Subscriptions!$D$2:$D$208,Subscriptions!$A$2:$A$208,C203,Subscriptions!$E$2:$E$208,1,Subscriptions!$B$2:$B$208,"&gt;="&amp;Cutoff!$B$24,Subscriptions!$B$2:$B$208,"&lt;"&amp;Cutoff!$B$25,Subscriptions!$B$2:$B$208,"&lt;="&amp;Cutoff!$B$10),0)</f>
        <v>0</v>
      </c>
    </row>
    <row r="204" customFormat="false" ht="15" hidden="false" customHeight="false" outlineLevel="0" collapsed="false">
      <c r="A204" s="4" t="s">
        <v>692</v>
      </c>
      <c r="B204" s="4" t="s">
        <v>288</v>
      </c>
      <c r="C204" s="4" t="s">
        <v>693</v>
      </c>
      <c r="D204" s="4" t="s">
        <v>52</v>
      </c>
      <c r="E204" s="4" t="n">
        <v>1780150166</v>
      </c>
      <c r="F204" s="4" t="n">
        <v>1780150063</v>
      </c>
      <c r="G204" s="4" t="n">
        <v>1780150070</v>
      </c>
      <c r="H204" s="4" t="n">
        <v>1000000000000000</v>
      </c>
      <c r="I204" s="4" t="n">
        <v>1000000000000000</v>
      </c>
      <c r="J204" s="4" t="n">
        <v>1780150887</v>
      </c>
      <c r="K204" s="4" t="n">
        <v>1000000000000000</v>
      </c>
      <c r="L204" s="12" t="n">
        <f aca="false">IF(AND(B204=Cutoff!$B$12,E204&lt;=Cutoff!$B$10),1,0)</f>
        <v>1</v>
      </c>
      <c r="M204" s="12" t="n">
        <f aca="false">IF(AND(L204=1,F204&lt;1000000000000000,G204&lt;=Cutoff!$B$10),1,0)</f>
        <v>1</v>
      </c>
      <c r="N204" s="12" t="n">
        <f aca="false">IF(AND(M204=1,F204+Cutoff!$B$16&lt;=Cutoff!$B$10),1,0)</f>
        <v>1</v>
      </c>
      <c r="O204" s="12" t="n">
        <f aca="false">IF(N204=1,IF(AND(H204&lt;1000000000000000,H204&gt;=MAX(F204,E204),H204&lt;F204+Cutoff!$B$16,I204&lt;=Cutoff!$B$10),1,0),0)</f>
        <v>0</v>
      </c>
      <c r="P204" s="12" t="n">
        <f aca="false">IF(AND(L204=1,J204&lt;=Cutoff!$B$10),1,0)</f>
        <v>1</v>
      </c>
      <c r="Q204" s="12" t="n">
        <f aca="false">IF(AND(N204=1,E204+Cutoff!$B$17&lt;=Cutoff!$B$10),1,0)</f>
        <v>1</v>
      </c>
      <c r="R204" s="12" t="n">
        <f aca="false">IF(Q204=1,IF(K204&lt;=Cutoff!$B$10,1,0),0)</f>
        <v>0</v>
      </c>
      <c r="S204" s="12" t="n">
        <f aca="false">IF(N204=1,SUMIFS(Subscriptions!$D$2:$D$208,Subscriptions!$A$2:$A$208,C204,Subscriptions!$E$2:$E$208,1,Subscriptions!$B$2:$B$208,"&gt;="&amp;Cutoff!$B$24,Subscriptions!$B$2:$B$208,"&lt;"&amp;Cutoff!$B$25,Subscriptions!$B$2:$B$208,"&lt;="&amp;Cutoff!$B$10),0)</f>
        <v>108</v>
      </c>
    </row>
    <row r="205" customFormat="false" ht="15" hidden="false" customHeight="false" outlineLevel="0" collapsed="false">
      <c r="A205" s="4" t="s">
        <v>694</v>
      </c>
      <c r="B205" s="4" t="s">
        <v>288</v>
      </c>
      <c r="C205" s="4" t="s">
        <v>695</v>
      </c>
      <c r="D205" s="4" t="s">
        <v>51</v>
      </c>
      <c r="E205" s="4" t="n">
        <v>1780176616</v>
      </c>
      <c r="F205" s="4" t="n">
        <v>1780176406</v>
      </c>
      <c r="G205" s="4" t="n">
        <v>1780176415</v>
      </c>
      <c r="H205" s="4" t="n">
        <v>1000000000000000</v>
      </c>
      <c r="I205" s="4" t="n">
        <v>1000000000000000</v>
      </c>
      <c r="J205" s="4" t="n">
        <v>1780176943</v>
      </c>
      <c r="K205" s="4" t="n">
        <v>1780440939</v>
      </c>
      <c r="L205" s="12" t="n">
        <f aca="false">IF(AND(B205=Cutoff!$B$12,E205&lt;=Cutoff!$B$10),1,0)</f>
        <v>1</v>
      </c>
      <c r="M205" s="12" t="n">
        <f aca="false">IF(AND(L205=1,F205&lt;1000000000000000,G205&lt;=Cutoff!$B$10),1,0)</f>
        <v>1</v>
      </c>
      <c r="N205" s="12" t="n">
        <f aca="false">IF(AND(M205=1,F205+Cutoff!$B$16&lt;=Cutoff!$B$10),1,0)</f>
        <v>1</v>
      </c>
      <c r="O205" s="12" t="n">
        <f aca="false">IF(N205=1,IF(AND(H205&lt;1000000000000000,H205&gt;=MAX(F205,E205),H205&lt;F205+Cutoff!$B$16,I205&lt;=Cutoff!$B$10),1,0),0)</f>
        <v>0</v>
      </c>
      <c r="P205" s="12" t="n">
        <f aca="false">IF(AND(L205=1,J205&lt;=Cutoff!$B$10),1,0)</f>
        <v>1</v>
      </c>
      <c r="Q205" s="12" t="n">
        <f aca="false">IF(AND(N205=1,E205+Cutoff!$B$17&lt;=Cutoff!$B$10),1,0)</f>
        <v>1</v>
      </c>
      <c r="R205" s="12" t="n">
        <f aca="false">IF(Q205=1,IF(K205&lt;=Cutoff!$B$10,1,0),0)</f>
        <v>1</v>
      </c>
      <c r="S205" s="12" t="n">
        <f aca="false">IF(N205=1,SUMIFS(Subscriptions!$D$2:$D$208,Subscriptions!$A$2:$A$208,C205,Subscriptions!$E$2:$E$208,1,Subscriptions!$B$2:$B$208,"&gt;="&amp;Cutoff!$B$24,Subscriptions!$B$2:$B$208,"&lt;"&amp;Cutoff!$B$25,Subscriptions!$B$2:$B$208,"&lt;="&amp;Cutoff!$B$10),0)</f>
        <v>0</v>
      </c>
    </row>
    <row r="206" customFormat="false" ht="15" hidden="false" customHeight="false" outlineLevel="0" collapsed="false">
      <c r="A206" s="4" t="s">
        <v>696</v>
      </c>
      <c r="B206" s="4" t="s">
        <v>288</v>
      </c>
      <c r="C206" s="4" t="s">
        <v>697</v>
      </c>
      <c r="D206" s="4" t="s">
        <v>52</v>
      </c>
      <c r="E206" s="4" t="n">
        <v>1780302663</v>
      </c>
      <c r="F206" s="4" t="n">
        <v>1780302332</v>
      </c>
      <c r="G206" s="4" t="n">
        <v>1780563420</v>
      </c>
      <c r="H206" s="4" t="n">
        <v>1780303841</v>
      </c>
      <c r="I206" s="4" t="n">
        <v>1780303912</v>
      </c>
      <c r="J206" s="4" t="n">
        <v>1780303837</v>
      </c>
      <c r="K206" s="4" t="n">
        <v>1000000000000000</v>
      </c>
      <c r="L206" s="12" t="n">
        <f aca="false">IF(AND(B206=Cutoff!$B$12,E206&lt;=Cutoff!$B$10),1,0)</f>
        <v>1</v>
      </c>
      <c r="M206" s="12" t="n">
        <f aca="false">IF(AND(L206=1,F206&lt;1000000000000000,G206&lt;=Cutoff!$B$10),1,0)</f>
        <v>1</v>
      </c>
      <c r="N206" s="12" t="n">
        <f aca="false">IF(AND(M206=1,F206+Cutoff!$B$16&lt;=Cutoff!$B$10),1,0)</f>
        <v>1</v>
      </c>
      <c r="O206" s="12" t="n">
        <f aca="false">IF(N206=1,IF(AND(H206&lt;1000000000000000,H206&gt;=MAX(F206,E206),H206&lt;F206+Cutoff!$B$16,I206&lt;=Cutoff!$B$10),1,0),0)</f>
        <v>1</v>
      </c>
      <c r="P206" s="12" t="n">
        <f aca="false">IF(AND(L206=1,J206&lt;=Cutoff!$B$10),1,0)</f>
        <v>1</v>
      </c>
      <c r="Q206" s="12" t="n">
        <f aca="false">IF(AND(N206=1,E206+Cutoff!$B$17&lt;=Cutoff!$B$10),1,0)</f>
        <v>1</v>
      </c>
      <c r="R206" s="12" t="n">
        <f aca="false">IF(Q206=1,IF(K206&lt;=Cutoff!$B$10,1,0),0)</f>
        <v>0</v>
      </c>
      <c r="S206" s="12" t="n">
        <f aca="false">IF(N206=1,SUMIFS(Subscriptions!$D$2:$D$208,Subscriptions!$A$2:$A$208,C206,Subscriptions!$E$2:$E$208,1,Subscriptions!$B$2:$B$208,"&gt;="&amp;Cutoff!$B$24,Subscriptions!$B$2:$B$208,"&lt;"&amp;Cutoff!$B$25,Subscriptions!$B$2:$B$208,"&lt;="&amp;Cutoff!$B$10),0)</f>
        <v>0</v>
      </c>
    </row>
    <row r="207" customFormat="false" ht="15" hidden="false" customHeight="false" outlineLevel="0" collapsed="false">
      <c r="A207" s="4" t="s">
        <v>698</v>
      </c>
      <c r="B207" s="4" t="s">
        <v>288</v>
      </c>
      <c r="C207" s="4" t="s">
        <v>699</v>
      </c>
      <c r="D207" s="4" t="s">
        <v>52</v>
      </c>
      <c r="E207" s="4" t="n">
        <v>1780333760</v>
      </c>
      <c r="F207" s="4" t="n">
        <v>1780333555</v>
      </c>
      <c r="G207" s="4" t="n">
        <v>1780333556</v>
      </c>
      <c r="H207" s="4" t="n">
        <v>1000000000000000</v>
      </c>
      <c r="I207" s="4" t="n">
        <v>1000000000000000</v>
      </c>
      <c r="J207" s="4" t="n">
        <v>1780334942</v>
      </c>
      <c r="K207" s="4" t="n">
        <v>1000000000000000</v>
      </c>
      <c r="L207" s="12" t="n">
        <f aca="false">IF(AND(B207=Cutoff!$B$12,E207&lt;=Cutoff!$B$10),1,0)</f>
        <v>1</v>
      </c>
      <c r="M207" s="12" t="n">
        <f aca="false">IF(AND(L207=1,F207&lt;1000000000000000,G207&lt;=Cutoff!$B$10),1,0)</f>
        <v>1</v>
      </c>
      <c r="N207" s="12" t="n">
        <f aca="false">IF(AND(M207=1,F207+Cutoff!$B$16&lt;=Cutoff!$B$10),1,0)</f>
        <v>1</v>
      </c>
      <c r="O207" s="12" t="n">
        <f aca="false">IF(N207=1,IF(AND(H207&lt;1000000000000000,H207&gt;=MAX(F207,E207),H207&lt;F207+Cutoff!$B$16,I207&lt;=Cutoff!$B$10),1,0),0)</f>
        <v>0</v>
      </c>
      <c r="P207" s="12" t="n">
        <f aca="false">IF(AND(L207=1,J207&lt;=Cutoff!$B$10),1,0)</f>
        <v>1</v>
      </c>
      <c r="Q207" s="12" t="n">
        <f aca="false">IF(AND(N207=1,E207+Cutoff!$B$17&lt;=Cutoff!$B$10),1,0)</f>
        <v>1</v>
      </c>
      <c r="R207" s="12" t="n">
        <f aca="false">IF(Q207=1,IF(K207&lt;=Cutoff!$B$10,1,0),0)</f>
        <v>0</v>
      </c>
      <c r="S207" s="12" t="n">
        <f aca="false">IF(N207=1,SUMIFS(Subscriptions!$D$2:$D$208,Subscriptions!$A$2:$A$208,C207,Subscriptions!$E$2:$E$208,1,Subscriptions!$B$2:$B$208,"&gt;="&amp;Cutoff!$B$24,Subscriptions!$B$2:$B$208,"&lt;"&amp;Cutoff!$B$25,Subscriptions!$B$2:$B$208,"&lt;="&amp;Cutoff!$B$10),0)</f>
        <v>60</v>
      </c>
    </row>
    <row r="208" customFormat="false" ht="15" hidden="false" customHeight="false" outlineLevel="0" collapsed="false">
      <c r="A208" s="4" t="s">
        <v>700</v>
      </c>
      <c r="B208" s="4" t="s">
        <v>288</v>
      </c>
      <c r="C208" s="4" t="s">
        <v>701</v>
      </c>
      <c r="D208" s="4" t="s">
        <v>51</v>
      </c>
      <c r="E208" s="4" t="n">
        <v>1780337750</v>
      </c>
      <c r="F208" s="4" t="n">
        <v>1780337609</v>
      </c>
      <c r="G208" s="4" t="n">
        <v>1780337624</v>
      </c>
      <c r="H208" s="4" t="n">
        <v>1000000000000000</v>
      </c>
      <c r="I208" s="4" t="n">
        <v>1000000000000000</v>
      </c>
      <c r="J208" s="4" t="n">
        <v>1780338046</v>
      </c>
      <c r="K208" s="4" t="n">
        <v>1000000000000000</v>
      </c>
      <c r="L208" s="12" t="n">
        <f aca="false">IF(AND(B208=Cutoff!$B$12,E208&lt;=Cutoff!$B$10),1,0)</f>
        <v>1</v>
      </c>
      <c r="M208" s="12" t="n">
        <f aca="false">IF(AND(L208=1,F208&lt;1000000000000000,G208&lt;=Cutoff!$B$10),1,0)</f>
        <v>1</v>
      </c>
      <c r="N208" s="12" t="n">
        <f aca="false">IF(AND(M208=1,F208+Cutoff!$B$16&lt;=Cutoff!$B$10),1,0)</f>
        <v>1</v>
      </c>
      <c r="O208" s="12" t="n">
        <f aca="false">IF(N208=1,IF(AND(H208&lt;1000000000000000,H208&gt;=MAX(F208,E208),H208&lt;F208+Cutoff!$B$16,I208&lt;=Cutoff!$B$10),1,0),0)</f>
        <v>0</v>
      </c>
      <c r="P208" s="12" t="n">
        <f aca="false">IF(AND(L208=1,J208&lt;=Cutoff!$B$10),1,0)</f>
        <v>1</v>
      </c>
      <c r="Q208" s="12" t="n">
        <f aca="false">IF(AND(N208=1,E208+Cutoff!$B$17&lt;=Cutoff!$B$10),1,0)</f>
        <v>1</v>
      </c>
      <c r="R208" s="12" t="n">
        <f aca="false">IF(Q208=1,IF(K208&lt;=Cutoff!$B$10,1,0),0)</f>
        <v>0</v>
      </c>
      <c r="S208" s="12" t="n">
        <f aca="false">IF(N208=1,SUMIFS(Subscriptions!$D$2:$D$208,Subscriptions!$A$2:$A$208,C208,Subscriptions!$E$2:$E$208,1,Subscriptions!$B$2:$B$208,"&gt;="&amp;Cutoff!$B$24,Subscriptions!$B$2:$B$208,"&lt;"&amp;Cutoff!$B$25,Subscriptions!$B$2:$B$208,"&lt;="&amp;Cutoff!$B$10),0)</f>
        <v>0</v>
      </c>
    </row>
    <row r="209" customFormat="false" ht="15" hidden="false" customHeight="false" outlineLevel="0" collapsed="false">
      <c r="A209" s="4" t="s">
        <v>702</v>
      </c>
      <c r="B209" s="4" t="s">
        <v>288</v>
      </c>
      <c r="C209" s="4" t="s">
        <v>703</v>
      </c>
      <c r="D209" s="4" t="s">
        <v>51</v>
      </c>
      <c r="E209" s="4" t="n">
        <v>1780339815</v>
      </c>
      <c r="F209" s="4" t="n">
        <v>1780339223</v>
      </c>
      <c r="G209" s="4" t="n">
        <v>1780339238</v>
      </c>
      <c r="H209" s="4" t="n">
        <v>1000000000000000</v>
      </c>
      <c r="I209" s="4" t="n">
        <v>1000000000000000</v>
      </c>
      <c r="J209" s="4" t="n">
        <v>1780340786</v>
      </c>
      <c r="K209" s="4" t="n">
        <v>1000000000000000</v>
      </c>
      <c r="L209" s="12" t="n">
        <f aca="false">IF(AND(B209=Cutoff!$B$12,E209&lt;=Cutoff!$B$10),1,0)</f>
        <v>1</v>
      </c>
      <c r="M209" s="12" t="n">
        <f aca="false">IF(AND(L209=1,F209&lt;1000000000000000,G209&lt;=Cutoff!$B$10),1,0)</f>
        <v>1</v>
      </c>
      <c r="N209" s="12" t="n">
        <f aca="false">IF(AND(M209=1,F209+Cutoff!$B$16&lt;=Cutoff!$B$10),1,0)</f>
        <v>1</v>
      </c>
      <c r="O209" s="12" t="n">
        <f aca="false">IF(N209=1,IF(AND(H209&lt;1000000000000000,H209&gt;=MAX(F209,E209),H209&lt;F209+Cutoff!$B$16,I209&lt;=Cutoff!$B$10),1,0),0)</f>
        <v>0</v>
      </c>
      <c r="P209" s="12" t="n">
        <f aca="false">IF(AND(L209=1,J209&lt;=Cutoff!$B$10),1,0)</f>
        <v>1</v>
      </c>
      <c r="Q209" s="12" t="n">
        <f aca="false">IF(AND(N209=1,E209+Cutoff!$B$17&lt;=Cutoff!$B$10),1,0)</f>
        <v>1</v>
      </c>
      <c r="R209" s="12" t="n">
        <f aca="false">IF(Q209=1,IF(K209&lt;=Cutoff!$B$10,1,0),0)</f>
        <v>0</v>
      </c>
      <c r="S209" s="12" t="n">
        <f aca="false">IF(N209=1,SUMIFS(Subscriptions!$D$2:$D$208,Subscriptions!$A$2:$A$208,C209,Subscriptions!$E$2:$E$208,1,Subscriptions!$B$2:$B$208,"&gt;="&amp;Cutoff!$B$24,Subscriptions!$B$2:$B$208,"&lt;"&amp;Cutoff!$B$25,Subscriptions!$B$2:$B$208,"&lt;="&amp;Cutoff!$B$10),0)</f>
        <v>48</v>
      </c>
    </row>
    <row r="210" customFormat="false" ht="15" hidden="false" customHeight="false" outlineLevel="0" collapsed="false">
      <c r="A210" s="4" t="s">
        <v>704</v>
      </c>
      <c r="B210" s="4" t="s">
        <v>288</v>
      </c>
      <c r="C210" s="4" t="s">
        <v>705</v>
      </c>
      <c r="D210" s="4" t="s">
        <v>51</v>
      </c>
      <c r="E210" s="4" t="n">
        <v>1780409208</v>
      </c>
      <c r="F210" s="4" t="n">
        <v>1780409119</v>
      </c>
      <c r="G210" s="4" t="n">
        <v>1780409123</v>
      </c>
      <c r="H210" s="4" t="n">
        <v>1000000000000000</v>
      </c>
      <c r="I210" s="4" t="n">
        <v>1000000000000000</v>
      </c>
      <c r="J210" s="4" t="n">
        <v>1780409591</v>
      </c>
      <c r="K210" s="4" t="n">
        <v>1000000000000000</v>
      </c>
      <c r="L210" s="12" t="n">
        <f aca="false">IF(AND(B210=Cutoff!$B$12,E210&lt;=Cutoff!$B$10),1,0)</f>
        <v>1</v>
      </c>
      <c r="M210" s="12" t="n">
        <f aca="false">IF(AND(L210=1,F210&lt;1000000000000000,G210&lt;=Cutoff!$B$10),1,0)</f>
        <v>1</v>
      </c>
      <c r="N210" s="12" t="n">
        <f aca="false">IF(AND(M210=1,F210+Cutoff!$B$16&lt;=Cutoff!$B$10),1,0)</f>
        <v>1</v>
      </c>
      <c r="O210" s="12" t="n">
        <f aca="false">IF(N210=1,IF(AND(H210&lt;1000000000000000,H210&gt;=MAX(F210,E210),H210&lt;F210+Cutoff!$B$16,I210&lt;=Cutoff!$B$10),1,0),0)</f>
        <v>0</v>
      </c>
      <c r="P210" s="12" t="n">
        <f aca="false">IF(AND(L210=1,J210&lt;=Cutoff!$B$10),1,0)</f>
        <v>1</v>
      </c>
      <c r="Q210" s="12" t="n">
        <f aca="false">IF(AND(N210=1,E210+Cutoff!$B$17&lt;=Cutoff!$B$10),1,0)</f>
        <v>1</v>
      </c>
      <c r="R210" s="12" t="n">
        <f aca="false">IF(Q210=1,IF(K210&lt;=Cutoff!$B$10,1,0),0)</f>
        <v>0</v>
      </c>
      <c r="S210" s="12" t="n">
        <f aca="false">IF(N210=1,SUMIFS(Subscriptions!$D$2:$D$208,Subscriptions!$A$2:$A$208,C210,Subscriptions!$E$2:$E$208,1,Subscriptions!$B$2:$B$208,"&gt;="&amp;Cutoff!$B$24,Subscriptions!$B$2:$B$208,"&lt;"&amp;Cutoff!$B$25,Subscriptions!$B$2:$B$208,"&lt;="&amp;Cutoff!$B$10),0)</f>
        <v>0</v>
      </c>
    </row>
    <row r="211" customFormat="false" ht="15" hidden="false" customHeight="false" outlineLevel="0" collapsed="false">
      <c r="A211" s="4" t="s">
        <v>706</v>
      </c>
      <c r="B211" s="4" t="s">
        <v>288</v>
      </c>
      <c r="C211" s="4" t="s">
        <v>707</v>
      </c>
      <c r="D211" s="4" t="s">
        <v>52</v>
      </c>
      <c r="E211" s="4" t="n">
        <v>1780418761</v>
      </c>
      <c r="F211" s="4" t="n">
        <v>1780418531</v>
      </c>
      <c r="G211" s="4" t="n">
        <v>1780418533</v>
      </c>
      <c r="H211" s="4" t="n">
        <v>1000000000000000</v>
      </c>
      <c r="I211" s="4" t="n">
        <v>1000000000000000</v>
      </c>
      <c r="J211" s="4" t="n">
        <v>1780419853</v>
      </c>
      <c r="K211" s="4" t="n">
        <v>1000000000000000</v>
      </c>
      <c r="L211" s="12" t="n">
        <f aca="false">IF(AND(B211=Cutoff!$B$12,E211&lt;=Cutoff!$B$10),1,0)</f>
        <v>1</v>
      </c>
      <c r="M211" s="12" t="n">
        <f aca="false">IF(AND(L211=1,F211&lt;1000000000000000,G211&lt;=Cutoff!$B$10),1,0)</f>
        <v>1</v>
      </c>
      <c r="N211" s="12" t="n">
        <f aca="false">IF(AND(M211=1,F211+Cutoff!$B$16&lt;=Cutoff!$B$10),1,0)</f>
        <v>1</v>
      </c>
      <c r="O211" s="12" t="n">
        <f aca="false">IF(N211=1,IF(AND(H211&lt;1000000000000000,H211&gt;=MAX(F211,E211),H211&lt;F211+Cutoff!$B$16,I211&lt;=Cutoff!$B$10),1,0),0)</f>
        <v>0</v>
      </c>
      <c r="P211" s="12" t="n">
        <f aca="false">IF(AND(L211=1,J211&lt;=Cutoff!$B$10),1,0)</f>
        <v>1</v>
      </c>
      <c r="Q211" s="12" t="n">
        <f aca="false">IF(AND(N211=1,E211+Cutoff!$B$17&lt;=Cutoff!$B$10),1,0)</f>
        <v>1</v>
      </c>
      <c r="R211" s="12" t="n">
        <f aca="false">IF(Q211=1,IF(K211&lt;=Cutoff!$B$10,1,0),0)</f>
        <v>0</v>
      </c>
      <c r="S211" s="12" t="n">
        <f aca="false">IF(N211=1,SUMIFS(Subscriptions!$D$2:$D$208,Subscriptions!$A$2:$A$208,C211,Subscriptions!$E$2:$E$208,1,Subscriptions!$B$2:$B$208,"&gt;="&amp;Cutoff!$B$24,Subscriptions!$B$2:$B$208,"&lt;"&amp;Cutoff!$B$25,Subscriptions!$B$2:$B$208,"&lt;="&amp;Cutoff!$B$10),0)</f>
        <v>0</v>
      </c>
    </row>
    <row r="212" customFormat="false" ht="15" hidden="false" customHeight="false" outlineLevel="0" collapsed="false">
      <c r="A212" s="4" t="s">
        <v>708</v>
      </c>
      <c r="B212" s="4" t="s">
        <v>288</v>
      </c>
      <c r="C212" s="4" t="s">
        <v>709</v>
      </c>
      <c r="D212" s="4" t="s">
        <v>51</v>
      </c>
      <c r="E212" s="4" t="n">
        <v>1780433754</v>
      </c>
      <c r="F212" s="4" t="n">
        <v>1780433296</v>
      </c>
      <c r="G212" s="4" t="n">
        <v>1780433304</v>
      </c>
      <c r="H212" s="4" t="n">
        <v>1000000000000000</v>
      </c>
      <c r="I212" s="4" t="n">
        <v>1000000000000000</v>
      </c>
      <c r="J212" s="4" t="n">
        <v>1780434004</v>
      </c>
      <c r="K212" s="4" t="n">
        <v>1000000000000000</v>
      </c>
      <c r="L212" s="12" t="n">
        <f aca="false">IF(AND(B212=Cutoff!$B$12,E212&lt;=Cutoff!$B$10),1,0)</f>
        <v>1</v>
      </c>
      <c r="M212" s="12" t="n">
        <f aca="false">IF(AND(L212=1,F212&lt;1000000000000000,G212&lt;=Cutoff!$B$10),1,0)</f>
        <v>1</v>
      </c>
      <c r="N212" s="12" t="n">
        <f aca="false">IF(AND(M212=1,F212+Cutoff!$B$16&lt;=Cutoff!$B$10),1,0)</f>
        <v>1</v>
      </c>
      <c r="O212" s="12" t="n">
        <f aca="false">IF(N212=1,IF(AND(H212&lt;1000000000000000,H212&gt;=MAX(F212,E212),H212&lt;F212+Cutoff!$B$16,I212&lt;=Cutoff!$B$10),1,0),0)</f>
        <v>0</v>
      </c>
      <c r="P212" s="12" t="n">
        <f aca="false">IF(AND(L212=1,J212&lt;=Cutoff!$B$10),1,0)</f>
        <v>1</v>
      </c>
      <c r="Q212" s="12" t="n">
        <f aca="false">IF(AND(N212=1,E212+Cutoff!$B$17&lt;=Cutoff!$B$10),1,0)</f>
        <v>1</v>
      </c>
      <c r="R212" s="12" t="n">
        <f aca="false">IF(Q212=1,IF(K212&lt;=Cutoff!$B$10,1,0),0)</f>
        <v>0</v>
      </c>
      <c r="S212" s="12" t="n">
        <f aca="false">IF(N212=1,SUMIFS(Subscriptions!$D$2:$D$208,Subscriptions!$A$2:$A$208,C212,Subscriptions!$E$2:$E$208,1,Subscriptions!$B$2:$B$208,"&gt;="&amp;Cutoff!$B$24,Subscriptions!$B$2:$B$208,"&lt;"&amp;Cutoff!$B$25,Subscriptions!$B$2:$B$208,"&lt;="&amp;Cutoff!$B$10),0)</f>
        <v>48</v>
      </c>
    </row>
    <row r="213" customFormat="false" ht="15" hidden="false" customHeight="false" outlineLevel="0" collapsed="false">
      <c r="A213" s="4" t="s">
        <v>710</v>
      </c>
      <c r="B213" s="4" t="s">
        <v>288</v>
      </c>
      <c r="C213" s="4" t="s">
        <v>711</v>
      </c>
      <c r="D213" s="4" t="s">
        <v>52</v>
      </c>
      <c r="E213" s="4" t="n">
        <v>1780481400</v>
      </c>
      <c r="F213" s="4" t="n">
        <v>1780481145</v>
      </c>
      <c r="G213" s="4" t="n">
        <v>1780481189</v>
      </c>
      <c r="H213" s="4" t="n">
        <v>1000000000000000</v>
      </c>
      <c r="I213" s="4" t="n">
        <v>1000000000000000</v>
      </c>
      <c r="J213" s="4" t="n">
        <v>1780481427</v>
      </c>
      <c r="K213" s="4" t="n">
        <v>1000000000000000</v>
      </c>
      <c r="L213" s="12" t="n">
        <f aca="false">IF(AND(B213=Cutoff!$B$12,E213&lt;=Cutoff!$B$10),1,0)</f>
        <v>1</v>
      </c>
      <c r="M213" s="12" t="n">
        <f aca="false">IF(AND(L213=1,F213&lt;1000000000000000,G213&lt;=Cutoff!$B$10),1,0)</f>
        <v>1</v>
      </c>
      <c r="N213" s="12" t="n">
        <f aca="false">IF(AND(M213=1,F213+Cutoff!$B$16&lt;=Cutoff!$B$10),1,0)</f>
        <v>1</v>
      </c>
      <c r="O213" s="12" t="n">
        <f aca="false">IF(N213=1,IF(AND(H213&lt;1000000000000000,H213&gt;=MAX(F213,E213),H213&lt;F213+Cutoff!$B$16,I213&lt;=Cutoff!$B$10),1,0),0)</f>
        <v>0</v>
      </c>
      <c r="P213" s="12" t="n">
        <f aca="false">IF(AND(L213=1,J213&lt;=Cutoff!$B$10),1,0)</f>
        <v>1</v>
      </c>
      <c r="Q213" s="12" t="n">
        <f aca="false">IF(AND(N213=1,E213+Cutoff!$B$17&lt;=Cutoff!$B$10),1,0)</f>
        <v>1</v>
      </c>
      <c r="R213" s="12" t="n">
        <f aca="false">IF(Q213=1,IF(K213&lt;=Cutoff!$B$10,1,0),0)</f>
        <v>0</v>
      </c>
      <c r="S213" s="12" t="n">
        <f aca="false">IF(N213=1,SUMIFS(Subscriptions!$D$2:$D$208,Subscriptions!$A$2:$A$208,C213,Subscriptions!$E$2:$E$208,1,Subscriptions!$B$2:$B$208,"&gt;="&amp;Cutoff!$B$24,Subscriptions!$B$2:$B$208,"&lt;"&amp;Cutoff!$B$25,Subscriptions!$B$2:$B$208,"&lt;="&amp;Cutoff!$B$10),0)</f>
        <v>0</v>
      </c>
    </row>
    <row r="214" customFormat="false" ht="15" hidden="false" customHeight="false" outlineLevel="0" collapsed="false">
      <c r="A214" s="4" t="s">
        <v>712</v>
      </c>
      <c r="B214" s="4" t="s">
        <v>288</v>
      </c>
      <c r="C214" s="4" t="s">
        <v>713</v>
      </c>
      <c r="D214" s="4" t="s">
        <v>52</v>
      </c>
      <c r="E214" s="4" t="n">
        <v>1780486369</v>
      </c>
      <c r="F214" s="4" t="n">
        <v>1780486120</v>
      </c>
      <c r="G214" s="4" t="n">
        <v>1780486136</v>
      </c>
      <c r="H214" s="4" t="n">
        <v>1000000000000000</v>
      </c>
      <c r="I214" s="4" t="n">
        <v>1000000000000000</v>
      </c>
      <c r="J214" s="4" t="n">
        <v>1780486669</v>
      </c>
      <c r="K214" s="4" t="n">
        <v>1000000000000000</v>
      </c>
      <c r="L214" s="12" t="n">
        <f aca="false">IF(AND(B214=Cutoff!$B$12,E214&lt;=Cutoff!$B$10),1,0)</f>
        <v>1</v>
      </c>
      <c r="M214" s="12" t="n">
        <f aca="false">IF(AND(L214=1,F214&lt;1000000000000000,G214&lt;=Cutoff!$B$10),1,0)</f>
        <v>1</v>
      </c>
      <c r="N214" s="12" t="n">
        <f aca="false">IF(AND(M214=1,F214+Cutoff!$B$16&lt;=Cutoff!$B$10),1,0)</f>
        <v>1</v>
      </c>
      <c r="O214" s="12" t="n">
        <f aca="false">IF(N214=1,IF(AND(H214&lt;1000000000000000,H214&gt;=MAX(F214,E214),H214&lt;F214+Cutoff!$B$16,I214&lt;=Cutoff!$B$10),1,0),0)</f>
        <v>0</v>
      </c>
      <c r="P214" s="12" t="n">
        <f aca="false">IF(AND(L214=1,J214&lt;=Cutoff!$B$10),1,0)</f>
        <v>1</v>
      </c>
      <c r="Q214" s="12" t="n">
        <f aca="false">IF(AND(N214=1,E214+Cutoff!$B$17&lt;=Cutoff!$B$10),1,0)</f>
        <v>1</v>
      </c>
      <c r="R214" s="12" t="n">
        <f aca="false">IF(Q214=1,IF(K214&lt;=Cutoff!$B$10,1,0),0)</f>
        <v>0</v>
      </c>
      <c r="S214" s="12" t="n">
        <f aca="false">IF(N214=1,SUMIFS(Subscriptions!$D$2:$D$208,Subscriptions!$A$2:$A$208,C214,Subscriptions!$E$2:$E$208,1,Subscriptions!$B$2:$B$208,"&gt;="&amp;Cutoff!$B$24,Subscriptions!$B$2:$B$208,"&lt;"&amp;Cutoff!$B$25,Subscriptions!$B$2:$B$208,"&lt;="&amp;Cutoff!$B$10),0)</f>
        <v>36</v>
      </c>
    </row>
    <row r="215" customFormat="false" ht="15" hidden="false" customHeight="false" outlineLevel="0" collapsed="false">
      <c r="A215" s="4" t="s">
        <v>714</v>
      </c>
      <c r="B215" s="4" t="s">
        <v>288</v>
      </c>
      <c r="C215" s="4" t="s">
        <v>715</v>
      </c>
      <c r="D215" s="4" t="s">
        <v>51</v>
      </c>
      <c r="E215" s="4" t="n">
        <v>1780495923</v>
      </c>
      <c r="F215" s="4" t="n">
        <v>1780495468</v>
      </c>
      <c r="G215" s="4" t="n">
        <v>1780495588</v>
      </c>
      <c r="H215" s="4" t="n">
        <v>1000000000000000</v>
      </c>
      <c r="I215" s="4" t="n">
        <v>1000000000000000</v>
      </c>
      <c r="J215" s="4" t="n">
        <v>1780496322</v>
      </c>
      <c r="K215" s="4" t="n">
        <v>1000000000000000</v>
      </c>
      <c r="L215" s="12" t="n">
        <f aca="false">IF(AND(B215=Cutoff!$B$12,E215&lt;=Cutoff!$B$10),1,0)</f>
        <v>1</v>
      </c>
      <c r="M215" s="12" t="n">
        <f aca="false">IF(AND(L215=1,F215&lt;1000000000000000,G215&lt;=Cutoff!$B$10),1,0)</f>
        <v>1</v>
      </c>
      <c r="N215" s="12" t="n">
        <f aca="false">IF(AND(M215=1,F215+Cutoff!$B$16&lt;=Cutoff!$B$10),1,0)</f>
        <v>1</v>
      </c>
      <c r="O215" s="12" t="n">
        <f aca="false">IF(N215=1,IF(AND(H215&lt;1000000000000000,H215&gt;=MAX(F215,E215),H215&lt;F215+Cutoff!$B$16,I215&lt;=Cutoff!$B$10),1,0),0)</f>
        <v>0</v>
      </c>
      <c r="P215" s="12" t="n">
        <f aca="false">IF(AND(L215=1,J215&lt;=Cutoff!$B$10),1,0)</f>
        <v>1</v>
      </c>
      <c r="Q215" s="12" t="n">
        <f aca="false">IF(AND(N215=1,E215+Cutoff!$B$17&lt;=Cutoff!$B$10),1,0)</f>
        <v>1</v>
      </c>
      <c r="R215" s="12" t="n">
        <f aca="false">IF(Q215=1,IF(K215&lt;=Cutoff!$B$10,1,0),0)</f>
        <v>0</v>
      </c>
      <c r="S215" s="12" t="n">
        <f aca="false">IF(N215=1,SUMIFS(Subscriptions!$D$2:$D$208,Subscriptions!$A$2:$A$208,C215,Subscriptions!$E$2:$E$208,1,Subscriptions!$B$2:$B$208,"&gt;="&amp;Cutoff!$B$24,Subscriptions!$B$2:$B$208,"&lt;"&amp;Cutoff!$B$25,Subscriptions!$B$2:$B$208,"&lt;="&amp;Cutoff!$B$10),0)</f>
        <v>0</v>
      </c>
    </row>
    <row r="216" customFormat="false" ht="15" hidden="false" customHeight="false" outlineLevel="0" collapsed="false">
      <c r="A216" s="4" t="s">
        <v>716</v>
      </c>
      <c r="B216" s="4" t="s">
        <v>288</v>
      </c>
      <c r="C216" s="4" t="s">
        <v>717</v>
      </c>
      <c r="D216" s="4" t="s">
        <v>52</v>
      </c>
      <c r="E216" s="4" t="n">
        <v>1780504293</v>
      </c>
      <c r="F216" s="4" t="n">
        <v>1780504200</v>
      </c>
      <c r="G216" s="4" t="n">
        <v>1780504212</v>
      </c>
      <c r="H216" s="4" t="n">
        <v>1000000000000000</v>
      </c>
      <c r="I216" s="4" t="n">
        <v>1000000000000000</v>
      </c>
      <c r="J216" s="4" t="n">
        <v>1780505073</v>
      </c>
      <c r="K216" s="4" t="n">
        <v>1000000000000000</v>
      </c>
      <c r="L216" s="12" t="n">
        <f aca="false">IF(AND(B216=Cutoff!$B$12,E216&lt;=Cutoff!$B$10),1,0)</f>
        <v>1</v>
      </c>
      <c r="M216" s="12" t="n">
        <f aca="false">IF(AND(L216=1,F216&lt;1000000000000000,G216&lt;=Cutoff!$B$10),1,0)</f>
        <v>1</v>
      </c>
      <c r="N216" s="12" t="n">
        <f aca="false">IF(AND(M216=1,F216+Cutoff!$B$16&lt;=Cutoff!$B$10),1,0)</f>
        <v>1</v>
      </c>
      <c r="O216" s="12" t="n">
        <f aca="false">IF(N216=1,IF(AND(H216&lt;1000000000000000,H216&gt;=MAX(F216,E216),H216&lt;F216+Cutoff!$B$16,I216&lt;=Cutoff!$B$10),1,0),0)</f>
        <v>0</v>
      </c>
      <c r="P216" s="12" t="n">
        <f aca="false">IF(AND(L216=1,J216&lt;=Cutoff!$B$10),1,0)</f>
        <v>1</v>
      </c>
      <c r="Q216" s="12" t="n">
        <f aca="false">IF(AND(N216=1,E216+Cutoff!$B$17&lt;=Cutoff!$B$10),1,0)</f>
        <v>1</v>
      </c>
      <c r="R216" s="12" t="n">
        <f aca="false">IF(Q216=1,IF(K216&lt;=Cutoff!$B$10,1,0),0)</f>
        <v>0</v>
      </c>
      <c r="S216" s="12" t="n">
        <f aca="false">IF(N216=1,SUMIFS(Subscriptions!$D$2:$D$208,Subscriptions!$A$2:$A$208,C216,Subscriptions!$E$2:$E$208,1,Subscriptions!$B$2:$B$208,"&gt;="&amp;Cutoff!$B$24,Subscriptions!$B$2:$B$208,"&lt;"&amp;Cutoff!$B$25,Subscriptions!$B$2:$B$208,"&lt;="&amp;Cutoff!$B$10),0)</f>
        <v>0</v>
      </c>
    </row>
    <row r="217" customFormat="false" ht="15" hidden="false" customHeight="false" outlineLevel="0" collapsed="false">
      <c r="A217" s="4" t="s">
        <v>718</v>
      </c>
      <c r="B217" s="4" t="s">
        <v>288</v>
      </c>
      <c r="C217" s="4" t="s">
        <v>719</v>
      </c>
      <c r="D217" s="4" t="s">
        <v>51</v>
      </c>
      <c r="E217" s="4" t="n">
        <v>1780505364</v>
      </c>
      <c r="F217" s="4" t="n">
        <v>1780505260</v>
      </c>
      <c r="G217" s="4" t="n">
        <v>1780505261</v>
      </c>
      <c r="H217" s="4" t="n">
        <v>1000000000000000</v>
      </c>
      <c r="I217" s="4" t="n">
        <v>1000000000000000</v>
      </c>
      <c r="J217" s="4" t="n">
        <v>1780505761</v>
      </c>
      <c r="K217" s="4" t="n">
        <v>1780506240</v>
      </c>
      <c r="L217" s="12" t="n">
        <f aca="false">IF(AND(B217=Cutoff!$B$12,E217&lt;=Cutoff!$B$10),1,0)</f>
        <v>1</v>
      </c>
      <c r="M217" s="12" t="n">
        <f aca="false">IF(AND(L217=1,F217&lt;1000000000000000,G217&lt;=Cutoff!$B$10),1,0)</f>
        <v>1</v>
      </c>
      <c r="N217" s="12" t="n">
        <f aca="false">IF(AND(M217=1,F217+Cutoff!$B$16&lt;=Cutoff!$B$10),1,0)</f>
        <v>1</v>
      </c>
      <c r="O217" s="12" t="n">
        <f aca="false">IF(N217=1,IF(AND(H217&lt;1000000000000000,H217&gt;=MAX(F217,E217),H217&lt;F217+Cutoff!$B$16,I217&lt;=Cutoff!$B$10),1,0),0)</f>
        <v>0</v>
      </c>
      <c r="P217" s="12" t="n">
        <f aca="false">IF(AND(L217=1,J217&lt;=Cutoff!$B$10),1,0)</f>
        <v>1</v>
      </c>
      <c r="Q217" s="12" t="n">
        <f aca="false">IF(AND(N217=1,E217+Cutoff!$B$17&lt;=Cutoff!$B$10),1,0)</f>
        <v>1</v>
      </c>
      <c r="R217" s="12" t="n">
        <f aca="false">IF(Q217=1,IF(K217&lt;=Cutoff!$B$10,1,0),0)</f>
        <v>1</v>
      </c>
      <c r="S217" s="12" t="n">
        <f aca="false">IF(N217=1,SUMIFS(Subscriptions!$D$2:$D$208,Subscriptions!$A$2:$A$208,C217,Subscriptions!$E$2:$E$208,1,Subscriptions!$B$2:$B$208,"&gt;="&amp;Cutoff!$B$24,Subscriptions!$B$2:$B$208,"&lt;"&amp;Cutoff!$B$25,Subscriptions!$B$2:$B$208,"&lt;="&amp;Cutoff!$B$10),0)</f>
        <v>0</v>
      </c>
    </row>
    <row r="218" customFormat="false" ht="15" hidden="false" customHeight="false" outlineLevel="0" collapsed="false">
      <c r="A218" s="4" t="s">
        <v>720</v>
      </c>
      <c r="B218" s="4" t="s">
        <v>288</v>
      </c>
      <c r="C218" s="4" t="s">
        <v>721</v>
      </c>
      <c r="D218" s="4" t="s">
        <v>52</v>
      </c>
      <c r="E218" s="4" t="n">
        <v>1780506383</v>
      </c>
      <c r="F218" s="4" t="n">
        <v>1780506086</v>
      </c>
      <c r="G218" s="4" t="n">
        <v>1780506891</v>
      </c>
      <c r="H218" s="4" t="n">
        <v>1782121445</v>
      </c>
      <c r="I218" s="4" t="n">
        <v>1782121480</v>
      </c>
      <c r="J218" s="4" t="n">
        <v>1780506668</v>
      </c>
      <c r="K218" s="4" t="n">
        <v>1000000000000000</v>
      </c>
      <c r="L218" s="12" t="n">
        <f aca="false">IF(AND(B218=Cutoff!$B$12,E218&lt;=Cutoff!$B$10),1,0)</f>
        <v>1</v>
      </c>
      <c r="M218" s="12" t="n">
        <f aca="false">IF(AND(L218=1,F218&lt;1000000000000000,G218&lt;=Cutoff!$B$10),1,0)</f>
        <v>1</v>
      </c>
      <c r="N218" s="12" t="n">
        <f aca="false">IF(AND(M218=1,F218+Cutoff!$B$16&lt;=Cutoff!$B$10),1,0)</f>
        <v>1</v>
      </c>
      <c r="O218" s="12" t="n">
        <f aca="false">IF(N218=1,IF(AND(H218&lt;1000000000000000,H218&gt;=MAX(F218,E218),H218&lt;F218+Cutoff!$B$16,I218&lt;=Cutoff!$B$10),1,0),0)</f>
        <v>0</v>
      </c>
      <c r="P218" s="12" t="n">
        <f aca="false">IF(AND(L218=1,J218&lt;=Cutoff!$B$10),1,0)</f>
        <v>1</v>
      </c>
      <c r="Q218" s="12" t="n">
        <f aca="false">IF(AND(N218=1,E218+Cutoff!$B$17&lt;=Cutoff!$B$10),1,0)</f>
        <v>1</v>
      </c>
      <c r="R218" s="12" t="n">
        <f aca="false">IF(Q218=1,IF(K218&lt;=Cutoff!$B$10,1,0),0)</f>
        <v>0</v>
      </c>
      <c r="S218" s="12" t="n">
        <f aca="false">IF(N218=1,SUMIFS(Subscriptions!$D$2:$D$208,Subscriptions!$A$2:$A$208,C218,Subscriptions!$E$2:$E$208,1,Subscriptions!$B$2:$B$208,"&gt;="&amp;Cutoff!$B$24,Subscriptions!$B$2:$B$208,"&lt;"&amp;Cutoff!$B$25,Subscriptions!$B$2:$B$208,"&lt;="&amp;Cutoff!$B$10),0)</f>
        <v>0</v>
      </c>
    </row>
    <row r="219" customFormat="false" ht="15" hidden="false" customHeight="false" outlineLevel="0" collapsed="false">
      <c r="A219" s="4" t="s">
        <v>722</v>
      </c>
      <c r="B219" s="4" t="s">
        <v>288</v>
      </c>
      <c r="C219" s="4" t="s">
        <v>723</v>
      </c>
      <c r="D219" s="4" t="s">
        <v>52</v>
      </c>
      <c r="E219" s="4" t="n">
        <v>1780507616</v>
      </c>
      <c r="F219" s="4" t="n">
        <v>1780507424</v>
      </c>
      <c r="G219" s="4" t="n">
        <v>1780507440</v>
      </c>
      <c r="H219" s="4" t="n">
        <v>1780656541</v>
      </c>
      <c r="I219" s="4" t="n">
        <v>1780656563</v>
      </c>
      <c r="J219" s="4" t="n">
        <v>1780508076</v>
      </c>
      <c r="K219" s="4" t="n">
        <v>1000000000000000</v>
      </c>
      <c r="L219" s="12" t="n">
        <f aca="false">IF(AND(B219=Cutoff!$B$12,E219&lt;=Cutoff!$B$10),1,0)</f>
        <v>1</v>
      </c>
      <c r="M219" s="12" t="n">
        <f aca="false">IF(AND(L219=1,F219&lt;1000000000000000,G219&lt;=Cutoff!$B$10),1,0)</f>
        <v>1</v>
      </c>
      <c r="N219" s="12" t="n">
        <f aca="false">IF(AND(M219=1,F219+Cutoff!$B$16&lt;=Cutoff!$B$10),1,0)</f>
        <v>1</v>
      </c>
      <c r="O219" s="12" t="n">
        <f aca="false">IF(N219=1,IF(AND(H219&lt;1000000000000000,H219&gt;=MAX(F219,E219),H219&lt;F219+Cutoff!$B$16,I219&lt;=Cutoff!$B$10),1,0),0)</f>
        <v>1</v>
      </c>
      <c r="P219" s="12" t="n">
        <f aca="false">IF(AND(L219=1,J219&lt;=Cutoff!$B$10),1,0)</f>
        <v>1</v>
      </c>
      <c r="Q219" s="12" t="n">
        <f aca="false">IF(AND(N219=1,E219+Cutoff!$B$17&lt;=Cutoff!$B$10),1,0)</f>
        <v>1</v>
      </c>
      <c r="R219" s="12" t="n">
        <f aca="false">IF(Q219=1,IF(K219&lt;=Cutoff!$B$10,1,0),0)</f>
        <v>0</v>
      </c>
      <c r="S219" s="12" t="n">
        <f aca="false">IF(N219=1,SUMIFS(Subscriptions!$D$2:$D$208,Subscriptions!$A$2:$A$208,C219,Subscriptions!$E$2:$E$208,1,Subscriptions!$B$2:$B$208,"&gt;="&amp;Cutoff!$B$24,Subscriptions!$B$2:$B$208,"&lt;"&amp;Cutoff!$B$25,Subscriptions!$B$2:$B$208,"&lt;="&amp;Cutoff!$B$10),0)</f>
        <v>0</v>
      </c>
    </row>
    <row r="220" customFormat="false" ht="15" hidden="false" customHeight="false" outlineLevel="0" collapsed="false">
      <c r="A220" s="4" t="s">
        <v>724</v>
      </c>
      <c r="B220" s="4" t="s">
        <v>288</v>
      </c>
      <c r="C220" s="4" t="s">
        <v>725</v>
      </c>
      <c r="D220" s="4" t="s">
        <v>51</v>
      </c>
      <c r="E220" s="4" t="n">
        <v>1780511845</v>
      </c>
      <c r="F220" s="4" t="n">
        <v>1780511610</v>
      </c>
      <c r="G220" s="4" t="n">
        <v>1780511630</v>
      </c>
      <c r="H220" s="4" t="n">
        <v>1000000000000000</v>
      </c>
      <c r="I220" s="4" t="n">
        <v>1000000000000000</v>
      </c>
      <c r="J220" s="4" t="n">
        <v>1780512646</v>
      </c>
      <c r="K220" s="4" t="n">
        <v>1000000000000000</v>
      </c>
      <c r="L220" s="12" t="n">
        <f aca="false">IF(AND(B220=Cutoff!$B$12,E220&lt;=Cutoff!$B$10),1,0)</f>
        <v>1</v>
      </c>
      <c r="M220" s="12" t="n">
        <f aca="false">IF(AND(L220=1,F220&lt;1000000000000000,G220&lt;=Cutoff!$B$10),1,0)</f>
        <v>1</v>
      </c>
      <c r="N220" s="12" t="n">
        <f aca="false">IF(AND(M220=1,F220+Cutoff!$B$16&lt;=Cutoff!$B$10),1,0)</f>
        <v>1</v>
      </c>
      <c r="O220" s="12" t="n">
        <f aca="false">IF(N220=1,IF(AND(H220&lt;1000000000000000,H220&gt;=MAX(F220,E220),H220&lt;F220+Cutoff!$B$16,I220&lt;=Cutoff!$B$10),1,0),0)</f>
        <v>0</v>
      </c>
      <c r="P220" s="12" t="n">
        <f aca="false">IF(AND(L220=1,J220&lt;=Cutoff!$B$10),1,0)</f>
        <v>1</v>
      </c>
      <c r="Q220" s="12" t="n">
        <f aca="false">IF(AND(N220=1,E220+Cutoff!$B$17&lt;=Cutoff!$B$10),1,0)</f>
        <v>1</v>
      </c>
      <c r="R220" s="12" t="n">
        <f aca="false">IF(Q220=1,IF(K220&lt;=Cutoff!$B$10,1,0),0)</f>
        <v>0</v>
      </c>
      <c r="S220" s="12" t="n">
        <f aca="false">IF(N220=1,SUMIFS(Subscriptions!$D$2:$D$208,Subscriptions!$A$2:$A$208,C220,Subscriptions!$E$2:$E$208,1,Subscriptions!$B$2:$B$208,"&gt;="&amp;Cutoff!$B$24,Subscriptions!$B$2:$B$208,"&lt;"&amp;Cutoff!$B$25,Subscriptions!$B$2:$B$208,"&lt;="&amp;Cutoff!$B$10),0)</f>
        <v>0</v>
      </c>
    </row>
    <row r="221" customFormat="false" ht="15" hidden="false" customHeight="false" outlineLevel="0" collapsed="false">
      <c r="A221" s="4" t="s">
        <v>726</v>
      </c>
      <c r="B221" s="4" t="s">
        <v>288</v>
      </c>
      <c r="C221" s="4" t="s">
        <v>727</v>
      </c>
      <c r="D221" s="4" t="s">
        <v>51</v>
      </c>
      <c r="E221" s="4" t="n">
        <v>1780512270</v>
      </c>
      <c r="F221" s="4" t="n">
        <v>1780511739</v>
      </c>
      <c r="G221" s="4" t="n">
        <v>1780511762</v>
      </c>
      <c r="H221" s="4" t="n">
        <v>1000000000000000</v>
      </c>
      <c r="I221" s="4" t="n">
        <v>1000000000000000</v>
      </c>
      <c r="J221" s="4" t="n">
        <v>1780512430</v>
      </c>
      <c r="K221" s="4" t="n">
        <v>1000000000000000</v>
      </c>
      <c r="L221" s="12" t="n">
        <f aca="false">IF(AND(B221=Cutoff!$B$12,E221&lt;=Cutoff!$B$10),1,0)</f>
        <v>1</v>
      </c>
      <c r="M221" s="12" t="n">
        <f aca="false">IF(AND(L221=1,F221&lt;1000000000000000,G221&lt;=Cutoff!$B$10),1,0)</f>
        <v>1</v>
      </c>
      <c r="N221" s="12" t="n">
        <f aca="false">IF(AND(M221=1,F221+Cutoff!$B$16&lt;=Cutoff!$B$10),1,0)</f>
        <v>1</v>
      </c>
      <c r="O221" s="12" t="n">
        <f aca="false">IF(N221=1,IF(AND(H221&lt;1000000000000000,H221&gt;=MAX(F221,E221),H221&lt;F221+Cutoff!$B$16,I221&lt;=Cutoff!$B$10),1,0),0)</f>
        <v>0</v>
      </c>
      <c r="P221" s="12" t="n">
        <f aca="false">IF(AND(L221=1,J221&lt;=Cutoff!$B$10),1,0)</f>
        <v>1</v>
      </c>
      <c r="Q221" s="12" t="n">
        <f aca="false">IF(AND(N221=1,E221+Cutoff!$B$17&lt;=Cutoff!$B$10),1,0)</f>
        <v>1</v>
      </c>
      <c r="R221" s="12" t="n">
        <f aca="false">IF(Q221=1,IF(K221&lt;=Cutoff!$B$10,1,0),0)</f>
        <v>0</v>
      </c>
      <c r="S221" s="12" t="n">
        <f aca="false">IF(N221=1,SUMIFS(Subscriptions!$D$2:$D$208,Subscriptions!$A$2:$A$208,C221,Subscriptions!$E$2:$E$208,1,Subscriptions!$B$2:$B$208,"&gt;="&amp;Cutoff!$B$24,Subscriptions!$B$2:$B$208,"&lt;"&amp;Cutoff!$B$25,Subscriptions!$B$2:$B$208,"&lt;="&amp;Cutoff!$B$10),0)</f>
        <v>0</v>
      </c>
    </row>
    <row r="222" customFormat="false" ht="15" hidden="false" customHeight="false" outlineLevel="0" collapsed="false">
      <c r="A222" s="4" t="s">
        <v>728</v>
      </c>
      <c r="B222" s="4" t="s">
        <v>288</v>
      </c>
      <c r="C222" s="4" t="s">
        <v>729</v>
      </c>
      <c r="D222" s="4" t="s">
        <v>51</v>
      </c>
      <c r="E222" s="4" t="n">
        <v>1780513871</v>
      </c>
      <c r="F222" s="4" t="n">
        <v>1780513688</v>
      </c>
      <c r="G222" s="4" t="n">
        <v>1780513689</v>
      </c>
      <c r="H222" s="4" t="n">
        <v>1780517082</v>
      </c>
      <c r="I222" s="4" t="n">
        <v>1780517099</v>
      </c>
      <c r="J222" s="4" t="n">
        <v>1780513999</v>
      </c>
      <c r="K222" s="4" t="n">
        <v>1000000000000000</v>
      </c>
      <c r="L222" s="12" t="n">
        <f aca="false">IF(AND(B222=Cutoff!$B$12,E222&lt;=Cutoff!$B$10),1,0)</f>
        <v>1</v>
      </c>
      <c r="M222" s="12" t="n">
        <f aca="false">IF(AND(L222=1,F222&lt;1000000000000000,G222&lt;=Cutoff!$B$10),1,0)</f>
        <v>1</v>
      </c>
      <c r="N222" s="12" t="n">
        <f aca="false">IF(AND(M222=1,F222+Cutoff!$B$16&lt;=Cutoff!$B$10),1,0)</f>
        <v>1</v>
      </c>
      <c r="O222" s="12" t="n">
        <f aca="false">IF(N222=1,IF(AND(H222&lt;1000000000000000,H222&gt;=MAX(F222,E222),H222&lt;F222+Cutoff!$B$16,I222&lt;=Cutoff!$B$10),1,0),0)</f>
        <v>1</v>
      </c>
      <c r="P222" s="12" t="n">
        <f aca="false">IF(AND(L222=1,J222&lt;=Cutoff!$B$10),1,0)</f>
        <v>1</v>
      </c>
      <c r="Q222" s="12" t="n">
        <f aca="false">IF(AND(N222=1,E222+Cutoff!$B$17&lt;=Cutoff!$B$10),1,0)</f>
        <v>1</v>
      </c>
      <c r="R222" s="12" t="n">
        <f aca="false">IF(Q222=1,IF(K222&lt;=Cutoff!$B$10,1,0),0)</f>
        <v>0</v>
      </c>
      <c r="S222" s="12" t="n">
        <f aca="false">IF(N222=1,SUMIFS(Subscriptions!$D$2:$D$208,Subscriptions!$A$2:$A$208,C222,Subscriptions!$E$2:$E$208,1,Subscriptions!$B$2:$B$208,"&gt;="&amp;Cutoff!$B$24,Subscriptions!$B$2:$B$208,"&lt;"&amp;Cutoff!$B$25,Subscriptions!$B$2:$B$208,"&lt;="&amp;Cutoff!$B$10),0)</f>
        <v>0</v>
      </c>
    </row>
    <row r="223" customFormat="false" ht="15" hidden="false" customHeight="false" outlineLevel="0" collapsed="false">
      <c r="A223" s="4" t="s">
        <v>730</v>
      </c>
      <c r="B223" s="4" t="s">
        <v>288</v>
      </c>
      <c r="C223" s="4" t="s">
        <v>731</v>
      </c>
      <c r="D223" s="4" t="s">
        <v>52</v>
      </c>
      <c r="E223" s="4" t="n">
        <v>1780525854</v>
      </c>
      <c r="F223" s="4" t="n">
        <v>1780525606</v>
      </c>
      <c r="G223" s="4" t="n">
        <v>1780525749</v>
      </c>
      <c r="H223" s="4" t="n">
        <v>1000000000000000</v>
      </c>
      <c r="I223" s="4" t="n">
        <v>1000000000000000</v>
      </c>
      <c r="J223" s="4" t="n">
        <v>1780526631</v>
      </c>
      <c r="K223" s="4" t="n">
        <v>1000000000000000</v>
      </c>
      <c r="L223" s="12" t="n">
        <f aca="false">IF(AND(B223=Cutoff!$B$12,E223&lt;=Cutoff!$B$10),1,0)</f>
        <v>1</v>
      </c>
      <c r="M223" s="12" t="n">
        <f aca="false">IF(AND(L223=1,F223&lt;1000000000000000,G223&lt;=Cutoff!$B$10),1,0)</f>
        <v>1</v>
      </c>
      <c r="N223" s="12" t="n">
        <f aca="false">IF(AND(M223=1,F223+Cutoff!$B$16&lt;=Cutoff!$B$10),1,0)</f>
        <v>1</v>
      </c>
      <c r="O223" s="12" t="n">
        <f aca="false">IF(N223=1,IF(AND(H223&lt;1000000000000000,H223&gt;=MAX(F223,E223),H223&lt;F223+Cutoff!$B$16,I223&lt;=Cutoff!$B$10),1,0),0)</f>
        <v>0</v>
      </c>
      <c r="P223" s="12" t="n">
        <f aca="false">IF(AND(L223=1,J223&lt;=Cutoff!$B$10),1,0)</f>
        <v>1</v>
      </c>
      <c r="Q223" s="12" t="n">
        <f aca="false">IF(AND(N223=1,E223+Cutoff!$B$17&lt;=Cutoff!$B$10),1,0)</f>
        <v>1</v>
      </c>
      <c r="R223" s="12" t="n">
        <f aca="false">IF(Q223=1,IF(K223&lt;=Cutoff!$B$10,1,0),0)</f>
        <v>0</v>
      </c>
      <c r="S223" s="12" t="n">
        <f aca="false">IF(N223=1,SUMIFS(Subscriptions!$D$2:$D$208,Subscriptions!$A$2:$A$208,C223,Subscriptions!$E$2:$E$208,1,Subscriptions!$B$2:$B$208,"&gt;="&amp;Cutoff!$B$24,Subscriptions!$B$2:$B$208,"&lt;"&amp;Cutoff!$B$25,Subscriptions!$B$2:$B$208,"&lt;="&amp;Cutoff!$B$10),0)</f>
        <v>0</v>
      </c>
    </row>
    <row r="224" customFormat="false" ht="15" hidden="false" customHeight="false" outlineLevel="0" collapsed="false">
      <c r="A224" s="4" t="s">
        <v>732</v>
      </c>
      <c r="B224" s="4" t="s">
        <v>288</v>
      </c>
      <c r="C224" s="4" t="s">
        <v>733</v>
      </c>
      <c r="D224" s="4" t="s">
        <v>52</v>
      </c>
      <c r="E224" s="4" t="n">
        <v>1780589183</v>
      </c>
      <c r="F224" s="4" t="n">
        <v>1780588713</v>
      </c>
      <c r="G224" s="4" t="n">
        <v>1780588723</v>
      </c>
      <c r="H224" s="4" t="n">
        <v>1780733203</v>
      </c>
      <c r="I224" s="4" t="n">
        <v>1780733208</v>
      </c>
      <c r="J224" s="4" t="n">
        <v>1780589220</v>
      </c>
      <c r="K224" s="4" t="n">
        <v>1000000000000000</v>
      </c>
      <c r="L224" s="12" t="n">
        <f aca="false">IF(AND(B224=Cutoff!$B$12,E224&lt;=Cutoff!$B$10),1,0)</f>
        <v>1</v>
      </c>
      <c r="M224" s="12" t="n">
        <f aca="false">IF(AND(L224=1,F224&lt;1000000000000000,G224&lt;=Cutoff!$B$10),1,0)</f>
        <v>1</v>
      </c>
      <c r="N224" s="12" t="n">
        <f aca="false">IF(AND(M224=1,F224+Cutoff!$B$16&lt;=Cutoff!$B$10),1,0)</f>
        <v>1</v>
      </c>
      <c r="O224" s="12" t="n">
        <f aca="false">IF(N224=1,IF(AND(H224&lt;1000000000000000,H224&gt;=MAX(F224,E224),H224&lt;F224+Cutoff!$B$16,I224&lt;=Cutoff!$B$10),1,0),0)</f>
        <v>1</v>
      </c>
      <c r="P224" s="12" t="n">
        <f aca="false">IF(AND(L224=1,J224&lt;=Cutoff!$B$10),1,0)</f>
        <v>1</v>
      </c>
      <c r="Q224" s="12" t="n">
        <f aca="false">IF(AND(N224=1,E224+Cutoff!$B$17&lt;=Cutoff!$B$10),1,0)</f>
        <v>1</v>
      </c>
      <c r="R224" s="12" t="n">
        <f aca="false">IF(Q224=1,IF(K224&lt;=Cutoff!$B$10,1,0),0)</f>
        <v>0</v>
      </c>
      <c r="S224" s="12" t="n">
        <f aca="false">IF(N224=1,SUMIFS(Subscriptions!$D$2:$D$208,Subscriptions!$A$2:$A$208,C224,Subscriptions!$E$2:$E$208,1,Subscriptions!$B$2:$B$208,"&gt;="&amp;Cutoff!$B$24,Subscriptions!$B$2:$B$208,"&lt;"&amp;Cutoff!$B$25,Subscriptions!$B$2:$B$208,"&lt;="&amp;Cutoff!$B$10),0)</f>
        <v>0</v>
      </c>
    </row>
    <row r="225" customFormat="false" ht="15" hidden="false" customHeight="false" outlineLevel="0" collapsed="false">
      <c r="A225" s="4" t="s">
        <v>734</v>
      </c>
      <c r="B225" s="4" t="s">
        <v>288</v>
      </c>
      <c r="C225" s="4" t="s">
        <v>735</v>
      </c>
      <c r="D225" s="4" t="s">
        <v>51</v>
      </c>
      <c r="E225" s="4" t="n">
        <v>1780613799</v>
      </c>
      <c r="F225" s="4" t="n">
        <v>1780613405</v>
      </c>
      <c r="G225" s="4" t="n">
        <v>1780613417</v>
      </c>
      <c r="H225" s="4" t="n">
        <v>1781039081</v>
      </c>
      <c r="I225" s="4" t="n">
        <v>1781039092</v>
      </c>
      <c r="J225" s="4" t="n">
        <v>1780614496</v>
      </c>
      <c r="K225" s="4" t="n">
        <v>1000000000000000</v>
      </c>
      <c r="L225" s="12" t="n">
        <f aca="false">IF(AND(B225=Cutoff!$B$12,E225&lt;=Cutoff!$B$10),1,0)</f>
        <v>1</v>
      </c>
      <c r="M225" s="12" t="n">
        <f aca="false">IF(AND(L225=1,F225&lt;1000000000000000,G225&lt;=Cutoff!$B$10),1,0)</f>
        <v>1</v>
      </c>
      <c r="N225" s="12" t="n">
        <f aca="false">IF(AND(M225=1,F225+Cutoff!$B$16&lt;=Cutoff!$B$10),1,0)</f>
        <v>1</v>
      </c>
      <c r="O225" s="12" t="n">
        <f aca="false">IF(N225=1,IF(AND(H225&lt;1000000000000000,H225&gt;=MAX(F225,E225),H225&lt;F225+Cutoff!$B$16,I225&lt;=Cutoff!$B$10),1,0),0)</f>
        <v>1</v>
      </c>
      <c r="P225" s="12" t="n">
        <f aca="false">IF(AND(L225=1,J225&lt;=Cutoff!$B$10),1,0)</f>
        <v>1</v>
      </c>
      <c r="Q225" s="12" t="n">
        <f aca="false">IF(AND(N225=1,E225+Cutoff!$B$17&lt;=Cutoff!$B$10),1,0)</f>
        <v>1</v>
      </c>
      <c r="R225" s="12" t="n">
        <f aca="false">IF(Q225=1,IF(K225&lt;=Cutoff!$B$10,1,0),0)</f>
        <v>0</v>
      </c>
      <c r="S225" s="12" t="n">
        <f aca="false">IF(N225=1,SUMIFS(Subscriptions!$D$2:$D$208,Subscriptions!$A$2:$A$208,C225,Subscriptions!$E$2:$E$208,1,Subscriptions!$B$2:$B$208,"&gt;="&amp;Cutoff!$B$24,Subscriptions!$B$2:$B$208,"&lt;"&amp;Cutoff!$B$25,Subscriptions!$B$2:$B$208,"&lt;="&amp;Cutoff!$B$10),0)</f>
        <v>0</v>
      </c>
    </row>
    <row r="226" customFormat="false" ht="15" hidden="false" customHeight="false" outlineLevel="0" collapsed="false">
      <c r="A226" s="4" t="s">
        <v>736</v>
      </c>
      <c r="B226" s="4" t="s">
        <v>288</v>
      </c>
      <c r="C226" s="4" t="s">
        <v>737</v>
      </c>
      <c r="D226" s="4" t="s">
        <v>51</v>
      </c>
      <c r="E226" s="4" t="n">
        <v>1780617105</v>
      </c>
      <c r="F226" s="4" t="n">
        <v>1780616623</v>
      </c>
      <c r="G226" s="4" t="n">
        <v>1780616639</v>
      </c>
      <c r="H226" s="4" t="n">
        <v>1000000000000000</v>
      </c>
      <c r="I226" s="4" t="n">
        <v>1000000000000000</v>
      </c>
      <c r="J226" s="4" t="n">
        <v>1000000000000000</v>
      </c>
      <c r="K226" s="4" t="n">
        <v>1000000000000000</v>
      </c>
      <c r="L226" s="12" t="n">
        <f aca="false">IF(AND(B226=Cutoff!$B$12,E226&lt;=Cutoff!$B$10),1,0)</f>
        <v>1</v>
      </c>
      <c r="M226" s="12" t="n">
        <f aca="false">IF(AND(L226=1,F226&lt;1000000000000000,G226&lt;=Cutoff!$B$10),1,0)</f>
        <v>1</v>
      </c>
      <c r="N226" s="12" t="n">
        <f aca="false">IF(AND(M226=1,F226+Cutoff!$B$16&lt;=Cutoff!$B$10),1,0)</f>
        <v>1</v>
      </c>
      <c r="O226" s="12" t="n">
        <f aca="false">IF(N226=1,IF(AND(H226&lt;1000000000000000,H226&gt;=MAX(F226,E226),H226&lt;F226+Cutoff!$B$16,I226&lt;=Cutoff!$B$10),1,0),0)</f>
        <v>0</v>
      </c>
      <c r="P226" s="12" t="n">
        <f aca="false">IF(AND(L226=1,J226&lt;=Cutoff!$B$10),1,0)</f>
        <v>0</v>
      </c>
      <c r="Q226" s="12" t="n">
        <f aca="false">IF(AND(N226=1,E226+Cutoff!$B$17&lt;=Cutoff!$B$10),1,0)</f>
        <v>1</v>
      </c>
      <c r="R226" s="12" t="n">
        <f aca="false">IF(Q226=1,IF(K226&lt;=Cutoff!$B$10,1,0),0)</f>
        <v>0</v>
      </c>
      <c r="S226" s="12" t="n">
        <f aca="false">IF(N226=1,SUMIFS(Subscriptions!$D$2:$D$208,Subscriptions!$A$2:$A$208,C226,Subscriptions!$E$2:$E$208,1,Subscriptions!$B$2:$B$208,"&gt;="&amp;Cutoff!$B$24,Subscriptions!$B$2:$B$208,"&lt;"&amp;Cutoff!$B$25,Subscriptions!$B$2:$B$208,"&lt;="&amp;Cutoff!$B$10),0)</f>
        <v>0</v>
      </c>
    </row>
    <row r="227" customFormat="false" ht="15" hidden="false" customHeight="false" outlineLevel="0" collapsed="false">
      <c r="A227" s="4" t="s">
        <v>738</v>
      </c>
      <c r="B227" s="4" t="s">
        <v>288</v>
      </c>
      <c r="C227" s="4" t="s">
        <v>739</v>
      </c>
      <c r="D227" s="4" t="s">
        <v>52</v>
      </c>
      <c r="E227" s="4" t="n">
        <v>1780689634</v>
      </c>
      <c r="F227" s="4" t="n">
        <v>1780689478</v>
      </c>
      <c r="G227" s="4" t="n">
        <v>1780689492</v>
      </c>
      <c r="H227" s="4" t="n">
        <v>1780744748</v>
      </c>
      <c r="I227" s="4" t="n">
        <v>1780744762</v>
      </c>
      <c r="J227" s="4" t="n">
        <v>1780690420</v>
      </c>
      <c r="K227" s="4" t="n">
        <v>1000000000000000</v>
      </c>
      <c r="L227" s="12" t="n">
        <f aca="false">IF(AND(B227=Cutoff!$B$12,E227&lt;=Cutoff!$B$10),1,0)</f>
        <v>1</v>
      </c>
      <c r="M227" s="12" t="n">
        <f aca="false">IF(AND(L227=1,F227&lt;1000000000000000,G227&lt;=Cutoff!$B$10),1,0)</f>
        <v>1</v>
      </c>
      <c r="N227" s="12" t="n">
        <f aca="false">IF(AND(M227=1,F227+Cutoff!$B$16&lt;=Cutoff!$B$10),1,0)</f>
        <v>1</v>
      </c>
      <c r="O227" s="12" t="n">
        <f aca="false">IF(N227=1,IF(AND(H227&lt;1000000000000000,H227&gt;=MAX(F227,E227),H227&lt;F227+Cutoff!$B$16,I227&lt;=Cutoff!$B$10),1,0),0)</f>
        <v>1</v>
      </c>
      <c r="P227" s="12" t="n">
        <f aca="false">IF(AND(L227=1,J227&lt;=Cutoff!$B$10),1,0)</f>
        <v>1</v>
      </c>
      <c r="Q227" s="12" t="n">
        <f aca="false">IF(AND(N227=1,E227+Cutoff!$B$17&lt;=Cutoff!$B$10),1,0)</f>
        <v>1</v>
      </c>
      <c r="R227" s="12" t="n">
        <f aca="false">IF(Q227=1,IF(K227&lt;=Cutoff!$B$10,1,0),0)</f>
        <v>0</v>
      </c>
      <c r="S227" s="12" t="n">
        <f aca="false">IF(N227=1,SUMIFS(Subscriptions!$D$2:$D$208,Subscriptions!$A$2:$A$208,C227,Subscriptions!$E$2:$E$208,1,Subscriptions!$B$2:$B$208,"&gt;="&amp;Cutoff!$B$24,Subscriptions!$B$2:$B$208,"&lt;"&amp;Cutoff!$B$25,Subscriptions!$B$2:$B$208,"&lt;="&amp;Cutoff!$B$10),0)</f>
        <v>0</v>
      </c>
    </row>
    <row r="228" customFormat="false" ht="15" hidden="false" customHeight="false" outlineLevel="0" collapsed="false">
      <c r="A228" s="4" t="s">
        <v>740</v>
      </c>
      <c r="B228" s="4" t="s">
        <v>288</v>
      </c>
      <c r="C228" s="4" t="s">
        <v>741</v>
      </c>
      <c r="D228" s="4" t="s">
        <v>52</v>
      </c>
      <c r="E228" s="4" t="n">
        <v>1780755270</v>
      </c>
      <c r="F228" s="4" t="n">
        <v>1780754878</v>
      </c>
      <c r="G228" s="4" t="n">
        <v>1780754895</v>
      </c>
      <c r="H228" s="4" t="n">
        <v>1000000000000000</v>
      </c>
      <c r="I228" s="4" t="n">
        <v>1000000000000000</v>
      </c>
      <c r="J228" s="4" t="n">
        <v>1780755942</v>
      </c>
      <c r="K228" s="4" t="n">
        <v>1780755874</v>
      </c>
      <c r="L228" s="12" t="n">
        <f aca="false">IF(AND(B228=Cutoff!$B$12,E228&lt;=Cutoff!$B$10),1,0)</f>
        <v>1</v>
      </c>
      <c r="M228" s="12" t="n">
        <f aca="false">IF(AND(L228=1,F228&lt;1000000000000000,G228&lt;=Cutoff!$B$10),1,0)</f>
        <v>1</v>
      </c>
      <c r="N228" s="12" t="n">
        <f aca="false">IF(AND(M228=1,F228+Cutoff!$B$16&lt;=Cutoff!$B$10),1,0)</f>
        <v>1</v>
      </c>
      <c r="O228" s="12" t="n">
        <f aca="false">IF(N228=1,IF(AND(H228&lt;1000000000000000,H228&gt;=MAX(F228,E228),H228&lt;F228+Cutoff!$B$16,I228&lt;=Cutoff!$B$10),1,0),0)</f>
        <v>0</v>
      </c>
      <c r="P228" s="12" t="n">
        <f aca="false">IF(AND(L228=1,J228&lt;=Cutoff!$B$10),1,0)</f>
        <v>1</v>
      </c>
      <c r="Q228" s="12" t="n">
        <f aca="false">IF(AND(N228=1,E228+Cutoff!$B$17&lt;=Cutoff!$B$10),1,0)</f>
        <v>1</v>
      </c>
      <c r="R228" s="12" t="n">
        <f aca="false">IF(Q228=1,IF(K228&lt;=Cutoff!$B$10,1,0),0)</f>
        <v>1</v>
      </c>
      <c r="S228" s="12" t="n">
        <f aca="false">IF(N228=1,SUMIFS(Subscriptions!$D$2:$D$208,Subscriptions!$A$2:$A$208,C228,Subscriptions!$E$2:$E$208,1,Subscriptions!$B$2:$B$208,"&gt;="&amp;Cutoff!$B$24,Subscriptions!$B$2:$B$208,"&lt;"&amp;Cutoff!$B$25,Subscriptions!$B$2:$B$208,"&lt;="&amp;Cutoff!$B$10),0)</f>
        <v>96</v>
      </c>
    </row>
    <row r="229" customFormat="false" ht="15" hidden="false" customHeight="false" outlineLevel="0" collapsed="false">
      <c r="A229" s="4" t="s">
        <v>742</v>
      </c>
      <c r="B229" s="4" t="s">
        <v>288</v>
      </c>
      <c r="C229" s="4" t="s">
        <v>743</v>
      </c>
      <c r="D229" s="4" t="s">
        <v>51</v>
      </c>
      <c r="E229" s="4" t="n">
        <v>1780772993</v>
      </c>
      <c r="F229" s="4" t="n">
        <v>1780772898</v>
      </c>
      <c r="G229" s="4" t="n">
        <v>1780772904</v>
      </c>
      <c r="H229" s="4" t="n">
        <v>1780773661</v>
      </c>
      <c r="I229" s="4" t="n">
        <v>1780773735</v>
      </c>
      <c r="J229" s="4" t="n">
        <v>1780773823</v>
      </c>
      <c r="K229" s="4" t="n">
        <v>1000000000000000</v>
      </c>
      <c r="L229" s="12" t="n">
        <f aca="false">IF(AND(B229=Cutoff!$B$12,E229&lt;=Cutoff!$B$10),1,0)</f>
        <v>1</v>
      </c>
      <c r="M229" s="12" t="n">
        <f aca="false">IF(AND(L229=1,F229&lt;1000000000000000,G229&lt;=Cutoff!$B$10),1,0)</f>
        <v>1</v>
      </c>
      <c r="N229" s="12" t="n">
        <f aca="false">IF(AND(M229=1,F229+Cutoff!$B$16&lt;=Cutoff!$B$10),1,0)</f>
        <v>1</v>
      </c>
      <c r="O229" s="12" t="n">
        <f aca="false">IF(N229=1,IF(AND(H229&lt;1000000000000000,H229&gt;=MAX(F229,E229),H229&lt;F229+Cutoff!$B$16,I229&lt;=Cutoff!$B$10),1,0),0)</f>
        <v>1</v>
      </c>
      <c r="P229" s="12" t="n">
        <f aca="false">IF(AND(L229=1,J229&lt;=Cutoff!$B$10),1,0)</f>
        <v>1</v>
      </c>
      <c r="Q229" s="12" t="n">
        <f aca="false">IF(AND(N229=1,E229+Cutoff!$B$17&lt;=Cutoff!$B$10),1,0)</f>
        <v>1</v>
      </c>
      <c r="R229" s="12" t="n">
        <f aca="false">IF(Q229=1,IF(K229&lt;=Cutoff!$B$10,1,0),0)</f>
        <v>0</v>
      </c>
      <c r="S229" s="12" t="n">
        <f aca="false">IF(N229=1,SUMIFS(Subscriptions!$D$2:$D$208,Subscriptions!$A$2:$A$208,C229,Subscriptions!$E$2:$E$208,1,Subscriptions!$B$2:$B$208,"&gt;="&amp;Cutoff!$B$24,Subscriptions!$B$2:$B$208,"&lt;"&amp;Cutoff!$B$25,Subscriptions!$B$2:$B$208,"&lt;="&amp;Cutoff!$B$10),0)</f>
        <v>0</v>
      </c>
    </row>
    <row r="230" customFormat="false" ht="15" hidden="false" customHeight="false" outlineLevel="0" collapsed="false">
      <c r="A230" s="4" t="s">
        <v>744</v>
      </c>
      <c r="B230" s="4" t="s">
        <v>288</v>
      </c>
      <c r="C230" s="4" t="s">
        <v>745</v>
      </c>
      <c r="D230" s="4" t="s">
        <v>52</v>
      </c>
      <c r="E230" s="4" t="n">
        <v>1780842438</v>
      </c>
      <c r="F230" s="4" t="n">
        <v>1780842181</v>
      </c>
      <c r="G230" s="4" t="n">
        <v>1780842302</v>
      </c>
      <c r="H230" s="4" t="n">
        <v>1000000000000000</v>
      </c>
      <c r="I230" s="4" t="n">
        <v>1000000000000000</v>
      </c>
      <c r="J230" s="4" t="n">
        <v>1780842534</v>
      </c>
      <c r="K230" s="4" t="n">
        <v>1000000000000000</v>
      </c>
      <c r="L230" s="12" t="n">
        <f aca="false">IF(AND(B230=Cutoff!$B$12,E230&lt;=Cutoff!$B$10),1,0)</f>
        <v>1</v>
      </c>
      <c r="M230" s="12" t="n">
        <f aca="false">IF(AND(L230=1,F230&lt;1000000000000000,G230&lt;=Cutoff!$B$10),1,0)</f>
        <v>1</v>
      </c>
      <c r="N230" s="12" t="n">
        <f aca="false">IF(AND(M230=1,F230+Cutoff!$B$16&lt;=Cutoff!$B$10),1,0)</f>
        <v>1</v>
      </c>
      <c r="O230" s="12" t="n">
        <f aca="false">IF(N230=1,IF(AND(H230&lt;1000000000000000,H230&gt;=MAX(F230,E230),H230&lt;F230+Cutoff!$B$16,I230&lt;=Cutoff!$B$10),1,0),0)</f>
        <v>0</v>
      </c>
      <c r="P230" s="12" t="n">
        <f aca="false">IF(AND(L230=1,J230&lt;=Cutoff!$B$10),1,0)</f>
        <v>1</v>
      </c>
      <c r="Q230" s="12" t="n">
        <f aca="false">IF(AND(N230=1,E230+Cutoff!$B$17&lt;=Cutoff!$B$10),1,0)</f>
        <v>1</v>
      </c>
      <c r="R230" s="12" t="n">
        <f aca="false">IF(Q230=1,IF(K230&lt;=Cutoff!$B$10,1,0),0)</f>
        <v>0</v>
      </c>
      <c r="S230" s="12" t="n">
        <f aca="false">IF(N230=1,SUMIFS(Subscriptions!$D$2:$D$208,Subscriptions!$A$2:$A$208,C230,Subscriptions!$E$2:$E$208,1,Subscriptions!$B$2:$B$208,"&gt;="&amp;Cutoff!$B$24,Subscriptions!$B$2:$B$208,"&lt;"&amp;Cutoff!$B$25,Subscriptions!$B$2:$B$208,"&lt;="&amp;Cutoff!$B$10),0)</f>
        <v>60</v>
      </c>
    </row>
    <row r="231" customFormat="false" ht="15" hidden="false" customHeight="false" outlineLevel="0" collapsed="false">
      <c r="A231" s="4" t="s">
        <v>746</v>
      </c>
      <c r="B231" s="4" t="s">
        <v>288</v>
      </c>
      <c r="C231" s="4" t="s">
        <v>747</v>
      </c>
      <c r="D231" s="4" t="s">
        <v>52</v>
      </c>
      <c r="E231" s="4" t="n">
        <v>1780910969</v>
      </c>
      <c r="F231" s="4" t="n">
        <v>1780910687</v>
      </c>
      <c r="G231" s="4" t="n">
        <v>1780910712</v>
      </c>
      <c r="H231" s="4" t="n">
        <v>1780913379</v>
      </c>
      <c r="I231" s="4" t="n">
        <v>1780913381</v>
      </c>
      <c r="J231" s="4" t="n">
        <v>1780911708</v>
      </c>
      <c r="K231" s="4" t="n">
        <v>1000000000000000</v>
      </c>
      <c r="L231" s="12" t="n">
        <f aca="false">IF(AND(B231=Cutoff!$B$12,E231&lt;=Cutoff!$B$10),1,0)</f>
        <v>1</v>
      </c>
      <c r="M231" s="12" t="n">
        <f aca="false">IF(AND(L231=1,F231&lt;1000000000000000,G231&lt;=Cutoff!$B$10),1,0)</f>
        <v>1</v>
      </c>
      <c r="N231" s="12" t="n">
        <f aca="false">IF(AND(M231=1,F231+Cutoff!$B$16&lt;=Cutoff!$B$10),1,0)</f>
        <v>1</v>
      </c>
      <c r="O231" s="12" t="n">
        <f aca="false">IF(N231=1,IF(AND(H231&lt;1000000000000000,H231&gt;=MAX(F231,E231),H231&lt;F231+Cutoff!$B$16,I231&lt;=Cutoff!$B$10),1,0),0)</f>
        <v>1</v>
      </c>
      <c r="P231" s="12" t="n">
        <f aca="false">IF(AND(L231=1,J231&lt;=Cutoff!$B$10),1,0)</f>
        <v>1</v>
      </c>
      <c r="Q231" s="12" t="n">
        <f aca="false">IF(AND(N231=1,E231+Cutoff!$B$17&lt;=Cutoff!$B$10),1,0)</f>
        <v>1</v>
      </c>
      <c r="R231" s="12" t="n">
        <f aca="false">IF(Q231=1,IF(K231&lt;=Cutoff!$B$10,1,0),0)</f>
        <v>0</v>
      </c>
      <c r="S231" s="12" t="n">
        <f aca="false">IF(N231=1,SUMIFS(Subscriptions!$D$2:$D$208,Subscriptions!$A$2:$A$208,C231,Subscriptions!$E$2:$E$208,1,Subscriptions!$B$2:$B$208,"&gt;="&amp;Cutoff!$B$24,Subscriptions!$B$2:$B$208,"&lt;"&amp;Cutoff!$B$25,Subscriptions!$B$2:$B$208,"&lt;="&amp;Cutoff!$B$10),0)</f>
        <v>0</v>
      </c>
    </row>
    <row r="232" customFormat="false" ht="15" hidden="false" customHeight="false" outlineLevel="0" collapsed="false">
      <c r="A232" s="4" t="s">
        <v>748</v>
      </c>
      <c r="B232" s="4" t="s">
        <v>288</v>
      </c>
      <c r="C232" s="4" t="s">
        <v>749</v>
      </c>
      <c r="D232" s="4" t="s">
        <v>51</v>
      </c>
      <c r="E232" s="4" t="n">
        <v>1780921720</v>
      </c>
      <c r="F232" s="4" t="n">
        <v>1780921660</v>
      </c>
      <c r="G232" s="4" t="n">
        <v>1780921771</v>
      </c>
      <c r="H232" s="4" t="n">
        <v>1780922408</v>
      </c>
      <c r="I232" s="4" t="n">
        <v>1780922662</v>
      </c>
      <c r="J232" s="4" t="n">
        <v>1000000000000000</v>
      </c>
      <c r="K232" s="4" t="n">
        <v>1781188357</v>
      </c>
      <c r="L232" s="12" t="n">
        <f aca="false">IF(AND(B232=Cutoff!$B$12,E232&lt;=Cutoff!$B$10),1,0)</f>
        <v>1</v>
      </c>
      <c r="M232" s="12" t="n">
        <f aca="false">IF(AND(L232=1,F232&lt;1000000000000000,G232&lt;=Cutoff!$B$10),1,0)</f>
        <v>1</v>
      </c>
      <c r="N232" s="12" t="n">
        <f aca="false">IF(AND(M232=1,F232+Cutoff!$B$16&lt;=Cutoff!$B$10),1,0)</f>
        <v>1</v>
      </c>
      <c r="O232" s="12" t="n">
        <f aca="false">IF(N232=1,IF(AND(H232&lt;1000000000000000,H232&gt;=MAX(F232,E232),H232&lt;F232+Cutoff!$B$16,I232&lt;=Cutoff!$B$10),1,0),0)</f>
        <v>1</v>
      </c>
      <c r="P232" s="12" t="n">
        <f aca="false">IF(AND(L232=1,J232&lt;=Cutoff!$B$10),1,0)</f>
        <v>0</v>
      </c>
      <c r="Q232" s="12" t="n">
        <f aca="false">IF(AND(N232=1,E232+Cutoff!$B$17&lt;=Cutoff!$B$10),1,0)</f>
        <v>1</v>
      </c>
      <c r="R232" s="12" t="n">
        <f aca="false">IF(Q232=1,IF(K232&lt;=Cutoff!$B$10,1,0),0)</f>
        <v>1</v>
      </c>
      <c r="S232" s="12" t="n">
        <f aca="false">IF(N232=1,SUMIFS(Subscriptions!$D$2:$D$208,Subscriptions!$A$2:$A$208,C232,Subscriptions!$E$2:$E$208,1,Subscriptions!$B$2:$B$208,"&gt;="&amp;Cutoff!$B$24,Subscriptions!$B$2:$B$208,"&lt;"&amp;Cutoff!$B$25,Subscriptions!$B$2:$B$208,"&lt;="&amp;Cutoff!$B$10),0)</f>
        <v>507</v>
      </c>
    </row>
    <row r="233" customFormat="false" ht="15" hidden="false" customHeight="false" outlineLevel="0" collapsed="false">
      <c r="A233" s="4" t="s">
        <v>750</v>
      </c>
      <c r="B233" s="4" t="s">
        <v>288</v>
      </c>
      <c r="C233" s="4" t="s">
        <v>751</v>
      </c>
      <c r="D233" s="4" t="s">
        <v>51</v>
      </c>
      <c r="E233" s="4" t="n">
        <v>1780930249</v>
      </c>
      <c r="F233" s="4" t="n">
        <v>1780929960</v>
      </c>
      <c r="G233" s="4" t="n">
        <v>1780929964</v>
      </c>
      <c r="H233" s="4" t="n">
        <v>1000000000000000</v>
      </c>
      <c r="I233" s="4" t="n">
        <v>1000000000000000</v>
      </c>
      <c r="J233" s="4" t="n">
        <v>1000000000000000</v>
      </c>
      <c r="K233" s="4" t="n">
        <v>1000000000000000</v>
      </c>
      <c r="L233" s="12" t="n">
        <f aca="false">IF(AND(B233=Cutoff!$B$12,E233&lt;=Cutoff!$B$10),1,0)</f>
        <v>1</v>
      </c>
      <c r="M233" s="12" t="n">
        <f aca="false">IF(AND(L233=1,F233&lt;1000000000000000,G233&lt;=Cutoff!$B$10),1,0)</f>
        <v>1</v>
      </c>
      <c r="N233" s="12" t="n">
        <f aca="false">IF(AND(M233=1,F233+Cutoff!$B$16&lt;=Cutoff!$B$10),1,0)</f>
        <v>1</v>
      </c>
      <c r="O233" s="12" t="n">
        <f aca="false">IF(N233=1,IF(AND(H233&lt;1000000000000000,H233&gt;=MAX(F233,E233),H233&lt;F233+Cutoff!$B$16,I233&lt;=Cutoff!$B$10),1,0),0)</f>
        <v>0</v>
      </c>
      <c r="P233" s="12" t="n">
        <f aca="false">IF(AND(L233=1,J233&lt;=Cutoff!$B$10),1,0)</f>
        <v>0</v>
      </c>
      <c r="Q233" s="12" t="n">
        <f aca="false">IF(AND(N233=1,E233+Cutoff!$B$17&lt;=Cutoff!$B$10),1,0)</f>
        <v>1</v>
      </c>
      <c r="R233" s="12" t="n">
        <f aca="false">IF(Q233=1,IF(K233&lt;=Cutoff!$B$10,1,0),0)</f>
        <v>0</v>
      </c>
      <c r="S233" s="12" t="n">
        <f aca="false">IF(N233=1,SUMIFS(Subscriptions!$D$2:$D$208,Subscriptions!$A$2:$A$208,C233,Subscriptions!$E$2:$E$208,1,Subscriptions!$B$2:$B$208,"&gt;="&amp;Cutoff!$B$24,Subscriptions!$B$2:$B$208,"&lt;"&amp;Cutoff!$B$25,Subscriptions!$B$2:$B$208,"&lt;="&amp;Cutoff!$B$10),0)</f>
        <v>0</v>
      </c>
    </row>
    <row r="234" customFormat="false" ht="15" hidden="false" customHeight="false" outlineLevel="0" collapsed="false">
      <c r="A234" s="4" t="s">
        <v>752</v>
      </c>
      <c r="B234" s="4" t="s">
        <v>288</v>
      </c>
      <c r="C234" s="4" t="s">
        <v>753</v>
      </c>
      <c r="D234" s="4" t="s">
        <v>52</v>
      </c>
      <c r="E234" s="4" t="n">
        <v>1781011665</v>
      </c>
      <c r="F234" s="4" t="n">
        <v>1781011142</v>
      </c>
      <c r="G234" s="4" t="n">
        <v>1781011325</v>
      </c>
      <c r="H234" s="4" t="n">
        <v>1000000000000000</v>
      </c>
      <c r="I234" s="4" t="n">
        <v>1000000000000000</v>
      </c>
      <c r="J234" s="4" t="n">
        <v>1781011698</v>
      </c>
      <c r="K234" s="4" t="n">
        <v>1000000000000000</v>
      </c>
      <c r="L234" s="12" t="n">
        <f aca="false">IF(AND(B234=Cutoff!$B$12,E234&lt;=Cutoff!$B$10),1,0)</f>
        <v>1</v>
      </c>
      <c r="M234" s="12" t="n">
        <f aca="false">IF(AND(L234=1,F234&lt;1000000000000000,G234&lt;=Cutoff!$B$10),1,0)</f>
        <v>1</v>
      </c>
      <c r="N234" s="12" t="n">
        <f aca="false">IF(AND(M234=1,F234+Cutoff!$B$16&lt;=Cutoff!$B$10),1,0)</f>
        <v>1</v>
      </c>
      <c r="O234" s="12" t="n">
        <f aca="false">IF(N234=1,IF(AND(H234&lt;1000000000000000,H234&gt;=MAX(F234,E234),H234&lt;F234+Cutoff!$B$16,I234&lt;=Cutoff!$B$10),1,0),0)</f>
        <v>0</v>
      </c>
      <c r="P234" s="12" t="n">
        <f aca="false">IF(AND(L234=1,J234&lt;=Cutoff!$B$10),1,0)</f>
        <v>1</v>
      </c>
      <c r="Q234" s="12" t="n">
        <f aca="false">IF(AND(N234=1,E234+Cutoff!$B$17&lt;=Cutoff!$B$10),1,0)</f>
        <v>1</v>
      </c>
      <c r="R234" s="12" t="n">
        <f aca="false">IF(Q234=1,IF(K234&lt;=Cutoff!$B$10,1,0),0)</f>
        <v>0</v>
      </c>
      <c r="S234" s="12" t="n">
        <f aca="false">IF(N234=1,SUMIFS(Subscriptions!$D$2:$D$208,Subscriptions!$A$2:$A$208,C234,Subscriptions!$E$2:$E$208,1,Subscriptions!$B$2:$B$208,"&gt;="&amp;Cutoff!$B$24,Subscriptions!$B$2:$B$208,"&lt;"&amp;Cutoff!$B$25,Subscriptions!$B$2:$B$208,"&lt;="&amp;Cutoff!$B$10),0)</f>
        <v>132</v>
      </c>
    </row>
    <row r="235" customFormat="false" ht="15" hidden="false" customHeight="false" outlineLevel="0" collapsed="false">
      <c r="A235" s="4" t="s">
        <v>754</v>
      </c>
      <c r="B235" s="4" t="s">
        <v>288</v>
      </c>
      <c r="C235" s="4" t="s">
        <v>755</v>
      </c>
      <c r="D235" s="4" t="s">
        <v>52</v>
      </c>
      <c r="E235" s="4" t="n">
        <v>1781017471</v>
      </c>
      <c r="F235" s="4" t="n">
        <v>1781017238</v>
      </c>
      <c r="G235" s="4" t="n">
        <v>1781017252</v>
      </c>
      <c r="H235" s="4" t="n">
        <v>1781564570</v>
      </c>
      <c r="I235" s="4" t="n">
        <v>1781564571</v>
      </c>
      <c r="J235" s="4" t="n">
        <v>1781018250</v>
      </c>
      <c r="K235" s="4" t="n">
        <v>1000000000000000</v>
      </c>
      <c r="L235" s="12" t="n">
        <f aca="false">IF(AND(B235=Cutoff!$B$12,E235&lt;=Cutoff!$B$10),1,0)</f>
        <v>1</v>
      </c>
      <c r="M235" s="12" t="n">
        <f aca="false">IF(AND(L235=1,F235&lt;1000000000000000,G235&lt;=Cutoff!$B$10),1,0)</f>
        <v>1</v>
      </c>
      <c r="N235" s="12" t="n">
        <f aca="false">IF(AND(M235=1,F235+Cutoff!$B$16&lt;=Cutoff!$B$10),1,0)</f>
        <v>1</v>
      </c>
      <c r="O235" s="12" t="n">
        <f aca="false">IF(N235=1,IF(AND(H235&lt;1000000000000000,H235&gt;=MAX(F235,E235),H235&lt;F235+Cutoff!$B$16,I235&lt;=Cutoff!$B$10),1,0),0)</f>
        <v>1</v>
      </c>
      <c r="P235" s="12" t="n">
        <f aca="false">IF(AND(L235=1,J235&lt;=Cutoff!$B$10),1,0)</f>
        <v>1</v>
      </c>
      <c r="Q235" s="12" t="n">
        <f aca="false">IF(AND(N235=1,E235+Cutoff!$B$17&lt;=Cutoff!$B$10),1,0)</f>
        <v>1</v>
      </c>
      <c r="R235" s="12" t="n">
        <f aca="false">IF(Q235=1,IF(K235&lt;=Cutoff!$B$10,1,0),0)</f>
        <v>0</v>
      </c>
      <c r="S235" s="12" t="n">
        <f aca="false">IF(N235=1,SUMIFS(Subscriptions!$D$2:$D$208,Subscriptions!$A$2:$A$208,C235,Subscriptions!$E$2:$E$208,1,Subscriptions!$B$2:$B$208,"&gt;="&amp;Cutoff!$B$24,Subscriptions!$B$2:$B$208,"&lt;"&amp;Cutoff!$B$25,Subscriptions!$B$2:$B$208,"&lt;="&amp;Cutoff!$B$10),0)</f>
        <v>0</v>
      </c>
    </row>
    <row r="236" customFormat="false" ht="15" hidden="false" customHeight="false" outlineLevel="0" collapsed="false">
      <c r="A236" s="4" t="s">
        <v>756</v>
      </c>
      <c r="B236" s="4" t="s">
        <v>288</v>
      </c>
      <c r="C236" s="4" t="s">
        <v>757</v>
      </c>
      <c r="D236" s="4" t="s">
        <v>51</v>
      </c>
      <c r="E236" s="4" t="n">
        <v>1781019318</v>
      </c>
      <c r="F236" s="4" t="n">
        <v>1781019187</v>
      </c>
      <c r="G236" s="4" t="n">
        <v>1781019189</v>
      </c>
      <c r="H236" s="4" t="n">
        <v>1781245871</v>
      </c>
      <c r="I236" s="4" t="n">
        <v>1781245875</v>
      </c>
      <c r="J236" s="4" t="n">
        <v>1781019960</v>
      </c>
      <c r="K236" s="4" t="n">
        <v>1781280501</v>
      </c>
      <c r="L236" s="12" t="n">
        <f aca="false">IF(AND(B236=Cutoff!$B$12,E236&lt;=Cutoff!$B$10),1,0)</f>
        <v>1</v>
      </c>
      <c r="M236" s="12" t="n">
        <f aca="false">IF(AND(L236=1,F236&lt;1000000000000000,G236&lt;=Cutoff!$B$10),1,0)</f>
        <v>1</v>
      </c>
      <c r="N236" s="12" t="n">
        <f aca="false">IF(AND(M236=1,F236+Cutoff!$B$16&lt;=Cutoff!$B$10),1,0)</f>
        <v>1</v>
      </c>
      <c r="O236" s="12" t="n">
        <f aca="false">IF(N236=1,IF(AND(H236&lt;1000000000000000,H236&gt;=MAX(F236,E236),H236&lt;F236+Cutoff!$B$16,I236&lt;=Cutoff!$B$10),1,0),0)</f>
        <v>1</v>
      </c>
      <c r="P236" s="12" t="n">
        <f aca="false">IF(AND(L236=1,J236&lt;=Cutoff!$B$10),1,0)</f>
        <v>1</v>
      </c>
      <c r="Q236" s="12" t="n">
        <f aca="false">IF(AND(N236=1,E236+Cutoff!$B$17&lt;=Cutoff!$B$10),1,0)</f>
        <v>1</v>
      </c>
      <c r="R236" s="12" t="n">
        <f aca="false">IF(Q236=1,IF(K236&lt;=Cutoff!$B$10,1,0),0)</f>
        <v>1</v>
      </c>
      <c r="S236" s="12" t="n">
        <f aca="false">IF(N236=1,SUMIFS(Subscriptions!$D$2:$D$208,Subscriptions!$A$2:$A$208,C236,Subscriptions!$E$2:$E$208,1,Subscriptions!$B$2:$B$208,"&gt;="&amp;Cutoff!$B$24,Subscriptions!$B$2:$B$208,"&lt;"&amp;Cutoff!$B$25,Subscriptions!$B$2:$B$208,"&lt;="&amp;Cutoff!$B$10),0)</f>
        <v>48</v>
      </c>
    </row>
    <row r="237" customFormat="false" ht="15" hidden="false" customHeight="false" outlineLevel="0" collapsed="false">
      <c r="A237" s="4" t="s">
        <v>758</v>
      </c>
      <c r="B237" s="4" t="s">
        <v>288</v>
      </c>
      <c r="C237" s="4" t="s">
        <v>759</v>
      </c>
      <c r="D237" s="4" t="s">
        <v>51</v>
      </c>
      <c r="E237" s="4" t="n">
        <v>1781026551</v>
      </c>
      <c r="F237" s="4" t="n">
        <v>1781026488</v>
      </c>
      <c r="G237" s="4" t="n">
        <v>1781026575</v>
      </c>
      <c r="H237" s="4" t="n">
        <v>1781173706</v>
      </c>
      <c r="I237" s="4" t="n">
        <v>1781173713</v>
      </c>
      <c r="J237" s="4" t="n">
        <v>1781027333</v>
      </c>
      <c r="K237" s="4" t="n">
        <v>1000000000000000</v>
      </c>
      <c r="L237" s="12" t="n">
        <f aca="false">IF(AND(B237=Cutoff!$B$12,E237&lt;=Cutoff!$B$10),1,0)</f>
        <v>1</v>
      </c>
      <c r="M237" s="12" t="n">
        <f aca="false">IF(AND(L237=1,F237&lt;1000000000000000,G237&lt;=Cutoff!$B$10),1,0)</f>
        <v>1</v>
      </c>
      <c r="N237" s="12" t="n">
        <f aca="false">IF(AND(M237=1,F237+Cutoff!$B$16&lt;=Cutoff!$B$10),1,0)</f>
        <v>1</v>
      </c>
      <c r="O237" s="12" t="n">
        <f aca="false">IF(N237=1,IF(AND(H237&lt;1000000000000000,H237&gt;=MAX(F237,E237),H237&lt;F237+Cutoff!$B$16,I237&lt;=Cutoff!$B$10),1,0),0)</f>
        <v>1</v>
      </c>
      <c r="P237" s="12" t="n">
        <f aca="false">IF(AND(L237=1,J237&lt;=Cutoff!$B$10),1,0)</f>
        <v>1</v>
      </c>
      <c r="Q237" s="12" t="n">
        <f aca="false">IF(AND(N237=1,E237+Cutoff!$B$17&lt;=Cutoff!$B$10),1,0)</f>
        <v>1</v>
      </c>
      <c r="R237" s="12" t="n">
        <f aca="false">IF(Q237=1,IF(K237&lt;=Cutoff!$B$10,1,0),0)</f>
        <v>0</v>
      </c>
      <c r="S237" s="12" t="n">
        <f aca="false">IF(N237=1,SUMIFS(Subscriptions!$D$2:$D$208,Subscriptions!$A$2:$A$208,C237,Subscriptions!$E$2:$E$208,1,Subscriptions!$B$2:$B$208,"&gt;="&amp;Cutoff!$B$24,Subscriptions!$B$2:$B$208,"&lt;"&amp;Cutoff!$B$25,Subscriptions!$B$2:$B$208,"&lt;="&amp;Cutoff!$B$10),0)</f>
        <v>1287</v>
      </c>
    </row>
    <row r="238" customFormat="false" ht="15" hidden="false" customHeight="false" outlineLevel="0" collapsed="false">
      <c r="A238" s="4" t="s">
        <v>760</v>
      </c>
      <c r="B238" s="4" t="s">
        <v>288</v>
      </c>
      <c r="C238" s="4" t="s">
        <v>761</v>
      </c>
      <c r="D238" s="4" t="s">
        <v>52</v>
      </c>
      <c r="E238" s="4" t="n">
        <v>1781028589</v>
      </c>
      <c r="F238" s="4" t="n">
        <v>1781028435</v>
      </c>
      <c r="G238" s="4" t="n">
        <v>1781028437</v>
      </c>
      <c r="H238" s="4" t="n">
        <v>1782313356</v>
      </c>
      <c r="I238" s="4" t="n">
        <v>1782313479</v>
      </c>
      <c r="J238" s="4" t="n">
        <v>1781029603</v>
      </c>
      <c r="K238" s="4" t="n">
        <v>1000000000000000</v>
      </c>
      <c r="L238" s="12" t="n">
        <f aca="false">IF(AND(B238=Cutoff!$B$12,E238&lt;=Cutoff!$B$10),1,0)</f>
        <v>1</v>
      </c>
      <c r="M238" s="12" t="n">
        <f aca="false">IF(AND(L238=1,F238&lt;1000000000000000,G238&lt;=Cutoff!$B$10),1,0)</f>
        <v>1</v>
      </c>
      <c r="N238" s="12" t="n">
        <f aca="false">IF(AND(M238=1,F238+Cutoff!$B$16&lt;=Cutoff!$B$10),1,0)</f>
        <v>1</v>
      </c>
      <c r="O238" s="12" t="n">
        <f aca="false">IF(N238=1,IF(AND(H238&lt;1000000000000000,H238&gt;=MAX(F238,E238),H238&lt;F238+Cutoff!$B$16,I238&lt;=Cutoff!$B$10),1,0),0)</f>
        <v>0</v>
      </c>
      <c r="P238" s="12" t="n">
        <f aca="false">IF(AND(L238=1,J238&lt;=Cutoff!$B$10),1,0)</f>
        <v>1</v>
      </c>
      <c r="Q238" s="12" t="n">
        <f aca="false">IF(AND(N238=1,E238+Cutoff!$B$17&lt;=Cutoff!$B$10),1,0)</f>
        <v>1</v>
      </c>
      <c r="R238" s="12" t="n">
        <f aca="false">IF(Q238=1,IF(K238&lt;=Cutoff!$B$10,1,0),0)</f>
        <v>0</v>
      </c>
      <c r="S238" s="12" t="n">
        <f aca="false">IF(N238=1,SUMIFS(Subscriptions!$D$2:$D$208,Subscriptions!$A$2:$A$208,C238,Subscriptions!$E$2:$E$208,1,Subscriptions!$B$2:$B$208,"&gt;="&amp;Cutoff!$B$24,Subscriptions!$B$2:$B$208,"&lt;"&amp;Cutoff!$B$25,Subscriptions!$B$2:$B$208,"&lt;="&amp;Cutoff!$B$10),0)</f>
        <v>144</v>
      </c>
    </row>
    <row r="239" customFormat="false" ht="15" hidden="false" customHeight="false" outlineLevel="0" collapsed="false">
      <c r="A239" s="4" t="s">
        <v>762</v>
      </c>
      <c r="B239" s="4" t="s">
        <v>288</v>
      </c>
      <c r="C239" s="4" t="s">
        <v>763</v>
      </c>
      <c r="D239" s="4" t="s">
        <v>51</v>
      </c>
      <c r="E239" s="4" t="n">
        <v>1781041893</v>
      </c>
      <c r="F239" s="4" t="n">
        <v>1781041598</v>
      </c>
      <c r="G239" s="4" t="n">
        <v>1781041613</v>
      </c>
      <c r="H239" s="4" t="n">
        <v>1781301059</v>
      </c>
      <c r="I239" s="4" t="n">
        <v>1781301073</v>
      </c>
      <c r="J239" s="4" t="n">
        <v>1781042969</v>
      </c>
      <c r="K239" s="4" t="n">
        <v>1781041976</v>
      </c>
      <c r="L239" s="12" t="n">
        <f aca="false">IF(AND(B239=Cutoff!$B$12,E239&lt;=Cutoff!$B$10),1,0)</f>
        <v>1</v>
      </c>
      <c r="M239" s="12" t="n">
        <f aca="false">IF(AND(L239=1,F239&lt;1000000000000000,G239&lt;=Cutoff!$B$10),1,0)</f>
        <v>1</v>
      </c>
      <c r="N239" s="12" t="n">
        <f aca="false">IF(AND(M239=1,F239+Cutoff!$B$16&lt;=Cutoff!$B$10),1,0)</f>
        <v>1</v>
      </c>
      <c r="O239" s="12" t="n">
        <f aca="false">IF(N239=1,IF(AND(H239&lt;1000000000000000,H239&gt;=MAX(F239,E239),H239&lt;F239+Cutoff!$B$16,I239&lt;=Cutoff!$B$10),1,0),0)</f>
        <v>1</v>
      </c>
      <c r="P239" s="12" t="n">
        <f aca="false">IF(AND(L239=1,J239&lt;=Cutoff!$B$10),1,0)</f>
        <v>1</v>
      </c>
      <c r="Q239" s="12" t="n">
        <f aca="false">IF(AND(N239=1,E239+Cutoff!$B$17&lt;=Cutoff!$B$10),1,0)</f>
        <v>1</v>
      </c>
      <c r="R239" s="12" t="n">
        <f aca="false">IF(Q239=1,IF(K239&lt;=Cutoff!$B$10,1,0),0)</f>
        <v>1</v>
      </c>
      <c r="S239" s="12" t="n">
        <f aca="false">IF(N239=1,SUMIFS(Subscriptions!$D$2:$D$208,Subscriptions!$A$2:$A$208,C239,Subscriptions!$E$2:$E$208,1,Subscriptions!$B$2:$B$208,"&gt;="&amp;Cutoff!$B$24,Subscriptions!$B$2:$B$208,"&lt;"&amp;Cutoff!$B$25,Subscriptions!$B$2:$B$208,"&lt;="&amp;Cutoff!$B$10),0)</f>
        <v>108</v>
      </c>
    </row>
    <row r="240" customFormat="false" ht="15" hidden="false" customHeight="false" outlineLevel="0" collapsed="false">
      <c r="A240" s="4" t="s">
        <v>764</v>
      </c>
      <c r="B240" s="4" t="s">
        <v>288</v>
      </c>
      <c r="C240" s="4" t="s">
        <v>765</v>
      </c>
      <c r="D240" s="4" t="s">
        <v>52</v>
      </c>
      <c r="E240" s="4" t="n">
        <v>1781049700</v>
      </c>
      <c r="F240" s="4" t="n">
        <v>1781049312</v>
      </c>
      <c r="G240" s="4" t="n">
        <v>1781049322</v>
      </c>
      <c r="H240" s="4" t="n">
        <v>1781302097</v>
      </c>
      <c r="I240" s="4" t="n">
        <v>1781302106</v>
      </c>
      <c r="J240" s="4" t="n">
        <v>1781050025</v>
      </c>
      <c r="K240" s="4" t="n">
        <v>1000000000000000</v>
      </c>
      <c r="L240" s="12" t="n">
        <f aca="false">IF(AND(B240=Cutoff!$B$12,E240&lt;=Cutoff!$B$10),1,0)</f>
        <v>1</v>
      </c>
      <c r="M240" s="12" t="n">
        <f aca="false">IF(AND(L240=1,F240&lt;1000000000000000,G240&lt;=Cutoff!$B$10),1,0)</f>
        <v>1</v>
      </c>
      <c r="N240" s="12" t="n">
        <f aca="false">IF(AND(M240=1,F240+Cutoff!$B$16&lt;=Cutoff!$B$10),1,0)</f>
        <v>1</v>
      </c>
      <c r="O240" s="12" t="n">
        <f aca="false">IF(N240=1,IF(AND(H240&lt;1000000000000000,H240&gt;=MAX(F240,E240),H240&lt;F240+Cutoff!$B$16,I240&lt;=Cutoff!$B$10),1,0),0)</f>
        <v>1</v>
      </c>
      <c r="P240" s="12" t="n">
        <f aca="false">IF(AND(L240=1,J240&lt;=Cutoff!$B$10),1,0)</f>
        <v>1</v>
      </c>
      <c r="Q240" s="12" t="n">
        <f aca="false">IF(AND(N240=1,E240+Cutoff!$B$17&lt;=Cutoff!$B$10),1,0)</f>
        <v>1</v>
      </c>
      <c r="R240" s="12" t="n">
        <f aca="false">IF(Q240=1,IF(K240&lt;=Cutoff!$B$10,1,0),0)</f>
        <v>0</v>
      </c>
      <c r="S240" s="12" t="n">
        <f aca="false">IF(N240=1,SUMIFS(Subscriptions!$D$2:$D$208,Subscriptions!$A$2:$A$208,C240,Subscriptions!$E$2:$E$208,1,Subscriptions!$B$2:$B$208,"&gt;="&amp;Cutoff!$B$24,Subscriptions!$B$2:$B$208,"&lt;"&amp;Cutoff!$B$25,Subscriptions!$B$2:$B$208,"&lt;="&amp;Cutoff!$B$10),0)</f>
        <v>48</v>
      </c>
    </row>
    <row r="241" customFormat="false" ht="15" hidden="false" customHeight="false" outlineLevel="0" collapsed="false">
      <c r="A241" s="4" t="s">
        <v>766</v>
      </c>
      <c r="B241" s="4" t="s">
        <v>288</v>
      </c>
      <c r="C241" s="4" t="s">
        <v>767</v>
      </c>
      <c r="D241" s="4" t="s">
        <v>51</v>
      </c>
      <c r="E241" s="4" t="n">
        <v>1781095446</v>
      </c>
      <c r="F241" s="4" t="n">
        <v>1781095215</v>
      </c>
      <c r="G241" s="4" t="n">
        <v>1781095223</v>
      </c>
      <c r="H241" s="4" t="n">
        <v>1000000000000000</v>
      </c>
      <c r="I241" s="4" t="n">
        <v>1000000000000000</v>
      </c>
      <c r="J241" s="4" t="n">
        <v>1781096561</v>
      </c>
      <c r="K241" s="4" t="n">
        <v>1781534676</v>
      </c>
      <c r="L241" s="12" t="n">
        <f aca="false">IF(AND(B241=Cutoff!$B$12,E241&lt;=Cutoff!$B$10),1,0)</f>
        <v>1</v>
      </c>
      <c r="M241" s="12" t="n">
        <f aca="false">IF(AND(L241=1,F241&lt;1000000000000000,G241&lt;=Cutoff!$B$10),1,0)</f>
        <v>1</v>
      </c>
      <c r="N241" s="12" t="n">
        <f aca="false">IF(AND(M241=1,F241+Cutoff!$B$16&lt;=Cutoff!$B$10),1,0)</f>
        <v>1</v>
      </c>
      <c r="O241" s="12" t="n">
        <f aca="false">IF(N241=1,IF(AND(H241&lt;1000000000000000,H241&gt;=MAX(F241,E241),H241&lt;F241+Cutoff!$B$16,I241&lt;=Cutoff!$B$10),1,0),0)</f>
        <v>0</v>
      </c>
      <c r="P241" s="12" t="n">
        <f aca="false">IF(AND(L241=1,J241&lt;=Cutoff!$B$10),1,0)</f>
        <v>1</v>
      </c>
      <c r="Q241" s="12" t="n">
        <f aca="false">IF(AND(N241=1,E241+Cutoff!$B$17&lt;=Cutoff!$B$10),1,0)</f>
        <v>1</v>
      </c>
      <c r="R241" s="12" t="n">
        <f aca="false">IF(Q241=1,IF(K241&lt;=Cutoff!$B$10,1,0),0)</f>
        <v>1</v>
      </c>
      <c r="S241" s="12" t="n">
        <f aca="false">IF(N241=1,SUMIFS(Subscriptions!$D$2:$D$208,Subscriptions!$A$2:$A$208,C241,Subscriptions!$E$2:$E$208,1,Subscriptions!$B$2:$B$208,"&gt;="&amp;Cutoff!$B$24,Subscriptions!$B$2:$B$208,"&lt;"&amp;Cutoff!$B$25,Subscriptions!$B$2:$B$208,"&lt;="&amp;Cutoff!$B$10),0)</f>
        <v>0</v>
      </c>
    </row>
    <row r="242" customFormat="false" ht="15" hidden="false" customHeight="false" outlineLevel="0" collapsed="false">
      <c r="A242" s="4" t="s">
        <v>768</v>
      </c>
      <c r="B242" s="4" t="s">
        <v>288</v>
      </c>
      <c r="C242" s="4" t="s">
        <v>769</v>
      </c>
      <c r="D242" s="4" t="s">
        <v>51</v>
      </c>
      <c r="E242" s="4" t="n">
        <v>1781100119</v>
      </c>
      <c r="F242" s="4" t="n">
        <v>1781099997</v>
      </c>
      <c r="G242" s="4" t="n">
        <v>1781100013</v>
      </c>
      <c r="H242" s="4" t="n">
        <v>1000000000000000</v>
      </c>
      <c r="I242" s="4" t="n">
        <v>1000000000000000</v>
      </c>
      <c r="J242" s="4" t="n">
        <v>1781101272</v>
      </c>
      <c r="K242" s="4" t="n">
        <v>1000000000000000</v>
      </c>
      <c r="L242" s="12" t="n">
        <f aca="false">IF(AND(B242=Cutoff!$B$12,E242&lt;=Cutoff!$B$10),1,0)</f>
        <v>1</v>
      </c>
      <c r="M242" s="12" t="n">
        <f aca="false">IF(AND(L242=1,F242&lt;1000000000000000,G242&lt;=Cutoff!$B$10),1,0)</f>
        <v>1</v>
      </c>
      <c r="N242" s="12" t="n">
        <f aca="false">IF(AND(M242=1,F242+Cutoff!$B$16&lt;=Cutoff!$B$10),1,0)</f>
        <v>1</v>
      </c>
      <c r="O242" s="12" t="n">
        <f aca="false">IF(N242=1,IF(AND(H242&lt;1000000000000000,H242&gt;=MAX(F242,E242),H242&lt;F242+Cutoff!$B$16,I242&lt;=Cutoff!$B$10),1,0),0)</f>
        <v>0</v>
      </c>
      <c r="P242" s="12" t="n">
        <f aca="false">IF(AND(L242=1,J242&lt;=Cutoff!$B$10),1,0)</f>
        <v>1</v>
      </c>
      <c r="Q242" s="12" t="n">
        <f aca="false">IF(AND(N242=1,E242+Cutoff!$B$17&lt;=Cutoff!$B$10),1,0)</f>
        <v>1</v>
      </c>
      <c r="R242" s="12" t="n">
        <f aca="false">IF(Q242=1,IF(K242&lt;=Cutoff!$B$10,1,0),0)</f>
        <v>0</v>
      </c>
      <c r="S242" s="12" t="n">
        <f aca="false">IF(N242=1,SUMIFS(Subscriptions!$D$2:$D$208,Subscriptions!$A$2:$A$208,C242,Subscriptions!$E$2:$E$208,1,Subscriptions!$B$2:$B$208,"&gt;="&amp;Cutoff!$B$24,Subscriptions!$B$2:$B$208,"&lt;"&amp;Cutoff!$B$25,Subscriptions!$B$2:$B$208,"&lt;="&amp;Cutoff!$B$10),0)</f>
        <v>0</v>
      </c>
    </row>
    <row r="243" customFormat="false" ht="15" hidden="false" customHeight="false" outlineLevel="0" collapsed="false">
      <c r="A243" s="4" t="s">
        <v>770</v>
      </c>
      <c r="B243" s="4" t="s">
        <v>288</v>
      </c>
      <c r="C243" s="4" t="s">
        <v>771</v>
      </c>
      <c r="D243" s="4" t="s">
        <v>51</v>
      </c>
      <c r="E243" s="4" t="n">
        <v>1781107724</v>
      </c>
      <c r="F243" s="4" t="n">
        <v>1781107586</v>
      </c>
      <c r="G243" s="4" t="n">
        <v>1781107591</v>
      </c>
      <c r="H243" s="4" t="n">
        <v>1000000000000000</v>
      </c>
      <c r="I243" s="4" t="n">
        <v>1000000000000000</v>
      </c>
      <c r="J243" s="4" t="n">
        <v>1781108668</v>
      </c>
      <c r="K243" s="4" t="n">
        <v>1781537818</v>
      </c>
      <c r="L243" s="12" t="n">
        <f aca="false">IF(AND(B243=Cutoff!$B$12,E243&lt;=Cutoff!$B$10),1,0)</f>
        <v>1</v>
      </c>
      <c r="M243" s="12" t="n">
        <f aca="false">IF(AND(L243=1,F243&lt;1000000000000000,G243&lt;=Cutoff!$B$10),1,0)</f>
        <v>1</v>
      </c>
      <c r="N243" s="12" t="n">
        <f aca="false">IF(AND(M243=1,F243+Cutoff!$B$16&lt;=Cutoff!$B$10),1,0)</f>
        <v>1</v>
      </c>
      <c r="O243" s="12" t="n">
        <f aca="false">IF(N243=1,IF(AND(H243&lt;1000000000000000,H243&gt;=MAX(F243,E243),H243&lt;F243+Cutoff!$B$16,I243&lt;=Cutoff!$B$10),1,0),0)</f>
        <v>0</v>
      </c>
      <c r="P243" s="12" t="n">
        <f aca="false">IF(AND(L243=1,J243&lt;=Cutoff!$B$10),1,0)</f>
        <v>1</v>
      </c>
      <c r="Q243" s="12" t="n">
        <f aca="false">IF(AND(N243=1,E243+Cutoff!$B$17&lt;=Cutoff!$B$10),1,0)</f>
        <v>1</v>
      </c>
      <c r="R243" s="12" t="n">
        <f aca="false">IF(Q243=1,IF(K243&lt;=Cutoff!$B$10,1,0),0)</f>
        <v>1</v>
      </c>
      <c r="S243" s="12" t="n">
        <f aca="false">IF(N243=1,SUMIFS(Subscriptions!$D$2:$D$208,Subscriptions!$A$2:$A$208,C243,Subscriptions!$E$2:$E$208,1,Subscriptions!$B$2:$B$208,"&gt;="&amp;Cutoff!$B$24,Subscriptions!$B$2:$B$208,"&lt;"&amp;Cutoff!$B$25,Subscriptions!$B$2:$B$208,"&lt;="&amp;Cutoff!$B$10),0)</f>
        <v>0</v>
      </c>
    </row>
    <row r="244" customFormat="false" ht="15" hidden="false" customHeight="false" outlineLevel="0" collapsed="false">
      <c r="A244" s="4" t="s">
        <v>772</v>
      </c>
      <c r="B244" s="4" t="s">
        <v>288</v>
      </c>
      <c r="C244" s="4" t="s">
        <v>773</v>
      </c>
      <c r="D244" s="4" t="s">
        <v>52</v>
      </c>
      <c r="E244" s="4" t="n">
        <v>1781115816</v>
      </c>
      <c r="F244" s="4" t="n">
        <v>1781115382</v>
      </c>
      <c r="G244" s="4" t="n">
        <v>1781115387</v>
      </c>
      <c r="H244" s="4" t="n">
        <v>1000000000000000</v>
      </c>
      <c r="I244" s="4" t="n">
        <v>1000000000000000</v>
      </c>
      <c r="J244" s="4" t="n">
        <v>1781116714</v>
      </c>
      <c r="K244" s="4" t="n">
        <v>1000000000000000</v>
      </c>
      <c r="L244" s="12" t="n">
        <f aca="false">IF(AND(B244=Cutoff!$B$12,E244&lt;=Cutoff!$B$10),1,0)</f>
        <v>1</v>
      </c>
      <c r="M244" s="12" t="n">
        <f aca="false">IF(AND(L244=1,F244&lt;1000000000000000,G244&lt;=Cutoff!$B$10),1,0)</f>
        <v>1</v>
      </c>
      <c r="N244" s="12" t="n">
        <f aca="false">IF(AND(M244=1,F244+Cutoff!$B$16&lt;=Cutoff!$B$10),1,0)</f>
        <v>1</v>
      </c>
      <c r="O244" s="12" t="n">
        <f aca="false">IF(N244=1,IF(AND(H244&lt;1000000000000000,H244&gt;=MAX(F244,E244),H244&lt;F244+Cutoff!$B$16,I244&lt;=Cutoff!$B$10),1,0),0)</f>
        <v>0</v>
      </c>
      <c r="P244" s="12" t="n">
        <f aca="false">IF(AND(L244=1,J244&lt;=Cutoff!$B$10),1,0)</f>
        <v>1</v>
      </c>
      <c r="Q244" s="12" t="n">
        <f aca="false">IF(AND(N244=1,E244+Cutoff!$B$17&lt;=Cutoff!$B$10),1,0)</f>
        <v>1</v>
      </c>
      <c r="R244" s="12" t="n">
        <f aca="false">IF(Q244=1,IF(K244&lt;=Cutoff!$B$10,1,0),0)</f>
        <v>0</v>
      </c>
      <c r="S244" s="12" t="n">
        <f aca="false">IF(N244=1,SUMIFS(Subscriptions!$D$2:$D$208,Subscriptions!$A$2:$A$208,C244,Subscriptions!$E$2:$E$208,1,Subscriptions!$B$2:$B$208,"&gt;="&amp;Cutoff!$B$24,Subscriptions!$B$2:$B$208,"&lt;"&amp;Cutoff!$B$25,Subscriptions!$B$2:$B$208,"&lt;="&amp;Cutoff!$B$10),0)</f>
        <v>0</v>
      </c>
    </row>
    <row r="245" customFormat="false" ht="15" hidden="false" customHeight="false" outlineLevel="0" collapsed="false">
      <c r="A245" s="4" t="s">
        <v>774</v>
      </c>
      <c r="B245" s="4" t="s">
        <v>288</v>
      </c>
      <c r="C245" s="4" t="s">
        <v>775</v>
      </c>
      <c r="D245" s="4" t="s">
        <v>52</v>
      </c>
      <c r="E245" s="4" t="n">
        <v>1781127966</v>
      </c>
      <c r="F245" s="4" t="n">
        <v>1781127592</v>
      </c>
      <c r="G245" s="4" t="n">
        <v>1781127598</v>
      </c>
      <c r="H245" s="4" t="n">
        <v>1781418604</v>
      </c>
      <c r="I245" s="4" t="n">
        <v>1781418616</v>
      </c>
      <c r="J245" s="4" t="n">
        <v>1781127994</v>
      </c>
      <c r="K245" s="4" t="n">
        <v>1000000000000000</v>
      </c>
      <c r="L245" s="12" t="n">
        <f aca="false">IF(AND(B245=Cutoff!$B$12,E245&lt;=Cutoff!$B$10),1,0)</f>
        <v>1</v>
      </c>
      <c r="M245" s="12" t="n">
        <f aca="false">IF(AND(L245=1,F245&lt;1000000000000000,G245&lt;=Cutoff!$B$10),1,0)</f>
        <v>1</v>
      </c>
      <c r="N245" s="12" t="n">
        <f aca="false">IF(AND(M245=1,F245+Cutoff!$B$16&lt;=Cutoff!$B$10),1,0)</f>
        <v>1</v>
      </c>
      <c r="O245" s="12" t="n">
        <f aca="false">IF(N245=1,IF(AND(H245&lt;1000000000000000,H245&gt;=MAX(F245,E245),H245&lt;F245+Cutoff!$B$16,I245&lt;=Cutoff!$B$10),1,0),0)</f>
        <v>1</v>
      </c>
      <c r="P245" s="12" t="n">
        <f aca="false">IF(AND(L245=1,J245&lt;=Cutoff!$B$10),1,0)</f>
        <v>1</v>
      </c>
      <c r="Q245" s="12" t="n">
        <f aca="false">IF(AND(N245=1,E245+Cutoff!$B$17&lt;=Cutoff!$B$10),1,0)</f>
        <v>1</v>
      </c>
      <c r="R245" s="12" t="n">
        <f aca="false">IF(Q245=1,IF(K245&lt;=Cutoff!$B$10,1,0),0)</f>
        <v>0</v>
      </c>
      <c r="S245" s="12" t="n">
        <f aca="false">IF(N245=1,SUMIFS(Subscriptions!$D$2:$D$208,Subscriptions!$A$2:$A$208,C245,Subscriptions!$E$2:$E$208,1,Subscriptions!$B$2:$B$208,"&gt;="&amp;Cutoff!$B$24,Subscriptions!$B$2:$B$208,"&lt;"&amp;Cutoff!$B$25,Subscriptions!$B$2:$B$208,"&lt;="&amp;Cutoff!$B$10),0)</f>
        <v>72</v>
      </c>
    </row>
    <row r="246" customFormat="false" ht="15" hidden="false" customHeight="false" outlineLevel="0" collapsed="false">
      <c r="A246" s="4" t="s">
        <v>776</v>
      </c>
      <c r="B246" s="4" t="s">
        <v>288</v>
      </c>
      <c r="C246" s="4" t="s">
        <v>777</v>
      </c>
      <c r="D246" s="4" t="s">
        <v>52</v>
      </c>
      <c r="E246" s="4" t="n">
        <v>1781173475</v>
      </c>
      <c r="F246" s="4" t="n">
        <v>1781173016</v>
      </c>
      <c r="G246" s="4" t="n">
        <v>1781173036</v>
      </c>
      <c r="H246" s="4" t="n">
        <v>1000000000000000</v>
      </c>
      <c r="I246" s="4" t="n">
        <v>1000000000000000</v>
      </c>
      <c r="J246" s="4" t="n">
        <v>1000000000000000</v>
      </c>
      <c r="K246" s="4" t="n">
        <v>1000000000000000</v>
      </c>
      <c r="L246" s="12" t="n">
        <f aca="false">IF(AND(B246=Cutoff!$B$12,E246&lt;=Cutoff!$B$10),1,0)</f>
        <v>1</v>
      </c>
      <c r="M246" s="12" t="n">
        <f aca="false">IF(AND(L246=1,F246&lt;1000000000000000,G246&lt;=Cutoff!$B$10),1,0)</f>
        <v>1</v>
      </c>
      <c r="N246" s="12" t="n">
        <f aca="false">IF(AND(M246=1,F246+Cutoff!$B$16&lt;=Cutoff!$B$10),1,0)</f>
        <v>1</v>
      </c>
      <c r="O246" s="12" t="n">
        <f aca="false">IF(N246=1,IF(AND(H246&lt;1000000000000000,H246&gt;=MAX(F246,E246),H246&lt;F246+Cutoff!$B$16,I246&lt;=Cutoff!$B$10),1,0),0)</f>
        <v>0</v>
      </c>
      <c r="P246" s="12" t="n">
        <f aca="false">IF(AND(L246=1,J246&lt;=Cutoff!$B$10),1,0)</f>
        <v>0</v>
      </c>
      <c r="Q246" s="12" t="n">
        <f aca="false">IF(AND(N246=1,E246+Cutoff!$B$17&lt;=Cutoff!$B$10),1,0)</f>
        <v>1</v>
      </c>
      <c r="R246" s="12" t="n">
        <f aca="false">IF(Q246=1,IF(K246&lt;=Cutoff!$B$10,1,0),0)</f>
        <v>0</v>
      </c>
      <c r="S246" s="12" t="n">
        <f aca="false">IF(N246=1,SUMIFS(Subscriptions!$D$2:$D$208,Subscriptions!$A$2:$A$208,C246,Subscriptions!$E$2:$E$208,1,Subscriptions!$B$2:$B$208,"&gt;="&amp;Cutoff!$B$24,Subscriptions!$B$2:$B$208,"&lt;"&amp;Cutoff!$B$25,Subscriptions!$B$2:$B$208,"&lt;="&amp;Cutoff!$B$10),0)</f>
        <v>0</v>
      </c>
    </row>
    <row r="247" customFormat="false" ht="15" hidden="false" customHeight="false" outlineLevel="0" collapsed="false">
      <c r="A247" s="4" t="s">
        <v>778</v>
      </c>
      <c r="B247" s="4" t="s">
        <v>288</v>
      </c>
      <c r="C247" s="4" t="s">
        <v>779</v>
      </c>
      <c r="D247" s="4" t="s">
        <v>51</v>
      </c>
      <c r="E247" s="4" t="n">
        <v>1781189676</v>
      </c>
      <c r="F247" s="4" t="n">
        <v>1781189376</v>
      </c>
      <c r="G247" s="4" t="n">
        <v>1781189391</v>
      </c>
      <c r="H247" s="4" t="n">
        <v>1781269714</v>
      </c>
      <c r="I247" s="4" t="n">
        <v>1781269731</v>
      </c>
      <c r="J247" s="4" t="n">
        <v>1781190043</v>
      </c>
      <c r="K247" s="4" t="n">
        <v>1000000000000000</v>
      </c>
      <c r="L247" s="12" t="n">
        <f aca="false">IF(AND(B247=Cutoff!$B$12,E247&lt;=Cutoff!$B$10),1,0)</f>
        <v>1</v>
      </c>
      <c r="M247" s="12" t="n">
        <f aca="false">IF(AND(L247=1,F247&lt;1000000000000000,G247&lt;=Cutoff!$B$10),1,0)</f>
        <v>1</v>
      </c>
      <c r="N247" s="12" t="n">
        <f aca="false">IF(AND(M247=1,F247+Cutoff!$B$16&lt;=Cutoff!$B$10),1,0)</f>
        <v>1</v>
      </c>
      <c r="O247" s="12" t="n">
        <f aca="false">IF(N247=1,IF(AND(H247&lt;1000000000000000,H247&gt;=MAX(F247,E247),H247&lt;F247+Cutoff!$B$16,I247&lt;=Cutoff!$B$10),1,0),0)</f>
        <v>1</v>
      </c>
      <c r="P247" s="12" t="n">
        <f aca="false">IF(AND(L247=1,J247&lt;=Cutoff!$B$10),1,0)</f>
        <v>1</v>
      </c>
      <c r="Q247" s="12" t="n">
        <f aca="false">IF(AND(N247=1,E247+Cutoff!$B$17&lt;=Cutoff!$B$10),1,0)</f>
        <v>1</v>
      </c>
      <c r="R247" s="12" t="n">
        <f aca="false">IF(Q247=1,IF(K247&lt;=Cutoff!$B$10,1,0),0)</f>
        <v>0</v>
      </c>
      <c r="S247" s="12" t="n">
        <f aca="false">IF(N247=1,SUMIFS(Subscriptions!$D$2:$D$208,Subscriptions!$A$2:$A$208,C247,Subscriptions!$E$2:$E$208,1,Subscriptions!$B$2:$B$208,"&gt;="&amp;Cutoff!$B$24,Subscriptions!$B$2:$B$208,"&lt;"&amp;Cutoff!$B$25,Subscriptions!$B$2:$B$208,"&lt;="&amp;Cutoff!$B$10),0)</f>
        <v>0</v>
      </c>
    </row>
    <row r="248" customFormat="false" ht="15" hidden="false" customHeight="false" outlineLevel="0" collapsed="false">
      <c r="A248" s="4" t="s">
        <v>780</v>
      </c>
      <c r="B248" s="4" t="s">
        <v>288</v>
      </c>
      <c r="C248" s="4" t="s">
        <v>781</v>
      </c>
      <c r="D248" s="4" t="s">
        <v>52</v>
      </c>
      <c r="E248" s="4" t="n">
        <v>1781194139</v>
      </c>
      <c r="F248" s="4" t="n">
        <v>1781193795</v>
      </c>
      <c r="G248" s="4" t="n">
        <v>1781193816</v>
      </c>
      <c r="H248" s="4" t="n">
        <v>1781210180</v>
      </c>
      <c r="I248" s="4" t="n">
        <v>1781210193</v>
      </c>
      <c r="J248" s="4" t="n">
        <v>1781194322</v>
      </c>
      <c r="K248" s="4" t="n">
        <v>1000000000000000</v>
      </c>
      <c r="L248" s="12" t="n">
        <f aca="false">IF(AND(B248=Cutoff!$B$12,E248&lt;=Cutoff!$B$10),1,0)</f>
        <v>1</v>
      </c>
      <c r="M248" s="12" t="n">
        <f aca="false">IF(AND(L248=1,F248&lt;1000000000000000,G248&lt;=Cutoff!$B$10),1,0)</f>
        <v>1</v>
      </c>
      <c r="N248" s="12" t="n">
        <f aca="false">IF(AND(M248=1,F248+Cutoff!$B$16&lt;=Cutoff!$B$10),1,0)</f>
        <v>1</v>
      </c>
      <c r="O248" s="12" t="n">
        <f aca="false">IF(N248=1,IF(AND(H248&lt;1000000000000000,H248&gt;=MAX(F248,E248),H248&lt;F248+Cutoff!$B$16,I248&lt;=Cutoff!$B$10),1,0),0)</f>
        <v>1</v>
      </c>
      <c r="P248" s="12" t="n">
        <f aca="false">IF(AND(L248=1,J248&lt;=Cutoff!$B$10),1,0)</f>
        <v>1</v>
      </c>
      <c r="Q248" s="12" t="n">
        <f aca="false">IF(AND(N248=1,E248+Cutoff!$B$17&lt;=Cutoff!$B$10),1,0)</f>
        <v>1</v>
      </c>
      <c r="R248" s="12" t="n">
        <f aca="false">IF(Q248=1,IF(K248&lt;=Cutoff!$B$10,1,0),0)</f>
        <v>0</v>
      </c>
      <c r="S248" s="12" t="n">
        <f aca="false">IF(N248=1,SUMIFS(Subscriptions!$D$2:$D$208,Subscriptions!$A$2:$A$208,C248,Subscriptions!$E$2:$E$208,1,Subscriptions!$B$2:$B$208,"&gt;="&amp;Cutoff!$B$24,Subscriptions!$B$2:$B$208,"&lt;"&amp;Cutoff!$B$25,Subscriptions!$B$2:$B$208,"&lt;="&amp;Cutoff!$B$10),0)</f>
        <v>702</v>
      </c>
    </row>
    <row r="249" customFormat="false" ht="15" hidden="false" customHeight="false" outlineLevel="0" collapsed="false">
      <c r="A249" s="4" t="s">
        <v>782</v>
      </c>
      <c r="B249" s="4" t="s">
        <v>288</v>
      </c>
      <c r="C249" s="4" t="s">
        <v>783</v>
      </c>
      <c r="D249" s="4" t="s">
        <v>51</v>
      </c>
      <c r="E249" s="4" t="n">
        <v>1781198047</v>
      </c>
      <c r="F249" s="4" t="n">
        <v>1781197861</v>
      </c>
      <c r="G249" s="4" t="n">
        <v>1781201368</v>
      </c>
      <c r="H249" s="4" t="n">
        <v>1782858708</v>
      </c>
      <c r="I249" s="4" t="n">
        <v>1782858715</v>
      </c>
      <c r="J249" s="4" t="n">
        <v>1781199020</v>
      </c>
      <c r="K249" s="4" t="n">
        <v>1000000000000000</v>
      </c>
      <c r="L249" s="12" t="n">
        <f aca="false">IF(AND(B249=Cutoff!$B$12,E249&lt;=Cutoff!$B$10),1,0)</f>
        <v>1</v>
      </c>
      <c r="M249" s="12" t="n">
        <f aca="false">IF(AND(L249=1,F249&lt;1000000000000000,G249&lt;=Cutoff!$B$10),1,0)</f>
        <v>1</v>
      </c>
      <c r="N249" s="12" t="n">
        <f aca="false">IF(AND(M249=1,F249+Cutoff!$B$16&lt;=Cutoff!$B$10),1,0)</f>
        <v>1</v>
      </c>
      <c r="O249" s="12" t="n">
        <f aca="false">IF(N249=1,IF(AND(H249&lt;1000000000000000,H249&gt;=MAX(F249,E249),H249&lt;F249+Cutoff!$B$16,I249&lt;=Cutoff!$B$10),1,0),0)</f>
        <v>0</v>
      </c>
      <c r="P249" s="12" t="n">
        <f aca="false">IF(AND(L249=1,J249&lt;=Cutoff!$B$10),1,0)</f>
        <v>1</v>
      </c>
      <c r="Q249" s="12" t="n">
        <f aca="false">IF(AND(N249=1,E249+Cutoff!$B$17&lt;=Cutoff!$B$10),1,0)</f>
        <v>1</v>
      </c>
      <c r="R249" s="12" t="n">
        <f aca="false">IF(Q249=1,IF(K249&lt;=Cutoff!$B$10,1,0),0)</f>
        <v>0</v>
      </c>
      <c r="S249" s="12" t="n">
        <f aca="false">IF(N249=1,SUMIFS(Subscriptions!$D$2:$D$208,Subscriptions!$A$2:$A$208,C249,Subscriptions!$E$2:$E$208,1,Subscriptions!$B$2:$B$208,"&gt;="&amp;Cutoff!$B$24,Subscriptions!$B$2:$B$208,"&lt;"&amp;Cutoff!$B$25,Subscriptions!$B$2:$B$208,"&lt;="&amp;Cutoff!$B$10),0)</f>
        <v>0</v>
      </c>
    </row>
    <row r="250" customFormat="false" ht="15" hidden="false" customHeight="false" outlineLevel="0" collapsed="false">
      <c r="A250" s="4" t="s">
        <v>784</v>
      </c>
      <c r="B250" s="4" t="s">
        <v>288</v>
      </c>
      <c r="C250" s="4" t="s">
        <v>785</v>
      </c>
      <c r="D250" s="4" t="s">
        <v>52</v>
      </c>
      <c r="E250" s="4" t="n">
        <v>1781204575</v>
      </c>
      <c r="F250" s="4" t="n">
        <v>1781204070</v>
      </c>
      <c r="G250" s="4" t="n">
        <v>1781204078</v>
      </c>
      <c r="H250" s="4" t="n">
        <v>1781285383</v>
      </c>
      <c r="I250" s="4" t="n">
        <v>1781285405</v>
      </c>
      <c r="J250" s="4" t="n">
        <v>1000000000000000</v>
      </c>
      <c r="K250" s="4" t="n">
        <v>1781647587</v>
      </c>
      <c r="L250" s="12" t="n">
        <f aca="false">IF(AND(B250=Cutoff!$B$12,E250&lt;=Cutoff!$B$10),1,0)</f>
        <v>1</v>
      </c>
      <c r="M250" s="12" t="n">
        <f aca="false">IF(AND(L250=1,F250&lt;1000000000000000,G250&lt;=Cutoff!$B$10),1,0)</f>
        <v>1</v>
      </c>
      <c r="N250" s="12" t="n">
        <f aca="false">IF(AND(M250=1,F250+Cutoff!$B$16&lt;=Cutoff!$B$10),1,0)</f>
        <v>1</v>
      </c>
      <c r="O250" s="12" t="n">
        <f aca="false">IF(N250=1,IF(AND(H250&lt;1000000000000000,H250&gt;=MAX(F250,E250),H250&lt;F250+Cutoff!$B$16,I250&lt;=Cutoff!$B$10),1,0),0)</f>
        <v>1</v>
      </c>
      <c r="P250" s="12" t="n">
        <f aca="false">IF(AND(L250=1,J250&lt;=Cutoff!$B$10),1,0)</f>
        <v>0</v>
      </c>
      <c r="Q250" s="12" t="n">
        <f aca="false">IF(AND(N250=1,E250+Cutoff!$B$17&lt;=Cutoff!$B$10),1,0)</f>
        <v>1</v>
      </c>
      <c r="R250" s="12" t="n">
        <f aca="false">IF(Q250=1,IF(K250&lt;=Cutoff!$B$10,1,0),0)</f>
        <v>1</v>
      </c>
      <c r="S250" s="12" t="n">
        <f aca="false">IF(N250=1,SUMIFS(Subscriptions!$D$2:$D$208,Subscriptions!$A$2:$A$208,C250,Subscriptions!$E$2:$E$208,1,Subscriptions!$B$2:$B$208,"&gt;="&amp;Cutoff!$B$24,Subscriptions!$B$2:$B$208,"&lt;"&amp;Cutoff!$B$25,Subscriptions!$B$2:$B$208,"&lt;="&amp;Cutoff!$B$10),0)</f>
        <v>0</v>
      </c>
    </row>
    <row r="251" customFormat="false" ht="15" hidden="false" customHeight="false" outlineLevel="0" collapsed="false">
      <c r="A251" s="4" t="s">
        <v>786</v>
      </c>
      <c r="B251" s="4" t="s">
        <v>288</v>
      </c>
      <c r="C251" s="4" t="s">
        <v>787</v>
      </c>
      <c r="D251" s="4" t="s">
        <v>52</v>
      </c>
      <c r="E251" s="4" t="n">
        <v>1781206730</v>
      </c>
      <c r="F251" s="4" t="n">
        <v>1781206264</v>
      </c>
      <c r="G251" s="4" t="n">
        <v>1781206278</v>
      </c>
      <c r="H251" s="4" t="n">
        <v>1000000000000000</v>
      </c>
      <c r="I251" s="4" t="n">
        <v>1000000000000000</v>
      </c>
      <c r="J251" s="4" t="n">
        <v>1781207577</v>
      </c>
      <c r="K251" s="4" t="n">
        <v>1000000000000000</v>
      </c>
      <c r="L251" s="12" t="n">
        <f aca="false">IF(AND(B251=Cutoff!$B$12,E251&lt;=Cutoff!$B$10),1,0)</f>
        <v>1</v>
      </c>
      <c r="M251" s="12" t="n">
        <f aca="false">IF(AND(L251=1,F251&lt;1000000000000000,G251&lt;=Cutoff!$B$10),1,0)</f>
        <v>1</v>
      </c>
      <c r="N251" s="12" t="n">
        <f aca="false">IF(AND(M251=1,F251+Cutoff!$B$16&lt;=Cutoff!$B$10),1,0)</f>
        <v>1</v>
      </c>
      <c r="O251" s="12" t="n">
        <f aca="false">IF(N251=1,IF(AND(H251&lt;1000000000000000,H251&gt;=MAX(F251,E251),H251&lt;F251+Cutoff!$B$16,I251&lt;=Cutoff!$B$10),1,0),0)</f>
        <v>0</v>
      </c>
      <c r="P251" s="12" t="n">
        <f aca="false">IF(AND(L251=1,J251&lt;=Cutoff!$B$10),1,0)</f>
        <v>1</v>
      </c>
      <c r="Q251" s="12" t="n">
        <f aca="false">IF(AND(N251=1,E251+Cutoff!$B$17&lt;=Cutoff!$B$10),1,0)</f>
        <v>1</v>
      </c>
      <c r="R251" s="12" t="n">
        <f aca="false">IF(Q251=1,IF(K251&lt;=Cutoff!$B$10,1,0),0)</f>
        <v>0</v>
      </c>
      <c r="S251" s="12" t="n">
        <f aca="false">IF(N251=1,SUMIFS(Subscriptions!$D$2:$D$208,Subscriptions!$A$2:$A$208,C251,Subscriptions!$E$2:$E$208,1,Subscriptions!$B$2:$B$208,"&gt;="&amp;Cutoff!$B$24,Subscriptions!$B$2:$B$208,"&lt;"&amp;Cutoff!$B$25,Subscriptions!$B$2:$B$208,"&lt;="&amp;Cutoff!$B$10),0)</f>
        <v>0</v>
      </c>
    </row>
    <row r="252" customFormat="false" ht="15" hidden="false" customHeight="false" outlineLevel="0" collapsed="false">
      <c r="A252" s="4" t="s">
        <v>788</v>
      </c>
      <c r="B252" s="4" t="s">
        <v>288</v>
      </c>
      <c r="C252" s="4" t="s">
        <v>789</v>
      </c>
      <c r="D252" s="4" t="s">
        <v>51</v>
      </c>
      <c r="E252" s="4" t="n">
        <v>1781276351</v>
      </c>
      <c r="F252" s="4" t="n">
        <v>1781275793</v>
      </c>
      <c r="G252" s="4" t="n">
        <v>1781275794</v>
      </c>
      <c r="H252" s="4" t="n">
        <v>1781776322</v>
      </c>
      <c r="I252" s="4" t="n">
        <v>1781776363</v>
      </c>
      <c r="J252" s="4" t="n">
        <v>1000000000000000</v>
      </c>
      <c r="K252" s="4" t="n">
        <v>1000000000000000</v>
      </c>
      <c r="L252" s="12" t="n">
        <f aca="false">IF(AND(B252=Cutoff!$B$12,E252&lt;=Cutoff!$B$10),1,0)</f>
        <v>1</v>
      </c>
      <c r="M252" s="12" t="n">
        <f aca="false">IF(AND(L252=1,F252&lt;1000000000000000,G252&lt;=Cutoff!$B$10),1,0)</f>
        <v>1</v>
      </c>
      <c r="N252" s="12" t="n">
        <f aca="false">IF(AND(M252=1,F252+Cutoff!$B$16&lt;=Cutoff!$B$10),1,0)</f>
        <v>1</v>
      </c>
      <c r="O252" s="12" t="n">
        <f aca="false">IF(N252=1,IF(AND(H252&lt;1000000000000000,H252&gt;=MAX(F252,E252),H252&lt;F252+Cutoff!$B$16,I252&lt;=Cutoff!$B$10),1,0),0)</f>
        <v>1</v>
      </c>
      <c r="P252" s="12" t="n">
        <f aca="false">IF(AND(L252=1,J252&lt;=Cutoff!$B$10),1,0)</f>
        <v>0</v>
      </c>
      <c r="Q252" s="12" t="n">
        <f aca="false">IF(AND(N252=1,E252+Cutoff!$B$17&lt;=Cutoff!$B$10),1,0)</f>
        <v>1</v>
      </c>
      <c r="R252" s="12" t="n">
        <f aca="false">IF(Q252=1,IF(K252&lt;=Cutoff!$B$10,1,0),0)</f>
        <v>0</v>
      </c>
      <c r="S252" s="12" t="n">
        <f aca="false">IF(N252=1,SUMIFS(Subscriptions!$D$2:$D$208,Subscriptions!$A$2:$A$208,C252,Subscriptions!$E$2:$E$208,1,Subscriptions!$B$2:$B$208,"&gt;="&amp;Cutoff!$B$24,Subscriptions!$B$2:$B$208,"&lt;"&amp;Cutoff!$B$25,Subscriptions!$B$2:$B$208,"&lt;="&amp;Cutoff!$B$10),0)</f>
        <v>0</v>
      </c>
    </row>
    <row r="253" customFormat="false" ht="15" hidden="false" customHeight="false" outlineLevel="0" collapsed="false">
      <c r="A253" s="4" t="s">
        <v>790</v>
      </c>
      <c r="B253" s="4" t="s">
        <v>288</v>
      </c>
      <c r="C253" s="4" t="s">
        <v>791</v>
      </c>
      <c r="D253" s="4" t="s">
        <v>51</v>
      </c>
      <c r="E253" s="4" t="n">
        <v>1781286689</v>
      </c>
      <c r="F253" s="4" t="n">
        <v>1781286437</v>
      </c>
      <c r="G253" s="4" t="n">
        <v>1781286457</v>
      </c>
      <c r="H253" s="4" t="n">
        <v>1781434714</v>
      </c>
      <c r="I253" s="4" t="n">
        <v>1781434724</v>
      </c>
      <c r="J253" s="4" t="n">
        <v>1781286947</v>
      </c>
      <c r="K253" s="4" t="n">
        <v>1000000000000000</v>
      </c>
      <c r="L253" s="12" t="n">
        <f aca="false">IF(AND(B253=Cutoff!$B$12,E253&lt;=Cutoff!$B$10),1,0)</f>
        <v>1</v>
      </c>
      <c r="M253" s="12" t="n">
        <f aca="false">IF(AND(L253=1,F253&lt;1000000000000000,G253&lt;=Cutoff!$B$10),1,0)</f>
        <v>1</v>
      </c>
      <c r="N253" s="12" t="n">
        <f aca="false">IF(AND(M253=1,F253+Cutoff!$B$16&lt;=Cutoff!$B$10),1,0)</f>
        <v>1</v>
      </c>
      <c r="O253" s="12" t="n">
        <f aca="false">IF(N253=1,IF(AND(H253&lt;1000000000000000,H253&gt;=MAX(F253,E253),H253&lt;F253+Cutoff!$B$16,I253&lt;=Cutoff!$B$10),1,0),0)</f>
        <v>1</v>
      </c>
      <c r="P253" s="12" t="n">
        <f aca="false">IF(AND(L253=1,J253&lt;=Cutoff!$B$10),1,0)</f>
        <v>1</v>
      </c>
      <c r="Q253" s="12" t="n">
        <f aca="false">IF(AND(N253=1,E253+Cutoff!$B$17&lt;=Cutoff!$B$10),1,0)</f>
        <v>1</v>
      </c>
      <c r="R253" s="12" t="n">
        <f aca="false">IF(Q253=1,IF(K253&lt;=Cutoff!$B$10,1,0),0)</f>
        <v>0</v>
      </c>
      <c r="S253" s="12" t="n">
        <f aca="false">IF(N253=1,SUMIFS(Subscriptions!$D$2:$D$208,Subscriptions!$A$2:$A$208,C253,Subscriptions!$E$2:$E$208,1,Subscriptions!$B$2:$B$208,"&gt;="&amp;Cutoff!$B$24,Subscriptions!$B$2:$B$208,"&lt;"&amp;Cutoff!$B$25,Subscriptions!$B$2:$B$208,"&lt;="&amp;Cutoff!$B$10),0)</f>
        <v>0</v>
      </c>
    </row>
    <row r="254" customFormat="false" ht="15" hidden="false" customHeight="false" outlineLevel="0" collapsed="false">
      <c r="A254" s="4" t="s">
        <v>792</v>
      </c>
      <c r="B254" s="4" t="s">
        <v>288</v>
      </c>
      <c r="C254" s="4" t="s">
        <v>793</v>
      </c>
      <c r="D254" s="4" t="s">
        <v>51</v>
      </c>
      <c r="E254" s="4" t="n">
        <v>1781287451</v>
      </c>
      <c r="F254" s="4" t="n">
        <v>1781287354</v>
      </c>
      <c r="G254" s="4" t="n">
        <v>1781287359</v>
      </c>
      <c r="H254" s="4" t="n">
        <v>1000000000000000</v>
      </c>
      <c r="I254" s="4" t="n">
        <v>1000000000000000</v>
      </c>
      <c r="J254" s="4" t="n">
        <v>1781288086</v>
      </c>
      <c r="K254" s="4" t="n">
        <v>1000000000000000</v>
      </c>
      <c r="L254" s="12" t="n">
        <f aca="false">IF(AND(B254=Cutoff!$B$12,E254&lt;=Cutoff!$B$10),1,0)</f>
        <v>1</v>
      </c>
      <c r="M254" s="12" t="n">
        <f aca="false">IF(AND(L254=1,F254&lt;1000000000000000,G254&lt;=Cutoff!$B$10),1,0)</f>
        <v>1</v>
      </c>
      <c r="N254" s="12" t="n">
        <f aca="false">IF(AND(M254=1,F254+Cutoff!$B$16&lt;=Cutoff!$B$10),1,0)</f>
        <v>1</v>
      </c>
      <c r="O254" s="12" t="n">
        <f aca="false">IF(N254=1,IF(AND(H254&lt;1000000000000000,H254&gt;=MAX(F254,E254),H254&lt;F254+Cutoff!$B$16,I254&lt;=Cutoff!$B$10),1,0),0)</f>
        <v>0</v>
      </c>
      <c r="P254" s="12" t="n">
        <f aca="false">IF(AND(L254=1,J254&lt;=Cutoff!$B$10),1,0)</f>
        <v>1</v>
      </c>
      <c r="Q254" s="12" t="n">
        <f aca="false">IF(AND(N254=1,E254+Cutoff!$B$17&lt;=Cutoff!$B$10),1,0)</f>
        <v>1</v>
      </c>
      <c r="R254" s="12" t="n">
        <f aca="false">IF(Q254=1,IF(K254&lt;=Cutoff!$B$10,1,0),0)</f>
        <v>0</v>
      </c>
      <c r="S254" s="12" t="n">
        <f aca="false">IF(N254=1,SUMIFS(Subscriptions!$D$2:$D$208,Subscriptions!$A$2:$A$208,C254,Subscriptions!$E$2:$E$208,1,Subscriptions!$B$2:$B$208,"&gt;="&amp;Cutoff!$B$24,Subscriptions!$B$2:$B$208,"&lt;"&amp;Cutoff!$B$25,Subscriptions!$B$2:$B$208,"&lt;="&amp;Cutoff!$B$10),0)</f>
        <v>0</v>
      </c>
    </row>
    <row r="255" customFormat="false" ht="15" hidden="false" customHeight="false" outlineLevel="0" collapsed="false">
      <c r="A255" s="4" t="s">
        <v>794</v>
      </c>
      <c r="B255" s="4" t="s">
        <v>288</v>
      </c>
      <c r="C255" s="4" t="s">
        <v>795</v>
      </c>
      <c r="D255" s="4" t="s">
        <v>52</v>
      </c>
      <c r="E255" s="4" t="n">
        <v>1781531742</v>
      </c>
      <c r="F255" s="4" t="n">
        <v>1781531196</v>
      </c>
      <c r="G255" s="4" t="n">
        <v>1781531219</v>
      </c>
      <c r="H255" s="4" t="n">
        <v>1781596101</v>
      </c>
      <c r="I255" s="4" t="n">
        <v>1781596105</v>
      </c>
      <c r="J255" s="4" t="n">
        <v>1781531944</v>
      </c>
      <c r="K255" s="4" t="n">
        <v>1000000000000000</v>
      </c>
      <c r="L255" s="12" t="n">
        <f aca="false">IF(AND(B255=Cutoff!$B$12,E255&lt;=Cutoff!$B$10),1,0)</f>
        <v>1</v>
      </c>
      <c r="M255" s="12" t="n">
        <f aca="false">IF(AND(L255=1,F255&lt;1000000000000000,G255&lt;=Cutoff!$B$10),1,0)</f>
        <v>1</v>
      </c>
      <c r="N255" s="12" t="n">
        <f aca="false">IF(AND(M255=1,F255+Cutoff!$B$16&lt;=Cutoff!$B$10),1,0)</f>
        <v>1</v>
      </c>
      <c r="O255" s="12" t="n">
        <f aca="false">IF(N255=1,IF(AND(H255&lt;1000000000000000,H255&gt;=MAX(F255,E255),H255&lt;F255+Cutoff!$B$16,I255&lt;=Cutoff!$B$10),1,0),0)</f>
        <v>1</v>
      </c>
      <c r="P255" s="12" t="n">
        <f aca="false">IF(AND(L255=1,J255&lt;=Cutoff!$B$10),1,0)</f>
        <v>1</v>
      </c>
      <c r="Q255" s="12" t="n">
        <f aca="false">IF(AND(N255=1,E255+Cutoff!$B$17&lt;=Cutoff!$B$10),1,0)</f>
        <v>1</v>
      </c>
      <c r="R255" s="12" t="n">
        <f aca="false">IF(Q255=1,IF(K255&lt;=Cutoff!$B$10,1,0),0)</f>
        <v>0</v>
      </c>
      <c r="S255" s="12" t="n">
        <f aca="false">IF(N255=1,SUMIFS(Subscriptions!$D$2:$D$208,Subscriptions!$A$2:$A$208,C255,Subscriptions!$E$2:$E$208,1,Subscriptions!$B$2:$B$208,"&gt;="&amp;Cutoff!$B$24,Subscriptions!$B$2:$B$208,"&lt;"&amp;Cutoff!$B$25,Subscriptions!$B$2:$B$208,"&lt;="&amp;Cutoff!$B$10),0)</f>
        <v>0</v>
      </c>
    </row>
    <row r="256" customFormat="false" ht="15" hidden="false" customHeight="false" outlineLevel="0" collapsed="false">
      <c r="A256" s="4" t="s">
        <v>796</v>
      </c>
      <c r="B256" s="4" t="s">
        <v>288</v>
      </c>
      <c r="C256" s="4" t="s">
        <v>797</v>
      </c>
      <c r="D256" s="4" t="s">
        <v>51</v>
      </c>
      <c r="E256" s="4" t="n">
        <v>1781535947</v>
      </c>
      <c r="F256" s="4" t="n">
        <v>1781535806</v>
      </c>
      <c r="G256" s="4" t="n">
        <v>1781542955</v>
      </c>
      <c r="H256" s="4" t="n">
        <v>1000000000000000</v>
      </c>
      <c r="I256" s="4" t="n">
        <v>1000000000000000</v>
      </c>
      <c r="J256" s="4" t="n">
        <v>1781537129</v>
      </c>
      <c r="K256" s="4" t="n">
        <v>1000000000000000</v>
      </c>
      <c r="L256" s="12" t="n">
        <f aca="false">IF(AND(B256=Cutoff!$B$12,E256&lt;=Cutoff!$B$10),1,0)</f>
        <v>1</v>
      </c>
      <c r="M256" s="12" t="n">
        <f aca="false">IF(AND(L256=1,F256&lt;1000000000000000,G256&lt;=Cutoff!$B$10),1,0)</f>
        <v>1</v>
      </c>
      <c r="N256" s="12" t="n">
        <f aca="false">IF(AND(M256=1,F256+Cutoff!$B$16&lt;=Cutoff!$B$10),1,0)</f>
        <v>1</v>
      </c>
      <c r="O256" s="12" t="n">
        <f aca="false">IF(N256=1,IF(AND(H256&lt;1000000000000000,H256&gt;=MAX(F256,E256),H256&lt;F256+Cutoff!$B$16,I256&lt;=Cutoff!$B$10),1,0),0)</f>
        <v>0</v>
      </c>
      <c r="P256" s="12" t="n">
        <f aca="false">IF(AND(L256=1,J256&lt;=Cutoff!$B$10),1,0)</f>
        <v>1</v>
      </c>
      <c r="Q256" s="12" t="n">
        <f aca="false">IF(AND(N256=1,E256+Cutoff!$B$17&lt;=Cutoff!$B$10),1,0)</f>
        <v>1</v>
      </c>
      <c r="R256" s="12" t="n">
        <f aca="false">IF(Q256=1,IF(K256&lt;=Cutoff!$B$10,1,0),0)</f>
        <v>0</v>
      </c>
      <c r="S256" s="12" t="n">
        <f aca="false">IF(N256=1,SUMIFS(Subscriptions!$D$2:$D$208,Subscriptions!$A$2:$A$208,C256,Subscriptions!$E$2:$E$208,1,Subscriptions!$B$2:$B$208,"&gt;="&amp;Cutoff!$B$24,Subscriptions!$B$2:$B$208,"&lt;"&amp;Cutoff!$B$25,Subscriptions!$B$2:$B$208,"&lt;="&amp;Cutoff!$B$10),0)</f>
        <v>0</v>
      </c>
    </row>
    <row r="257" customFormat="false" ht="15" hidden="false" customHeight="false" outlineLevel="0" collapsed="false">
      <c r="A257" s="4" t="s">
        <v>798</v>
      </c>
      <c r="B257" s="4" t="s">
        <v>288</v>
      </c>
      <c r="C257" s="4" t="s">
        <v>799</v>
      </c>
      <c r="D257" s="4" t="s">
        <v>52</v>
      </c>
      <c r="E257" s="4" t="n">
        <v>1781547429</v>
      </c>
      <c r="F257" s="4" t="n">
        <v>1781547252</v>
      </c>
      <c r="G257" s="4" t="n">
        <v>1781547259</v>
      </c>
      <c r="H257" s="4" t="n">
        <v>1000000000000000</v>
      </c>
      <c r="I257" s="4" t="n">
        <v>1000000000000000</v>
      </c>
      <c r="J257" s="4" t="n">
        <v>1781548529</v>
      </c>
      <c r="K257" s="4" t="n">
        <v>1000000000000000</v>
      </c>
      <c r="L257" s="12" t="n">
        <f aca="false">IF(AND(B257=Cutoff!$B$12,E257&lt;=Cutoff!$B$10),1,0)</f>
        <v>1</v>
      </c>
      <c r="M257" s="12" t="n">
        <f aca="false">IF(AND(L257=1,F257&lt;1000000000000000,G257&lt;=Cutoff!$B$10),1,0)</f>
        <v>1</v>
      </c>
      <c r="N257" s="12" t="n">
        <f aca="false">IF(AND(M257=1,F257+Cutoff!$B$16&lt;=Cutoff!$B$10),1,0)</f>
        <v>1</v>
      </c>
      <c r="O257" s="12" t="n">
        <f aca="false">IF(N257=1,IF(AND(H257&lt;1000000000000000,H257&gt;=MAX(F257,E257),H257&lt;F257+Cutoff!$B$16,I257&lt;=Cutoff!$B$10),1,0),0)</f>
        <v>0</v>
      </c>
      <c r="P257" s="12" t="n">
        <f aca="false">IF(AND(L257=1,J257&lt;=Cutoff!$B$10),1,0)</f>
        <v>1</v>
      </c>
      <c r="Q257" s="12" t="n">
        <f aca="false">IF(AND(N257=1,E257+Cutoff!$B$17&lt;=Cutoff!$B$10),1,0)</f>
        <v>1</v>
      </c>
      <c r="R257" s="12" t="n">
        <f aca="false">IF(Q257=1,IF(K257&lt;=Cutoff!$B$10,1,0),0)</f>
        <v>0</v>
      </c>
      <c r="S257" s="12" t="n">
        <f aca="false">IF(N257=1,SUMIFS(Subscriptions!$D$2:$D$208,Subscriptions!$A$2:$A$208,C257,Subscriptions!$E$2:$E$208,1,Subscriptions!$B$2:$B$208,"&gt;="&amp;Cutoff!$B$24,Subscriptions!$B$2:$B$208,"&lt;"&amp;Cutoff!$B$25,Subscriptions!$B$2:$B$208,"&lt;="&amp;Cutoff!$B$10),0)</f>
        <v>144</v>
      </c>
    </row>
    <row r="258" customFormat="false" ht="15" hidden="false" customHeight="false" outlineLevel="0" collapsed="false">
      <c r="A258" s="4" t="s">
        <v>800</v>
      </c>
      <c r="B258" s="4" t="s">
        <v>288</v>
      </c>
      <c r="C258" s="4" t="s">
        <v>801</v>
      </c>
      <c r="D258" s="4" t="s">
        <v>52</v>
      </c>
      <c r="E258" s="4" t="n">
        <v>1781550844</v>
      </c>
      <c r="F258" s="4" t="n">
        <v>1781550699</v>
      </c>
      <c r="G258" s="4" t="n">
        <v>1781550721</v>
      </c>
      <c r="H258" s="4" t="n">
        <v>1781932647</v>
      </c>
      <c r="I258" s="4" t="n">
        <v>1781932664</v>
      </c>
      <c r="J258" s="4" t="n">
        <v>1781551942</v>
      </c>
      <c r="K258" s="4" t="n">
        <v>1000000000000000</v>
      </c>
      <c r="L258" s="12" t="n">
        <f aca="false">IF(AND(B258=Cutoff!$B$12,E258&lt;=Cutoff!$B$10),1,0)</f>
        <v>1</v>
      </c>
      <c r="M258" s="12" t="n">
        <f aca="false">IF(AND(L258=1,F258&lt;1000000000000000,G258&lt;=Cutoff!$B$10),1,0)</f>
        <v>1</v>
      </c>
      <c r="N258" s="12" t="n">
        <f aca="false">IF(AND(M258=1,F258+Cutoff!$B$16&lt;=Cutoff!$B$10),1,0)</f>
        <v>1</v>
      </c>
      <c r="O258" s="12" t="n">
        <f aca="false">IF(N258=1,IF(AND(H258&lt;1000000000000000,H258&gt;=MAX(F258,E258),H258&lt;F258+Cutoff!$B$16,I258&lt;=Cutoff!$B$10),1,0),0)</f>
        <v>1</v>
      </c>
      <c r="P258" s="12" t="n">
        <f aca="false">IF(AND(L258=1,J258&lt;=Cutoff!$B$10),1,0)</f>
        <v>1</v>
      </c>
      <c r="Q258" s="12" t="n">
        <f aca="false">IF(AND(N258=1,E258+Cutoff!$B$17&lt;=Cutoff!$B$10),1,0)</f>
        <v>1</v>
      </c>
      <c r="R258" s="12" t="n">
        <f aca="false">IF(Q258=1,IF(K258&lt;=Cutoff!$B$10,1,0),0)</f>
        <v>0</v>
      </c>
      <c r="S258" s="12" t="n">
        <f aca="false">IF(N258=1,SUMIFS(Subscriptions!$D$2:$D$208,Subscriptions!$A$2:$A$208,C258,Subscriptions!$E$2:$E$208,1,Subscriptions!$B$2:$B$208,"&gt;="&amp;Cutoff!$B$24,Subscriptions!$B$2:$B$208,"&lt;"&amp;Cutoff!$B$25,Subscriptions!$B$2:$B$208,"&lt;="&amp;Cutoff!$B$10),0)</f>
        <v>96</v>
      </c>
    </row>
    <row r="259" customFormat="false" ht="15" hidden="false" customHeight="false" outlineLevel="0" collapsed="false">
      <c r="A259" s="4" t="s">
        <v>802</v>
      </c>
      <c r="B259" s="4" t="s">
        <v>288</v>
      </c>
      <c r="C259" s="4" t="s">
        <v>803</v>
      </c>
      <c r="D259" s="4" t="s">
        <v>51</v>
      </c>
      <c r="E259" s="4" t="n">
        <v>1781553399</v>
      </c>
      <c r="F259" s="4" t="n">
        <v>1781553207</v>
      </c>
      <c r="G259" s="4" t="n">
        <v>1781553209</v>
      </c>
      <c r="H259" s="4" t="n">
        <v>1000000000000000</v>
      </c>
      <c r="I259" s="4" t="n">
        <v>1000000000000000</v>
      </c>
      <c r="J259" s="4" t="n">
        <v>1781553482</v>
      </c>
      <c r="K259" s="4" t="n">
        <v>1000000000000000</v>
      </c>
      <c r="L259" s="12" t="n">
        <f aca="false">IF(AND(B259=Cutoff!$B$12,E259&lt;=Cutoff!$B$10),1,0)</f>
        <v>1</v>
      </c>
      <c r="M259" s="12" t="n">
        <f aca="false">IF(AND(L259=1,F259&lt;1000000000000000,G259&lt;=Cutoff!$B$10),1,0)</f>
        <v>1</v>
      </c>
      <c r="N259" s="12" t="n">
        <f aca="false">IF(AND(M259=1,F259+Cutoff!$B$16&lt;=Cutoff!$B$10),1,0)</f>
        <v>1</v>
      </c>
      <c r="O259" s="12" t="n">
        <f aca="false">IF(N259=1,IF(AND(H259&lt;1000000000000000,H259&gt;=MAX(F259,E259),H259&lt;F259+Cutoff!$B$16,I259&lt;=Cutoff!$B$10),1,0),0)</f>
        <v>0</v>
      </c>
      <c r="P259" s="12" t="n">
        <f aca="false">IF(AND(L259=1,J259&lt;=Cutoff!$B$10),1,0)</f>
        <v>1</v>
      </c>
      <c r="Q259" s="12" t="n">
        <f aca="false">IF(AND(N259=1,E259+Cutoff!$B$17&lt;=Cutoff!$B$10),1,0)</f>
        <v>1</v>
      </c>
      <c r="R259" s="12" t="n">
        <f aca="false">IF(Q259=1,IF(K259&lt;=Cutoff!$B$10,1,0),0)</f>
        <v>0</v>
      </c>
      <c r="S259" s="12" t="n">
        <f aca="false">IF(N259=1,SUMIFS(Subscriptions!$D$2:$D$208,Subscriptions!$A$2:$A$208,C259,Subscriptions!$E$2:$E$208,1,Subscriptions!$B$2:$B$208,"&gt;="&amp;Cutoff!$B$24,Subscriptions!$B$2:$B$208,"&lt;"&amp;Cutoff!$B$25,Subscriptions!$B$2:$B$208,"&lt;="&amp;Cutoff!$B$10),0)</f>
        <v>84</v>
      </c>
    </row>
    <row r="260" customFormat="false" ht="15" hidden="false" customHeight="false" outlineLevel="0" collapsed="false">
      <c r="A260" s="4" t="s">
        <v>804</v>
      </c>
      <c r="B260" s="4" t="s">
        <v>288</v>
      </c>
      <c r="C260" s="4" t="s">
        <v>805</v>
      </c>
      <c r="D260" s="4" t="s">
        <v>51</v>
      </c>
      <c r="E260" s="4" t="n">
        <v>1781561108</v>
      </c>
      <c r="F260" s="4" t="n">
        <v>1781561003</v>
      </c>
      <c r="G260" s="4" t="n">
        <v>1781561009</v>
      </c>
      <c r="H260" s="4" t="n">
        <v>1781797237</v>
      </c>
      <c r="I260" s="4" t="n">
        <v>1781797245</v>
      </c>
      <c r="J260" s="4" t="n">
        <v>1781561672</v>
      </c>
      <c r="K260" s="4" t="n">
        <v>1781561249</v>
      </c>
      <c r="L260" s="12" t="n">
        <f aca="false">IF(AND(B260=Cutoff!$B$12,E260&lt;=Cutoff!$B$10),1,0)</f>
        <v>1</v>
      </c>
      <c r="M260" s="12" t="n">
        <f aca="false">IF(AND(L260=1,F260&lt;1000000000000000,G260&lt;=Cutoff!$B$10),1,0)</f>
        <v>1</v>
      </c>
      <c r="N260" s="12" t="n">
        <f aca="false">IF(AND(M260=1,F260+Cutoff!$B$16&lt;=Cutoff!$B$10),1,0)</f>
        <v>1</v>
      </c>
      <c r="O260" s="12" t="n">
        <f aca="false">IF(N260=1,IF(AND(H260&lt;1000000000000000,H260&gt;=MAX(F260,E260),H260&lt;F260+Cutoff!$B$16,I260&lt;=Cutoff!$B$10),1,0),0)</f>
        <v>1</v>
      </c>
      <c r="P260" s="12" t="n">
        <f aca="false">IF(AND(L260=1,J260&lt;=Cutoff!$B$10),1,0)</f>
        <v>1</v>
      </c>
      <c r="Q260" s="12" t="n">
        <f aca="false">IF(AND(N260=1,E260+Cutoff!$B$17&lt;=Cutoff!$B$10),1,0)</f>
        <v>1</v>
      </c>
      <c r="R260" s="12" t="n">
        <f aca="false">IF(Q260=1,IF(K260&lt;=Cutoff!$B$10,1,0),0)</f>
        <v>1</v>
      </c>
      <c r="S260" s="12" t="n">
        <f aca="false">IF(N260=1,SUMIFS(Subscriptions!$D$2:$D$208,Subscriptions!$A$2:$A$208,C260,Subscriptions!$E$2:$E$208,1,Subscriptions!$B$2:$B$208,"&gt;="&amp;Cutoff!$B$24,Subscriptions!$B$2:$B$208,"&lt;"&amp;Cutoff!$B$25,Subscriptions!$B$2:$B$208,"&lt;="&amp;Cutoff!$B$10),0)</f>
        <v>0</v>
      </c>
    </row>
    <row r="261" customFormat="false" ht="15" hidden="false" customHeight="false" outlineLevel="0" collapsed="false">
      <c r="A261" s="4" t="s">
        <v>806</v>
      </c>
      <c r="B261" s="4" t="s">
        <v>288</v>
      </c>
      <c r="C261" s="4" t="s">
        <v>807</v>
      </c>
      <c r="D261" s="4" t="s">
        <v>52</v>
      </c>
      <c r="E261" s="4" t="n">
        <v>1781561707</v>
      </c>
      <c r="F261" s="4" t="n">
        <v>1781561461</v>
      </c>
      <c r="G261" s="4" t="n">
        <v>1781561467</v>
      </c>
      <c r="H261" s="4" t="n">
        <v>1000000000000000</v>
      </c>
      <c r="I261" s="4" t="n">
        <v>1000000000000000</v>
      </c>
      <c r="J261" s="4" t="n">
        <v>1781562160</v>
      </c>
      <c r="K261" s="4" t="n">
        <v>1000000000000000</v>
      </c>
      <c r="L261" s="12" t="n">
        <f aca="false">IF(AND(B261=Cutoff!$B$12,E261&lt;=Cutoff!$B$10),1,0)</f>
        <v>1</v>
      </c>
      <c r="M261" s="12" t="n">
        <f aca="false">IF(AND(L261=1,F261&lt;1000000000000000,G261&lt;=Cutoff!$B$10),1,0)</f>
        <v>1</v>
      </c>
      <c r="N261" s="12" t="n">
        <f aca="false">IF(AND(M261=1,F261+Cutoff!$B$16&lt;=Cutoff!$B$10),1,0)</f>
        <v>1</v>
      </c>
      <c r="O261" s="12" t="n">
        <f aca="false">IF(N261=1,IF(AND(H261&lt;1000000000000000,H261&gt;=MAX(F261,E261),H261&lt;F261+Cutoff!$B$16,I261&lt;=Cutoff!$B$10),1,0),0)</f>
        <v>0</v>
      </c>
      <c r="P261" s="12" t="n">
        <f aca="false">IF(AND(L261=1,J261&lt;=Cutoff!$B$10),1,0)</f>
        <v>1</v>
      </c>
      <c r="Q261" s="12" t="n">
        <f aca="false">IF(AND(N261=1,E261+Cutoff!$B$17&lt;=Cutoff!$B$10),1,0)</f>
        <v>1</v>
      </c>
      <c r="R261" s="12" t="n">
        <f aca="false">IF(Q261=1,IF(K261&lt;=Cutoff!$B$10,1,0),0)</f>
        <v>0</v>
      </c>
      <c r="S261" s="12" t="n">
        <f aca="false">IF(N261=1,SUMIFS(Subscriptions!$D$2:$D$208,Subscriptions!$A$2:$A$208,C261,Subscriptions!$E$2:$E$208,1,Subscriptions!$B$2:$B$208,"&gt;="&amp;Cutoff!$B$24,Subscriptions!$B$2:$B$208,"&lt;"&amp;Cutoff!$B$25,Subscriptions!$B$2:$B$208,"&lt;="&amp;Cutoff!$B$10),0)</f>
        <v>144</v>
      </c>
    </row>
    <row r="262" customFormat="false" ht="15" hidden="false" customHeight="false" outlineLevel="0" collapsed="false">
      <c r="A262" s="4" t="s">
        <v>808</v>
      </c>
      <c r="B262" s="4" t="s">
        <v>288</v>
      </c>
      <c r="C262" s="4" t="s">
        <v>809</v>
      </c>
      <c r="D262" s="4" t="s">
        <v>51</v>
      </c>
      <c r="E262" s="4" t="n">
        <v>1781608801</v>
      </c>
      <c r="F262" s="4" t="n">
        <v>1781608586</v>
      </c>
      <c r="G262" s="4" t="n">
        <v>1781608797</v>
      </c>
      <c r="H262" s="4" t="n">
        <v>1000000000000000</v>
      </c>
      <c r="I262" s="4" t="n">
        <v>1000000000000000</v>
      </c>
      <c r="J262" s="4" t="n">
        <v>1781609019</v>
      </c>
      <c r="K262" s="4" t="n">
        <v>1000000000000000</v>
      </c>
      <c r="L262" s="12" t="n">
        <f aca="false">IF(AND(B262=Cutoff!$B$12,E262&lt;=Cutoff!$B$10),1,0)</f>
        <v>1</v>
      </c>
      <c r="M262" s="12" t="n">
        <f aca="false">IF(AND(L262=1,F262&lt;1000000000000000,G262&lt;=Cutoff!$B$10),1,0)</f>
        <v>1</v>
      </c>
      <c r="N262" s="12" t="n">
        <f aca="false">IF(AND(M262=1,F262+Cutoff!$B$16&lt;=Cutoff!$B$10),1,0)</f>
        <v>1</v>
      </c>
      <c r="O262" s="12" t="n">
        <f aca="false">IF(N262=1,IF(AND(H262&lt;1000000000000000,H262&gt;=MAX(F262,E262),H262&lt;F262+Cutoff!$B$16,I262&lt;=Cutoff!$B$10),1,0),0)</f>
        <v>0</v>
      </c>
      <c r="P262" s="12" t="n">
        <f aca="false">IF(AND(L262=1,J262&lt;=Cutoff!$B$10),1,0)</f>
        <v>1</v>
      </c>
      <c r="Q262" s="12" t="n">
        <f aca="false">IF(AND(N262=1,E262+Cutoff!$B$17&lt;=Cutoff!$B$10),1,0)</f>
        <v>1</v>
      </c>
      <c r="R262" s="12" t="n">
        <f aca="false">IF(Q262=1,IF(K262&lt;=Cutoff!$B$10,1,0),0)</f>
        <v>0</v>
      </c>
      <c r="S262" s="12" t="n">
        <f aca="false">IF(N262=1,SUMIFS(Subscriptions!$D$2:$D$208,Subscriptions!$A$2:$A$208,C262,Subscriptions!$E$2:$E$208,1,Subscriptions!$B$2:$B$208,"&gt;="&amp;Cutoff!$B$24,Subscriptions!$B$2:$B$208,"&lt;"&amp;Cutoff!$B$25,Subscriptions!$B$2:$B$208,"&lt;="&amp;Cutoff!$B$10),0)</f>
        <v>0</v>
      </c>
    </row>
    <row r="263" customFormat="false" ht="15" hidden="false" customHeight="false" outlineLevel="0" collapsed="false">
      <c r="A263" s="4" t="s">
        <v>810</v>
      </c>
      <c r="B263" s="4" t="s">
        <v>288</v>
      </c>
      <c r="C263" s="4" t="s">
        <v>811</v>
      </c>
      <c r="D263" s="4" t="s">
        <v>52</v>
      </c>
      <c r="E263" s="4" t="n">
        <v>1781626855</v>
      </c>
      <c r="F263" s="4" t="n">
        <v>1781626358</v>
      </c>
      <c r="G263" s="4" t="n">
        <v>1781626364</v>
      </c>
      <c r="H263" s="4" t="n">
        <v>1781628949</v>
      </c>
      <c r="I263" s="4" t="n">
        <v>1781628967</v>
      </c>
      <c r="J263" s="4" t="n">
        <v>1781627987</v>
      </c>
      <c r="K263" s="4" t="n">
        <v>1000000000000000</v>
      </c>
      <c r="L263" s="12" t="n">
        <f aca="false">IF(AND(B263=Cutoff!$B$12,E263&lt;=Cutoff!$B$10),1,0)</f>
        <v>1</v>
      </c>
      <c r="M263" s="12" t="n">
        <f aca="false">IF(AND(L263=1,F263&lt;1000000000000000,G263&lt;=Cutoff!$B$10),1,0)</f>
        <v>1</v>
      </c>
      <c r="N263" s="12" t="n">
        <f aca="false">IF(AND(M263=1,F263+Cutoff!$B$16&lt;=Cutoff!$B$10),1,0)</f>
        <v>1</v>
      </c>
      <c r="O263" s="12" t="n">
        <f aca="false">IF(N263=1,IF(AND(H263&lt;1000000000000000,H263&gt;=MAX(F263,E263),H263&lt;F263+Cutoff!$B$16,I263&lt;=Cutoff!$B$10),1,0),0)</f>
        <v>1</v>
      </c>
      <c r="P263" s="12" t="n">
        <f aca="false">IF(AND(L263=1,J263&lt;=Cutoff!$B$10),1,0)</f>
        <v>1</v>
      </c>
      <c r="Q263" s="12" t="n">
        <f aca="false">IF(AND(N263=1,E263+Cutoff!$B$17&lt;=Cutoff!$B$10),1,0)</f>
        <v>1</v>
      </c>
      <c r="R263" s="12" t="n">
        <f aca="false">IF(Q263=1,IF(K263&lt;=Cutoff!$B$10,1,0),0)</f>
        <v>0</v>
      </c>
      <c r="S263" s="12" t="n">
        <f aca="false">IF(N263=1,SUMIFS(Subscriptions!$D$2:$D$208,Subscriptions!$A$2:$A$208,C263,Subscriptions!$E$2:$E$208,1,Subscriptions!$B$2:$B$208,"&gt;="&amp;Cutoff!$B$24,Subscriptions!$B$2:$B$208,"&lt;"&amp;Cutoff!$B$25,Subscriptions!$B$2:$B$208,"&lt;="&amp;Cutoff!$B$10),0)</f>
        <v>324</v>
      </c>
    </row>
    <row r="264" customFormat="false" ht="15" hidden="false" customHeight="false" outlineLevel="0" collapsed="false">
      <c r="A264" s="4" t="s">
        <v>812</v>
      </c>
      <c r="B264" s="4" t="s">
        <v>288</v>
      </c>
      <c r="C264" s="4" t="s">
        <v>813</v>
      </c>
      <c r="D264" s="4" t="s">
        <v>52</v>
      </c>
      <c r="E264" s="4" t="n">
        <v>1781629769</v>
      </c>
      <c r="F264" s="4" t="n">
        <v>1781629470</v>
      </c>
      <c r="G264" s="4" t="n">
        <v>1781629475</v>
      </c>
      <c r="H264" s="4" t="n">
        <v>1000000000000000</v>
      </c>
      <c r="I264" s="4" t="n">
        <v>1000000000000000</v>
      </c>
      <c r="J264" s="4" t="n">
        <v>1781630557</v>
      </c>
      <c r="K264" s="4" t="n">
        <v>1000000000000000</v>
      </c>
      <c r="L264" s="12" t="n">
        <f aca="false">IF(AND(B264=Cutoff!$B$12,E264&lt;=Cutoff!$B$10),1,0)</f>
        <v>1</v>
      </c>
      <c r="M264" s="12" t="n">
        <f aca="false">IF(AND(L264=1,F264&lt;1000000000000000,G264&lt;=Cutoff!$B$10),1,0)</f>
        <v>1</v>
      </c>
      <c r="N264" s="12" t="n">
        <f aca="false">IF(AND(M264=1,F264+Cutoff!$B$16&lt;=Cutoff!$B$10),1,0)</f>
        <v>1</v>
      </c>
      <c r="O264" s="12" t="n">
        <f aca="false">IF(N264=1,IF(AND(H264&lt;1000000000000000,H264&gt;=MAX(F264,E264),H264&lt;F264+Cutoff!$B$16,I264&lt;=Cutoff!$B$10),1,0),0)</f>
        <v>0</v>
      </c>
      <c r="P264" s="12" t="n">
        <f aca="false">IF(AND(L264=1,J264&lt;=Cutoff!$B$10),1,0)</f>
        <v>1</v>
      </c>
      <c r="Q264" s="12" t="n">
        <f aca="false">IF(AND(N264=1,E264+Cutoff!$B$17&lt;=Cutoff!$B$10),1,0)</f>
        <v>1</v>
      </c>
      <c r="R264" s="12" t="n">
        <f aca="false">IF(Q264=1,IF(K264&lt;=Cutoff!$B$10,1,0),0)</f>
        <v>0</v>
      </c>
      <c r="S264" s="12" t="n">
        <f aca="false">IF(N264=1,SUMIFS(Subscriptions!$D$2:$D$208,Subscriptions!$A$2:$A$208,C264,Subscriptions!$E$2:$E$208,1,Subscriptions!$B$2:$B$208,"&gt;="&amp;Cutoff!$B$24,Subscriptions!$B$2:$B$208,"&lt;"&amp;Cutoff!$B$25,Subscriptions!$B$2:$B$208,"&lt;="&amp;Cutoff!$B$10),0)</f>
        <v>0</v>
      </c>
    </row>
    <row r="265" customFormat="false" ht="15" hidden="false" customHeight="false" outlineLevel="0" collapsed="false">
      <c r="A265" s="4" t="s">
        <v>814</v>
      </c>
      <c r="B265" s="4" t="s">
        <v>288</v>
      </c>
      <c r="C265" s="4" t="s">
        <v>815</v>
      </c>
      <c r="D265" s="4" t="s">
        <v>51</v>
      </c>
      <c r="E265" s="4" t="n">
        <v>1781643571</v>
      </c>
      <c r="F265" s="4" t="n">
        <v>1781643440</v>
      </c>
      <c r="G265" s="4" t="n">
        <v>1781643453</v>
      </c>
      <c r="H265" s="4" t="n">
        <v>1000000000000000</v>
      </c>
      <c r="I265" s="4" t="n">
        <v>1000000000000000</v>
      </c>
      <c r="J265" s="4" t="n">
        <v>1781644309</v>
      </c>
      <c r="K265" s="4" t="n">
        <v>1000000000000000</v>
      </c>
      <c r="L265" s="12" t="n">
        <f aca="false">IF(AND(B265=Cutoff!$B$12,E265&lt;=Cutoff!$B$10),1,0)</f>
        <v>1</v>
      </c>
      <c r="M265" s="12" t="n">
        <f aca="false">IF(AND(L265=1,F265&lt;1000000000000000,G265&lt;=Cutoff!$B$10),1,0)</f>
        <v>1</v>
      </c>
      <c r="N265" s="12" t="n">
        <f aca="false">IF(AND(M265=1,F265+Cutoff!$B$16&lt;=Cutoff!$B$10),1,0)</f>
        <v>1</v>
      </c>
      <c r="O265" s="12" t="n">
        <f aca="false">IF(N265=1,IF(AND(H265&lt;1000000000000000,H265&gt;=MAX(F265,E265),H265&lt;F265+Cutoff!$B$16,I265&lt;=Cutoff!$B$10),1,0),0)</f>
        <v>0</v>
      </c>
      <c r="P265" s="12" t="n">
        <f aca="false">IF(AND(L265=1,J265&lt;=Cutoff!$B$10),1,0)</f>
        <v>1</v>
      </c>
      <c r="Q265" s="12" t="n">
        <f aca="false">IF(AND(N265=1,E265+Cutoff!$B$17&lt;=Cutoff!$B$10),1,0)</f>
        <v>1</v>
      </c>
      <c r="R265" s="12" t="n">
        <f aca="false">IF(Q265=1,IF(K265&lt;=Cutoff!$B$10,1,0),0)</f>
        <v>0</v>
      </c>
      <c r="S265" s="12" t="n">
        <f aca="false">IF(N265=1,SUMIFS(Subscriptions!$D$2:$D$208,Subscriptions!$A$2:$A$208,C265,Subscriptions!$E$2:$E$208,1,Subscriptions!$B$2:$B$208,"&gt;="&amp;Cutoff!$B$24,Subscriptions!$B$2:$B$208,"&lt;"&amp;Cutoff!$B$25,Subscriptions!$B$2:$B$208,"&lt;="&amp;Cutoff!$B$10),0)</f>
        <v>60</v>
      </c>
    </row>
    <row r="266" customFormat="false" ht="15" hidden="false" customHeight="false" outlineLevel="0" collapsed="false">
      <c r="A266" s="4" t="s">
        <v>816</v>
      </c>
      <c r="B266" s="4" t="s">
        <v>288</v>
      </c>
      <c r="C266" s="4" t="s">
        <v>817</v>
      </c>
      <c r="D266" s="4" t="s">
        <v>51</v>
      </c>
      <c r="E266" s="4" t="n">
        <v>1781643663</v>
      </c>
      <c r="F266" s="4" t="n">
        <v>1781643495</v>
      </c>
      <c r="G266" s="4" t="n">
        <v>1781643505</v>
      </c>
      <c r="H266" s="4" t="n">
        <v>1000000000000000</v>
      </c>
      <c r="I266" s="4" t="n">
        <v>1000000000000000</v>
      </c>
      <c r="J266" s="4" t="n">
        <v>1781644111</v>
      </c>
      <c r="K266" s="4" t="n">
        <v>1000000000000000</v>
      </c>
      <c r="L266" s="12" t="n">
        <f aca="false">IF(AND(B266=Cutoff!$B$12,E266&lt;=Cutoff!$B$10),1,0)</f>
        <v>1</v>
      </c>
      <c r="M266" s="12" t="n">
        <f aca="false">IF(AND(L266=1,F266&lt;1000000000000000,G266&lt;=Cutoff!$B$10),1,0)</f>
        <v>1</v>
      </c>
      <c r="N266" s="12" t="n">
        <f aca="false">IF(AND(M266=1,F266+Cutoff!$B$16&lt;=Cutoff!$B$10),1,0)</f>
        <v>1</v>
      </c>
      <c r="O266" s="12" t="n">
        <f aca="false">IF(N266=1,IF(AND(H266&lt;1000000000000000,H266&gt;=MAX(F266,E266),H266&lt;F266+Cutoff!$B$16,I266&lt;=Cutoff!$B$10),1,0),0)</f>
        <v>0</v>
      </c>
      <c r="P266" s="12" t="n">
        <f aca="false">IF(AND(L266=1,J266&lt;=Cutoff!$B$10),1,0)</f>
        <v>1</v>
      </c>
      <c r="Q266" s="12" t="n">
        <f aca="false">IF(AND(N266=1,E266+Cutoff!$B$17&lt;=Cutoff!$B$10),1,0)</f>
        <v>1</v>
      </c>
      <c r="R266" s="12" t="n">
        <f aca="false">IF(Q266=1,IF(K266&lt;=Cutoff!$B$10,1,0),0)</f>
        <v>0</v>
      </c>
      <c r="S266" s="12" t="n">
        <f aca="false">IF(N266=1,SUMIFS(Subscriptions!$D$2:$D$208,Subscriptions!$A$2:$A$208,C266,Subscriptions!$E$2:$E$208,1,Subscriptions!$B$2:$B$208,"&gt;="&amp;Cutoff!$B$24,Subscriptions!$B$2:$B$208,"&lt;"&amp;Cutoff!$B$25,Subscriptions!$B$2:$B$208,"&lt;="&amp;Cutoff!$B$10),0)</f>
        <v>0</v>
      </c>
    </row>
    <row r="267" customFormat="false" ht="15" hidden="false" customHeight="false" outlineLevel="0" collapsed="false">
      <c r="A267" s="4" t="s">
        <v>818</v>
      </c>
      <c r="B267" s="4" t="s">
        <v>288</v>
      </c>
      <c r="C267" s="4" t="s">
        <v>819</v>
      </c>
      <c r="D267" s="4" t="s">
        <v>52</v>
      </c>
      <c r="E267" s="4" t="n">
        <v>1781652235</v>
      </c>
      <c r="F267" s="4" t="n">
        <v>1781651908</v>
      </c>
      <c r="G267" s="4" t="n">
        <v>1781651928</v>
      </c>
      <c r="H267" s="4" t="n">
        <v>1781701967</v>
      </c>
      <c r="I267" s="4" t="n">
        <v>1781707270</v>
      </c>
      <c r="J267" s="4" t="n">
        <v>1781652872</v>
      </c>
      <c r="K267" s="4" t="n">
        <v>1000000000000000</v>
      </c>
      <c r="L267" s="12" t="n">
        <f aca="false">IF(AND(B267=Cutoff!$B$12,E267&lt;=Cutoff!$B$10),1,0)</f>
        <v>1</v>
      </c>
      <c r="M267" s="12" t="n">
        <f aca="false">IF(AND(L267=1,F267&lt;1000000000000000,G267&lt;=Cutoff!$B$10),1,0)</f>
        <v>1</v>
      </c>
      <c r="N267" s="12" t="n">
        <f aca="false">IF(AND(M267=1,F267+Cutoff!$B$16&lt;=Cutoff!$B$10),1,0)</f>
        <v>1</v>
      </c>
      <c r="O267" s="12" t="n">
        <f aca="false">IF(N267=1,IF(AND(H267&lt;1000000000000000,H267&gt;=MAX(F267,E267),H267&lt;F267+Cutoff!$B$16,I267&lt;=Cutoff!$B$10),1,0),0)</f>
        <v>1</v>
      </c>
      <c r="P267" s="12" t="n">
        <f aca="false">IF(AND(L267=1,J267&lt;=Cutoff!$B$10),1,0)</f>
        <v>1</v>
      </c>
      <c r="Q267" s="12" t="n">
        <f aca="false">IF(AND(N267=1,E267+Cutoff!$B$17&lt;=Cutoff!$B$10),1,0)</f>
        <v>1</v>
      </c>
      <c r="R267" s="12" t="n">
        <f aca="false">IF(Q267=1,IF(K267&lt;=Cutoff!$B$10,1,0),0)</f>
        <v>0</v>
      </c>
      <c r="S267" s="12" t="n">
        <f aca="false">IF(N267=1,SUMIFS(Subscriptions!$D$2:$D$208,Subscriptions!$A$2:$A$208,C267,Subscriptions!$E$2:$E$208,1,Subscriptions!$B$2:$B$208,"&gt;="&amp;Cutoff!$B$24,Subscriptions!$B$2:$B$208,"&lt;"&amp;Cutoff!$B$25,Subscriptions!$B$2:$B$208,"&lt;="&amp;Cutoff!$B$10),0)</f>
        <v>1521</v>
      </c>
    </row>
    <row r="268" customFormat="false" ht="15" hidden="false" customHeight="false" outlineLevel="0" collapsed="false">
      <c r="A268" s="4" t="s">
        <v>820</v>
      </c>
      <c r="B268" s="4" t="s">
        <v>288</v>
      </c>
      <c r="C268" s="4" t="s">
        <v>821</v>
      </c>
      <c r="D268" s="4" t="s">
        <v>52</v>
      </c>
      <c r="E268" s="4" t="n">
        <v>1781708348</v>
      </c>
      <c r="F268" s="4" t="n">
        <v>1781707952</v>
      </c>
      <c r="G268" s="4" t="n">
        <v>1781707954</v>
      </c>
      <c r="H268" s="4" t="n">
        <v>1000000000000000</v>
      </c>
      <c r="I268" s="4" t="n">
        <v>1000000000000000</v>
      </c>
      <c r="J268" s="4" t="n">
        <v>1781708780</v>
      </c>
      <c r="K268" s="4" t="n">
        <v>1000000000000000</v>
      </c>
      <c r="L268" s="12" t="n">
        <f aca="false">IF(AND(B268=Cutoff!$B$12,E268&lt;=Cutoff!$B$10),1,0)</f>
        <v>1</v>
      </c>
      <c r="M268" s="12" t="n">
        <f aca="false">IF(AND(L268=1,F268&lt;1000000000000000,G268&lt;=Cutoff!$B$10),1,0)</f>
        <v>1</v>
      </c>
      <c r="N268" s="12" t="n">
        <f aca="false">IF(AND(M268=1,F268+Cutoff!$B$16&lt;=Cutoff!$B$10),1,0)</f>
        <v>1</v>
      </c>
      <c r="O268" s="12" t="n">
        <f aca="false">IF(N268=1,IF(AND(H268&lt;1000000000000000,H268&gt;=MAX(F268,E268),H268&lt;F268+Cutoff!$B$16,I268&lt;=Cutoff!$B$10),1,0),0)</f>
        <v>0</v>
      </c>
      <c r="P268" s="12" t="n">
        <f aca="false">IF(AND(L268=1,J268&lt;=Cutoff!$B$10),1,0)</f>
        <v>1</v>
      </c>
      <c r="Q268" s="12" t="n">
        <f aca="false">IF(AND(N268=1,E268+Cutoff!$B$17&lt;=Cutoff!$B$10),1,0)</f>
        <v>1</v>
      </c>
      <c r="R268" s="12" t="n">
        <f aca="false">IF(Q268=1,IF(K268&lt;=Cutoff!$B$10,1,0),0)</f>
        <v>0</v>
      </c>
      <c r="S268" s="12" t="n">
        <f aca="false">IF(N268=1,SUMIFS(Subscriptions!$D$2:$D$208,Subscriptions!$A$2:$A$208,C268,Subscriptions!$E$2:$E$208,1,Subscriptions!$B$2:$B$208,"&gt;="&amp;Cutoff!$B$24,Subscriptions!$B$2:$B$208,"&lt;"&amp;Cutoff!$B$25,Subscriptions!$B$2:$B$208,"&lt;="&amp;Cutoff!$B$10),0)</f>
        <v>0</v>
      </c>
    </row>
    <row r="269" customFormat="false" ht="15" hidden="false" customHeight="false" outlineLevel="0" collapsed="false">
      <c r="A269" s="4" t="s">
        <v>822</v>
      </c>
      <c r="B269" s="4" t="s">
        <v>288</v>
      </c>
      <c r="C269" s="4" t="s">
        <v>823</v>
      </c>
      <c r="D269" s="4" t="s">
        <v>51</v>
      </c>
      <c r="E269" s="4" t="n">
        <v>1781791114</v>
      </c>
      <c r="F269" s="4" t="n">
        <v>1781790575</v>
      </c>
      <c r="G269" s="4" t="n">
        <v>1781790600</v>
      </c>
      <c r="H269" s="4" t="n">
        <v>1000000000000000</v>
      </c>
      <c r="I269" s="4" t="n">
        <v>1000000000000000</v>
      </c>
      <c r="J269" s="4" t="n">
        <v>1781791875</v>
      </c>
      <c r="K269" s="4" t="n">
        <v>1000000000000000</v>
      </c>
      <c r="L269" s="12" t="n">
        <f aca="false">IF(AND(B269=Cutoff!$B$12,E269&lt;=Cutoff!$B$10),1,0)</f>
        <v>1</v>
      </c>
      <c r="M269" s="12" t="n">
        <f aca="false">IF(AND(L269=1,F269&lt;1000000000000000,G269&lt;=Cutoff!$B$10),1,0)</f>
        <v>1</v>
      </c>
      <c r="N269" s="12" t="n">
        <f aca="false">IF(AND(M269=1,F269+Cutoff!$B$16&lt;=Cutoff!$B$10),1,0)</f>
        <v>1</v>
      </c>
      <c r="O269" s="12" t="n">
        <f aca="false">IF(N269=1,IF(AND(H269&lt;1000000000000000,H269&gt;=MAX(F269,E269),H269&lt;F269+Cutoff!$B$16,I269&lt;=Cutoff!$B$10),1,0),0)</f>
        <v>0</v>
      </c>
      <c r="P269" s="12" t="n">
        <f aca="false">IF(AND(L269=1,J269&lt;=Cutoff!$B$10),1,0)</f>
        <v>1</v>
      </c>
      <c r="Q269" s="12" t="n">
        <f aca="false">IF(AND(N269=1,E269+Cutoff!$B$17&lt;=Cutoff!$B$10),1,0)</f>
        <v>1</v>
      </c>
      <c r="R269" s="12" t="n">
        <f aca="false">IF(Q269=1,IF(K269&lt;=Cutoff!$B$10,1,0),0)</f>
        <v>0</v>
      </c>
      <c r="S269" s="12" t="n">
        <f aca="false">IF(N269=1,SUMIFS(Subscriptions!$D$2:$D$208,Subscriptions!$A$2:$A$208,C269,Subscriptions!$E$2:$E$208,1,Subscriptions!$B$2:$B$208,"&gt;="&amp;Cutoff!$B$24,Subscriptions!$B$2:$B$208,"&lt;"&amp;Cutoff!$B$25,Subscriptions!$B$2:$B$208,"&lt;="&amp;Cutoff!$B$10),0)</f>
        <v>144</v>
      </c>
    </row>
    <row r="270" customFormat="false" ht="15" hidden="false" customHeight="false" outlineLevel="0" collapsed="false">
      <c r="A270" s="4" t="s">
        <v>824</v>
      </c>
      <c r="B270" s="4" t="s">
        <v>288</v>
      </c>
      <c r="C270" s="4" t="s">
        <v>825</v>
      </c>
      <c r="D270" s="4" t="s">
        <v>51</v>
      </c>
      <c r="E270" s="4" t="n">
        <v>1781838089</v>
      </c>
      <c r="F270" s="4" t="n">
        <v>1781837724</v>
      </c>
      <c r="G270" s="4" t="n">
        <v>1781837745</v>
      </c>
      <c r="H270" s="4" t="n">
        <v>1000000000000000</v>
      </c>
      <c r="I270" s="4" t="n">
        <v>1000000000000000</v>
      </c>
      <c r="J270" s="4" t="n">
        <v>1781838481</v>
      </c>
      <c r="K270" s="4" t="n">
        <v>1000000000000000</v>
      </c>
      <c r="L270" s="12" t="n">
        <f aca="false">IF(AND(B270=Cutoff!$B$12,E270&lt;=Cutoff!$B$10),1,0)</f>
        <v>1</v>
      </c>
      <c r="M270" s="12" t="n">
        <f aca="false">IF(AND(L270=1,F270&lt;1000000000000000,G270&lt;=Cutoff!$B$10),1,0)</f>
        <v>1</v>
      </c>
      <c r="N270" s="12" t="n">
        <f aca="false">IF(AND(M270=1,F270+Cutoff!$B$16&lt;=Cutoff!$B$10),1,0)</f>
        <v>1</v>
      </c>
      <c r="O270" s="12" t="n">
        <f aca="false">IF(N270=1,IF(AND(H270&lt;1000000000000000,H270&gt;=MAX(F270,E270),H270&lt;F270+Cutoff!$B$16,I270&lt;=Cutoff!$B$10),1,0),0)</f>
        <v>0</v>
      </c>
      <c r="P270" s="12" t="n">
        <f aca="false">IF(AND(L270=1,J270&lt;=Cutoff!$B$10),1,0)</f>
        <v>1</v>
      </c>
      <c r="Q270" s="12" t="n">
        <f aca="false">IF(AND(N270=1,E270+Cutoff!$B$17&lt;=Cutoff!$B$10),1,0)</f>
        <v>1</v>
      </c>
      <c r="R270" s="12" t="n">
        <f aca="false">IF(Q270=1,IF(K270&lt;=Cutoff!$B$10,1,0),0)</f>
        <v>0</v>
      </c>
      <c r="S270" s="12" t="n">
        <f aca="false">IF(N270=1,SUMIFS(Subscriptions!$D$2:$D$208,Subscriptions!$A$2:$A$208,C270,Subscriptions!$E$2:$E$208,1,Subscriptions!$B$2:$B$208,"&gt;="&amp;Cutoff!$B$24,Subscriptions!$B$2:$B$208,"&lt;"&amp;Cutoff!$B$25,Subscriptions!$B$2:$B$208,"&lt;="&amp;Cutoff!$B$10),0)</f>
        <v>0</v>
      </c>
    </row>
    <row r="271" customFormat="false" ht="15" hidden="false" customHeight="false" outlineLevel="0" collapsed="false">
      <c r="A271" s="4" t="s">
        <v>826</v>
      </c>
      <c r="B271" s="4" t="s">
        <v>288</v>
      </c>
      <c r="C271" s="4" t="s">
        <v>827</v>
      </c>
      <c r="D271" s="4" t="s">
        <v>51</v>
      </c>
      <c r="E271" s="4" t="n">
        <v>1781861959</v>
      </c>
      <c r="F271" s="4" t="n">
        <v>1781861398</v>
      </c>
      <c r="G271" s="4" t="n">
        <v>1781861405</v>
      </c>
      <c r="H271" s="4" t="n">
        <v>1000000000000000</v>
      </c>
      <c r="I271" s="4" t="n">
        <v>1000000000000000</v>
      </c>
      <c r="J271" s="4" t="n">
        <v>1781862423</v>
      </c>
      <c r="K271" s="4" t="n">
        <v>1000000000000000</v>
      </c>
      <c r="L271" s="12" t="n">
        <f aca="false">IF(AND(B271=Cutoff!$B$12,E271&lt;=Cutoff!$B$10),1,0)</f>
        <v>1</v>
      </c>
      <c r="M271" s="12" t="n">
        <f aca="false">IF(AND(L271=1,F271&lt;1000000000000000,G271&lt;=Cutoff!$B$10),1,0)</f>
        <v>1</v>
      </c>
      <c r="N271" s="12" t="n">
        <f aca="false">IF(AND(M271=1,F271+Cutoff!$B$16&lt;=Cutoff!$B$10),1,0)</f>
        <v>1</v>
      </c>
      <c r="O271" s="12" t="n">
        <f aca="false">IF(N271=1,IF(AND(H271&lt;1000000000000000,H271&gt;=MAX(F271,E271),H271&lt;F271+Cutoff!$B$16,I271&lt;=Cutoff!$B$10),1,0),0)</f>
        <v>0</v>
      </c>
      <c r="P271" s="12" t="n">
        <f aca="false">IF(AND(L271=1,J271&lt;=Cutoff!$B$10),1,0)</f>
        <v>1</v>
      </c>
      <c r="Q271" s="12" t="n">
        <f aca="false">IF(AND(N271=1,E271+Cutoff!$B$17&lt;=Cutoff!$B$10),1,0)</f>
        <v>1</v>
      </c>
      <c r="R271" s="12" t="n">
        <f aca="false">IF(Q271=1,IF(K271&lt;=Cutoff!$B$10,1,0),0)</f>
        <v>0</v>
      </c>
      <c r="S271" s="12" t="n">
        <f aca="false">IF(N271=1,SUMIFS(Subscriptions!$D$2:$D$208,Subscriptions!$A$2:$A$208,C271,Subscriptions!$E$2:$E$208,1,Subscriptions!$B$2:$B$208,"&gt;="&amp;Cutoff!$B$24,Subscriptions!$B$2:$B$208,"&lt;"&amp;Cutoff!$B$25,Subscriptions!$B$2:$B$208,"&lt;="&amp;Cutoff!$B$10),0)</f>
        <v>120</v>
      </c>
    </row>
    <row r="272" customFormat="false" ht="15" hidden="false" customHeight="false" outlineLevel="0" collapsed="false">
      <c r="A272" s="4" t="s">
        <v>828</v>
      </c>
      <c r="B272" s="4" t="s">
        <v>288</v>
      </c>
      <c r="C272" s="4" t="s">
        <v>829</v>
      </c>
      <c r="D272" s="4" t="s">
        <v>52</v>
      </c>
      <c r="E272" s="4" t="n">
        <v>1781893031</v>
      </c>
      <c r="F272" s="4" t="n">
        <v>1781892519</v>
      </c>
      <c r="G272" s="4" t="n">
        <v>1781892529</v>
      </c>
      <c r="H272" s="4" t="n">
        <v>1000000000000000</v>
      </c>
      <c r="I272" s="4" t="n">
        <v>1000000000000000</v>
      </c>
      <c r="J272" s="4" t="n">
        <v>1781893131</v>
      </c>
      <c r="K272" s="4" t="n">
        <v>1000000000000000</v>
      </c>
      <c r="L272" s="12" t="n">
        <f aca="false">IF(AND(B272=Cutoff!$B$12,E272&lt;=Cutoff!$B$10),1,0)</f>
        <v>1</v>
      </c>
      <c r="M272" s="12" t="n">
        <f aca="false">IF(AND(L272=1,F272&lt;1000000000000000,G272&lt;=Cutoff!$B$10),1,0)</f>
        <v>1</v>
      </c>
      <c r="N272" s="12" t="n">
        <f aca="false">IF(AND(M272=1,F272+Cutoff!$B$16&lt;=Cutoff!$B$10),1,0)</f>
        <v>1</v>
      </c>
      <c r="O272" s="12" t="n">
        <f aca="false">IF(N272=1,IF(AND(H272&lt;1000000000000000,H272&gt;=MAX(F272,E272),H272&lt;F272+Cutoff!$B$16,I272&lt;=Cutoff!$B$10),1,0),0)</f>
        <v>0</v>
      </c>
      <c r="P272" s="12" t="n">
        <f aca="false">IF(AND(L272=1,J272&lt;=Cutoff!$B$10),1,0)</f>
        <v>1</v>
      </c>
      <c r="Q272" s="12" t="n">
        <f aca="false">IF(AND(N272=1,E272+Cutoff!$B$17&lt;=Cutoff!$B$10),1,0)</f>
        <v>1</v>
      </c>
      <c r="R272" s="12" t="n">
        <f aca="false">IF(Q272=1,IF(K272&lt;=Cutoff!$B$10,1,0),0)</f>
        <v>0</v>
      </c>
      <c r="S272" s="12" t="n">
        <f aca="false">IF(N272=1,SUMIFS(Subscriptions!$D$2:$D$208,Subscriptions!$A$2:$A$208,C272,Subscriptions!$E$2:$E$208,1,Subscriptions!$B$2:$B$208,"&gt;="&amp;Cutoff!$B$24,Subscriptions!$B$2:$B$208,"&lt;"&amp;Cutoff!$B$25,Subscriptions!$B$2:$B$208,"&lt;="&amp;Cutoff!$B$10),0)</f>
        <v>1287</v>
      </c>
    </row>
    <row r="273" customFormat="false" ht="15" hidden="false" customHeight="false" outlineLevel="0" collapsed="false">
      <c r="A273" s="4" t="s">
        <v>830</v>
      </c>
      <c r="B273" s="4" t="s">
        <v>288</v>
      </c>
      <c r="C273" s="4" t="s">
        <v>831</v>
      </c>
      <c r="D273" s="4" t="s">
        <v>52</v>
      </c>
      <c r="E273" s="4" t="n">
        <v>1781908607</v>
      </c>
      <c r="F273" s="4" t="n">
        <v>1781908191</v>
      </c>
      <c r="G273" s="4" t="n">
        <v>1781908278</v>
      </c>
      <c r="H273" s="4" t="n">
        <v>1781910239</v>
      </c>
      <c r="I273" s="4" t="n">
        <v>1781910261</v>
      </c>
      <c r="J273" s="4" t="n">
        <v>1781909274</v>
      </c>
      <c r="K273" s="4" t="n">
        <v>1000000000000000</v>
      </c>
      <c r="L273" s="12" t="n">
        <f aca="false">IF(AND(B273=Cutoff!$B$12,E273&lt;=Cutoff!$B$10),1,0)</f>
        <v>1</v>
      </c>
      <c r="M273" s="12" t="n">
        <f aca="false">IF(AND(L273=1,F273&lt;1000000000000000,G273&lt;=Cutoff!$B$10),1,0)</f>
        <v>1</v>
      </c>
      <c r="N273" s="12" t="n">
        <f aca="false">IF(AND(M273=1,F273+Cutoff!$B$16&lt;=Cutoff!$B$10),1,0)</f>
        <v>1</v>
      </c>
      <c r="O273" s="12" t="n">
        <f aca="false">IF(N273=1,IF(AND(H273&lt;1000000000000000,H273&gt;=MAX(F273,E273),H273&lt;F273+Cutoff!$B$16,I273&lt;=Cutoff!$B$10),1,0),0)</f>
        <v>1</v>
      </c>
      <c r="P273" s="12" t="n">
        <f aca="false">IF(AND(L273=1,J273&lt;=Cutoff!$B$10),1,0)</f>
        <v>1</v>
      </c>
      <c r="Q273" s="12" t="n">
        <f aca="false">IF(AND(N273=1,E273+Cutoff!$B$17&lt;=Cutoff!$B$10),1,0)</f>
        <v>1</v>
      </c>
      <c r="R273" s="12" t="n">
        <f aca="false">IF(Q273=1,IF(K273&lt;=Cutoff!$B$10,1,0),0)</f>
        <v>0</v>
      </c>
      <c r="S273" s="12" t="n">
        <f aca="false">IF(N273=1,SUMIFS(Subscriptions!$D$2:$D$208,Subscriptions!$A$2:$A$208,C273,Subscriptions!$E$2:$E$208,1,Subscriptions!$B$2:$B$208,"&gt;="&amp;Cutoff!$B$24,Subscriptions!$B$2:$B$208,"&lt;"&amp;Cutoff!$B$25,Subscriptions!$B$2:$B$208,"&lt;="&amp;Cutoff!$B$10),0)</f>
        <v>663</v>
      </c>
    </row>
    <row r="274" customFormat="false" ht="15" hidden="false" customHeight="false" outlineLevel="0" collapsed="false">
      <c r="A274" s="4" t="s">
        <v>832</v>
      </c>
      <c r="B274" s="4" t="s">
        <v>288</v>
      </c>
      <c r="C274" s="4" t="s">
        <v>833</v>
      </c>
      <c r="D274" s="4" t="s">
        <v>52</v>
      </c>
      <c r="E274" s="4" t="n">
        <v>1781966490</v>
      </c>
      <c r="F274" s="4" t="n">
        <v>1781965962</v>
      </c>
      <c r="G274" s="4" t="n">
        <v>1781965981</v>
      </c>
      <c r="H274" s="4" t="n">
        <v>1781968868</v>
      </c>
      <c r="I274" s="4" t="n">
        <v>1781968878</v>
      </c>
      <c r="J274" s="4" t="n">
        <v>1781966696</v>
      </c>
      <c r="K274" s="4" t="n">
        <v>1000000000000000</v>
      </c>
      <c r="L274" s="12" t="n">
        <f aca="false">IF(AND(B274=Cutoff!$B$12,E274&lt;=Cutoff!$B$10),1,0)</f>
        <v>1</v>
      </c>
      <c r="M274" s="12" t="n">
        <f aca="false">IF(AND(L274=1,F274&lt;1000000000000000,G274&lt;=Cutoff!$B$10),1,0)</f>
        <v>1</v>
      </c>
      <c r="N274" s="12" t="n">
        <f aca="false">IF(AND(M274=1,F274+Cutoff!$B$16&lt;=Cutoff!$B$10),1,0)</f>
        <v>1</v>
      </c>
      <c r="O274" s="12" t="n">
        <f aca="false">IF(N274=1,IF(AND(H274&lt;1000000000000000,H274&gt;=MAX(F274,E274),H274&lt;F274+Cutoff!$B$16,I274&lt;=Cutoff!$B$10),1,0),0)</f>
        <v>1</v>
      </c>
      <c r="P274" s="12" t="n">
        <f aca="false">IF(AND(L274=1,J274&lt;=Cutoff!$B$10),1,0)</f>
        <v>1</v>
      </c>
      <c r="Q274" s="12" t="n">
        <f aca="false">IF(AND(N274=1,E274+Cutoff!$B$17&lt;=Cutoff!$B$10),1,0)</f>
        <v>1</v>
      </c>
      <c r="R274" s="12" t="n">
        <f aca="false">IF(Q274=1,IF(K274&lt;=Cutoff!$B$10,1,0),0)</f>
        <v>0</v>
      </c>
      <c r="S274" s="12" t="n">
        <f aca="false">IF(N274=1,SUMIFS(Subscriptions!$D$2:$D$208,Subscriptions!$A$2:$A$208,C274,Subscriptions!$E$2:$E$208,1,Subscriptions!$B$2:$B$208,"&gt;="&amp;Cutoff!$B$24,Subscriptions!$B$2:$B$208,"&lt;"&amp;Cutoff!$B$25,Subscriptions!$B$2:$B$208,"&lt;="&amp;Cutoff!$B$10),0)</f>
        <v>0</v>
      </c>
    </row>
    <row r="275" customFormat="false" ht="15" hidden="false" customHeight="false" outlineLevel="0" collapsed="false">
      <c r="A275" s="4" t="s">
        <v>834</v>
      </c>
      <c r="B275" s="4" t="s">
        <v>288</v>
      </c>
      <c r="C275" s="4" t="s">
        <v>835</v>
      </c>
      <c r="D275" s="4" t="s">
        <v>52</v>
      </c>
      <c r="E275" s="4" t="n">
        <v>1781970260</v>
      </c>
      <c r="F275" s="4" t="n">
        <v>1781969952</v>
      </c>
      <c r="G275" s="4" t="n">
        <v>1781969953</v>
      </c>
      <c r="H275" s="4" t="n">
        <v>1782180506</v>
      </c>
      <c r="I275" s="4" t="n">
        <v>1782180679</v>
      </c>
      <c r="J275" s="4" t="n">
        <v>1781970766</v>
      </c>
      <c r="K275" s="4" t="n">
        <v>1000000000000000</v>
      </c>
      <c r="L275" s="12" t="n">
        <f aca="false">IF(AND(B275=Cutoff!$B$12,E275&lt;=Cutoff!$B$10),1,0)</f>
        <v>1</v>
      </c>
      <c r="M275" s="12" t="n">
        <f aca="false">IF(AND(L275=1,F275&lt;1000000000000000,G275&lt;=Cutoff!$B$10),1,0)</f>
        <v>1</v>
      </c>
      <c r="N275" s="12" t="n">
        <f aca="false">IF(AND(M275=1,F275+Cutoff!$B$16&lt;=Cutoff!$B$10),1,0)</f>
        <v>1</v>
      </c>
      <c r="O275" s="12" t="n">
        <f aca="false">IF(N275=1,IF(AND(H275&lt;1000000000000000,H275&gt;=MAX(F275,E275),H275&lt;F275+Cutoff!$B$16,I275&lt;=Cutoff!$B$10),1,0),0)</f>
        <v>1</v>
      </c>
      <c r="P275" s="12" t="n">
        <f aca="false">IF(AND(L275=1,J275&lt;=Cutoff!$B$10),1,0)</f>
        <v>1</v>
      </c>
      <c r="Q275" s="12" t="n">
        <f aca="false">IF(AND(N275=1,E275+Cutoff!$B$17&lt;=Cutoff!$B$10),1,0)</f>
        <v>1</v>
      </c>
      <c r="R275" s="12" t="n">
        <f aca="false">IF(Q275=1,IF(K275&lt;=Cutoff!$B$10,1,0),0)</f>
        <v>0</v>
      </c>
      <c r="S275" s="12" t="n">
        <f aca="false">IF(N275=1,SUMIFS(Subscriptions!$D$2:$D$208,Subscriptions!$A$2:$A$208,C275,Subscriptions!$E$2:$E$208,1,Subscriptions!$B$2:$B$208,"&gt;="&amp;Cutoff!$B$24,Subscriptions!$B$2:$B$208,"&lt;"&amp;Cutoff!$B$25,Subscriptions!$B$2:$B$208,"&lt;="&amp;Cutoff!$B$10),0)</f>
        <v>0</v>
      </c>
    </row>
    <row r="276" customFormat="false" ht="15" hidden="false" customHeight="false" outlineLevel="0" collapsed="false">
      <c r="A276" s="4" t="s">
        <v>836</v>
      </c>
      <c r="B276" s="4" t="s">
        <v>288</v>
      </c>
      <c r="C276" s="4" t="s">
        <v>837</v>
      </c>
      <c r="D276" s="4" t="s">
        <v>51</v>
      </c>
      <c r="E276" s="4" t="n">
        <v>1781977883</v>
      </c>
      <c r="F276" s="4" t="n">
        <v>1781977398</v>
      </c>
      <c r="G276" s="4" t="n">
        <v>1781977407</v>
      </c>
      <c r="H276" s="4" t="n">
        <v>1783893787</v>
      </c>
      <c r="I276" s="4" t="n">
        <v>1783893808</v>
      </c>
      <c r="J276" s="4" t="n">
        <v>1781978615</v>
      </c>
      <c r="K276" s="4" t="n">
        <v>1000000000000000</v>
      </c>
      <c r="L276" s="12" t="n">
        <f aca="false">IF(AND(B276=Cutoff!$B$12,E276&lt;=Cutoff!$B$10),1,0)</f>
        <v>1</v>
      </c>
      <c r="M276" s="12" t="n">
        <f aca="false">IF(AND(L276=1,F276&lt;1000000000000000,G276&lt;=Cutoff!$B$10),1,0)</f>
        <v>1</v>
      </c>
      <c r="N276" s="12" t="n">
        <f aca="false">IF(AND(M276=1,F276+Cutoff!$B$16&lt;=Cutoff!$B$10),1,0)</f>
        <v>1</v>
      </c>
      <c r="O276" s="12" t="n">
        <f aca="false">IF(N276=1,IF(AND(H276&lt;1000000000000000,H276&gt;=MAX(F276,E276),H276&lt;F276+Cutoff!$B$16,I276&lt;=Cutoff!$B$10),1,0),0)</f>
        <v>0</v>
      </c>
      <c r="P276" s="12" t="n">
        <f aca="false">IF(AND(L276=1,J276&lt;=Cutoff!$B$10),1,0)</f>
        <v>1</v>
      </c>
      <c r="Q276" s="12" t="n">
        <f aca="false">IF(AND(N276=1,E276+Cutoff!$B$17&lt;=Cutoff!$B$10),1,0)</f>
        <v>1</v>
      </c>
      <c r="R276" s="12" t="n">
        <f aca="false">IF(Q276=1,IF(K276&lt;=Cutoff!$B$10,1,0),0)</f>
        <v>0</v>
      </c>
      <c r="S276" s="12" t="n">
        <f aca="false">IF(N276=1,SUMIFS(Subscriptions!$D$2:$D$208,Subscriptions!$A$2:$A$208,C276,Subscriptions!$E$2:$E$208,1,Subscriptions!$B$2:$B$208,"&gt;="&amp;Cutoff!$B$24,Subscriptions!$B$2:$B$208,"&lt;"&amp;Cutoff!$B$25,Subscriptions!$B$2:$B$208,"&lt;="&amp;Cutoff!$B$10),0)</f>
        <v>0</v>
      </c>
    </row>
    <row r="277" customFormat="false" ht="15" hidden="false" customHeight="false" outlineLevel="0" collapsed="false">
      <c r="A277" s="4" t="s">
        <v>838</v>
      </c>
      <c r="B277" s="4" t="s">
        <v>288</v>
      </c>
      <c r="C277" s="4" t="s">
        <v>839</v>
      </c>
      <c r="D277" s="4" t="s">
        <v>51</v>
      </c>
      <c r="E277" s="4" t="n">
        <v>1781983425</v>
      </c>
      <c r="F277" s="4" t="n">
        <v>1781983122</v>
      </c>
      <c r="G277" s="4" t="n">
        <v>1781983153</v>
      </c>
      <c r="H277" s="4" t="n">
        <v>1000000000000000</v>
      </c>
      <c r="I277" s="4" t="n">
        <v>1000000000000000</v>
      </c>
      <c r="J277" s="4" t="n">
        <v>1781984302</v>
      </c>
      <c r="K277" s="4" t="n">
        <v>1000000000000000</v>
      </c>
      <c r="L277" s="12" t="n">
        <f aca="false">IF(AND(B277=Cutoff!$B$12,E277&lt;=Cutoff!$B$10),1,0)</f>
        <v>1</v>
      </c>
      <c r="M277" s="12" t="n">
        <f aca="false">IF(AND(L277=1,F277&lt;1000000000000000,G277&lt;=Cutoff!$B$10),1,0)</f>
        <v>1</v>
      </c>
      <c r="N277" s="12" t="n">
        <f aca="false">IF(AND(M277=1,F277+Cutoff!$B$16&lt;=Cutoff!$B$10),1,0)</f>
        <v>1</v>
      </c>
      <c r="O277" s="12" t="n">
        <f aca="false">IF(N277=1,IF(AND(H277&lt;1000000000000000,H277&gt;=MAX(F277,E277),H277&lt;F277+Cutoff!$B$16,I277&lt;=Cutoff!$B$10),1,0),0)</f>
        <v>0</v>
      </c>
      <c r="P277" s="12" t="n">
        <f aca="false">IF(AND(L277=1,J277&lt;=Cutoff!$B$10),1,0)</f>
        <v>1</v>
      </c>
      <c r="Q277" s="12" t="n">
        <f aca="false">IF(AND(N277=1,E277+Cutoff!$B$17&lt;=Cutoff!$B$10),1,0)</f>
        <v>1</v>
      </c>
      <c r="R277" s="12" t="n">
        <f aca="false">IF(Q277=1,IF(K277&lt;=Cutoff!$B$10,1,0),0)</f>
        <v>0</v>
      </c>
      <c r="S277" s="12" t="n">
        <f aca="false">IF(N277=1,SUMIFS(Subscriptions!$D$2:$D$208,Subscriptions!$A$2:$A$208,C277,Subscriptions!$E$2:$E$208,1,Subscriptions!$B$2:$B$208,"&gt;="&amp;Cutoff!$B$24,Subscriptions!$B$2:$B$208,"&lt;"&amp;Cutoff!$B$25,Subscriptions!$B$2:$B$208,"&lt;="&amp;Cutoff!$B$10),0)</f>
        <v>0</v>
      </c>
    </row>
    <row r="278" customFormat="false" ht="15" hidden="false" customHeight="false" outlineLevel="0" collapsed="false">
      <c r="A278" s="4" t="s">
        <v>840</v>
      </c>
      <c r="B278" s="4" t="s">
        <v>288</v>
      </c>
      <c r="C278" s="4" t="s">
        <v>841</v>
      </c>
      <c r="D278" s="4" t="s">
        <v>51</v>
      </c>
      <c r="E278" s="4" t="n">
        <v>1781985057</v>
      </c>
      <c r="F278" s="4" t="n">
        <v>1781984470</v>
      </c>
      <c r="G278" s="4" t="n">
        <v>1781990445</v>
      </c>
      <c r="H278" s="4" t="n">
        <v>1782012743</v>
      </c>
      <c r="I278" s="4" t="n">
        <v>1782582337</v>
      </c>
      <c r="J278" s="4" t="n">
        <v>1781985691</v>
      </c>
      <c r="K278" s="4" t="n">
        <v>1000000000000000</v>
      </c>
      <c r="L278" s="12" t="n">
        <f aca="false">IF(AND(B278=Cutoff!$B$12,E278&lt;=Cutoff!$B$10),1,0)</f>
        <v>1</v>
      </c>
      <c r="M278" s="12" t="n">
        <f aca="false">IF(AND(L278=1,F278&lt;1000000000000000,G278&lt;=Cutoff!$B$10),1,0)</f>
        <v>1</v>
      </c>
      <c r="N278" s="12" t="n">
        <f aca="false">IF(AND(M278=1,F278+Cutoff!$B$16&lt;=Cutoff!$B$10),1,0)</f>
        <v>1</v>
      </c>
      <c r="O278" s="12" t="n">
        <f aca="false">IF(N278=1,IF(AND(H278&lt;1000000000000000,H278&gt;=MAX(F278,E278),H278&lt;F278+Cutoff!$B$16,I278&lt;=Cutoff!$B$10),1,0),0)</f>
        <v>1</v>
      </c>
      <c r="P278" s="12" t="n">
        <f aca="false">IF(AND(L278=1,J278&lt;=Cutoff!$B$10),1,0)</f>
        <v>1</v>
      </c>
      <c r="Q278" s="12" t="n">
        <f aca="false">IF(AND(N278=1,E278+Cutoff!$B$17&lt;=Cutoff!$B$10),1,0)</f>
        <v>1</v>
      </c>
      <c r="R278" s="12" t="n">
        <f aca="false">IF(Q278=1,IF(K278&lt;=Cutoff!$B$10,1,0),0)</f>
        <v>0</v>
      </c>
      <c r="S278" s="12" t="n">
        <f aca="false">IF(N278=1,SUMIFS(Subscriptions!$D$2:$D$208,Subscriptions!$A$2:$A$208,C278,Subscriptions!$E$2:$E$208,1,Subscriptions!$B$2:$B$208,"&gt;="&amp;Cutoff!$B$24,Subscriptions!$B$2:$B$208,"&lt;"&amp;Cutoff!$B$25,Subscriptions!$B$2:$B$208,"&lt;="&amp;Cutoff!$B$10),0)</f>
        <v>228</v>
      </c>
    </row>
    <row r="279" customFormat="false" ht="15" hidden="false" customHeight="false" outlineLevel="0" collapsed="false">
      <c r="A279" s="4" t="s">
        <v>842</v>
      </c>
      <c r="B279" s="4" t="s">
        <v>288</v>
      </c>
      <c r="C279" s="4" t="s">
        <v>843</v>
      </c>
      <c r="D279" s="4" t="s">
        <v>51</v>
      </c>
      <c r="E279" s="4" t="n">
        <v>1781993229</v>
      </c>
      <c r="F279" s="4" t="n">
        <v>1781992918</v>
      </c>
      <c r="G279" s="4" t="n">
        <v>1781992924</v>
      </c>
      <c r="H279" s="4" t="n">
        <v>1000000000000000</v>
      </c>
      <c r="I279" s="4" t="n">
        <v>1000000000000000</v>
      </c>
      <c r="J279" s="4" t="n">
        <v>1781993646</v>
      </c>
      <c r="K279" s="4" t="n">
        <v>1000000000000000</v>
      </c>
      <c r="L279" s="12" t="n">
        <f aca="false">IF(AND(B279=Cutoff!$B$12,E279&lt;=Cutoff!$B$10),1,0)</f>
        <v>1</v>
      </c>
      <c r="M279" s="12" t="n">
        <f aca="false">IF(AND(L279=1,F279&lt;1000000000000000,G279&lt;=Cutoff!$B$10),1,0)</f>
        <v>1</v>
      </c>
      <c r="N279" s="12" t="n">
        <f aca="false">IF(AND(M279=1,F279+Cutoff!$B$16&lt;=Cutoff!$B$10),1,0)</f>
        <v>1</v>
      </c>
      <c r="O279" s="12" t="n">
        <f aca="false">IF(N279=1,IF(AND(H279&lt;1000000000000000,H279&gt;=MAX(F279,E279),H279&lt;F279+Cutoff!$B$16,I279&lt;=Cutoff!$B$10),1,0),0)</f>
        <v>0</v>
      </c>
      <c r="P279" s="12" t="n">
        <f aca="false">IF(AND(L279=1,J279&lt;=Cutoff!$B$10),1,0)</f>
        <v>1</v>
      </c>
      <c r="Q279" s="12" t="n">
        <f aca="false">IF(AND(N279=1,E279+Cutoff!$B$17&lt;=Cutoff!$B$10),1,0)</f>
        <v>1</v>
      </c>
      <c r="R279" s="12" t="n">
        <f aca="false">IF(Q279=1,IF(K279&lt;=Cutoff!$B$10,1,0),0)</f>
        <v>0</v>
      </c>
      <c r="S279" s="12" t="n">
        <f aca="false">IF(N279=1,SUMIFS(Subscriptions!$D$2:$D$208,Subscriptions!$A$2:$A$208,C279,Subscriptions!$E$2:$E$208,1,Subscriptions!$B$2:$B$208,"&gt;="&amp;Cutoff!$B$24,Subscriptions!$B$2:$B$208,"&lt;"&amp;Cutoff!$B$25,Subscriptions!$B$2:$B$208,"&lt;="&amp;Cutoff!$B$10),0)</f>
        <v>168</v>
      </c>
    </row>
    <row r="280" customFormat="false" ht="15" hidden="false" customHeight="false" outlineLevel="0" collapsed="false">
      <c r="A280" s="4" t="s">
        <v>844</v>
      </c>
      <c r="B280" s="4" t="s">
        <v>288</v>
      </c>
      <c r="C280" s="4" t="s">
        <v>845</v>
      </c>
      <c r="D280" s="4" t="s">
        <v>52</v>
      </c>
      <c r="E280" s="4" t="n">
        <v>1782141401</v>
      </c>
      <c r="F280" s="4" t="n">
        <v>1782141082</v>
      </c>
      <c r="G280" s="4" t="n">
        <v>1782141100</v>
      </c>
      <c r="H280" s="4" t="n">
        <v>1000000000000000</v>
      </c>
      <c r="I280" s="4" t="n">
        <v>1000000000000000</v>
      </c>
      <c r="J280" s="4" t="n">
        <v>1782141938</v>
      </c>
      <c r="K280" s="4" t="n">
        <v>1000000000000000</v>
      </c>
      <c r="L280" s="12" t="n">
        <f aca="false">IF(AND(B280=Cutoff!$B$12,E280&lt;=Cutoff!$B$10),1,0)</f>
        <v>1</v>
      </c>
      <c r="M280" s="12" t="n">
        <f aca="false">IF(AND(L280=1,F280&lt;1000000000000000,G280&lt;=Cutoff!$B$10),1,0)</f>
        <v>1</v>
      </c>
      <c r="N280" s="12" t="n">
        <f aca="false">IF(AND(M280=1,F280+Cutoff!$B$16&lt;=Cutoff!$B$10),1,0)</f>
        <v>1</v>
      </c>
      <c r="O280" s="12" t="n">
        <f aca="false">IF(N280=1,IF(AND(H280&lt;1000000000000000,H280&gt;=MAX(F280,E280),H280&lt;F280+Cutoff!$B$16,I280&lt;=Cutoff!$B$10),1,0),0)</f>
        <v>0</v>
      </c>
      <c r="P280" s="12" t="n">
        <f aca="false">IF(AND(L280=1,J280&lt;=Cutoff!$B$10),1,0)</f>
        <v>1</v>
      </c>
      <c r="Q280" s="12" t="n">
        <f aca="false">IF(AND(N280=1,E280+Cutoff!$B$17&lt;=Cutoff!$B$10),1,0)</f>
        <v>1</v>
      </c>
      <c r="R280" s="12" t="n">
        <f aca="false">IF(Q280=1,IF(K280&lt;=Cutoff!$B$10,1,0),0)</f>
        <v>0</v>
      </c>
      <c r="S280" s="12" t="n">
        <f aca="false">IF(N280=1,SUMIFS(Subscriptions!$D$2:$D$208,Subscriptions!$A$2:$A$208,C280,Subscriptions!$E$2:$E$208,1,Subscriptions!$B$2:$B$208,"&gt;="&amp;Cutoff!$B$24,Subscriptions!$B$2:$B$208,"&lt;"&amp;Cutoff!$B$25,Subscriptions!$B$2:$B$208,"&lt;="&amp;Cutoff!$B$10),0)</f>
        <v>0</v>
      </c>
    </row>
    <row r="281" customFormat="false" ht="15" hidden="false" customHeight="false" outlineLevel="0" collapsed="false">
      <c r="A281" s="4" t="s">
        <v>846</v>
      </c>
      <c r="B281" s="4" t="s">
        <v>288</v>
      </c>
      <c r="C281" s="4" t="s">
        <v>847</v>
      </c>
      <c r="D281" s="4" t="s">
        <v>52</v>
      </c>
      <c r="E281" s="4" t="n">
        <v>1782154008</v>
      </c>
      <c r="F281" s="4" t="n">
        <v>1782153709</v>
      </c>
      <c r="G281" s="4" t="n">
        <v>1782153714</v>
      </c>
      <c r="H281" s="4" t="n">
        <v>1000000000000000</v>
      </c>
      <c r="I281" s="4" t="n">
        <v>1000000000000000</v>
      </c>
      <c r="J281" s="4" t="n">
        <v>1782154980</v>
      </c>
      <c r="K281" s="4" t="n">
        <v>1000000000000000</v>
      </c>
      <c r="L281" s="12" t="n">
        <f aca="false">IF(AND(B281=Cutoff!$B$12,E281&lt;=Cutoff!$B$10),1,0)</f>
        <v>1</v>
      </c>
      <c r="M281" s="12" t="n">
        <f aca="false">IF(AND(L281=1,F281&lt;1000000000000000,G281&lt;=Cutoff!$B$10),1,0)</f>
        <v>1</v>
      </c>
      <c r="N281" s="12" t="n">
        <f aca="false">IF(AND(M281=1,F281+Cutoff!$B$16&lt;=Cutoff!$B$10),1,0)</f>
        <v>1</v>
      </c>
      <c r="O281" s="12" t="n">
        <f aca="false">IF(N281=1,IF(AND(H281&lt;1000000000000000,H281&gt;=MAX(F281,E281),H281&lt;F281+Cutoff!$B$16,I281&lt;=Cutoff!$B$10),1,0),0)</f>
        <v>0</v>
      </c>
      <c r="P281" s="12" t="n">
        <f aca="false">IF(AND(L281=1,J281&lt;=Cutoff!$B$10),1,0)</f>
        <v>1</v>
      </c>
      <c r="Q281" s="12" t="n">
        <f aca="false">IF(AND(N281=1,E281+Cutoff!$B$17&lt;=Cutoff!$B$10),1,0)</f>
        <v>1</v>
      </c>
      <c r="R281" s="12" t="n">
        <f aca="false">IF(Q281=1,IF(K281&lt;=Cutoff!$B$10,1,0),0)</f>
        <v>0</v>
      </c>
      <c r="S281" s="12" t="n">
        <f aca="false">IF(N281=1,SUMIFS(Subscriptions!$D$2:$D$208,Subscriptions!$A$2:$A$208,C281,Subscriptions!$E$2:$E$208,1,Subscriptions!$B$2:$B$208,"&gt;="&amp;Cutoff!$B$24,Subscriptions!$B$2:$B$208,"&lt;"&amp;Cutoff!$B$25,Subscriptions!$B$2:$B$208,"&lt;="&amp;Cutoff!$B$10),0)</f>
        <v>132</v>
      </c>
    </row>
    <row r="282" customFormat="false" ht="15" hidden="false" customHeight="false" outlineLevel="0" collapsed="false">
      <c r="A282" s="4" t="s">
        <v>848</v>
      </c>
      <c r="B282" s="4" t="s">
        <v>288</v>
      </c>
      <c r="C282" s="4" t="s">
        <v>849</v>
      </c>
      <c r="D282" s="4" t="s">
        <v>51</v>
      </c>
      <c r="E282" s="4" t="n">
        <v>1782157379</v>
      </c>
      <c r="F282" s="4" t="n">
        <v>1782157175</v>
      </c>
      <c r="G282" s="4" t="n">
        <v>1782157196</v>
      </c>
      <c r="H282" s="4" t="n">
        <v>1000000000000000</v>
      </c>
      <c r="I282" s="4" t="n">
        <v>1000000000000000</v>
      </c>
      <c r="J282" s="4" t="n">
        <v>1782158204</v>
      </c>
      <c r="K282" s="4" t="n">
        <v>1000000000000000</v>
      </c>
      <c r="L282" s="12" t="n">
        <f aca="false">IF(AND(B282=Cutoff!$B$12,E282&lt;=Cutoff!$B$10),1,0)</f>
        <v>1</v>
      </c>
      <c r="M282" s="12" t="n">
        <f aca="false">IF(AND(L282=1,F282&lt;1000000000000000,G282&lt;=Cutoff!$B$10),1,0)</f>
        <v>1</v>
      </c>
      <c r="N282" s="12" t="n">
        <f aca="false">IF(AND(M282=1,F282+Cutoff!$B$16&lt;=Cutoff!$B$10),1,0)</f>
        <v>1</v>
      </c>
      <c r="O282" s="12" t="n">
        <f aca="false">IF(N282=1,IF(AND(H282&lt;1000000000000000,H282&gt;=MAX(F282,E282),H282&lt;F282+Cutoff!$B$16,I282&lt;=Cutoff!$B$10),1,0),0)</f>
        <v>0</v>
      </c>
      <c r="P282" s="12" t="n">
        <f aca="false">IF(AND(L282=1,J282&lt;=Cutoff!$B$10),1,0)</f>
        <v>1</v>
      </c>
      <c r="Q282" s="12" t="n">
        <f aca="false">IF(AND(N282=1,E282+Cutoff!$B$17&lt;=Cutoff!$B$10),1,0)</f>
        <v>1</v>
      </c>
      <c r="R282" s="12" t="n">
        <f aca="false">IF(Q282=1,IF(K282&lt;=Cutoff!$B$10,1,0),0)</f>
        <v>0</v>
      </c>
      <c r="S282" s="12" t="n">
        <f aca="false">IF(N282=1,SUMIFS(Subscriptions!$D$2:$D$208,Subscriptions!$A$2:$A$208,C282,Subscriptions!$E$2:$E$208,1,Subscriptions!$B$2:$B$208,"&gt;="&amp;Cutoff!$B$24,Subscriptions!$B$2:$B$208,"&lt;"&amp;Cutoff!$B$25,Subscriptions!$B$2:$B$208,"&lt;="&amp;Cutoff!$B$10),0)</f>
        <v>0</v>
      </c>
    </row>
    <row r="283" customFormat="false" ht="15" hidden="false" customHeight="false" outlineLevel="0" collapsed="false">
      <c r="A283" s="4" t="s">
        <v>850</v>
      </c>
      <c r="B283" s="4" t="s">
        <v>288</v>
      </c>
      <c r="C283" s="4" t="s">
        <v>851</v>
      </c>
      <c r="D283" s="4" t="s">
        <v>52</v>
      </c>
      <c r="E283" s="4" t="n">
        <v>1782158506</v>
      </c>
      <c r="F283" s="4" t="n">
        <v>1782158343</v>
      </c>
      <c r="G283" s="4" t="n">
        <v>1782158350</v>
      </c>
      <c r="H283" s="4" t="n">
        <v>1000000000000000</v>
      </c>
      <c r="I283" s="4" t="n">
        <v>1000000000000000</v>
      </c>
      <c r="J283" s="4" t="n">
        <v>1782159160</v>
      </c>
      <c r="K283" s="4" t="n">
        <v>1000000000000000</v>
      </c>
      <c r="L283" s="12" t="n">
        <f aca="false">IF(AND(B283=Cutoff!$B$12,E283&lt;=Cutoff!$B$10),1,0)</f>
        <v>1</v>
      </c>
      <c r="M283" s="12" t="n">
        <f aca="false">IF(AND(L283=1,F283&lt;1000000000000000,G283&lt;=Cutoff!$B$10),1,0)</f>
        <v>1</v>
      </c>
      <c r="N283" s="12" t="n">
        <f aca="false">IF(AND(M283=1,F283+Cutoff!$B$16&lt;=Cutoff!$B$10),1,0)</f>
        <v>1</v>
      </c>
      <c r="O283" s="12" t="n">
        <f aca="false">IF(N283=1,IF(AND(H283&lt;1000000000000000,H283&gt;=MAX(F283,E283),H283&lt;F283+Cutoff!$B$16,I283&lt;=Cutoff!$B$10),1,0),0)</f>
        <v>0</v>
      </c>
      <c r="P283" s="12" t="n">
        <f aca="false">IF(AND(L283=1,J283&lt;=Cutoff!$B$10),1,0)</f>
        <v>1</v>
      </c>
      <c r="Q283" s="12" t="n">
        <f aca="false">IF(AND(N283=1,E283+Cutoff!$B$17&lt;=Cutoff!$B$10),1,0)</f>
        <v>1</v>
      </c>
      <c r="R283" s="12" t="n">
        <f aca="false">IF(Q283=1,IF(K283&lt;=Cutoff!$B$10,1,0),0)</f>
        <v>0</v>
      </c>
      <c r="S283" s="12" t="n">
        <f aca="false">IF(N283=1,SUMIFS(Subscriptions!$D$2:$D$208,Subscriptions!$A$2:$A$208,C283,Subscriptions!$E$2:$E$208,1,Subscriptions!$B$2:$B$208,"&gt;="&amp;Cutoff!$B$24,Subscriptions!$B$2:$B$208,"&lt;"&amp;Cutoff!$B$25,Subscriptions!$B$2:$B$208,"&lt;="&amp;Cutoff!$B$10),0)</f>
        <v>0</v>
      </c>
    </row>
    <row r="284" customFormat="false" ht="15" hidden="false" customHeight="false" outlineLevel="0" collapsed="false">
      <c r="A284" s="4" t="s">
        <v>852</v>
      </c>
      <c r="B284" s="4" t="s">
        <v>288</v>
      </c>
      <c r="C284" s="4" t="s">
        <v>853</v>
      </c>
      <c r="D284" s="4" t="s">
        <v>52</v>
      </c>
      <c r="E284" s="4" t="n">
        <v>1782175091</v>
      </c>
      <c r="F284" s="4" t="n">
        <v>1782174926</v>
      </c>
      <c r="G284" s="4" t="n">
        <v>1782174940</v>
      </c>
      <c r="H284" s="4" t="n">
        <v>1000000000000000</v>
      </c>
      <c r="I284" s="4" t="n">
        <v>1000000000000000</v>
      </c>
      <c r="J284" s="4" t="n">
        <v>1000000000000000</v>
      </c>
      <c r="K284" s="4" t="n">
        <v>1000000000000000</v>
      </c>
      <c r="L284" s="12" t="n">
        <f aca="false">IF(AND(B284=Cutoff!$B$12,E284&lt;=Cutoff!$B$10),1,0)</f>
        <v>1</v>
      </c>
      <c r="M284" s="12" t="n">
        <f aca="false">IF(AND(L284=1,F284&lt;1000000000000000,G284&lt;=Cutoff!$B$10),1,0)</f>
        <v>1</v>
      </c>
      <c r="N284" s="12" t="n">
        <f aca="false">IF(AND(M284=1,F284+Cutoff!$B$16&lt;=Cutoff!$B$10),1,0)</f>
        <v>1</v>
      </c>
      <c r="O284" s="12" t="n">
        <f aca="false">IF(N284=1,IF(AND(H284&lt;1000000000000000,H284&gt;=MAX(F284,E284),H284&lt;F284+Cutoff!$B$16,I284&lt;=Cutoff!$B$10),1,0),0)</f>
        <v>0</v>
      </c>
      <c r="P284" s="12" t="n">
        <f aca="false">IF(AND(L284=1,J284&lt;=Cutoff!$B$10),1,0)</f>
        <v>0</v>
      </c>
      <c r="Q284" s="12" t="n">
        <f aca="false">IF(AND(N284=1,E284+Cutoff!$B$17&lt;=Cutoff!$B$10),1,0)</f>
        <v>1</v>
      </c>
      <c r="R284" s="12" t="n">
        <f aca="false">IF(Q284=1,IF(K284&lt;=Cutoff!$B$10,1,0),0)</f>
        <v>0</v>
      </c>
      <c r="S284" s="12" t="n">
        <f aca="false">IF(N284=1,SUMIFS(Subscriptions!$D$2:$D$208,Subscriptions!$A$2:$A$208,C284,Subscriptions!$E$2:$E$208,1,Subscriptions!$B$2:$B$208,"&gt;="&amp;Cutoff!$B$24,Subscriptions!$B$2:$B$208,"&lt;"&amp;Cutoff!$B$25,Subscriptions!$B$2:$B$208,"&lt;="&amp;Cutoff!$B$10),0)</f>
        <v>0</v>
      </c>
    </row>
    <row r="285" customFormat="false" ht="15" hidden="false" customHeight="false" outlineLevel="0" collapsed="false">
      <c r="A285" s="4" t="s">
        <v>854</v>
      </c>
      <c r="B285" s="4" t="s">
        <v>288</v>
      </c>
      <c r="C285" s="4" t="s">
        <v>855</v>
      </c>
      <c r="D285" s="4" t="s">
        <v>51</v>
      </c>
      <c r="E285" s="4" t="n">
        <v>1782202458</v>
      </c>
      <c r="F285" s="4" t="n">
        <v>1782202376</v>
      </c>
      <c r="G285" s="4" t="n">
        <v>1782202447</v>
      </c>
      <c r="H285" s="4" t="n">
        <v>1782282371</v>
      </c>
      <c r="I285" s="4" t="n">
        <v>1782282379</v>
      </c>
      <c r="J285" s="4" t="n">
        <v>1782203437</v>
      </c>
      <c r="K285" s="4" t="n">
        <v>1000000000000000</v>
      </c>
      <c r="L285" s="12" t="n">
        <f aca="false">IF(AND(B285=Cutoff!$B$12,E285&lt;=Cutoff!$B$10),1,0)</f>
        <v>1</v>
      </c>
      <c r="M285" s="12" t="n">
        <f aca="false">IF(AND(L285=1,F285&lt;1000000000000000,G285&lt;=Cutoff!$B$10),1,0)</f>
        <v>1</v>
      </c>
      <c r="N285" s="12" t="n">
        <f aca="false">IF(AND(M285=1,F285+Cutoff!$B$16&lt;=Cutoff!$B$10),1,0)</f>
        <v>1</v>
      </c>
      <c r="O285" s="12" t="n">
        <f aca="false">IF(N285=1,IF(AND(H285&lt;1000000000000000,H285&gt;=MAX(F285,E285),H285&lt;F285+Cutoff!$B$16,I285&lt;=Cutoff!$B$10),1,0),0)</f>
        <v>1</v>
      </c>
      <c r="P285" s="12" t="n">
        <f aca="false">IF(AND(L285=1,J285&lt;=Cutoff!$B$10),1,0)</f>
        <v>1</v>
      </c>
      <c r="Q285" s="12" t="n">
        <f aca="false">IF(AND(N285=1,E285+Cutoff!$B$17&lt;=Cutoff!$B$10),1,0)</f>
        <v>1</v>
      </c>
      <c r="R285" s="12" t="n">
        <f aca="false">IF(Q285=1,IF(K285&lt;=Cutoff!$B$10,1,0),0)</f>
        <v>0</v>
      </c>
      <c r="S285" s="12" t="n">
        <f aca="false">IF(N285=1,SUMIFS(Subscriptions!$D$2:$D$208,Subscriptions!$A$2:$A$208,C285,Subscriptions!$E$2:$E$208,1,Subscriptions!$B$2:$B$208,"&gt;="&amp;Cutoff!$B$24,Subscriptions!$B$2:$B$208,"&lt;"&amp;Cutoff!$B$25,Subscriptions!$B$2:$B$208,"&lt;="&amp;Cutoff!$B$10),0)</f>
        <v>0</v>
      </c>
    </row>
    <row r="286" customFormat="false" ht="15" hidden="false" customHeight="false" outlineLevel="0" collapsed="false">
      <c r="A286" s="4" t="s">
        <v>856</v>
      </c>
      <c r="B286" s="4" t="s">
        <v>288</v>
      </c>
      <c r="C286" s="4" t="s">
        <v>857</v>
      </c>
      <c r="D286" s="4" t="s">
        <v>51</v>
      </c>
      <c r="E286" s="4" t="n">
        <v>1782243371</v>
      </c>
      <c r="F286" s="4" t="n">
        <v>1782242787</v>
      </c>
      <c r="G286" s="4" t="n">
        <v>1782242791</v>
      </c>
      <c r="H286" s="4" t="n">
        <v>1782325412</v>
      </c>
      <c r="I286" s="4" t="n">
        <v>1782325434</v>
      </c>
      <c r="J286" s="4" t="n">
        <v>1782243602</v>
      </c>
      <c r="K286" s="4" t="n">
        <v>1000000000000000</v>
      </c>
      <c r="L286" s="12" t="n">
        <f aca="false">IF(AND(B286=Cutoff!$B$12,E286&lt;=Cutoff!$B$10),1,0)</f>
        <v>1</v>
      </c>
      <c r="M286" s="12" t="n">
        <f aca="false">IF(AND(L286=1,F286&lt;1000000000000000,G286&lt;=Cutoff!$B$10),1,0)</f>
        <v>1</v>
      </c>
      <c r="N286" s="12" t="n">
        <f aca="false">IF(AND(M286=1,F286+Cutoff!$B$16&lt;=Cutoff!$B$10),1,0)</f>
        <v>1</v>
      </c>
      <c r="O286" s="12" t="n">
        <f aca="false">IF(N286=1,IF(AND(H286&lt;1000000000000000,H286&gt;=MAX(F286,E286),H286&lt;F286+Cutoff!$B$16,I286&lt;=Cutoff!$B$10),1,0),0)</f>
        <v>1</v>
      </c>
      <c r="P286" s="12" t="n">
        <f aca="false">IF(AND(L286=1,J286&lt;=Cutoff!$B$10),1,0)</f>
        <v>1</v>
      </c>
      <c r="Q286" s="12" t="n">
        <f aca="false">IF(AND(N286=1,E286+Cutoff!$B$17&lt;=Cutoff!$B$10),1,0)</f>
        <v>1</v>
      </c>
      <c r="R286" s="12" t="n">
        <f aca="false">IF(Q286=1,IF(K286&lt;=Cutoff!$B$10,1,0),0)</f>
        <v>0</v>
      </c>
      <c r="S286" s="12" t="n">
        <f aca="false">IF(N286=1,SUMIFS(Subscriptions!$D$2:$D$208,Subscriptions!$A$2:$A$208,C286,Subscriptions!$E$2:$E$208,1,Subscriptions!$B$2:$B$208,"&gt;="&amp;Cutoff!$B$24,Subscriptions!$B$2:$B$208,"&lt;"&amp;Cutoff!$B$25,Subscriptions!$B$2:$B$208,"&lt;="&amp;Cutoff!$B$10),0)</f>
        <v>0</v>
      </c>
    </row>
    <row r="287" customFormat="false" ht="15" hidden="false" customHeight="false" outlineLevel="0" collapsed="false">
      <c r="A287" s="4" t="s">
        <v>858</v>
      </c>
      <c r="B287" s="4" t="s">
        <v>288</v>
      </c>
      <c r="C287" s="4" t="s">
        <v>859</v>
      </c>
      <c r="D287" s="4" t="s">
        <v>51</v>
      </c>
      <c r="E287" s="4" t="n">
        <v>1782247228</v>
      </c>
      <c r="F287" s="4" t="n">
        <v>1782246683</v>
      </c>
      <c r="G287" s="4" t="n">
        <v>1782246701</v>
      </c>
      <c r="H287" s="4" t="n">
        <v>1782844724</v>
      </c>
      <c r="I287" s="4" t="n">
        <v>1782844735</v>
      </c>
      <c r="J287" s="4" t="n">
        <v>1782248016</v>
      </c>
      <c r="K287" s="4" t="n">
        <v>1782248408</v>
      </c>
      <c r="L287" s="12" t="n">
        <f aca="false">IF(AND(B287=Cutoff!$B$12,E287&lt;=Cutoff!$B$10),1,0)</f>
        <v>1</v>
      </c>
      <c r="M287" s="12" t="n">
        <f aca="false">IF(AND(L287=1,F287&lt;1000000000000000,G287&lt;=Cutoff!$B$10),1,0)</f>
        <v>1</v>
      </c>
      <c r="N287" s="12" t="n">
        <f aca="false">IF(AND(M287=1,F287+Cutoff!$B$16&lt;=Cutoff!$B$10),1,0)</f>
        <v>1</v>
      </c>
      <c r="O287" s="12" t="n">
        <f aca="false">IF(N287=1,IF(AND(H287&lt;1000000000000000,H287&gt;=MAX(F287,E287),H287&lt;F287+Cutoff!$B$16,I287&lt;=Cutoff!$B$10),1,0),0)</f>
        <v>1</v>
      </c>
      <c r="P287" s="12" t="n">
        <f aca="false">IF(AND(L287=1,J287&lt;=Cutoff!$B$10),1,0)</f>
        <v>1</v>
      </c>
      <c r="Q287" s="12" t="n">
        <f aca="false">IF(AND(N287=1,E287+Cutoff!$B$17&lt;=Cutoff!$B$10),1,0)</f>
        <v>1</v>
      </c>
      <c r="R287" s="12" t="n">
        <f aca="false">IF(Q287=1,IF(K287&lt;=Cutoff!$B$10,1,0),0)</f>
        <v>1</v>
      </c>
      <c r="S287" s="12" t="n">
        <f aca="false">IF(N287=1,SUMIFS(Subscriptions!$D$2:$D$208,Subscriptions!$A$2:$A$208,C287,Subscriptions!$E$2:$E$208,1,Subscriptions!$B$2:$B$208,"&gt;="&amp;Cutoff!$B$24,Subscriptions!$B$2:$B$208,"&lt;"&amp;Cutoff!$B$25,Subscriptions!$B$2:$B$208,"&lt;="&amp;Cutoff!$B$10),0)</f>
        <v>0</v>
      </c>
    </row>
    <row r="288" customFormat="false" ht="15" hidden="false" customHeight="false" outlineLevel="0" collapsed="false">
      <c r="A288" s="4" t="s">
        <v>860</v>
      </c>
      <c r="B288" s="4" t="s">
        <v>288</v>
      </c>
      <c r="C288" s="4" t="s">
        <v>861</v>
      </c>
      <c r="D288" s="4" t="s">
        <v>52</v>
      </c>
      <c r="E288" s="4" t="n">
        <v>1782256222</v>
      </c>
      <c r="F288" s="4" t="n">
        <v>1782256132</v>
      </c>
      <c r="G288" s="4" t="n">
        <v>1782256164</v>
      </c>
      <c r="H288" s="4" t="n">
        <v>1782267538</v>
      </c>
      <c r="I288" s="4" t="n">
        <v>1782267788</v>
      </c>
      <c r="J288" s="4" t="n">
        <v>1782256737</v>
      </c>
      <c r="K288" s="4" t="n">
        <v>1000000000000000</v>
      </c>
      <c r="L288" s="12" t="n">
        <f aca="false">IF(AND(B288=Cutoff!$B$12,E288&lt;=Cutoff!$B$10),1,0)</f>
        <v>1</v>
      </c>
      <c r="M288" s="12" t="n">
        <f aca="false">IF(AND(L288=1,F288&lt;1000000000000000,G288&lt;=Cutoff!$B$10),1,0)</f>
        <v>1</v>
      </c>
      <c r="N288" s="12" t="n">
        <f aca="false">IF(AND(M288=1,F288+Cutoff!$B$16&lt;=Cutoff!$B$10),1,0)</f>
        <v>1</v>
      </c>
      <c r="O288" s="12" t="n">
        <f aca="false">IF(N288=1,IF(AND(H288&lt;1000000000000000,H288&gt;=MAX(F288,E288),H288&lt;F288+Cutoff!$B$16,I288&lt;=Cutoff!$B$10),1,0),0)</f>
        <v>1</v>
      </c>
      <c r="P288" s="12" t="n">
        <f aca="false">IF(AND(L288=1,J288&lt;=Cutoff!$B$10),1,0)</f>
        <v>1</v>
      </c>
      <c r="Q288" s="12" t="n">
        <f aca="false">IF(AND(N288=1,E288+Cutoff!$B$17&lt;=Cutoff!$B$10),1,0)</f>
        <v>1</v>
      </c>
      <c r="R288" s="12" t="n">
        <f aca="false">IF(Q288=1,IF(K288&lt;=Cutoff!$B$10,1,0),0)</f>
        <v>0</v>
      </c>
      <c r="S288" s="12" t="n">
        <f aca="false">IF(N288=1,SUMIFS(Subscriptions!$D$2:$D$208,Subscriptions!$A$2:$A$208,C288,Subscriptions!$E$2:$E$208,1,Subscriptions!$B$2:$B$208,"&gt;="&amp;Cutoff!$B$24,Subscriptions!$B$2:$B$208,"&lt;"&amp;Cutoff!$B$25,Subscriptions!$B$2:$B$208,"&lt;="&amp;Cutoff!$B$10),0)</f>
        <v>1170</v>
      </c>
    </row>
    <row r="289" customFormat="false" ht="15" hidden="false" customHeight="false" outlineLevel="0" collapsed="false">
      <c r="A289" s="4" t="s">
        <v>862</v>
      </c>
      <c r="B289" s="4" t="s">
        <v>288</v>
      </c>
      <c r="C289" s="4" t="s">
        <v>863</v>
      </c>
      <c r="D289" s="4" t="s">
        <v>52</v>
      </c>
      <c r="E289" s="4" t="n">
        <v>1782318254</v>
      </c>
      <c r="F289" s="4" t="n">
        <v>1782318054</v>
      </c>
      <c r="G289" s="4" t="n">
        <v>1782318072</v>
      </c>
      <c r="H289" s="4" t="n">
        <v>1000000000000000</v>
      </c>
      <c r="I289" s="4" t="n">
        <v>1000000000000000</v>
      </c>
      <c r="J289" s="4" t="n">
        <v>1782318374</v>
      </c>
      <c r="K289" s="4" t="n">
        <v>1000000000000000</v>
      </c>
      <c r="L289" s="12" t="n">
        <f aca="false">IF(AND(B289=Cutoff!$B$12,E289&lt;=Cutoff!$B$10),1,0)</f>
        <v>1</v>
      </c>
      <c r="M289" s="12" t="n">
        <f aca="false">IF(AND(L289=1,F289&lt;1000000000000000,G289&lt;=Cutoff!$B$10),1,0)</f>
        <v>1</v>
      </c>
      <c r="N289" s="12" t="n">
        <f aca="false">IF(AND(M289=1,F289+Cutoff!$B$16&lt;=Cutoff!$B$10),1,0)</f>
        <v>1</v>
      </c>
      <c r="O289" s="12" t="n">
        <f aca="false">IF(N289=1,IF(AND(H289&lt;1000000000000000,H289&gt;=MAX(F289,E289),H289&lt;F289+Cutoff!$B$16,I289&lt;=Cutoff!$B$10),1,0),0)</f>
        <v>0</v>
      </c>
      <c r="P289" s="12" t="n">
        <f aca="false">IF(AND(L289=1,J289&lt;=Cutoff!$B$10),1,0)</f>
        <v>1</v>
      </c>
      <c r="Q289" s="12" t="n">
        <f aca="false">IF(AND(N289=1,E289+Cutoff!$B$17&lt;=Cutoff!$B$10),1,0)</f>
        <v>1</v>
      </c>
      <c r="R289" s="12" t="n">
        <f aca="false">IF(Q289=1,IF(K289&lt;=Cutoff!$B$10,1,0),0)</f>
        <v>0</v>
      </c>
      <c r="S289" s="12" t="n">
        <f aca="false">IF(N289=1,SUMIFS(Subscriptions!$D$2:$D$208,Subscriptions!$A$2:$A$208,C289,Subscriptions!$E$2:$E$208,1,Subscriptions!$B$2:$B$208,"&gt;="&amp;Cutoff!$B$24,Subscriptions!$B$2:$B$208,"&lt;"&amp;Cutoff!$B$25,Subscriptions!$B$2:$B$208,"&lt;="&amp;Cutoff!$B$10),0)</f>
        <v>0</v>
      </c>
    </row>
    <row r="290" customFormat="false" ht="15" hidden="false" customHeight="false" outlineLevel="0" collapsed="false">
      <c r="A290" s="4" t="s">
        <v>864</v>
      </c>
      <c r="B290" s="4" t="s">
        <v>288</v>
      </c>
      <c r="C290" s="4" t="s">
        <v>865</v>
      </c>
      <c r="D290" s="4" t="s">
        <v>51</v>
      </c>
      <c r="E290" s="4" t="n">
        <v>1782320963</v>
      </c>
      <c r="F290" s="4" t="n">
        <v>1782320618</v>
      </c>
      <c r="G290" s="4" t="n">
        <v>1782320758</v>
      </c>
      <c r="H290" s="4" t="n">
        <v>1784404042</v>
      </c>
      <c r="I290" s="4" t="n">
        <v>1784404120</v>
      </c>
      <c r="J290" s="4" t="n">
        <v>1782321595</v>
      </c>
      <c r="K290" s="4" t="n">
        <v>1000000000000000</v>
      </c>
      <c r="L290" s="12" t="n">
        <f aca="false">IF(AND(B290=Cutoff!$B$12,E290&lt;=Cutoff!$B$10),1,0)</f>
        <v>1</v>
      </c>
      <c r="M290" s="12" t="n">
        <f aca="false">IF(AND(L290=1,F290&lt;1000000000000000,G290&lt;=Cutoff!$B$10),1,0)</f>
        <v>1</v>
      </c>
      <c r="N290" s="12" t="n">
        <f aca="false">IF(AND(M290=1,F290+Cutoff!$B$16&lt;=Cutoff!$B$10),1,0)</f>
        <v>1</v>
      </c>
      <c r="O290" s="12" t="n">
        <f aca="false">IF(N290=1,IF(AND(H290&lt;1000000000000000,H290&gt;=MAX(F290,E290),H290&lt;F290+Cutoff!$B$16,I290&lt;=Cutoff!$B$10),1,0),0)</f>
        <v>0</v>
      </c>
      <c r="P290" s="12" t="n">
        <f aca="false">IF(AND(L290=1,J290&lt;=Cutoff!$B$10),1,0)</f>
        <v>1</v>
      </c>
      <c r="Q290" s="12" t="n">
        <f aca="false">IF(AND(N290=1,E290+Cutoff!$B$17&lt;=Cutoff!$B$10),1,0)</f>
        <v>1</v>
      </c>
      <c r="R290" s="12" t="n">
        <f aca="false">IF(Q290=1,IF(K290&lt;=Cutoff!$B$10,1,0),0)</f>
        <v>0</v>
      </c>
      <c r="S290" s="12" t="n">
        <f aca="false">IF(N290=1,SUMIFS(Subscriptions!$D$2:$D$208,Subscriptions!$A$2:$A$208,C290,Subscriptions!$E$2:$E$208,1,Subscriptions!$B$2:$B$208,"&gt;="&amp;Cutoff!$B$24,Subscriptions!$B$2:$B$208,"&lt;"&amp;Cutoff!$B$25,Subscriptions!$B$2:$B$208,"&lt;="&amp;Cutoff!$B$10),0)</f>
        <v>0</v>
      </c>
    </row>
    <row r="291" customFormat="false" ht="15" hidden="false" customHeight="false" outlineLevel="0" collapsed="false">
      <c r="A291" s="4" t="s">
        <v>866</v>
      </c>
      <c r="B291" s="4" t="s">
        <v>288</v>
      </c>
      <c r="C291" s="4" t="s">
        <v>867</v>
      </c>
      <c r="D291" s="4" t="s">
        <v>52</v>
      </c>
      <c r="E291" s="4" t="n">
        <v>1782324500</v>
      </c>
      <c r="F291" s="4" t="n">
        <v>1782324418</v>
      </c>
      <c r="G291" s="4" t="n">
        <v>1782324431</v>
      </c>
      <c r="H291" s="4" t="n">
        <v>1000000000000000</v>
      </c>
      <c r="I291" s="4" t="n">
        <v>1000000000000000</v>
      </c>
      <c r="J291" s="4" t="n">
        <v>1782324870</v>
      </c>
      <c r="K291" s="4" t="n">
        <v>1000000000000000</v>
      </c>
      <c r="L291" s="12" t="n">
        <f aca="false">IF(AND(B291=Cutoff!$B$12,E291&lt;=Cutoff!$B$10),1,0)</f>
        <v>1</v>
      </c>
      <c r="M291" s="12" t="n">
        <f aca="false">IF(AND(L291=1,F291&lt;1000000000000000,G291&lt;=Cutoff!$B$10),1,0)</f>
        <v>1</v>
      </c>
      <c r="N291" s="12" t="n">
        <f aca="false">IF(AND(M291=1,F291+Cutoff!$B$16&lt;=Cutoff!$B$10),1,0)</f>
        <v>1</v>
      </c>
      <c r="O291" s="12" t="n">
        <f aca="false">IF(N291=1,IF(AND(H291&lt;1000000000000000,H291&gt;=MAX(F291,E291),H291&lt;F291+Cutoff!$B$16,I291&lt;=Cutoff!$B$10),1,0),0)</f>
        <v>0</v>
      </c>
      <c r="P291" s="12" t="n">
        <f aca="false">IF(AND(L291=1,J291&lt;=Cutoff!$B$10),1,0)</f>
        <v>1</v>
      </c>
      <c r="Q291" s="12" t="n">
        <f aca="false">IF(AND(N291=1,E291+Cutoff!$B$17&lt;=Cutoff!$B$10),1,0)</f>
        <v>1</v>
      </c>
      <c r="R291" s="12" t="n">
        <f aca="false">IF(Q291=1,IF(K291&lt;=Cutoff!$B$10,1,0),0)</f>
        <v>0</v>
      </c>
      <c r="S291" s="12" t="n">
        <f aca="false">IF(N291=1,SUMIFS(Subscriptions!$D$2:$D$208,Subscriptions!$A$2:$A$208,C291,Subscriptions!$E$2:$E$208,1,Subscriptions!$B$2:$B$208,"&gt;="&amp;Cutoff!$B$24,Subscriptions!$B$2:$B$208,"&lt;"&amp;Cutoff!$B$25,Subscriptions!$B$2:$B$208,"&lt;="&amp;Cutoff!$B$10),0)</f>
        <v>0</v>
      </c>
    </row>
    <row r="292" customFormat="false" ht="15" hidden="false" customHeight="false" outlineLevel="0" collapsed="false">
      <c r="A292" s="4" t="s">
        <v>868</v>
      </c>
      <c r="B292" s="4" t="s">
        <v>288</v>
      </c>
      <c r="C292" s="4" t="s">
        <v>869</v>
      </c>
      <c r="D292" s="4" t="s">
        <v>51</v>
      </c>
      <c r="E292" s="4" t="n">
        <v>1782377378</v>
      </c>
      <c r="F292" s="4" t="n">
        <v>1782377186</v>
      </c>
      <c r="G292" s="4" t="n">
        <v>1782377272</v>
      </c>
      <c r="H292" s="4" t="n">
        <v>1782468166</v>
      </c>
      <c r="I292" s="4" t="n">
        <v>1782468168</v>
      </c>
      <c r="J292" s="4" t="n">
        <v>1782377848</v>
      </c>
      <c r="K292" s="4" t="n">
        <v>1000000000000000</v>
      </c>
      <c r="L292" s="12" t="n">
        <f aca="false">IF(AND(B292=Cutoff!$B$12,E292&lt;=Cutoff!$B$10),1,0)</f>
        <v>1</v>
      </c>
      <c r="M292" s="12" t="n">
        <f aca="false">IF(AND(L292=1,F292&lt;1000000000000000,G292&lt;=Cutoff!$B$10),1,0)</f>
        <v>1</v>
      </c>
      <c r="N292" s="12" t="n">
        <f aca="false">IF(AND(M292=1,F292+Cutoff!$B$16&lt;=Cutoff!$B$10),1,0)</f>
        <v>1</v>
      </c>
      <c r="O292" s="12" t="n">
        <f aca="false">IF(N292=1,IF(AND(H292&lt;1000000000000000,H292&gt;=MAX(F292,E292),H292&lt;F292+Cutoff!$B$16,I292&lt;=Cutoff!$B$10),1,0),0)</f>
        <v>1</v>
      </c>
      <c r="P292" s="12" t="n">
        <f aca="false">IF(AND(L292=1,J292&lt;=Cutoff!$B$10),1,0)</f>
        <v>1</v>
      </c>
      <c r="Q292" s="12" t="n">
        <f aca="false">IF(AND(N292=1,E292+Cutoff!$B$17&lt;=Cutoff!$B$10),1,0)</f>
        <v>1</v>
      </c>
      <c r="R292" s="12" t="n">
        <f aca="false">IF(Q292=1,IF(K292&lt;=Cutoff!$B$10,1,0),0)</f>
        <v>0</v>
      </c>
      <c r="S292" s="12" t="n">
        <f aca="false">IF(N292=1,SUMIFS(Subscriptions!$D$2:$D$208,Subscriptions!$A$2:$A$208,C292,Subscriptions!$E$2:$E$208,1,Subscriptions!$B$2:$B$208,"&gt;="&amp;Cutoff!$B$24,Subscriptions!$B$2:$B$208,"&lt;"&amp;Cutoff!$B$25,Subscriptions!$B$2:$B$208,"&lt;="&amp;Cutoff!$B$10),0)</f>
        <v>0</v>
      </c>
    </row>
    <row r="293" customFormat="false" ht="15" hidden="false" customHeight="false" outlineLevel="0" collapsed="false">
      <c r="A293" s="4" t="s">
        <v>870</v>
      </c>
      <c r="B293" s="4" t="s">
        <v>288</v>
      </c>
      <c r="C293" s="4" t="s">
        <v>871</v>
      </c>
      <c r="D293" s="4" t="s">
        <v>52</v>
      </c>
      <c r="E293" s="4" t="n">
        <v>1782402553</v>
      </c>
      <c r="F293" s="4" t="n">
        <v>1782402417</v>
      </c>
      <c r="G293" s="4" t="n">
        <v>1782402424</v>
      </c>
      <c r="H293" s="4" t="n">
        <v>1000000000000000</v>
      </c>
      <c r="I293" s="4" t="n">
        <v>1000000000000000</v>
      </c>
      <c r="J293" s="4" t="n">
        <v>1782402675</v>
      </c>
      <c r="K293" s="4" t="n">
        <v>1000000000000000</v>
      </c>
      <c r="L293" s="12" t="n">
        <f aca="false">IF(AND(B293=Cutoff!$B$12,E293&lt;=Cutoff!$B$10),1,0)</f>
        <v>1</v>
      </c>
      <c r="M293" s="12" t="n">
        <f aca="false">IF(AND(L293=1,F293&lt;1000000000000000,G293&lt;=Cutoff!$B$10),1,0)</f>
        <v>1</v>
      </c>
      <c r="N293" s="12" t="n">
        <f aca="false">IF(AND(M293=1,F293+Cutoff!$B$16&lt;=Cutoff!$B$10),1,0)</f>
        <v>1</v>
      </c>
      <c r="O293" s="12" t="n">
        <f aca="false">IF(N293=1,IF(AND(H293&lt;1000000000000000,H293&gt;=MAX(F293,E293),H293&lt;F293+Cutoff!$B$16,I293&lt;=Cutoff!$B$10),1,0),0)</f>
        <v>0</v>
      </c>
      <c r="P293" s="12" t="n">
        <f aca="false">IF(AND(L293=1,J293&lt;=Cutoff!$B$10),1,0)</f>
        <v>1</v>
      </c>
      <c r="Q293" s="12" t="n">
        <f aca="false">IF(AND(N293=1,E293+Cutoff!$B$17&lt;=Cutoff!$B$10),1,0)</f>
        <v>1</v>
      </c>
      <c r="R293" s="12" t="n">
        <f aca="false">IF(Q293=1,IF(K293&lt;=Cutoff!$B$10,1,0),0)</f>
        <v>0</v>
      </c>
      <c r="S293" s="12" t="n">
        <f aca="false">IF(N293=1,SUMIFS(Subscriptions!$D$2:$D$208,Subscriptions!$A$2:$A$208,C293,Subscriptions!$E$2:$E$208,1,Subscriptions!$B$2:$B$208,"&gt;="&amp;Cutoff!$B$24,Subscriptions!$B$2:$B$208,"&lt;"&amp;Cutoff!$B$25,Subscriptions!$B$2:$B$208,"&lt;="&amp;Cutoff!$B$10),0)</f>
        <v>0</v>
      </c>
    </row>
    <row r="294" customFormat="false" ht="15" hidden="false" customHeight="false" outlineLevel="0" collapsed="false">
      <c r="A294" s="4" t="s">
        <v>872</v>
      </c>
      <c r="B294" s="4" t="s">
        <v>288</v>
      </c>
      <c r="C294" s="4" t="s">
        <v>873</v>
      </c>
      <c r="D294" s="4" t="s">
        <v>51</v>
      </c>
      <c r="E294" s="4" t="n">
        <v>1782415186</v>
      </c>
      <c r="F294" s="4" t="n">
        <v>1782415051</v>
      </c>
      <c r="G294" s="4" t="n">
        <v>1782415072</v>
      </c>
      <c r="H294" s="4" t="n">
        <v>1782458126</v>
      </c>
      <c r="I294" s="4" t="n">
        <v>1782458136</v>
      </c>
      <c r="J294" s="4" t="n">
        <v>1782415834</v>
      </c>
      <c r="K294" s="4" t="n">
        <v>1000000000000000</v>
      </c>
      <c r="L294" s="12" t="n">
        <f aca="false">IF(AND(B294=Cutoff!$B$12,E294&lt;=Cutoff!$B$10),1,0)</f>
        <v>1</v>
      </c>
      <c r="M294" s="12" t="n">
        <f aca="false">IF(AND(L294=1,F294&lt;1000000000000000,G294&lt;=Cutoff!$B$10),1,0)</f>
        <v>1</v>
      </c>
      <c r="N294" s="12" t="n">
        <f aca="false">IF(AND(M294=1,F294+Cutoff!$B$16&lt;=Cutoff!$B$10),1,0)</f>
        <v>1</v>
      </c>
      <c r="O294" s="12" t="n">
        <f aca="false">IF(N294=1,IF(AND(H294&lt;1000000000000000,H294&gt;=MAX(F294,E294),H294&lt;F294+Cutoff!$B$16,I294&lt;=Cutoff!$B$10),1,0),0)</f>
        <v>1</v>
      </c>
      <c r="P294" s="12" t="n">
        <f aca="false">IF(AND(L294=1,J294&lt;=Cutoff!$B$10),1,0)</f>
        <v>1</v>
      </c>
      <c r="Q294" s="12" t="n">
        <f aca="false">IF(AND(N294=1,E294+Cutoff!$B$17&lt;=Cutoff!$B$10),1,0)</f>
        <v>1</v>
      </c>
      <c r="R294" s="12" t="n">
        <f aca="false">IF(Q294=1,IF(K294&lt;=Cutoff!$B$10,1,0),0)</f>
        <v>0</v>
      </c>
      <c r="S294" s="12" t="n">
        <f aca="false">IF(N294=1,SUMIFS(Subscriptions!$D$2:$D$208,Subscriptions!$A$2:$A$208,C294,Subscriptions!$E$2:$E$208,1,Subscriptions!$B$2:$B$208,"&gt;="&amp;Cutoff!$B$24,Subscriptions!$B$2:$B$208,"&lt;"&amp;Cutoff!$B$25,Subscriptions!$B$2:$B$208,"&lt;="&amp;Cutoff!$B$10),0)</f>
        <v>546</v>
      </c>
    </row>
    <row r="295" customFormat="false" ht="15" hidden="false" customHeight="false" outlineLevel="0" collapsed="false">
      <c r="A295" s="4" t="s">
        <v>874</v>
      </c>
      <c r="B295" s="4" t="s">
        <v>288</v>
      </c>
      <c r="C295" s="4" t="s">
        <v>875</v>
      </c>
      <c r="D295" s="4" t="s">
        <v>52</v>
      </c>
      <c r="E295" s="4" t="n">
        <v>1782416489</v>
      </c>
      <c r="F295" s="4" t="n">
        <v>1782416051</v>
      </c>
      <c r="G295" s="4" t="n">
        <v>1782416076</v>
      </c>
      <c r="H295" s="4" t="n">
        <v>1000000000000000</v>
      </c>
      <c r="I295" s="4" t="n">
        <v>1000000000000000</v>
      </c>
      <c r="J295" s="4" t="n">
        <v>1782416671</v>
      </c>
      <c r="K295" s="4" t="n">
        <v>1782658108</v>
      </c>
      <c r="L295" s="12" t="n">
        <f aca="false">IF(AND(B295=Cutoff!$B$12,E295&lt;=Cutoff!$B$10),1,0)</f>
        <v>1</v>
      </c>
      <c r="M295" s="12" t="n">
        <f aca="false">IF(AND(L295=1,F295&lt;1000000000000000,G295&lt;=Cutoff!$B$10),1,0)</f>
        <v>1</v>
      </c>
      <c r="N295" s="12" t="n">
        <f aca="false">IF(AND(M295=1,F295+Cutoff!$B$16&lt;=Cutoff!$B$10),1,0)</f>
        <v>1</v>
      </c>
      <c r="O295" s="12" t="n">
        <f aca="false">IF(N295=1,IF(AND(H295&lt;1000000000000000,H295&gt;=MAX(F295,E295),H295&lt;F295+Cutoff!$B$16,I295&lt;=Cutoff!$B$10),1,0),0)</f>
        <v>0</v>
      </c>
      <c r="P295" s="12" t="n">
        <f aca="false">IF(AND(L295=1,J295&lt;=Cutoff!$B$10),1,0)</f>
        <v>1</v>
      </c>
      <c r="Q295" s="12" t="n">
        <f aca="false">IF(AND(N295=1,E295+Cutoff!$B$17&lt;=Cutoff!$B$10),1,0)</f>
        <v>1</v>
      </c>
      <c r="R295" s="12" t="n">
        <f aca="false">IF(Q295=1,IF(K295&lt;=Cutoff!$B$10,1,0),0)</f>
        <v>1</v>
      </c>
      <c r="S295" s="12" t="n">
        <f aca="false">IF(N295=1,SUMIFS(Subscriptions!$D$2:$D$208,Subscriptions!$A$2:$A$208,C295,Subscriptions!$E$2:$E$208,1,Subscriptions!$B$2:$B$208,"&gt;="&amp;Cutoff!$B$24,Subscriptions!$B$2:$B$208,"&lt;"&amp;Cutoff!$B$25,Subscriptions!$B$2:$B$208,"&lt;="&amp;Cutoff!$B$10),0)</f>
        <v>0</v>
      </c>
    </row>
    <row r="296" customFormat="false" ht="15" hidden="false" customHeight="false" outlineLevel="0" collapsed="false">
      <c r="A296" s="4" t="s">
        <v>876</v>
      </c>
      <c r="B296" s="4" t="s">
        <v>288</v>
      </c>
      <c r="C296" s="4" t="s">
        <v>877</v>
      </c>
      <c r="D296" s="4" t="s">
        <v>51</v>
      </c>
      <c r="E296" s="4" t="n">
        <v>1782421053</v>
      </c>
      <c r="F296" s="4" t="n">
        <v>1782420578</v>
      </c>
      <c r="G296" s="4" t="n">
        <v>1782420728</v>
      </c>
      <c r="H296" s="4" t="n">
        <v>1782475336</v>
      </c>
      <c r="I296" s="4" t="n">
        <v>1782480224</v>
      </c>
      <c r="J296" s="4" t="n">
        <v>1782422076</v>
      </c>
      <c r="K296" s="4" t="n">
        <v>1000000000000000</v>
      </c>
      <c r="L296" s="12" t="n">
        <f aca="false">IF(AND(B296=Cutoff!$B$12,E296&lt;=Cutoff!$B$10),1,0)</f>
        <v>1</v>
      </c>
      <c r="M296" s="12" t="n">
        <f aca="false">IF(AND(L296=1,F296&lt;1000000000000000,G296&lt;=Cutoff!$B$10),1,0)</f>
        <v>1</v>
      </c>
      <c r="N296" s="12" t="n">
        <f aca="false">IF(AND(M296=1,F296+Cutoff!$B$16&lt;=Cutoff!$B$10),1,0)</f>
        <v>1</v>
      </c>
      <c r="O296" s="12" t="n">
        <f aca="false">IF(N296=1,IF(AND(H296&lt;1000000000000000,H296&gt;=MAX(F296,E296),H296&lt;F296+Cutoff!$B$16,I296&lt;=Cutoff!$B$10),1,0),0)</f>
        <v>1</v>
      </c>
      <c r="P296" s="12" t="n">
        <f aca="false">IF(AND(L296=1,J296&lt;=Cutoff!$B$10),1,0)</f>
        <v>1</v>
      </c>
      <c r="Q296" s="12" t="n">
        <f aca="false">IF(AND(N296=1,E296+Cutoff!$B$17&lt;=Cutoff!$B$10),1,0)</f>
        <v>1</v>
      </c>
      <c r="R296" s="12" t="n">
        <f aca="false">IF(Q296=1,IF(K296&lt;=Cutoff!$B$10,1,0),0)</f>
        <v>0</v>
      </c>
      <c r="S296" s="12" t="n">
        <f aca="false">IF(N296=1,SUMIFS(Subscriptions!$D$2:$D$208,Subscriptions!$A$2:$A$208,C296,Subscriptions!$E$2:$E$208,1,Subscriptions!$B$2:$B$208,"&gt;="&amp;Cutoff!$B$24,Subscriptions!$B$2:$B$208,"&lt;"&amp;Cutoff!$B$25,Subscriptions!$B$2:$B$208,"&lt;="&amp;Cutoff!$B$10),0)</f>
        <v>234</v>
      </c>
    </row>
    <row r="297" customFormat="false" ht="15" hidden="false" customHeight="false" outlineLevel="0" collapsed="false">
      <c r="A297" s="4" t="s">
        <v>878</v>
      </c>
      <c r="B297" s="4" t="s">
        <v>288</v>
      </c>
      <c r="C297" s="4" t="s">
        <v>879</v>
      </c>
      <c r="D297" s="4" t="s">
        <v>52</v>
      </c>
      <c r="E297" s="4" t="n">
        <v>1782425697</v>
      </c>
      <c r="F297" s="4" t="n">
        <v>1782425222</v>
      </c>
      <c r="G297" s="4" t="n">
        <v>1782425233</v>
      </c>
      <c r="H297" s="4" t="n">
        <v>1784746503</v>
      </c>
      <c r="I297" s="4" t="n">
        <v>1784746507</v>
      </c>
      <c r="J297" s="4" t="n">
        <v>1000000000000000</v>
      </c>
      <c r="K297" s="4" t="n">
        <v>1000000000000000</v>
      </c>
      <c r="L297" s="12" t="n">
        <f aca="false">IF(AND(B297=Cutoff!$B$12,E297&lt;=Cutoff!$B$10),1,0)</f>
        <v>1</v>
      </c>
      <c r="M297" s="12" t="n">
        <f aca="false">IF(AND(L297=1,F297&lt;1000000000000000,G297&lt;=Cutoff!$B$10),1,0)</f>
        <v>1</v>
      </c>
      <c r="N297" s="12" t="n">
        <f aca="false">IF(AND(M297=1,F297+Cutoff!$B$16&lt;=Cutoff!$B$10),1,0)</f>
        <v>1</v>
      </c>
      <c r="O297" s="12" t="n">
        <f aca="false">IF(N297=1,IF(AND(H297&lt;1000000000000000,H297&gt;=MAX(F297,E297),H297&lt;F297+Cutoff!$B$16,I297&lt;=Cutoff!$B$10),1,0),0)</f>
        <v>0</v>
      </c>
      <c r="P297" s="12" t="n">
        <f aca="false">IF(AND(L297=1,J297&lt;=Cutoff!$B$10),1,0)</f>
        <v>0</v>
      </c>
      <c r="Q297" s="12" t="n">
        <f aca="false">IF(AND(N297=1,E297+Cutoff!$B$17&lt;=Cutoff!$B$10),1,0)</f>
        <v>1</v>
      </c>
      <c r="R297" s="12" t="n">
        <f aca="false">IF(Q297=1,IF(K297&lt;=Cutoff!$B$10,1,0),0)</f>
        <v>0</v>
      </c>
      <c r="S297" s="12" t="n">
        <f aca="false">IF(N297=1,SUMIFS(Subscriptions!$D$2:$D$208,Subscriptions!$A$2:$A$208,C297,Subscriptions!$E$2:$E$208,1,Subscriptions!$B$2:$B$208,"&gt;="&amp;Cutoff!$B$24,Subscriptions!$B$2:$B$208,"&lt;"&amp;Cutoff!$B$25,Subscriptions!$B$2:$B$208,"&lt;="&amp;Cutoff!$B$10),0)</f>
        <v>0</v>
      </c>
    </row>
    <row r="298" customFormat="false" ht="15" hidden="false" customHeight="false" outlineLevel="0" collapsed="false">
      <c r="A298" s="4" t="s">
        <v>880</v>
      </c>
      <c r="B298" s="4" t="s">
        <v>288</v>
      </c>
      <c r="C298" s="4" t="s">
        <v>881</v>
      </c>
      <c r="D298" s="4" t="s">
        <v>51</v>
      </c>
      <c r="E298" s="4" t="n">
        <v>1782474977</v>
      </c>
      <c r="F298" s="4" t="n">
        <v>1782474662</v>
      </c>
      <c r="G298" s="4" t="n">
        <v>1782474672</v>
      </c>
      <c r="H298" s="4" t="n">
        <v>1000000000000000</v>
      </c>
      <c r="I298" s="4" t="n">
        <v>1000000000000000</v>
      </c>
      <c r="J298" s="4" t="n">
        <v>1782475287</v>
      </c>
      <c r="K298" s="4" t="n">
        <v>1000000000000000</v>
      </c>
      <c r="L298" s="12" t="n">
        <f aca="false">IF(AND(B298=Cutoff!$B$12,E298&lt;=Cutoff!$B$10),1,0)</f>
        <v>1</v>
      </c>
      <c r="M298" s="12" t="n">
        <f aca="false">IF(AND(L298=1,F298&lt;1000000000000000,G298&lt;=Cutoff!$B$10),1,0)</f>
        <v>1</v>
      </c>
      <c r="N298" s="12" t="n">
        <f aca="false">IF(AND(M298=1,F298+Cutoff!$B$16&lt;=Cutoff!$B$10),1,0)</f>
        <v>1</v>
      </c>
      <c r="O298" s="12" t="n">
        <f aca="false">IF(N298=1,IF(AND(H298&lt;1000000000000000,H298&gt;=MAX(F298,E298),H298&lt;F298+Cutoff!$B$16,I298&lt;=Cutoff!$B$10),1,0),0)</f>
        <v>0</v>
      </c>
      <c r="P298" s="12" t="n">
        <f aca="false">IF(AND(L298=1,J298&lt;=Cutoff!$B$10),1,0)</f>
        <v>1</v>
      </c>
      <c r="Q298" s="12" t="n">
        <f aca="false">IF(AND(N298=1,E298+Cutoff!$B$17&lt;=Cutoff!$B$10),1,0)</f>
        <v>1</v>
      </c>
      <c r="R298" s="12" t="n">
        <f aca="false">IF(Q298=1,IF(K298&lt;=Cutoff!$B$10,1,0),0)</f>
        <v>0</v>
      </c>
      <c r="S298" s="12" t="n">
        <f aca="false">IF(N298=1,SUMIFS(Subscriptions!$D$2:$D$208,Subscriptions!$A$2:$A$208,C298,Subscriptions!$E$2:$E$208,1,Subscriptions!$B$2:$B$208,"&gt;="&amp;Cutoff!$B$24,Subscriptions!$B$2:$B$208,"&lt;"&amp;Cutoff!$B$25,Subscriptions!$B$2:$B$208,"&lt;="&amp;Cutoff!$B$10),0)</f>
        <v>0</v>
      </c>
    </row>
    <row r="299" customFormat="false" ht="15" hidden="false" customHeight="false" outlineLevel="0" collapsed="false">
      <c r="A299" s="4" t="s">
        <v>882</v>
      </c>
      <c r="B299" s="4" t="s">
        <v>288</v>
      </c>
      <c r="C299" s="4" t="s">
        <v>883</v>
      </c>
      <c r="D299" s="4" t="s">
        <v>51</v>
      </c>
      <c r="E299" s="4" t="n">
        <v>1782497632</v>
      </c>
      <c r="F299" s="4" t="n">
        <v>1782497190</v>
      </c>
      <c r="G299" s="4" t="n">
        <v>1782497206</v>
      </c>
      <c r="H299" s="4" t="n">
        <v>1000000000000000</v>
      </c>
      <c r="I299" s="4" t="n">
        <v>1000000000000000</v>
      </c>
      <c r="J299" s="4" t="n">
        <v>1782497848</v>
      </c>
      <c r="K299" s="4" t="n">
        <v>1000000000000000</v>
      </c>
      <c r="L299" s="12" t="n">
        <f aca="false">IF(AND(B299=Cutoff!$B$12,E299&lt;=Cutoff!$B$10),1,0)</f>
        <v>1</v>
      </c>
      <c r="M299" s="12" t="n">
        <f aca="false">IF(AND(L299=1,F299&lt;1000000000000000,G299&lt;=Cutoff!$B$10),1,0)</f>
        <v>1</v>
      </c>
      <c r="N299" s="12" t="n">
        <f aca="false">IF(AND(M299=1,F299+Cutoff!$B$16&lt;=Cutoff!$B$10),1,0)</f>
        <v>1</v>
      </c>
      <c r="O299" s="12" t="n">
        <f aca="false">IF(N299=1,IF(AND(H299&lt;1000000000000000,H299&gt;=MAX(F299,E299),H299&lt;F299+Cutoff!$B$16,I299&lt;=Cutoff!$B$10),1,0),0)</f>
        <v>0</v>
      </c>
      <c r="P299" s="12" t="n">
        <f aca="false">IF(AND(L299=1,J299&lt;=Cutoff!$B$10),1,0)</f>
        <v>1</v>
      </c>
      <c r="Q299" s="12" t="n">
        <f aca="false">IF(AND(N299=1,E299+Cutoff!$B$17&lt;=Cutoff!$B$10),1,0)</f>
        <v>1</v>
      </c>
      <c r="R299" s="12" t="n">
        <f aca="false">IF(Q299=1,IF(K299&lt;=Cutoff!$B$10,1,0),0)</f>
        <v>0</v>
      </c>
      <c r="S299" s="12" t="n">
        <f aca="false">IF(N299=1,SUMIFS(Subscriptions!$D$2:$D$208,Subscriptions!$A$2:$A$208,C299,Subscriptions!$E$2:$E$208,1,Subscriptions!$B$2:$B$208,"&gt;="&amp;Cutoff!$B$24,Subscriptions!$B$2:$B$208,"&lt;"&amp;Cutoff!$B$25,Subscriptions!$B$2:$B$208,"&lt;="&amp;Cutoff!$B$10),0)</f>
        <v>0</v>
      </c>
    </row>
    <row r="300" customFormat="false" ht="15" hidden="false" customHeight="false" outlineLevel="0" collapsed="false">
      <c r="A300" s="4" t="s">
        <v>884</v>
      </c>
      <c r="B300" s="4" t="s">
        <v>288</v>
      </c>
      <c r="C300" s="4" t="s">
        <v>885</v>
      </c>
      <c r="D300" s="4" t="s">
        <v>52</v>
      </c>
      <c r="E300" s="4" t="n">
        <v>1782497684</v>
      </c>
      <c r="F300" s="4" t="n">
        <v>1782497189</v>
      </c>
      <c r="G300" s="4" t="n">
        <v>1782497194</v>
      </c>
      <c r="H300" s="4" t="n">
        <v>1000000000000000</v>
      </c>
      <c r="I300" s="4" t="n">
        <v>1000000000000000</v>
      </c>
      <c r="J300" s="4" t="n">
        <v>1782498466</v>
      </c>
      <c r="K300" s="4" t="n">
        <v>1783025965</v>
      </c>
      <c r="L300" s="12" t="n">
        <f aca="false">IF(AND(B300=Cutoff!$B$12,E300&lt;=Cutoff!$B$10),1,0)</f>
        <v>1</v>
      </c>
      <c r="M300" s="12" t="n">
        <f aca="false">IF(AND(L300=1,F300&lt;1000000000000000,G300&lt;=Cutoff!$B$10),1,0)</f>
        <v>1</v>
      </c>
      <c r="N300" s="12" t="n">
        <f aca="false">IF(AND(M300=1,F300+Cutoff!$B$16&lt;=Cutoff!$B$10),1,0)</f>
        <v>1</v>
      </c>
      <c r="O300" s="12" t="n">
        <f aca="false">IF(N300=1,IF(AND(H300&lt;1000000000000000,H300&gt;=MAX(F300,E300),H300&lt;F300+Cutoff!$B$16,I300&lt;=Cutoff!$B$10),1,0),0)</f>
        <v>0</v>
      </c>
      <c r="P300" s="12" t="n">
        <f aca="false">IF(AND(L300=1,J300&lt;=Cutoff!$B$10),1,0)</f>
        <v>1</v>
      </c>
      <c r="Q300" s="12" t="n">
        <f aca="false">IF(AND(N300=1,E300+Cutoff!$B$17&lt;=Cutoff!$B$10),1,0)</f>
        <v>1</v>
      </c>
      <c r="R300" s="12" t="n">
        <f aca="false">IF(Q300=1,IF(K300&lt;=Cutoff!$B$10,1,0),0)</f>
        <v>1</v>
      </c>
      <c r="S300" s="12" t="n">
        <f aca="false">IF(N300=1,SUMIFS(Subscriptions!$D$2:$D$208,Subscriptions!$A$2:$A$208,C300,Subscriptions!$E$2:$E$208,1,Subscriptions!$B$2:$B$208,"&gt;="&amp;Cutoff!$B$24,Subscriptions!$B$2:$B$208,"&lt;"&amp;Cutoff!$B$25,Subscriptions!$B$2:$B$208,"&lt;="&amp;Cutoff!$B$10),0)</f>
        <v>72</v>
      </c>
    </row>
    <row r="301" customFormat="false" ht="15" hidden="false" customHeight="false" outlineLevel="0" collapsed="false">
      <c r="A301" s="4" t="s">
        <v>886</v>
      </c>
      <c r="B301" s="4" t="s">
        <v>288</v>
      </c>
      <c r="C301" s="4" t="s">
        <v>887</v>
      </c>
      <c r="D301" s="4" t="s">
        <v>52</v>
      </c>
      <c r="E301" s="4" t="n">
        <v>1782501806</v>
      </c>
      <c r="F301" s="4" t="n">
        <v>1782501604</v>
      </c>
      <c r="G301" s="4" t="n">
        <v>1782501823</v>
      </c>
      <c r="H301" s="4" t="n">
        <v>1782505920</v>
      </c>
      <c r="I301" s="4" t="n">
        <v>1782505945</v>
      </c>
      <c r="J301" s="4" t="n">
        <v>1782502841</v>
      </c>
      <c r="K301" s="4" t="n">
        <v>1000000000000000</v>
      </c>
      <c r="L301" s="12" t="n">
        <f aca="false">IF(AND(B301=Cutoff!$B$12,E301&lt;=Cutoff!$B$10),1,0)</f>
        <v>1</v>
      </c>
      <c r="M301" s="12" t="n">
        <f aca="false">IF(AND(L301=1,F301&lt;1000000000000000,G301&lt;=Cutoff!$B$10),1,0)</f>
        <v>1</v>
      </c>
      <c r="N301" s="12" t="n">
        <f aca="false">IF(AND(M301=1,F301+Cutoff!$B$16&lt;=Cutoff!$B$10),1,0)</f>
        <v>1</v>
      </c>
      <c r="O301" s="12" t="n">
        <f aca="false">IF(N301=1,IF(AND(H301&lt;1000000000000000,H301&gt;=MAX(F301,E301),H301&lt;F301+Cutoff!$B$16,I301&lt;=Cutoff!$B$10),1,0),0)</f>
        <v>1</v>
      </c>
      <c r="P301" s="12" t="n">
        <f aca="false">IF(AND(L301=1,J301&lt;=Cutoff!$B$10),1,0)</f>
        <v>1</v>
      </c>
      <c r="Q301" s="12" t="n">
        <f aca="false">IF(AND(N301=1,E301+Cutoff!$B$17&lt;=Cutoff!$B$10),1,0)</f>
        <v>1</v>
      </c>
      <c r="R301" s="12" t="n">
        <f aca="false">IF(Q301=1,IF(K301&lt;=Cutoff!$B$10,1,0),0)</f>
        <v>0</v>
      </c>
      <c r="S301" s="12" t="n">
        <f aca="false">IF(N301=1,SUMIFS(Subscriptions!$D$2:$D$208,Subscriptions!$A$2:$A$208,C301,Subscriptions!$E$2:$E$208,1,Subscriptions!$B$2:$B$208,"&gt;="&amp;Cutoff!$B$24,Subscriptions!$B$2:$B$208,"&lt;"&amp;Cutoff!$B$25,Subscriptions!$B$2:$B$208,"&lt;="&amp;Cutoff!$B$10),0)</f>
        <v>1131</v>
      </c>
    </row>
    <row r="302" customFormat="false" ht="15" hidden="false" customHeight="false" outlineLevel="0" collapsed="false">
      <c r="A302" s="4" t="s">
        <v>888</v>
      </c>
      <c r="B302" s="4" t="s">
        <v>288</v>
      </c>
      <c r="C302" s="4" t="s">
        <v>889</v>
      </c>
      <c r="D302" s="4" t="s">
        <v>52</v>
      </c>
      <c r="E302" s="4" t="n">
        <v>1782504798</v>
      </c>
      <c r="F302" s="4" t="n">
        <v>1782504438</v>
      </c>
      <c r="G302" s="4" t="n">
        <v>1782504446</v>
      </c>
      <c r="H302" s="4" t="n">
        <v>1000000000000000</v>
      </c>
      <c r="I302" s="4" t="n">
        <v>1000000000000000</v>
      </c>
      <c r="J302" s="4" t="n">
        <v>1782505581</v>
      </c>
      <c r="K302" s="4" t="n">
        <v>1000000000000000</v>
      </c>
      <c r="L302" s="12" t="n">
        <f aca="false">IF(AND(B302=Cutoff!$B$12,E302&lt;=Cutoff!$B$10),1,0)</f>
        <v>1</v>
      </c>
      <c r="M302" s="12" t="n">
        <f aca="false">IF(AND(L302=1,F302&lt;1000000000000000,G302&lt;=Cutoff!$B$10),1,0)</f>
        <v>1</v>
      </c>
      <c r="N302" s="12" t="n">
        <f aca="false">IF(AND(M302=1,F302+Cutoff!$B$16&lt;=Cutoff!$B$10),1,0)</f>
        <v>1</v>
      </c>
      <c r="O302" s="12" t="n">
        <f aca="false">IF(N302=1,IF(AND(H302&lt;1000000000000000,H302&gt;=MAX(F302,E302),H302&lt;F302+Cutoff!$B$16,I302&lt;=Cutoff!$B$10),1,0),0)</f>
        <v>0</v>
      </c>
      <c r="P302" s="12" t="n">
        <f aca="false">IF(AND(L302=1,J302&lt;=Cutoff!$B$10),1,0)</f>
        <v>1</v>
      </c>
      <c r="Q302" s="12" t="n">
        <f aca="false">IF(AND(N302=1,E302+Cutoff!$B$17&lt;=Cutoff!$B$10),1,0)</f>
        <v>1</v>
      </c>
      <c r="R302" s="12" t="n">
        <f aca="false">IF(Q302=1,IF(K302&lt;=Cutoff!$B$10,1,0),0)</f>
        <v>0</v>
      </c>
      <c r="S302" s="12" t="n">
        <f aca="false">IF(N302=1,SUMIFS(Subscriptions!$D$2:$D$208,Subscriptions!$A$2:$A$208,C302,Subscriptions!$E$2:$E$208,1,Subscriptions!$B$2:$B$208,"&gt;="&amp;Cutoff!$B$24,Subscriptions!$B$2:$B$208,"&lt;"&amp;Cutoff!$B$25,Subscriptions!$B$2:$B$208,"&lt;="&amp;Cutoff!$B$10),0)</f>
        <v>72</v>
      </c>
    </row>
    <row r="303" customFormat="false" ht="15" hidden="false" customHeight="false" outlineLevel="0" collapsed="false">
      <c r="A303" s="4" t="s">
        <v>890</v>
      </c>
      <c r="B303" s="4" t="s">
        <v>288</v>
      </c>
      <c r="C303" s="4" t="s">
        <v>891</v>
      </c>
      <c r="D303" s="4" t="s">
        <v>51</v>
      </c>
      <c r="E303" s="4" t="n">
        <v>1782579529</v>
      </c>
      <c r="F303" s="4" t="n">
        <v>1782579082</v>
      </c>
      <c r="G303" s="4" t="n">
        <v>1782579095</v>
      </c>
      <c r="H303" s="4" t="n">
        <v>1782605036</v>
      </c>
      <c r="I303" s="4" t="n">
        <v>1782605110</v>
      </c>
      <c r="J303" s="4" t="n">
        <v>1782580658</v>
      </c>
      <c r="K303" s="4" t="n">
        <v>1000000000000000</v>
      </c>
      <c r="L303" s="12" t="n">
        <f aca="false">IF(AND(B303=Cutoff!$B$12,E303&lt;=Cutoff!$B$10),1,0)</f>
        <v>1</v>
      </c>
      <c r="M303" s="12" t="n">
        <f aca="false">IF(AND(L303=1,F303&lt;1000000000000000,G303&lt;=Cutoff!$B$10),1,0)</f>
        <v>1</v>
      </c>
      <c r="N303" s="12" t="n">
        <f aca="false">IF(AND(M303=1,F303+Cutoff!$B$16&lt;=Cutoff!$B$10),1,0)</f>
        <v>1</v>
      </c>
      <c r="O303" s="12" t="n">
        <f aca="false">IF(N303=1,IF(AND(H303&lt;1000000000000000,H303&gt;=MAX(F303,E303),H303&lt;F303+Cutoff!$B$16,I303&lt;=Cutoff!$B$10),1,0),0)</f>
        <v>1</v>
      </c>
      <c r="P303" s="12" t="n">
        <f aca="false">IF(AND(L303=1,J303&lt;=Cutoff!$B$10),1,0)</f>
        <v>1</v>
      </c>
      <c r="Q303" s="12" t="n">
        <f aca="false">IF(AND(N303=1,E303+Cutoff!$B$17&lt;=Cutoff!$B$10),1,0)</f>
        <v>1</v>
      </c>
      <c r="R303" s="12" t="n">
        <f aca="false">IF(Q303=1,IF(K303&lt;=Cutoff!$B$10,1,0),0)</f>
        <v>0</v>
      </c>
      <c r="S303" s="12" t="n">
        <f aca="false">IF(N303=1,SUMIFS(Subscriptions!$D$2:$D$208,Subscriptions!$A$2:$A$208,C303,Subscriptions!$E$2:$E$208,1,Subscriptions!$B$2:$B$208,"&gt;="&amp;Cutoff!$B$24,Subscriptions!$B$2:$B$208,"&lt;"&amp;Cutoff!$B$25,Subscriptions!$B$2:$B$208,"&lt;="&amp;Cutoff!$B$10),0)</f>
        <v>0</v>
      </c>
    </row>
    <row r="304" customFormat="false" ht="15" hidden="false" customHeight="false" outlineLevel="0" collapsed="false">
      <c r="A304" s="4" t="s">
        <v>892</v>
      </c>
      <c r="B304" s="4" t="s">
        <v>288</v>
      </c>
      <c r="C304" s="4" t="s">
        <v>893</v>
      </c>
      <c r="D304" s="4" t="s">
        <v>52</v>
      </c>
      <c r="E304" s="4" t="n">
        <v>1782585257</v>
      </c>
      <c r="F304" s="4" t="n">
        <v>1782584899</v>
      </c>
      <c r="G304" s="4" t="n">
        <v>1782584914</v>
      </c>
      <c r="H304" s="4" t="n">
        <v>1782683745</v>
      </c>
      <c r="I304" s="4" t="n">
        <v>1782688296</v>
      </c>
      <c r="J304" s="4" t="n">
        <v>1782585328</v>
      </c>
      <c r="K304" s="4" t="n">
        <v>1783097073</v>
      </c>
      <c r="L304" s="12" t="n">
        <f aca="false">IF(AND(B304=Cutoff!$B$12,E304&lt;=Cutoff!$B$10),1,0)</f>
        <v>1</v>
      </c>
      <c r="M304" s="12" t="n">
        <f aca="false">IF(AND(L304=1,F304&lt;1000000000000000,G304&lt;=Cutoff!$B$10),1,0)</f>
        <v>1</v>
      </c>
      <c r="N304" s="12" t="n">
        <f aca="false">IF(AND(M304=1,F304+Cutoff!$B$16&lt;=Cutoff!$B$10),1,0)</f>
        <v>1</v>
      </c>
      <c r="O304" s="12" t="n">
        <f aca="false">IF(N304=1,IF(AND(H304&lt;1000000000000000,H304&gt;=MAX(F304,E304),H304&lt;F304+Cutoff!$B$16,I304&lt;=Cutoff!$B$10),1,0),0)</f>
        <v>1</v>
      </c>
      <c r="P304" s="12" t="n">
        <f aca="false">IF(AND(L304=1,J304&lt;=Cutoff!$B$10),1,0)</f>
        <v>1</v>
      </c>
      <c r="Q304" s="12" t="n">
        <f aca="false">IF(AND(N304=1,E304+Cutoff!$B$17&lt;=Cutoff!$B$10),1,0)</f>
        <v>1</v>
      </c>
      <c r="R304" s="12" t="n">
        <f aca="false">IF(Q304=1,IF(K304&lt;=Cutoff!$B$10,1,0),0)</f>
        <v>1</v>
      </c>
      <c r="S304" s="12" t="n">
        <f aca="false">IF(N304=1,SUMIFS(Subscriptions!$D$2:$D$208,Subscriptions!$A$2:$A$208,C304,Subscriptions!$E$2:$E$208,1,Subscriptions!$B$2:$B$208,"&gt;="&amp;Cutoff!$B$24,Subscriptions!$B$2:$B$208,"&lt;"&amp;Cutoff!$B$25,Subscriptions!$B$2:$B$208,"&lt;="&amp;Cutoff!$B$10),0)</f>
        <v>60</v>
      </c>
    </row>
    <row r="305" customFormat="false" ht="15" hidden="false" customHeight="false" outlineLevel="0" collapsed="false">
      <c r="A305" s="4" t="s">
        <v>894</v>
      </c>
      <c r="B305" s="4" t="s">
        <v>288</v>
      </c>
      <c r="C305" s="4" t="s">
        <v>895</v>
      </c>
      <c r="D305" s="4" t="s">
        <v>51</v>
      </c>
      <c r="E305" s="4" t="n">
        <v>1782682672</v>
      </c>
      <c r="F305" s="4" t="n">
        <v>1782682205</v>
      </c>
      <c r="G305" s="4" t="n">
        <v>1782689307</v>
      </c>
      <c r="H305" s="4" t="n">
        <v>1000000000000000</v>
      </c>
      <c r="I305" s="4" t="n">
        <v>1000000000000000</v>
      </c>
      <c r="J305" s="4" t="n">
        <v>1782683774</v>
      </c>
      <c r="K305" s="4" t="n">
        <v>1000000000000000</v>
      </c>
      <c r="L305" s="12" t="n">
        <f aca="false">IF(AND(B305=Cutoff!$B$12,E305&lt;=Cutoff!$B$10),1,0)</f>
        <v>1</v>
      </c>
      <c r="M305" s="12" t="n">
        <f aca="false">IF(AND(L305=1,F305&lt;1000000000000000,G305&lt;=Cutoff!$B$10),1,0)</f>
        <v>1</v>
      </c>
      <c r="N305" s="12" t="n">
        <f aca="false">IF(AND(M305=1,F305+Cutoff!$B$16&lt;=Cutoff!$B$10),1,0)</f>
        <v>1</v>
      </c>
      <c r="O305" s="12" t="n">
        <f aca="false">IF(N305=1,IF(AND(H305&lt;1000000000000000,H305&gt;=MAX(F305,E305),H305&lt;F305+Cutoff!$B$16,I305&lt;=Cutoff!$B$10),1,0),0)</f>
        <v>0</v>
      </c>
      <c r="P305" s="12" t="n">
        <f aca="false">IF(AND(L305=1,J305&lt;=Cutoff!$B$10),1,0)</f>
        <v>1</v>
      </c>
      <c r="Q305" s="12" t="n">
        <f aca="false">IF(AND(N305=1,E305+Cutoff!$B$17&lt;=Cutoff!$B$10),1,0)</f>
        <v>1</v>
      </c>
      <c r="R305" s="12" t="n">
        <f aca="false">IF(Q305=1,IF(K305&lt;=Cutoff!$B$10,1,0),0)</f>
        <v>0</v>
      </c>
      <c r="S305" s="12" t="n">
        <f aca="false">IF(N305=1,SUMIFS(Subscriptions!$D$2:$D$208,Subscriptions!$A$2:$A$208,C305,Subscriptions!$E$2:$E$208,1,Subscriptions!$B$2:$B$208,"&gt;="&amp;Cutoff!$B$24,Subscriptions!$B$2:$B$208,"&lt;"&amp;Cutoff!$B$25,Subscriptions!$B$2:$B$208,"&lt;="&amp;Cutoff!$B$10),0)</f>
        <v>0</v>
      </c>
    </row>
    <row r="306" customFormat="false" ht="15" hidden="false" customHeight="false" outlineLevel="0" collapsed="false">
      <c r="A306" s="4" t="s">
        <v>896</v>
      </c>
      <c r="B306" s="4" t="s">
        <v>288</v>
      </c>
      <c r="C306" s="4" t="s">
        <v>897</v>
      </c>
      <c r="D306" s="4" t="s">
        <v>52</v>
      </c>
      <c r="E306" s="4" t="n">
        <v>1782751144</v>
      </c>
      <c r="F306" s="4" t="n">
        <v>1782750631</v>
      </c>
      <c r="G306" s="4" t="n">
        <v>1782750643</v>
      </c>
      <c r="H306" s="4" t="n">
        <v>1000000000000000</v>
      </c>
      <c r="I306" s="4" t="n">
        <v>1000000000000000</v>
      </c>
      <c r="J306" s="4" t="n">
        <v>1782751388</v>
      </c>
      <c r="K306" s="4" t="n">
        <v>1782751679</v>
      </c>
      <c r="L306" s="12" t="n">
        <f aca="false">IF(AND(B306=Cutoff!$B$12,E306&lt;=Cutoff!$B$10),1,0)</f>
        <v>1</v>
      </c>
      <c r="M306" s="12" t="n">
        <f aca="false">IF(AND(L306=1,F306&lt;1000000000000000,G306&lt;=Cutoff!$B$10),1,0)</f>
        <v>1</v>
      </c>
      <c r="N306" s="12" t="n">
        <f aca="false">IF(AND(M306=1,F306+Cutoff!$B$16&lt;=Cutoff!$B$10),1,0)</f>
        <v>1</v>
      </c>
      <c r="O306" s="12" t="n">
        <f aca="false">IF(N306=1,IF(AND(H306&lt;1000000000000000,H306&gt;=MAX(F306,E306),H306&lt;F306+Cutoff!$B$16,I306&lt;=Cutoff!$B$10),1,0),0)</f>
        <v>0</v>
      </c>
      <c r="P306" s="12" t="n">
        <f aca="false">IF(AND(L306=1,J306&lt;=Cutoff!$B$10),1,0)</f>
        <v>1</v>
      </c>
      <c r="Q306" s="12" t="n">
        <f aca="false">IF(AND(N306=1,E306+Cutoff!$B$17&lt;=Cutoff!$B$10),1,0)</f>
        <v>1</v>
      </c>
      <c r="R306" s="12" t="n">
        <f aca="false">IF(Q306=1,IF(K306&lt;=Cutoff!$B$10,1,0),0)</f>
        <v>1</v>
      </c>
      <c r="S306" s="12" t="n">
        <f aca="false">IF(N306=1,SUMIFS(Subscriptions!$D$2:$D$208,Subscriptions!$A$2:$A$208,C306,Subscriptions!$E$2:$E$208,1,Subscriptions!$B$2:$B$208,"&gt;="&amp;Cutoff!$B$24,Subscriptions!$B$2:$B$208,"&lt;"&amp;Cutoff!$B$25,Subscriptions!$B$2:$B$208,"&lt;="&amp;Cutoff!$B$10),0)</f>
        <v>0</v>
      </c>
    </row>
    <row r="307" customFormat="false" ht="15" hidden="false" customHeight="false" outlineLevel="0" collapsed="false">
      <c r="A307" s="4" t="s">
        <v>898</v>
      </c>
      <c r="B307" s="4" t="s">
        <v>288</v>
      </c>
      <c r="C307" s="4" t="s">
        <v>899</v>
      </c>
      <c r="D307" s="4" t="s">
        <v>51</v>
      </c>
      <c r="E307" s="4" t="n">
        <v>1782768950</v>
      </c>
      <c r="F307" s="4" t="n">
        <v>1782768662</v>
      </c>
      <c r="G307" s="4" t="n">
        <v>1782768681</v>
      </c>
      <c r="H307" s="4" t="n">
        <v>1000000000000000</v>
      </c>
      <c r="I307" s="4" t="n">
        <v>1000000000000000</v>
      </c>
      <c r="J307" s="4" t="n">
        <v>1782769310</v>
      </c>
      <c r="K307" s="4" t="n">
        <v>1000000000000000</v>
      </c>
      <c r="L307" s="12" t="n">
        <f aca="false">IF(AND(B307=Cutoff!$B$12,E307&lt;=Cutoff!$B$10),1,0)</f>
        <v>1</v>
      </c>
      <c r="M307" s="12" t="n">
        <f aca="false">IF(AND(L307=1,F307&lt;1000000000000000,G307&lt;=Cutoff!$B$10),1,0)</f>
        <v>1</v>
      </c>
      <c r="N307" s="12" t="n">
        <f aca="false">IF(AND(M307=1,F307+Cutoff!$B$16&lt;=Cutoff!$B$10),1,0)</f>
        <v>1</v>
      </c>
      <c r="O307" s="12" t="n">
        <f aca="false">IF(N307=1,IF(AND(H307&lt;1000000000000000,H307&gt;=MAX(F307,E307),H307&lt;F307+Cutoff!$B$16,I307&lt;=Cutoff!$B$10),1,0),0)</f>
        <v>0</v>
      </c>
      <c r="P307" s="12" t="n">
        <f aca="false">IF(AND(L307=1,J307&lt;=Cutoff!$B$10),1,0)</f>
        <v>1</v>
      </c>
      <c r="Q307" s="12" t="n">
        <f aca="false">IF(AND(N307=1,E307+Cutoff!$B$17&lt;=Cutoff!$B$10),1,0)</f>
        <v>1</v>
      </c>
      <c r="R307" s="12" t="n">
        <f aca="false">IF(Q307=1,IF(K307&lt;=Cutoff!$B$10,1,0),0)</f>
        <v>0</v>
      </c>
      <c r="S307" s="12" t="n">
        <f aca="false">IF(N307=1,SUMIFS(Subscriptions!$D$2:$D$208,Subscriptions!$A$2:$A$208,C307,Subscriptions!$E$2:$E$208,1,Subscriptions!$B$2:$B$208,"&gt;="&amp;Cutoff!$B$24,Subscriptions!$B$2:$B$208,"&lt;"&amp;Cutoff!$B$25,Subscriptions!$B$2:$B$208,"&lt;="&amp;Cutoff!$B$10),0)</f>
        <v>0</v>
      </c>
    </row>
    <row r="308" customFormat="false" ht="15" hidden="false" customHeight="false" outlineLevel="0" collapsed="false">
      <c r="A308" s="4" t="s">
        <v>900</v>
      </c>
      <c r="B308" s="4" t="s">
        <v>288</v>
      </c>
      <c r="C308" s="4" t="s">
        <v>901</v>
      </c>
      <c r="D308" s="4" t="s">
        <v>51</v>
      </c>
      <c r="E308" s="4" t="n">
        <v>1782771487</v>
      </c>
      <c r="F308" s="4" t="n">
        <v>1782770903</v>
      </c>
      <c r="G308" s="4" t="n">
        <v>1782770906</v>
      </c>
      <c r="H308" s="4" t="n">
        <v>1000000000000000</v>
      </c>
      <c r="I308" s="4" t="n">
        <v>1000000000000000</v>
      </c>
      <c r="J308" s="4" t="n">
        <v>1782772665</v>
      </c>
      <c r="K308" s="4" t="n">
        <v>1000000000000000</v>
      </c>
      <c r="L308" s="12" t="n">
        <f aca="false">IF(AND(B308=Cutoff!$B$12,E308&lt;=Cutoff!$B$10),1,0)</f>
        <v>1</v>
      </c>
      <c r="M308" s="12" t="n">
        <f aca="false">IF(AND(L308=1,F308&lt;1000000000000000,G308&lt;=Cutoff!$B$10),1,0)</f>
        <v>1</v>
      </c>
      <c r="N308" s="12" t="n">
        <f aca="false">IF(AND(M308=1,F308+Cutoff!$B$16&lt;=Cutoff!$B$10),1,0)</f>
        <v>1</v>
      </c>
      <c r="O308" s="12" t="n">
        <f aca="false">IF(N308=1,IF(AND(H308&lt;1000000000000000,H308&gt;=MAX(F308,E308),H308&lt;F308+Cutoff!$B$16,I308&lt;=Cutoff!$B$10),1,0),0)</f>
        <v>0</v>
      </c>
      <c r="P308" s="12" t="n">
        <f aca="false">IF(AND(L308=1,J308&lt;=Cutoff!$B$10),1,0)</f>
        <v>1</v>
      </c>
      <c r="Q308" s="12" t="n">
        <f aca="false">IF(AND(N308=1,E308+Cutoff!$B$17&lt;=Cutoff!$B$10),1,0)</f>
        <v>1</v>
      </c>
      <c r="R308" s="12" t="n">
        <f aca="false">IF(Q308=1,IF(K308&lt;=Cutoff!$B$10,1,0),0)</f>
        <v>0</v>
      </c>
      <c r="S308" s="12" t="n">
        <f aca="false">IF(N308=1,SUMIFS(Subscriptions!$D$2:$D$208,Subscriptions!$A$2:$A$208,C308,Subscriptions!$E$2:$E$208,1,Subscriptions!$B$2:$B$208,"&gt;="&amp;Cutoff!$B$24,Subscriptions!$B$2:$B$208,"&lt;"&amp;Cutoff!$B$25,Subscriptions!$B$2:$B$208,"&lt;="&amp;Cutoff!$B$10),0)</f>
        <v>0</v>
      </c>
    </row>
    <row r="309" customFormat="false" ht="15" hidden="false" customHeight="false" outlineLevel="0" collapsed="false">
      <c r="A309" s="4" t="s">
        <v>902</v>
      </c>
      <c r="B309" s="4" t="s">
        <v>288</v>
      </c>
      <c r="C309" s="4" t="s">
        <v>903</v>
      </c>
      <c r="D309" s="4" t="s">
        <v>52</v>
      </c>
      <c r="E309" s="4" t="n">
        <v>1782831963</v>
      </c>
      <c r="F309" s="4" t="n">
        <v>1782831455</v>
      </c>
      <c r="G309" s="4" t="n">
        <v>1782831477</v>
      </c>
      <c r="H309" s="4" t="n">
        <v>1782832873</v>
      </c>
      <c r="I309" s="4" t="n">
        <v>1782832885</v>
      </c>
      <c r="J309" s="4" t="n">
        <v>1782832775</v>
      </c>
      <c r="K309" s="4" t="n">
        <v>1000000000000000</v>
      </c>
      <c r="L309" s="12" t="n">
        <f aca="false">IF(AND(B309=Cutoff!$B$12,E309&lt;=Cutoff!$B$10),1,0)</f>
        <v>1</v>
      </c>
      <c r="M309" s="12" t="n">
        <f aca="false">IF(AND(L309=1,F309&lt;1000000000000000,G309&lt;=Cutoff!$B$10),1,0)</f>
        <v>1</v>
      </c>
      <c r="N309" s="12" t="n">
        <f aca="false">IF(AND(M309=1,F309+Cutoff!$B$16&lt;=Cutoff!$B$10),1,0)</f>
        <v>1</v>
      </c>
      <c r="O309" s="12" t="n">
        <f aca="false">IF(N309=1,IF(AND(H309&lt;1000000000000000,H309&gt;=MAX(F309,E309),H309&lt;F309+Cutoff!$B$16,I309&lt;=Cutoff!$B$10),1,0),0)</f>
        <v>1</v>
      </c>
      <c r="P309" s="12" t="n">
        <f aca="false">IF(AND(L309=1,J309&lt;=Cutoff!$B$10),1,0)</f>
        <v>1</v>
      </c>
      <c r="Q309" s="12" t="n">
        <f aca="false">IF(AND(N309=1,E309+Cutoff!$B$17&lt;=Cutoff!$B$10),1,0)</f>
        <v>1</v>
      </c>
      <c r="R309" s="12" t="n">
        <f aca="false">IF(Q309=1,IF(K309&lt;=Cutoff!$B$10,1,0),0)</f>
        <v>0</v>
      </c>
      <c r="S309" s="12" t="n">
        <f aca="false">IF(N309=1,SUMIFS(Subscriptions!$D$2:$D$208,Subscriptions!$A$2:$A$208,C309,Subscriptions!$E$2:$E$208,1,Subscriptions!$B$2:$B$208,"&gt;="&amp;Cutoff!$B$24,Subscriptions!$B$2:$B$208,"&lt;"&amp;Cutoff!$B$25,Subscriptions!$B$2:$B$208,"&lt;="&amp;Cutoff!$B$10),0)</f>
        <v>0</v>
      </c>
    </row>
    <row r="310" customFormat="false" ht="15" hidden="false" customHeight="false" outlineLevel="0" collapsed="false">
      <c r="A310" s="4" t="s">
        <v>904</v>
      </c>
      <c r="B310" s="4" t="s">
        <v>288</v>
      </c>
      <c r="C310" s="4" t="s">
        <v>905</v>
      </c>
      <c r="D310" s="4" t="s">
        <v>52</v>
      </c>
      <c r="E310" s="4" t="n">
        <v>1782834059</v>
      </c>
      <c r="F310" s="4" t="n">
        <v>1782833539</v>
      </c>
      <c r="G310" s="4" t="n">
        <v>1782833564</v>
      </c>
      <c r="H310" s="4" t="n">
        <v>1000000000000000</v>
      </c>
      <c r="I310" s="4" t="n">
        <v>1000000000000000</v>
      </c>
      <c r="J310" s="4" t="n">
        <v>1782834296</v>
      </c>
      <c r="K310" s="4" t="n">
        <v>1000000000000000</v>
      </c>
      <c r="L310" s="12" t="n">
        <f aca="false">IF(AND(B310=Cutoff!$B$12,E310&lt;=Cutoff!$B$10),1,0)</f>
        <v>1</v>
      </c>
      <c r="M310" s="12" t="n">
        <f aca="false">IF(AND(L310=1,F310&lt;1000000000000000,G310&lt;=Cutoff!$B$10),1,0)</f>
        <v>1</v>
      </c>
      <c r="N310" s="12" t="n">
        <f aca="false">IF(AND(M310=1,F310+Cutoff!$B$16&lt;=Cutoff!$B$10),1,0)</f>
        <v>1</v>
      </c>
      <c r="O310" s="12" t="n">
        <f aca="false">IF(N310=1,IF(AND(H310&lt;1000000000000000,H310&gt;=MAX(F310,E310),H310&lt;F310+Cutoff!$B$16,I310&lt;=Cutoff!$B$10),1,0),0)</f>
        <v>0</v>
      </c>
      <c r="P310" s="12" t="n">
        <f aca="false">IF(AND(L310=1,J310&lt;=Cutoff!$B$10),1,0)</f>
        <v>1</v>
      </c>
      <c r="Q310" s="12" t="n">
        <f aca="false">IF(AND(N310=1,E310+Cutoff!$B$17&lt;=Cutoff!$B$10),1,0)</f>
        <v>1</v>
      </c>
      <c r="R310" s="12" t="n">
        <f aca="false">IF(Q310=1,IF(K310&lt;=Cutoff!$B$10,1,0),0)</f>
        <v>0</v>
      </c>
      <c r="S310" s="12" t="n">
        <f aca="false">IF(N310=1,SUMIFS(Subscriptions!$D$2:$D$208,Subscriptions!$A$2:$A$208,C310,Subscriptions!$E$2:$E$208,1,Subscriptions!$B$2:$B$208,"&gt;="&amp;Cutoff!$B$24,Subscriptions!$B$2:$B$208,"&lt;"&amp;Cutoff!$B$25,Subscriptions!$B$2:$B$208,"&lt;="&amp;Cutoff!$B$10),0)</f>
        <v>0</v>
      </c>
    </row>
    <row r="311" customFormat="false" ht="15" hidden="false" customHeight="false" outlineLevel="0" collapsed="false">
      <c r="A311" s="4" t="s">
        <v>906</v>
      </c>
      <c r="B311" s="4" t="s">
        <v>288</v>
      </c>
      <c r="C311" s="4" t="s">
        <v>907</v>
      </c>
      <c r="D311" s="4" t="s">
        <v>52</v>
      </c>
      <c r="E311" s="4" t="n">
        <v>1782853055</v>
      </c>
      <c r="F311" s="4" t="n">
        <v>1782852572</v>
      </c>
      <c r="G311" s="4" t="n">
        <v>1783222490</v>
      </c>
      <c r="H311" s="4" t="n">
        <v>1782853153</v>
      </c>
      <c r="I311" s="4" t="n">
        <v>1782853156</v>
      </c>
      <c r="J311" s="4" t="n">
        <v>1782854112</v>
      </c>
      <c r="K311" s="4" t="n">
        <v>1783029890</v>
      </c>
      <c r="L311" s="12" t="n">
        <f aca="false">IF(AND(B311=Cutoff!$B$12,E311&lt;=Cutoff!$B$10),1,0)</f>
        <v>1</v>
      </c>
      <c r="M311" s="12" t="n">
        <f aca="false">IF(AND(L311=1,F311&lt;1000000000000000,G311&lt;=Cutoff!$B$10),1,0)</f>
        <v>1</v>
      </c>
      <c r="N311" s="12" t="n">
        <f aca="false">IF(AND(M311=1,F311+Cutoff!$B$16&lt;=Cutoff!$B$10),1,0)</f>
        <v>1</v>
      </c>
      <c r="O311" s="12" t="n">
        <f aca="false">IF(N311=1,IF(AND(H311&lt;1000000000000000,H311&gt;=MAX(F311,E311),H311&lt;F311+Cutoff!$B$16,I311&lt;=Cutoff!$B$10),1,0),0)</f>
        <v>1</v>
      </c>
      <c r="P311" s="12" t="n">
        <f aca="false">IF(AND(L311=1,J311&lt;=Cutoff!$B$10),1,0)</f>
        <v>1</v>
      </c>
      <c r="Q311" s="12" t="n">
        <f aca="false">IF(AND(N311=1,E311+Cutoff!$B$17&lt;=Cutoff!$B$10),1,0)</f>
        <v>1</v>
      </c>
      <c r="R311" s="12" t="n">
        <f aca="false">IF(Q311=1,IF(K311&lt;=Cutoff!$B$10,1,0),0)</f>
        <v>1</v>
      </c>
      <c r="S311" s="12" t="n">
        <f aca="false">IF(N311=1,SUMIFS(Subscriptions!$D$2:$D$208,Subscriptions!$A$2:$A$208,C311,Subscriptions!$E$2:$E$208,1,Subscriptions!$B$2:$B$208,"&gt;="&amp;Cutoff!$B$24,Subscriptions!$B$2:$B$208,"&lt;"&amp;Cutoff!$B$25,Subscriptions!$B$2:$B$208,"&lt;="&amp;Cutoff!$B$10),0)</f>
        <v>0</v>
      </c>
    </row>
    <row r="312" customFormat="false" ht="15" hidden="false" customHeight="false" outlineLevel="0" collapsed="false">
      <c r="A312" s="4" t="s">
        <v>908</v>
      </c>
      <c r="B312" s="4" t="s">
        <v>288</v>
      </c>
      <c r="C312" s="4" t="s">
        <v>909</v>
      </c>
      <c r="D312" s="4" t="s">
        <v>51</v>
      </c>
      <c r="E312" s="4" t="n">
        <v>1782854777</v>
      </c>
      <c r="F312" s="4" t="n">
        <v>1782854423</v>
      </c>
      <c r="G312" s="4" t="n">
        <v>1782854444</v>
      </c>
      <c r="H312" s="4" t="n">
        <v>1000000000000000</v>
      </c>
      <c r="I312" s="4" t="n">
        <v>1000000000000000</v>
      </c>
      <c r="J312" s="4" t="n">
        <v>1782855085</v>
      </c>
      <c r="K312" s="4" t="n">
        <v>1000000000000000</v>
      </c>
      <c r="L312" s="12" t="n">
        <f aca="false">IF(AND(B312=Cutoff!$B$12,E312&lt;=Cutoff!$B$10),1,0)</f>
        <v>1</v>
      </c>
      <c r="M312" s="12" t="n">
        <f aca="false">IF(AND(L312=1,F312&lt;1000000000000000,G312&lt;=Cutoff!$B$10),1,0)</f>
        <v>1</v>
      </c>
      <c r="N312" s="12" t="n">
        <f aca="false">IF(AND(M312=1,F312+Cutoff!$B$16&lt;=Cutoff!$B$10),1,0)</f>
        <v>1</v>
      </c>
      <c r="O312" s="12" t="n">
        <f aca="false">IF(N312=1,IF(AND(H312&lt;1000000000000000,H312&gt;=MAX(F312,E312),H312&lt;F312+Cutoff!$B$16,I312&lt;=Cutoff!$B$10),1,0),0)</f>
        <v>0</v>
      </c>
      <c r="P312" s="12" t="n">
        <f aca="false">IF(AND(L312=1,J312&lt;=Cutoff!$B$10),1,0)</f>
        <v>1</v>
      </c>
      <c r="Q312" s="12" t="n">
        <f aca="false">IF(AND(N312=1,E312+Cutoff!$B$17&lt;=Cutoff!$B$10),1,0)</f>
        <v>1</v>
      </c>
      <c r="R312" s="12" t="n">
        <f aca="false">IF(Q312=1,IF(K312&lt;=Cutoff!$B$10,1,0),0)</f>
        <v>0</v>
      </c>
      <c r="S312" s="12" t="n">
        <f aca="false">IF(N312=1,SUMIFS(Subscriptions!$D$2:$D$208,Subscriptions!$A$2:$A$208,C312,Subscriptions!$E$2:$E$208,1,Subscriptions!$B$2:$B$208,"&gt;="&amp;Cutoff!$B$24,Subscriptions!$B$2:$B$208,"&lt;"&amp;Cutoff!$B$25,Subscriptions!$B$2:$B$208,"&lt;="&amp;Cutoff!$B$10),0)</f>
        <v>0</v>
      </c>
    </row>
    <row r="313" customFormat="false" ht="15" hidden="false" customHeight="false" outlineLevel="0" collapsed="false">
      <c r="A313" s="4" t="s">
        <v>910</v>
      </c>
      <c r="B313" s="4" t="s">
        <v>288</v>
      </c>
      <c r="C313" s="4" t="s">
        <v>911</v>
      </c>
      <c r="D313" s="4" t="s">
        <v>51</v>
      </c>
      <c r="E313" s="4" t="n">
        <v>1782863941</v>
      </c>
      <c r="F313" s="4" t="n">
        <v>1782863660</v>
      </c>
      <c r="G313" s="4" t="n">
        <v>1782863680</v>
      </c>
      <c r="H313" s="4" t="n">
        <v>1782867082</v>
      </c>
      <c r="I313" s="4" t="n">
        <v>1782867105</v>
      </c>
      <c r="J313" s="4" t="n">
        <v>1782865085</v>
      </c>
      <c r="K313" s="4" t="n">
        <v>1000000000000000</v>
      </c>
      <c r="L313" s="12" t="n">
        <f aca="false">IF(AND(B313=Cutoff!$B$12,E313&lt;=Cutoff!$B$10),1,0)</f>
        <v>1</v>
      </c>
      <c r="M313" s="12" t="n">
        <f aca="false">IF(AND(L313=1,F313&lt;1000000000000000,G313&lt;=Cutoff!$B$10),1,0)</f>
        <v>1</v>
      </c>
      <c r="N313" s="12" t="n">
        <f aca="false">IF(AND(M313=1,F313+Cutoff!$B$16&lt;=Cutoff!$B$10),1,0)</f>
        <v>1</v>
      </c>
      <c r="O313" s="12" t="n">
        <f aca="false">IF(N313=1,IF(AND(H313&lt;1000000000000000,H313&gt;=MAX(F313,E313),H313&lt;F313+Cutoff!$B$16,I313&lt;=Cutoff!$B$10),1,0),0)</f>
        <v>1</v>
      </c>
      <c r="P313" s="12" t="n">
        <f aca="false">IF(AND(L313=1,J313&lt;=Cutoff!$B$10),1,0)</f>
        <v>1</v>
      </c>
      <c r="Q313" s="12" t="n">
        <f aca="false">IF(AND(N313=1,E313+Cutoff!$B$17&lt;=Cutoff!$B$10),1,0)</f>
        <v>1</v>
      </c>
      <c r="R313" s="12" t="n">
        <f aca="false">IF(Q313=1,IF(K313&lt;=Cutoff!$B$10,1,0),0)</f>
        <v>0</v>
      </c>
      <c r="S313" s="12" t="n">
        <f aca="false">IF(N313=1,SUMIFS(Subscriptions!$D$2:$D$208,Subscriptions!$A$2:$A$208,C313,Subscriptions!$E$2:$E$208,1,Subscriptions!$B$2:$B$208,"&gt;="&amp;Cutoff!$B$24,Subscriptions!$B$2:$B$208,"&lt;"&amp;Cutoff!$B$25,Subscriptions!$B$2:$B$208,"&lt;="&amp;Cutoff!$B$10),0)</f>
        <v>0</v>
      </c>
    </row>
    <row r="314" customFormat="false" ht="15" hidden="false" customHeight="false" outlineLevel="0" collapsed="false">
      <c r="A314" s="4" t="s">
        <v>912</v>
      </c>
      <c r="B314" s="4" t="s">
        <v>288</v>
      </c>
      <c r="C314" s="4" t="s">
        <v>913</v>
      </c>
      <c r="D314" s="4" t="s">
        <v>51</v>
      </c>
      <c r="E314" s="4" t="n">
        <v>1782897443</v>
      </c>
      <c r="F314" s="4" t="n">
        <v>1782896962</v>
      </c>
      <c r="G314" s="4" t="n">
        <v>1782896986</v>
      </c>
      <c r="H314" s="4" t="n">
        <v>1000000000000000</v>
      </c>
      <c r="I314" s="4" t="n">
        <v>1000000000000000</v>
      </c>
      <c r="J314" s="4" t="n">
        <v>1782898424</v>
      </c>
      <c r="K314" s="4" t="n">
        <v>1000000000000000</v>
      </c>
      <c r="L314" s="12" t="n">
        <f aca="false">IF(AND(B314=Cutoff!$B$12,E314&lt;=Cutoff!$B$10),1,0)</f>
        <v>1</v>
      </c>
      <c r="M314" s="12" t="n">
        <f aca="false">IF(AND(L314=1,F314&lt;1000000000000000,G314&lt;=Cutoff!$B$10),1,0)</f>
        <v>1</v>
      </c>
      <c r="N314" s="12" t="n">
        <f aca="false">IF(AND(M314=1,F314+Cutoff!$B$16&lt;=Cutoff!$B$10),1,0)</f>
        <v>1</v>
      </c>
      <c r="O314" s="12" t="n">
        <f aca="false">IF(N314=1,IF(AND(H314&lt;1000000000000000,H314&gt;=MAX(F314,E314),H314&lt;F314+Cutoff!$B$16,I314&lt;=Cutoff!$B$10),1,0),0)</f>
        <v>0</v>
      </c>
      <c r="P314" s="12" t="n">
        <f aca="false">IF(AND(L314=1,J314&lt;=Cutoff!$B$10),1,0)</f>
        <v>1</v>
      </c>
      <c r="Q314" s="12" t="n">
        <f aca="false">IF(AND(N314=1,E314+Cutoff!$B$17&lt;=Cutoff!$B$10),1,0)</f>
        <v>1</v>
      </c>
      <c r="R314" s="12" t="n">
        <f aca="false">IF(Q314=1,IF(K314&lt;=Cutoff!$B$10,1,0),0)</f>
        <v>0</v>
      </c>
      <c r="S314" s="12" t="n">
        <f aca="false">IF(N314=1,SUMIFS(Subscriptions!$D$2:$D$208,Subscriptions!$A$2:$A$208,C314,Subscriptions!$E$2:$E$208,1,Subscriptions!$B$2:$B$208,"&gt;="&amp;Cutoff!$B$24,Subscriptions!$B$2:$B$208,"&lt;"&amp;Cutoff!$B$25,Subscriptions!$B$2:$B$208,"&lt;="&amp;Cutoff!$B$10),0)</f>
        <v>0</v>
      </c>
    </row>
    <row r="315" customFormat="false" ht="15" hidden="false" customHeight="false" outlineLevel="0" collapsed="false">
      <c r="A315" s="4" t="s">
        <v>914</v>
      </c>
      <c r="B315" s="4" t="s">
        <v>288</v>
      </c>
      <c r="C315" s="4" t="s">
        <v>915</v>
      </c>
      <c r="D315" s="4" t="s">
        <v>51</v>
      </c>
      <c r="E315" s="4" t="n">
        <v>1782903817</v>
      </c>
      <c r="F315" s="4" t="n">
        <v>1782903331</v>
      </c>
      <c r="G315" s="4" t="n">
        <v>1782903356</v>
      </c>
      <c r="H315" s="4" t="n">
        <v>1000000000000000</v>
      </c>
      <c r="I315" s="4" t="n">
        <v>1000000000000000</v>
      </c>
      <c r="J315" s="4" t="n">
        <v>1782904374</v>
      </c>
      <c r="K315" s="4" t="n">
        <v>1000000000000000</v>
      </c>
      <c r="L315" s="12" t="n">
        <f aca="false">IF(AND(B315=Cutoff!$B$12,E315&lt;=Cutoff!$B$10),1,0)</f>
        <v>1</v>
      </c>
      <c r="M315" s="12" t="n">
        <f aca="false">IF(AND(L315=1,F315&lt;1000000000000000,G315&lt;=Cutoff!$B$10),1,0)</f>
        <v>1</v>
      </c>
      <c r="N315" s="12" t="n">
        <f aca="false">IF(AND(M315=1,F315+Cutoff!$B$16&lt;=Cutoff!$B$10),1,0)</f>
        <v>1</v>
      </c>
      <c r="O315" s="12" t="n">
        <f aca="false">IF(N315=1,IF(AND(H315&lt;1000000000000000,H315&gt;=MAX(F315,E315),H315&lt;F315+Cutoff!$B$16,I315&lt;=Cutoff!$B$10),1,0),0)</f>
        <v>0</v>
      </c>
      <c r="P315" s="12" t="n">
        <f aca="false">IF(AND(L315=1,J315&lt;=Cutoff!$B$10),1,0)</f>
        <v>1</v>
      </c>
      <c r="Q315" s="12" t="n">
        <f aca="false">IF(AND(N315=1,E315+Cutoff!$B$17&lt;=Cutoff!$B$10),1,0)</f>
        <v>1</v>
      </c>
      <c r="R315" s="12" t="n">
        <f aca="false">IF(Q315=1,IF(K315&lt;=Cutoff!$B$10,1,0),0)</f>
        <v>0</v>
      </c>
      <c r="S315" s="12" t="n">
        <f aca="false">IF(N315=1,SUMIFS(Subscriptions!$D$2:$D$208,Subscriptions!$A$2:$A$208,C315,Subscriptions!$E$2:$E$208,1,Subscriptions!$B$2:$B$208,"&gt;="&amp;Cutoff!$B$24,Subscriptions!$B$2:$B$208,"&lt;"&amp;Cutoff!$B$25,Subscriptions!$B$2:$B$208,"&lt;="&amp;Cutoff!$B$10),0)</f>
        <v>36</v>
      </c>
    </row>
    <row r="316" customFormat="false" ht="15" hidden="false" customHeight="false" outlineLevel="0" collapsed="false">
      <c r="A316" s="4" t="s">
        <v>916</v>
      </c>
      <c r="B316" s="4" t="s">
        <v>288</v>
      </c>
      <c r="C316" s="4" t="s">
        <v>917</v>
      </c>
      <c r="D316" s="4" t="s">
        <v>52</v>
      </c>
      <c r="E316" s="4" t="n">
        <v>1782932064</v>
      </c>
      <c r="F316" s="4" t="n">
        <v>1782931620</v>
      </c>
      <c r="G316" s="4" t="n">
        <v>1782931635</v>
      </c>
      <c r="H316" s="4" t="n">
        <v>1782937371</v>
      </c>
      <c r="I316" s="4" t="n">
        <v>1782939581</v>
      </c>
      <c r="J316" s="4" t="n">
        <v>1782932603</v>
      </c>
      <c r="K316" s="4" t="n">
        <v>1000000000000000</v>
      </c>
      <c r="L316" s="12" t="n">
        <f aca="false">IF(AND(B316=Cutoff!$B$12,E316&lt;=Cutoff!$B$10),1,0)</f>
        <v>1</v>
      </c>
      <c r="M316" s="12" t="n">
        <f aca="false">IF(AND(L316=1,F316&lt;1000000000000000,G316&lt;=Cutoff!$B$10),1,0)</f>
        <v>1</v>
      </c>
      <c r="N316" s="12" t="n">
        <f aca="false">IF(AND(M316=1,F316+Cutoff!$B$16&lt;=Cutoff!$B$10),1,0)</f>
        <v>1</v>
      </c>
      <c r="O316" s="12" t="n">
        <f aca="false">IF(N316=1,IF(AND(H316&lt;1000000000000000,H316&gt;=MAX(F316,E316),H316&lt;F316+Cutoff!$B$16,I316&lt;=Cutoff!$B$10),1,0),0)</f>
        <v>1</v>
      </c>
      <c r="P316" s="12" t="n">
        <f aca="false">IF(AND(L316=1,J316&lt;=Cutoff!$B$10),1,0)</f>
        <v>1</v>
      </c>
      <c r="Q316" s="12" t="n">
        <f aca="false">IF(AND(N316=1,E316+Cutoff!$B$17&lt;=Cutoff!$B$10),1,0)</f>
        <v>1</v>
      </c>
      <c r="R316" s="12" t="n">
        <f aca="false">IF(Q316=1,IF(K316&lt;=Cutoff!$B$10,1,0),0)</f>
        <v>0</v>
      </c>
      <c r="S316" s="12" t="n">
        <f aca="false">IF(N316=1,SUMIFS(Subscriptions!$D$2:$D$208,Subscriptions!$A$2:$A$208,C316,Subscriptions!$E$2:$E$208,1,Subscriptions!$B$2:$B$208,"&gt;="&amp;Cutoff!$B$24,Subscriptions!$B$2:$B$208,"&lt;"&amp;Cutoff!$B$25,Subscriptions!$B$2:$B$208,"&lt;="&amp;Cutoff!$B$10),0)</f>
        <v>0</v>
      </c>
    </row>
    <row r="317" customFormat="false" ht="15" hidden="false" customHeight="false" outlineLevel="0" collapsed="false">
      <c r="A317" s="4" t="s">
        <v>918</v>
      </c>
      <c r="B317" s="4" t="s">
        <v>288</v>
      </c>
      <c r="C317" s="4" t="s">
        <v>919</v>
      </c>
      <c r="D317" s="4" t="s">
        <v>52</v>
      </c>
      <c r="E317" s="4" t="n">
        <v>1782983744</v>
      </c>
      <c r="F317" s="4" t="n">
        <v>1782983656</v>
      </c>
      <c r="G317" s="4" t="n">
        <v>1782983772</v>
      </c>
      <c r="H317" s="4" t="n">
        <v>1784230488</v>
      </c>
      <c r="I317" s="4" t="n">
        <v>1784230652</v>
      </c>
      <c r="J317" s="4" t="n">
        <v>1782984521</v>
      </c>
      <c r="K317" s="4" t="n">
        <v>1000000000000000</v>
      </c>
      <c r="L317" s="12" t="n">
        <f aca="false">IF(AND(B317=Cutoff!$B$12,E317&lt;=Cutoff!$B$10),1,0)</f>
        <v>1</v>
      </c>
      <c r="M317" s="12" t="n">
        <f aca="false">IF(AND(L317=1,F317&lt;1000000000000000,G317&lt;=Cutoff!$B$10),1,0)</f>
        <v>1</v>
      </c>
      <c r="N317" s="12" t="n">
        <f aca="false">IF(AND(M317=1,F317+Cutoff!$B$16&lt;=Cutoff!$B$10),1,0)</f>
        <v>1</v>
      </c>
      <c r="O317" s="12" t="n">
        <f aca="false">IF(N317=1,IF(AND(H317&lt;1000000000000000,H317&gt;=MAX(F317,E317),H317&lt;F317+Cutoff!$B$16,I317&lt;=Cutoff!$B$10),1,0),0)</f>
        <v>0</v>
      </c>
      <c r="P317" s="12" t="n">
        <f aca="false">IF(AND(L317=1,J317&lt;=Cutoff!$B$10),1,0)</f>
        <v>1</v>
      </c>
      <c r="Q317" s="12" t="n">
        <f aca="false">IF(AND(N317=1,E317+Cutoff!$B$17&lt;=Cutoff!$B$10),1,0)</f>
        <v>1</v>
      </c>
      <c r="R317" s="12" t="n">
        <f aca="false">IF(Q317=1,IF(K317&lt;=Cutoff!$B$10,1,0),0)</f>
        <v>0</v>
      </c>
      <c r="S317" s="12" t="n">
        <f aca="false">IF(N317=1,SUMIFS(Subscriptions!$D$2:$D$208,Subscriptions!$A$2:$A$208,C317,Subscriptions!$E$2:$E$208,1,Subscriptions!$B$2:$B$208,"&gt;="&amp;Cutoff!$B$24,Subscriptions!$B$2:$B$208,"&lt;"&amp;Cutoff!$B$25,Subscriptions!$B$2:$B$208,"&lt;="&amp;Cutoff!$B$10),0)</f>
        <v>0</v>
      </c>
    </row>
    <row r="318" customFormat="false" ht="15" hidden="false" customHeight="false" outlineLevel="0" collapsed="false">
      <c r="A318" s="4" t="s">
        <v>920</v>
      </c>
      <c r="B318" s="4" t="s">
        <v>288</v>
      </c>
      <c r="C318" s="4" t="s">
        <v>921</v>
      </c>
      <c r="D318" s="4" t="s">
        <v>51</v>
      </c>
      <c r="E318" s="4" t="n">
        <v>1783001400</v>
      </c>
      <c r="F318" s="4" t="n">
        <v>1783000929</v>
      </c>
      <c r="G318" s="4" t="n">
        <v>1783000981</v>
      </c>
      <c r="H318" s="4" t="n">
        <v>1000000000000000</v>
      </c>
      <c r="I318" s="4" t="n">
        <v>1000000000000000</v>
      </c>
      <c r="J318" s="4" t="n">
        <v>1783002259</v>
      </c>
      <c r="K318" s="4" t="n">
        <v>1000000000000000</v>
      </c>
      <c r="L318" s="12" t="n">
        <f aca="false">IF(AND(B318=Cutoff!$B$12,E318&lt;=Cutoff!$B$10),1,0)</f>
        <v>1</v>
      </c>
      <c r="M318" s="12" t="n">
        <f aca="false">IF(AND(L318=1,F318&lt;1000000000000000,G318&lt;=Cutoff!$B$10),1,0)</f>
        <v>1</v>
      </c>
      <c r="N318" s="12" t="n">
        <f aca="false">IF(AND(M318=1,F318+Cutoff!$B$16&lt;=Cutoff!$B$10),1,0)</f>
        <v>1</v>
      </c>
      <c r="O318" s="12" t="n">
        <f aca="false">IF(N318=1,IF(AND(H318&lt;1000000000000000,H318&gt;=MAX(F318,E318),H318&lt;F318+Cutoff!$B$16,I318&lt;=Cutoff!$B$10),1,0),0)</f>
        <v>0</v>
      </c>
      <c r="P318" s="12" t="n">
        <f aca="false">IF(AND(L318=1,J318&lt;=Cutoff!$B$10),1,0)</f>
        <v>1</v>
      </c>
      <c r="Q318" s="12" t="n">
        <f aca="false">IF(AND(N318=1,E318+Cutoff!$B$17&lt;=Cutoff!$B$10),1,0)</f>
        <v>1</v>
      </c>
      <c r="R318" s="12" t="n">
        <f aca="false">IF(Q318=1,IF(K318&lt;=Cutoff!$B$10,1,0),0)</f>
        <v>0</v>
      </c>
      <c r="S318" s="12" t="n">
        <f aca="false">IF(N318=1,SUMIFS(Subscriptions!$D$2:$D$208,Subscriptions!$A$2:$A$208,C318,Subscriptions!$E$2:$E$208,1,Subscriptions!$B$2:$B$208,"&gt;="&amp;Cutoff!$B$24,Subscriptions!$B$2:$B$208,"&lt;"&amp;Cutoff!$B$25,Subscriptions!$B$2:$B$208,"&lt;="&amp;Cutoff!$B$10),0)</f>
        <v>0</v>
      </c>
    </row>
    <row r="319" customFormat="false" ht="15" hidden="false" customHeight="false" outlineLevel="0" collapsed="false">
      <c r="A319" s="4" t="s">
        <v>922</v>
      </c>
      <c r="B319" s="4" t="s">
        <v>288</v>
      </c>
      <c r="C319" s="4" t="s">
        <v>923</v>
      </c>
      <c r="D319" s="4" t="s">
        <v>52</v>
      </c>
      <c r="E319" s="4" t="n">
        <v>1783024587</v>
      </c>
      <c r="F319" s="4" t="n">
        <v>1783024001</v>
      </c>
      <c r="G319" s="4" t="n">
        <v>1783024010</v>
      </c>
      <c r="H319" s="4" t="n">
        <v>1783067493</v>
      </c>
      <c r="I319" s="4" t="n">
        <v>1783067500</v>
      </c>
      <c r="J319" s="4" t="n">
        <v>1783024794</v>
      </c>
      <c r="K319" s="4" t="n">
        <v>1000000000000000</v>
      </c>
      <c r="L319" s="12" t="n">
        <f aca="false">IF(AND(B319=Cutoff!$B$12,E319&lt;=Cutoff!$B$10),1,0)</f>
        <v>1</v>
      </c>
      <c r="M319" s="12" t="n">
        <f aca="false">IF(AND(L319=1,F319&lt;1000000000000000,G319&lt;=Cutoff!$B$10),1,0)</f>
        <v>1</v>
      </c>
      <c r="N319" s="12" t="n">
        <f aca="false">IF(AND(M319=1,F319+Cutoff!$B$16&lt;=Cutoff!$B$10),1,0)</f>
        <v>1</v>
      </c>
      <c r="O319" s="12" t="n">
        <f aca="false">IF(N319=1,IF(AND(H319&lt;1000000000000000,H319&gt;=MAX(F319,E319),H319&lt;F319+Cutoff!$B$16,I319&lt;=Cutoff!$B$10),1,0),0)</f>
        <v>1</v>
      </c>
      <c r="P319" s="12" t="n">
        <f aca="false">IF(AND(L319=1,J319&lt;=Cutoff!$B$10),1,0)</f>
        <v>1</v>
      </c>
      <c r="Q319" s="12" t="n">
        <f aca="false">IF(AND(N319=1,E319+Cutoff!$B$17&lt;=Cutoff!$B$10),1,0)</f>
        <v>1</v>
      </c>
      <c r="R319" s="12" t="n">
        <f aca="false">IF(Q319=1,IF(K319&lt;=Cutoff!$B$10,1,0),0)</f>
        <v>0</v>
      </c>
      <c r="S319" s="12" t="n">
        <f aca="false">IF(N319=1,SUMIFS(Subscriptions!$D$2:$D$208,Subscriptions!$A$2:$A$208,C319,Subscriptions!$E$2:$E$208,1,Subscriptions!$B$2:$B$208,"&gt;="&amp;Cutoff!$B$24,Subscriptions!$B$2:$B$208,"&lt;"&amp;Cutoff!$B$25,Subscriptions!$B$2:$B$208,"&lt;="&amp;Cutoff!$B$10),0)</f>
        <v>0</v>
      </c>
    </row>
    <row r="320" customFormat="false" ht="15" hidden="false" customHeight="false" outlineLevel="0" collapsed="false">
      <c r="A320" s="4" t="s">
        <v>924</v>
      </c>
      <c r="B320" s="4" t="s">
        <v>288</v>
      </c>
      <c r="C320" s="4" t="s">
        <v>925</v>
      </c>
      <c r="D320" s="4" t="s">
        <v>51</v>
      </c>
      <c r="E320" s="4" t="n">
        <v>1783030385</v>
      </c>
      <c r="F320" s="4" t="n">
        <v>1783030052</v>
      </c>
      <c r="G320" s="4" t="n">
        <v>1783030071</v>
      </c>
      <c r="H320" s="4" t="n">
        <v>1783178917</v>
      </c>
      <c r="I320" s="4" t="n">
        <v>1783178940</v>
      </c>
      <c r="J320" s="4" t="n">
        <v>1783031553</v>
      </c>
      <c r="K320" s="4" t="n">
        <v>1000000000000000</v>
      </c>
      <c r="L320" s="12" t="n">
        <f aca="false">IF(AND(B320=Cutoff!$B$12,E320&lt;=Cutoff!$B$10),1,0)</f>
        <v>1</v>
      </c>
      <c r="M320" s="12" t="n">
        <f aca="false">IF(AND(L320=1,F320&lt;1000000000000000,G320&lt;=Cutoff!$B$10),1,0)</f>
        <v>1</v>
      </c>
      <c r="N320" s="12" t="n">
        <f aca="false">IF(AND(M320=1,F320+Cutoff!$B$16&lt;=Cutoff!$B$10),1,0)</f>
        <v>1</v>
      </c>
      <c r="O320" s="12" t="n">
        <f aca="false">IF(N320=1,IF(AND(H320&lt;1000000000000000,H320&gt;=MAX(F320,E320),H320&lt;F320+Cutoff!$B$16,I320&lt;=Cutoff!$B$10),1,0),0)</f>
        <v>1</v>
      </c>
      <c r="P320" s="12" t="n">
        <f aca="false">IF(AND(L320=1,J320&lt;=Cutoff!$B$10),1,0)</f>
        <v>1</v>
      </c>
      <c r="Q320" s="12" t="n">
        <f aca="false">IF(AND(N320=1,E320+Cutoff!$B$17&lt;=Cutoff!$B$10),1,0)</f>
        <v>1</v>
      </c>
      <c r="R320" s="12" t="n">
        <f aca="false">IF(Q320=1,IF(K320&lt;=Cutoff!$B$10,1,0),0)</f>
        <v>0</v>
      </c>
      <c r="S320" s="12" t="n">
        <f aca="false">IF(N320=1,SUMIFS(Subscriptions!$D$2:$D$208,Subscriptions!$A$2:$A$208,C320,Subscriptions!$E$2:$E$208,1,Subscriptions!$B$2:$B$208,"&gt;="&amp;Cutoff!$B$24,Subscriptions!$B$2:$B$208,"&lt;"&amp;Cutoff!$B$25,Subscriptions!$B$2:$B$208,"&lt;="&amp;Cutoff!$B$10),0)</f>
        <v>0</v>
      </c>
    </row>
    <row r="321" customFormat="false" ht="15" hidden="false" customHeight="false" outlineLevel="0" collapsed="false">
      <c r="A321" s="4" t="s">
        <v>926</v>
      </c>
      <c r="B321" s="4" t="s">
        <v>288</v>
      </c>
      <c r="C321" s="4" t="s">
        <v>927</v>
      </c>
      <c r="D321" s="4" t="s">
        <v>52</v>
      </c>
      <c r="E321" s="4" t="n">
        <v>1783077083</v>
      </c>
      <c r="F321" s="4" t="n">
        <v>1783076507</v>
      </c>
      <c r="G321" s="4" t="n">
        <v>1783076531</v>
      </c>
      <c r="H321" s="4" t="n">
        <v>1000000000000000</v>
      </c>
      <c r="I321" s="4" t="n">
        <v>1000000000000000</v>
      </c>
      <c r="J321" s="4" t="n">
        <v>1783077615</v>
      </c>
      <c r="K321" s="4" t="n">
        <v>1783502687</v>
      </c>
      <c r="L321" s="12" t="n">
        <f aca="false">IF(AND(B321=Cutoff!$B$12,E321&lt;=Cutoff!$B$10),1,0)</f>
        <v>1</v>
      </c>
      <c r="M321" s="12" t="n">
        <f aca="false">IF(AND(L321=1,F321&lt;1000000000000000,G321&lt;=Cutoff!$B$10),1,0)</f>
        <v>1</v>
      </c>
      <c r="N321" s="12" t="n">
        <f aca="false">IF(AND(M321=1,F321+Cutoff!$B$16&lt;=Cutoff!$B$10),1,0)</f>
        <v>1</v>
      </c>
      <c r="O321" s="12" t="n">
        <f aca="false">IF(N321=1,IF(AND(H321&lt;1000000000000000,H321&gt;=MAX(F321,E321),H321&lt;F321+Cutoff!$B$16,I321&lt;=Cutoff!$B$10),1,0),0)</f>
        <v>0</v>
      </c>
      <c r="P321" s="12" t="n">
        <f aca="false">IF(AND(L321=1,J321&lt;=Cutoff!$B$10),1,0)</f>
        <v>1</v>
      </c>
      <c r="Q321" s="12" t="n">
        <f aca="false">IF(AND(N321=1,E321+Cutoff!$B$17&lt;=Cutoff!$B$10),1,0)</f>
        <v>1</v>
      </c>
      <c r="R321" s="12" t="n">
        <f aca="false">IF(Q321=1,IF(K321&lt;=Cutoff!$B$10,1,0),0)</f>
        <v>1</v>
      </c>
      <c r="S321" s="12" t="n">
        <f aca="false">IF(N321=1,SUMIFS(Subscriptions!$D$2:$D$208,Subscriptions!$A$2:$A$208,C321,Subscriptions!$E$2:$E$208,1,Subscriptions!$B$2:$B$208,"&gt;="&amp;Cutoff!$B$24,Subscriptions!$B$2:$B$208,"&lt;"&amp;Cutoff!$B$25,Subscriptions!$B$2:$B$208,"&lt;="&amp;Cutoff!$B$10),0)</f>
        <v>60</v>
      </c>
    </row>
    <row r="322" customFormat="false" ht="15" hidden="false" customHeight="false" outlineLevel="0" collapsed="false">
      <c r="A322" s="4" t="s">
        <v>928</v>
      </c>
      <c r="B322" s="4" t="s">
        <v>288</v>
      </c>
      <c r="C322" s="4" t="s">
        <v>929</v>
      </c>
      <c r="D322" s="4" t="s">
        <v>52</v>
      </c>
      <c r="E322" s="4" t="n">
        <v>1783091842</v>
      </c>
      <c r="F322" s="4" t="n">
        <v>1783091535</v>
      </c>
      <c r="G322" s="4" t="n">
        <v>1783091547</v>
      </c>
      <c r="H322" s="4" t="n">
        <v>1000000000000000</v>
      </c>
      <c r="I322" s="4" t="n">
        <v>1000000000000000</v>
      </c>
      <c r="J322" s="4" t="n">
        <v>1783093032</v>
      </c>
      <c r="K322" s="4" t="n">
        <v>1000000000000000</v>
      </c>
      <c r="L322" s="12" t="n">
        <f aca="false">IF(AND(B322=Cutoff!$B$12,E322&lt;=Cutoff!$B$10),1,0)</f>
        <v>1</v>
      </c>
      <c r="M322" s="12" t="n">
        <f aca="false">IF(AND(L322=1,F322&lt;1000000000000000,G322&lt;=Cutoff!$B$10),1,0)</f>
        <v>1</v>
      </c>
      <c r="N322" s="12" t="n">
        <f aca="false">IF(AND(M322=1,F322+Cutoff!$B$16&lt;=Cutoff!$B$10),1,0)</f>
        <v>1</v>
      </c>
      <c r="O322" s="12" t="n">
        <f aca="false">IF(N322=1,IF(AND(H322&lt;1000000000000000,H322&gt;=MAX(F322,E322),H322&lt;F322+Cutoff!$B$16,I322&lt;=Cutoff!$B$10),1,0),0)</f>
        <v>0</v>
      </c>
      <c r="P322" s="12" t="n">
        <f aca="false">IF(AND(L322=1,J322&lt;=Cutoff!$B$10),1,0)</f>
        <v>1</v>
      </c>
      <c r="Q322" s="12" t="n">
        <f aca="false">IF(AND(N322=1,E322+Cutoff!$B$17&lt;=Cutoff!$B$10),1,0)</f>
        <v>1</v>
      </c>
      <c r="R322" s="12" t="n">
        <f aca="false">IF(Q322=1,IF(K322&lt;=Cutoff!$B$10,1,0),0)</f>
        <v>0</v>
      </c>
      <c r="S322" s="12" t="n">
        <f aca="false">IF(N322=1,SUMIFS(Subscriptions!$D$2:$D$208,Subscriptions!$A$2:$A$208,C322,Subscriptions!$E$2:$E$208,1,Subscriptions!$B$2:$B$208,"&gt;="&amp;Cutoff!$B$24,Subscriptions!$B$2:$B$208,"&lt;"&amp;Cutoff!$B$25,Subscriptions!$B$2:$B$208,"&lt;="&amp;Cutoff!$B$10),0)</f>
        <v>0</v>
      </c>
    </row>
    <row r="323" customFormat="false" ht="15" hidden="false" customHeight="false" outlineLevel="0" collapsed="false">
      <c r="A323" s="4" t="s">
        <v>930</v>
      </c>
      <c r="B323" s="4" t="s">
        <v>288</v>
      </c>
      <c r="C323" s="4" t="s">
        <v>931</v>
      </c>
      <c r="D323" s="4" t="s">
        <v>51</v>
      </c>
      <c r="E323" s="4" t="n">
        <v>1783092064</v>
      </c>
      <c r="F323" s="4" t="n">
        <v>1783091699</v>
      </c>
      <c r="G323" s="4" t="n">
        <v>1783091703</v>
      </c>
      <c r="H323" s="4" t="n">
        <v>1000000000000000</v>
      </c>
      <c r="I323" s="4" t="n">
        <v>1000000000000000</v>
      </c>
      <c r="J323" s="4" t="n">
        <v>1783092116</v>
      </c>
      <c r="K323" s="4" t="n">
        <v>1000000000000000</v>
      </c>
      <c r="L323" s="12" t="n">
        <f aca="false">IF(AND(B323=Cutoff!$B$12,E323&lt;=Cutoff!$B$10),1,0)</f>
        <v>1</v>
      </c>
      <c r="M323" s="12" t="n">
        <f aca="false">IF(AND(L323=1,F323&lt;1000000000000000,G323&lt;=Cutoff!$B$10),1,0)</f>
        <v>1</v>
      </c>
      <c r="N323" s="12" t="n">
        <f aca="false">IF(AND(M323=1,F323+Cutoff!$B$16&lt;=Cutoff!$B$10),1,0)</f>
        <v>1</v>
      </c>
      <c r="O323" s="12" t="n">
        <f aca="false">IF(N323=1,IF(AND(H323&lt;1000000000000000,H323&gt;=MAX(F323,E323),H323&lt;F323+Cutoff!$B$16,I323&lt;=Cutoff!$B$10),1,0),0)</f>
        <v>0</v>
      </c>
      <c r="P323" s="12" t="n">
        <f aca="false">IF(AND(L323=1,J323&lt;=Cutoff!$B$10),1,0)</f>
        <v>1</v>
      </c>
      <c r="Q323" s="12" t="n">
        <f aca="false">IF(AND(N323=1,E323+Cutoff!$B$17&lt;=Cutoff!$B$10),1,0)</f>
        <v>1</v>
      </c>
      <c r="R323" s="12" t="n">
        <f aca="false">IF(Q323=1,IF(K323&lt;=Cutoff!$B$10,1,0),0)</f>
        <v>0</v>
      </c>
      <c r="S323" s="12" t="n">
        <f aca="false">IF(N323=1,SUMIFS(Subscriptions!$D$2:$D$208,Subscriptions!$A$2:$A$208,C323,Subscriptions!$E$2:$E$208,1,Subscriptions!$B$2:$B$208,"&gt;="&amp;Cutoff!$B$24,Subscriptions!$B$2:$B$208,"&lt;"&amp;Cutoff!$B$25,Subscriptions!$B$2:$B$208,"&lt;="&amp;Cutoff!$B$10),0)</f>
        <v>60</v>
      </c>
    </row>
    <row r="324" customFormat="false" ht="15" hidden="false" customHeight="false" outlineLevel="0" collapsed="false">
      <c r="A324" s="4" t="s">
        <v>932</v>
      </c>
      <c r="B324" s="4" t="s">
        <v>288</v>
      </c>
      <c r="C324" s="4" t="s">
        <v>933</v>
      </c>
      <c r="D324" s="4" t="s">
        <v>52</v>
      </c>
      <c r="E324" s="4" t="n">
        <v>1783098656</v>
      </c>
      <c r="F324" s="4" t="n">
        <v>1783098127</v>
      </c>
      <c r="G324" s="4" t="n">
        <v>1783098144</v>
      </c>
      <c r="H324" s="4" t="n">
        <v>1000000000000000</v>
      </c>
      <c r="I324" s="4" t="n">
        <v>1000000000000000</v>
      </c>
      <c r="J324" s="4" t="n">
        <v>1783099435</v>
      </c>
      <c r="K324" s="4" t="n">
        <v>1000000000000000</v>
      </c>
      <c r="L324" s="12" t="n">
        <f aca="false">IF(AND(B324=Cutoff!$B$12,E324&lt;=Cutoff!$B$10),1,0)</f>
        <v>1</v>
      </c>
      <c r="M324" s="12" t="n">
        <f aca="false">IF(AND(L324=1,F324&lt;1000000000000000,G324&lt;=Cutoff!$B$10),1,0)</f>
        <v>1</v>
      </c>
      <c r="N324" s="12" t="n">
        <f aca="false">IF(AND(M324=1,F324+Cutoff!$B$16&lt;=Cutoff!$B$10),1,0)</f>
        <v>1</v>
      </c>
      <c r="O324" s="12" t="n">
        <f aca="false">IF(N324=1,IF(AND(H324&lt;1000000000000000,H324&gt;=MAX(F324,E324),H324&lt;F324+Cutoff!$B$16,I324&lt;=Cutoff!$B$10),1,0),0)</f>
        <v>0</v>
      </c>
      <c r="P324" s="12" t="n">
        <f aca="false">IF(AND(L324=1,J324&lt;=Cutoff!$B$10),1,0)</f>
        <v>1</v>
      </c>
      <c r="Q324" s="12" t="n">
        <f aca="false">IF(AND(N324=1,E324+Cutoff!$B$17&lt;=Cutoff!$B$10),1,0)</f>
        <v>1</v>
      </c>
      <c r="R324" s="12" t="n">
        <f aca="false">IF(Q324=1,IF(K324&lt;=Cutoff!$B$10,1,0),0)</f>
        <v>0</v>
      </c>
      <c r="S324" s="12" t="n">
        <f aca="false">IF(N324=1,SUMIFS(Subscriptions!$D$2:$D$208,Subscriptions!$A$2:$A$208,C324,Subscriptions!$E$2:$E$208,1,Subscriptions!$B$2:$B$208,"&gt;="&amp;Cutoff!$B$24,Subscriptions!$B$2:$B$208,"&lt;"&amp;Cutoff!$B$25,Subscriptions!$B$2:$B$208,"&lt;="&amp;Cutoff!$B$10),0)</f>
        <v>0</v>
      </c>
    </row>
    <row r="325" customFormat="false" ht="15" hidden="false" customHeight="false" outlineLevel="0" collapsed="false">
      <c r="A325" s="4" t="s">
        <v>934</v>
      </c>
      <c r="B325" s="4" t="s">
        <v>288</v>
      </c>
      <c r="C325" s="4" t="s">
        <v>935</v>
      </c>
      <c r="D325" s="4" t="s">
        <v>51</v>
      </c>
      <c r="E325" s="4" t="n">
        <v>1783186554</v>
      </c>
      <c r="F325" s="4" t="n">
        <v>1783186134</v>
      </c>
      <c r="G325" s="4" t="n">
        <v>1783186139</v>
      </c>
      <c r="H325" s="4" t="n">
        <v>1000000000000000</v>
      </c>
      <c r="I325" s="4" t="n">
        <v>1000000000000000</v>
      </c>
      <c r="J325" s="4" t="n">
        <v>1783187053</v>
      </c>
      <c r="K325" s="4" t="n">
        <v>1000000000000000</v>
      </c>
      <c r="L325" s="12" t="n">
        <f aca="false">IF(AND(B325=Cutoff!$B$12,E325&lt;=Cutoff!$B$10),1,0)</f>
        <v>1</v>
      </c>
      <c r="M325" s="12" t="n">
        <f aca="false">IF(AND(L325=1,F325&lt;1000000000000000,G325&lt;=Cutoff!$B$10),1,0)</f>
        <v>1</v>
      </c>
      <c r="N325" s="12" t="n">
        <f aca="false">IF(AND(M325=1,F325+Cutoff!$B$16&lt;=Cutoff!$B$10),1,0)</f>
        <v>1</v>
      </c>
      <c r="O325" s="12" t="n">
        <f aca="false">IF(N325=1,IF(AND(H325&lt;1000000000000000,H325&gt;=MAX(F325,E325),H325&lt;F325+Cutoff!$B$16,I325&lt;=Cutoff!$B$10),1,0),0)</f>
        <v>0</v>
      </c>
      <c r="P325" s="12" t="n">
        <f aca="false">IF(AND(L325=1,J325&lt;=Cutoff!$B$10),1,0)</f>
        <v>1</v>
      </c>
      <c r="Q325" s="12" t="n">
        <f aca="false">IF(AND(N325=1,E325+Cutoff!$B$17&lt;=Cutoff!$B$10),1,0)</f>
        <v>1</v>
      </c>
      <c r="R325" s="12" t="n">
        <f aca="false">IF(Q325=1,IF(K325&lt;=Cutoff!$B$10,1,0),0)</f>
        <v>0</v>
      </c>
      <c r="S325" s="12" t="n">
        <f aca="false">IF(N325=1,SUMIFS(Subscriptions!$D$2:$D$208,Subscriptions!$A$2:$A$208,C325,Subscriptions!$E$2:$E$208,1,Subscriptions!$B$2:$B$208,"&gt;="&amp;Cutoff!$B$24,Subscriptions!$B$2:$B$208,"&lt;"&amp;Cutoff!$B$25,Subscriptions!$B$2:$B$208,"&lt;="&amp;Cutoff!$B$10),0)</f>
        <v>0</v>
      </c>
    </row>
    <row r="326" customFormat="false" ht="15" hidden="false" customHeight="false" outlineLevel="0" collapsed="false">
      <c r="A326" s="4" t="s">
        <v>936</v>
      </c>
      <c r="B326" s="4" t="s">
        <v>288</v>
      </c>
      <c r="C326" s="4" t="s">
        <v>937</v>
      </c>
      <c r="D326" s="4" t="s">
        <v>51</v>
      </c>
      <c r="E326" s="4" t="n">
        <v>1783275059</v>
      </c>
      <c r="F326" s="4" t="n">
        <v>1783274894</v>
      </c>
      <c r="G326" s="4" t="n">
        <v>1783274904</v>
      </c>
      <c r="H326" s="4" t="n">
        <v>1000000000000000</v>
      </c>
      <c r="I326" s="4" t="n">
        <v>1000000000000000</v>
      </c>
      <c r="J326" s="4" t="n">
        <v>1000000000000000</v>
      </c>
      <c r="K326" s="4" t="n">
        <v>1000000000000000</v>
      </c>
      <c r="L326" s="12" t="n">
        <f aca="false">IF(AND(B326=Cutoff!$B$12,E326&lt;=Cutoff!$B$10),1,0)</f>
        <v>1</v>
      </c>
      <c r="M326" s="12" t="n">
        <f aca="false">IF(AND(L326=1,F326&lt;1000000000000000,G326&lt;=Cutoff!$B$10),1,0)</f>
        <v>1</v>
      </c>
      <c r="N326" s="12" t="n">
        <f aca="false">IF(AND(M326=1,F326+Cutoff!$B$16&lt;=Cutoff!$B$10),1,0)</f>
        <v>1</v>
      </c>
      <c r="O326" s="12" t="n">
        <f aca="false">IF(N326=1,IF(AND(H326&lt;1000000000000000,H326&gt;=MAX(F326,E326),H326&lt;F326+Cutoff!$B$16,I326&lt;=Cutoff!$B$10),1,0),0)</f>
        <v>0</v>
      </c>
      <c r="P326" s="12" t="n">
        <f aca="false">IF(AND(L326=1,J326&lt;=Cutoff!$B$10),1,0)</f>
        <v>0</v>
      </c>
      <c r="Q326" s="12" t="n">
        <f aca="false">IF(AND(N326=1,E326+Cutoff!$B$17&lt;=Cutoff!$B$10),1,0)</f>
        <v>1</v>
      </c>
      <c r="R326" s="12" t="n">
        <f aca="false">IF(Q326=1,IF(K326&lt;=Cutoff!$B$10,1,0),0)</f>
        <v>0</v>
      </c>
      <c r="S326" s="12" t="n">
        <f aca="false">IF(N326=1,SUMIFS(Subscriptions!$D$2:$D$208,Subscriptions!$A$2:$A$208,C326,Subscriptions!$E$2:$E$208,1,Subscriptions!$B$2:$B$208,"&gt;="&amp;Cutoff!$B$24,Subscriptions!$B$2:$B$208,"&lt;"&amp;Cutoff!$B$25,Subscriptions!$B$2:$B$208,"&lt;="&amp;Cutoff!$B$10),0)</f>
        <v>0</v>
      </c>
    </row>
    <row r="327" customFormat="false" ht="15" hidden="false" customHeight="false" outlineLevel="0" collapsed="false">
      <c r="A327" s="4" t="s">
        <v>938</v>
      </c>
      <c r="B327" s="4" t="s">
        <v>288</v>
      </c>
      <c r="C327" s="4" t="s">
        <v>939</v>
      </c>
      <c r="D327" s="4" t="s">
        <v>52</v>
      </c>
      <c r="E327" s="4" t="n">
        <v>1783279897</v>
      </c>
      <c r="F327" s="4" t="n">
        <v>1783279581</v>
      </c>
      <c r="G327" s="4" t="n">
        <v>1783279591</v>
      </c>
      <c r="H327" s="4" t="n">
        <v>1000000000000000</v>
      </c>
      <c r="I327" s="4" t="n">
        <v>1000000000000000</v>
      </c>
      <c r="J327" s="4" t="n">
        <v>1783280373</v>
      </c>
      <c r="K327" s="4" t="n">
        <v>1000000000000000</v>
      </c>
      <c r="L327" s="12" t="n">
        <f aca="false">IF(AND(B327=Cutoff!$B$12,E327&lt;=Cutoff!$B$10),1,0)</f>
        <v>1</v>
      </c>
      <c r="M327" s="12" t="n">
        <f aca="false">IF(AND(L327=1,F327&lt;1000000000000000,G327&lt;=Cutoff!$B$10),1,0)</f>
        <v>1</v>
      </c>
      <c r="N327" s="12" t="n">
        <f aca="false">IF(AND(M327=1,F327+Cutoff!$B$16&lt;=Cutoff!$B$10),1,0)</f>
        <v>1</v>
      </c>
      <c r="O327" s="12" t="n">
        <f aca="false">IF(N327=1,IF(AND(H327&lt;1000000000000000,H327&gt;=MAX(F327,E327),H327&lt;F327+Cutoff!$B$16,I327&lt;=Cutoff!$B$10),1,0),0)</f>
        <v>0</v>
      </c>
      <c r="P327" s="12" t="n">
        <f aca="false">IF(AND(L327=1,J327&lt;=Cutoff!$B$10),1,0)</f>
        <v>1</v>
      </c>
      <c r="Q327" s="12" t="n">
        <f aca="false">IF(AND(N327=1,E327+Cutoff!$B$17&lt;=Cutoff!$B$10),1,0)</f>
        <v>1</v>
      </c>
      <c r="R327" s="12" t="n">
        <f aca="false">IF(Q327=1,IF(K327&lt;=Cutoff!$B$10,1,0),0)</f>
        <v>0</v>
      </c>
      <c r="S327" s="12" t="n">
        <f aca="false">IF(N327=1,SUMIFS(Subscriptions!$D$2:$D$208,Subscriptions!$A$2:$A$208,C327,Subscriptions!$E$2:$E$208,1,Subscriptions!$B$2:$B$208,"&gt;="&amp;Cutoff!$B$24,Subscriptions!$B$2:$B$208,"&lt;"&amp;Cutoff!$B$25,Subscriptions!$B$2:$B$208,"&lt;="&amp;Cutoff!$B$10),0)</f>
        <v>0</v>
      </c>
    </row>
    <row r="328" customFormat="false" ht="15" hidden="false" customHeight="false" outlineLevel="0" collapsed="false">
      <c r="A328" s="4" t="s">
        <v>940</v>
      </c>
      <c r="B328" s="4" t="s">
        <v>288</v>
      </c>
      <c r="C328" s="4" t="s">
        <v>941</v>
      </c>
      <c r="D328" s="4" t="s">
        <v>52</v>
      </c>
      <c r="E328" s="4" t="n">
        <v>1783288572</v>
      </c>
      <c r="F328" s="4" t="n">
        <v>1783288380</v>
      </c>
      <c r="G328" s="4" t="n">
        <v>1783288392</v>
      </c>
      <c r="H328" s="4" t="n">
        <v>1000000000000000</v>
      </c>
      <c r="I328" s="4" t="n">
        <v>1000000000000000</v>
      </c>
      <c r="J328" s="4" t="n">
        <v>1000000000000000</v>
      </c>
      <c r="K328" s="4" t="n">
        <v>1000000000000000</v>
      </c>
      <c r="L328" s="12" t="n">
        <f aca="false">IF(AND(B328=Cutoff!$B$12,E328&lt;=Cutoff!$B$10),1,0)</f>
        <v>1</v>
      </c>
      <c r="M328" s="12" t="n">
        <f aca="false">IF(AND(L328=1,F328&lt;1000000000000000,G328&lt;=Cutoff!$B$10),1,0)</f>
        <v>1</v>
      </c>
      <c r="N328" s="12" t="n">
        <f aca="false">IF(AND(M328=1,F328+Cutoff!$B$16&lt;=Cutoff!$B$10),1,0)</f>
        <v>1</v>
      </c>
      <c r="O328" s="12" t="n">
        <f aca="false">IF(N328=1,IF(AND(H328&lt;1000000000000000,H328&gt;=MAX(F328,E328),H328&lt;F328+Cutoff!$B$16,I328&lt;=Cutoff!$B$10),1,0),0)</f>
        <v>0</v>
      </c>
      <c r="P328" s="12" t="n">
        <f aca="false">IF(AND(L328=1,J328&lt;=Cutoff!$B$10),1,0)</f>
        <v>0</v>
      </c>
      <c r="Q328" s="12" t="n">
        <f aca="false">IF(AND(N328=1,E328+Cutoff!$B$17&lt;=Cutoff!$B$10),1,0)</f>
        <v>1</v>
      </c>
      <c r="R328" s="12" t="n">
        <f aca="false">IF(Q328=1,IF(K328&lt;=Cutoff!$B$10,1,0),0)</f>
        <v>0</v>
      </c>
      <c r="S328" s="12" t="n">
        <f aca="false">IF(N328=1,SUMIFS(Subscriptions!$D$2:$D$208,Subscriptions!$A$2:$A$208,C328,Subscriptions!$E$2:$E$208,1,Subscriptions!$B$2:$B$208,"&gt;="&amp;Cutoff!$B$24,Subscriptions!$B$2:$B$208,"&lt;"&amp;Cutoff!$B$25,Subscriptions!$B$2:$B$208,"&lt;="&amp;Cutoff!$B$10),0)</f>
        <v>0</v>
      </c>
    </row>
    <row r="329" customFormat="false" ht="15" hidden="false" customHeight="false" outlineLevel="0" collapsed="false">
      <c r="A329" s="4" t="s">
        <v>942</v>
      </c>
      <c r="B329" s="4" t="s">
        <v>288</v>
      </c>
      <c r="C329" s="4" t="s">
        <v>943</v>
      </c>
      <c r="D329" s="4" t="s">
        <v>51</v>
      </c>
      <c r="E329" s="4" t="n">
        <v>1783290507</v>
      </c>
      <c r="F329" s="4" t="n">
        <v>1783290280</v>
      </c>
      <c r="G329" s="4" t="n">
        <v>1783290550</v>
      </c>
      <c r="H329" s="4" t="n">
        <v>1783293472</v>
      </c>
      <c r="I329" s="4" t="n">
        <v>1783293474</v>
      </c>
      <c r="J329" s="4" t="n">
        <v>1783291310</v>
      </c>
      <c r="K329" s="4" t="n">
        <v>1783291161</v>
      </c>
      <c r="L329" s="12" t="n">
        <f aca="false">IF(AND(B329=Cutoff!$B$12,E329&lt;=Cutoff!$B$10),1,0)</f>
        <v>1</v>
      </c>
      <c r="M329" s="12" t="n">
        <f aca="false">IF(AND(L329=1,F329&lt;1000000000000000,G329&lt;=Cutoff!$B$10),1,0)</f>
        <v>1</v>
      </c>
      <c r="N329" s="12" t="n">
        <f aca="false">IF(AND(M329=1,F329+Cutoff!$B$16&lt;=Cutoff!$B$10),1,0)</f>
        <v>1</v>
      </c>
      <c r="O329" s="12" t="n">
        <f aca="false">IF(N329=1,IF(AND(H329&lt;1000000000000000,H329&gt;=MAX(F329,E329),H329&lt;F329+Cutoff!$B$16,I329&lt;=Cutoff!$B$10),1,0),0)</f>
        <v>1</v>
      </c>
      <c r="P329" s="12" t="n">
        <f aca="false">IF(AND(L329=1,J329&lt;=Cutoff!$B$10),1,0)</f>
        <v>1</v>
      </c>
      <c r="Q329" s="12" t="n">
        <f aca="false">IF(AND(N329=1,E329+Cutoff!$B$17&lt;=Cutoff!$B$10),1,0)</f>
        <v>1</v>
      </c>
      <c r="R329" s="12" t="n">
        <f aca="false">IF(Q329=1,IF(K329&lt;=Cutoff!$B$10,1,0),0)</f>
        <v>1</v>
      </c>
      <c r="S329" s="12" t="n">
        <f aca="false">IF(N329=1,SUMIFS(Subscriptions!$D$2:$D$208,Subscriptions!$A$2:$A$208,C329,Subscriptions!$E$2:$E$208,1,Subscriptions!$B$2:$B$208,"&gt;="&amp;Cutoff!$B$24,Subscriptions!$B$2:$B$208,"&lt;"&amp;Cutoff!$B$25,Subscriptions!$B$2:$B$208,"&lt;="&amp;Cutoff!$B$10),0)</f>
        <v>48</v>
      </c>
    </row>
    <row r="330" customFormat="false" ht="15" hidden="false" customHeight="false" outlineLevel="0" collapsed="false">
      <c r="A330" s="4" t="s">
        <v>944</v>
      </c>
      <c r="B330" s="4" t="s">
        <v>288</v>
      </c>
      <c r="C330" s="4" t="s">
        <v>945</v>
      </c>
      <c r="D330" s="4" t="s">
        <v>52</v>
      </c>
      <c r="E330" s="4" t="n">
        <v>1783357095</v>
      </c>
      <c r="F330" s="4" t="n">
        <v>1783356620</v>
      </c>
      <c r="G330" s="4" t="n">
        <v>1784112040</v>
      </c>
      <c r="H330" s="4" t="n">
        <v>1000000000000000</v>
      </c>
      <c r="I330" s="4" t="n">
        <v>1000000000000000</v>
      </c>
      <c r="J330" s="4" t="n">
        <v>1000000000000000</v>
      </c>
      <c r="K330" s="4" t="n">
        <v>1000000000000000</v>
      </c>
      <c r="L330" s="12" t="n">
        <f aca="false">IF(AND(B330=Cutoff!$B$12,E330&lt;=Cutoff!$B$10),1,0)</f>
        <v>1</v>
      </c>
      <c r="M330" s="12" t="n">
        <f aca="false">IF(AND(L330=1,F330&lt;1000000000000000,G330&lt;=Cutoff!$B$10),1,0)</f>
        <v>1</v>
      </c>
      <c r="N330" s="12" t="n">
        <f aca="false">IF(AND(M330=1,F330+Cutoff!$B$16&lt;=Cutoff!$B$10),1,0)</f>
        <v>1</v>
      </c>
      <c r="O330" s="12" t="n">
        <f aca="false">IF(N330=1,IF(AND(H330&lt;1000000000000000,H330&gt;=MAX(F330,E330),H330&lt;F330+Cutoff!$B$16,I330&lt;=Cutoff!$B$10),1,0),0)</f>
        <v>0</v>
      </c>
      <c r="P330" s="12" t="n">
        <f aca="false">IF(AND(L330=1,J330&lt;=Cutoff!$B$10),1,0)</f>
        <v>0</v>
      </c>
      <c r="Q330" s="12" t="n">
        <f aca="false">IF(AND(N330=1,E330+Cutoff!$B$17&lt;=Cutoff!$B$10),1,0)</f>
        <v>1</v>
      </c>
      <c r="R330" s="12" t="n">
        <f aca="false">IF(Q330=1,IF(K330&lt;=Cutoff!$B$10,1,0),0)</f>
        <v>0</v>
      </c>
      <c r="S330" s="12" t="n">
        <f aca="false">IF(N330=1,SUMIFS(Subscriptions!$D$2:$D$208,Subscriptions!$A$2:$A$208,C330,Subscriptions!$E$2:$E$208,1,Subscriptions!$B$2:$B$208,"&gt;="&amp;Cutoff!$B$24,Subscriptions!$B$2:$B$208,"&lt;"&amp;Cutoff!$B$25,Subscriptions!$B$2:$B$208,"&lt;="&amp;Cutoff!$B$10),0)</f>
        <v>0</v>
      </c>
    </row>
    <row r="331" customFormat="false" ht="15" hidden="false" customHeight="false" outlineLevel="0" collapsed="false">
      <c r="A331" s="4" t="s">
        <v>946</v>
      </c>
      <c r="B331" s="4" t="s">
        <v>288</v>
      </c>
      <c r="C331" s="4" t="s">
        <v>947</v>
      </c>
      <c r="D331" s="4" t="s">
        <v>52</v>
      </c>
      <c r="E331" s="4" t="n">
        <v>1783363503</v>
      </c>
      <c r="F331" s="4" t="n">
        <v>1783362914</v>
      </c>
      <c r="G331" s="4" t="n">
        <v>1783362924</v>
      </c>
      <c r="H331" s="4" t="n">
        <v>1783525580</v>
      </c>
      <c r="I331" s="4" t="n">
        <v>1783525600</v>
      </c>
      <c r="J331" s="4" t="n">
        <v>1783363966</v>
      </c>
      <c r="K331" s="4" t="n">
        <v>1000000000000000</v>
      </c>
      <c r="L331" s="12" t="n">
        <f aca="false">IF(AND(B331=Cutoff!$B$12,E331&lt;=Cutoff!$B$10),1,0)</f>
        <v>1</v>
      </c>
      <c r="M331" s="12" t="n">
        <f aca="false">IF(AND(L331=1,F331&lt;1000000000000000,G331&lt;=Cutoff!$B$10),1,0)</f>
        <v>1</v>
      </c>
      <c r="N331" s="12" t="n">
        <f aca="false">IF(AND(M331=1,F331+Cutoff!$B$16&lt;=Cutoff!$B$10),1,0)</f>
        <v>1</v>
      </c>
      <c r="O331" s="12" t="n">
        <f aca="false">IF(N331=1,IF(AND(H331&lt;1000000000000000,H331&gt;=MAX(F331,E331),H331&lt;F331+Cutoff!$B$16,I331&lt;=Cutoff!$B$10),1,0),0)</f>
        <v>1</v>
      </c>
      <c r="P331" s="12" t="n">
        <f aca="false">IF(AND(L331=1,J331&lt;=Cutoff!$B$10),1,0)</f>
        <v>1</v>
      </c>
      <c r="Q331" s="12" t="n">
        <f aca="false">IF(AND(N331=1,E331+Cutoff!$B$17&lt;=Cutoff!$B$10),1,0)</f>
        <v>1</v>
      </c>
      <c r="R331" s="12" t="n">
        <f aca="false">IF(Q331=1,IF(K331&lt;=Cutoff!$B$10,1,0),0)</f>
        <v>0</v>
      </c>
      <c r="S331" s="12" t="n">
        <f aca="false">IF(N331=1,SUMIFS(Subscriptions!$D$2:$D$208,Subscriptions!$A$2:$A$208,C331,Subscriptions!$E$2:$E$208,1,Subscriptions!$B$2:$B$208,"&gt;="&amp;Cutoff!$B$24,Subscriptions!$B$2:$B$208,"&lt;"&amp;Cutoff!$B$25,Subscriptions!$B$2:$B$208,"&lt;="&amp;Cutoff!$B$10),0)</f>
        <v>0</v>
      </c>
    </row>
    <row r="332" customFormat="false" ht="15" hidden="false" customHeight="false" outlineLevel="0" collapsed="false">
      <c r="A332" s="4" t="s">
        <v>948</v>
      </c>
      <c r="B332" s="4" t="s">
        <v>288</v>
      </c>
      <c r="C332" s="4" t="s">
        <v>949</v>
      </c>
      <c r="D332" s="4" t="s">
        <v>51</v>
      </c>
      <c r="E332" s="4" t="n">
        <v>1783365469</v>
      </c>
      <c r="F332" s="4" t="n">
        <v>1783364953</v>
      </c>
      <c r="G332" s="4" t="n">
        <v>1783364974</v>
      </c>
      <c r="H332" s="4" t="n">
        <v>1783379824</v>
      </c>
      <c r="I332" s="4" t="n">
        <v>1783379838</v>
      </c>
      <c r="J332" s="4" t="n">
        <v>1783366200</v>
      </c>
      <c r="K332" s="4" t="n">
        <v>1783543469</v>
      </c>
      <c r="L332" s="12" t="n">
        <f aca="false">IF(AND(B332=Cutoff!$B$12,E332&lt;=Cutoff!$B$10),1,0)</f>
        <v>1</v>
      </c>
      <c r="M332" s="12" t="n">
        <f aca="false">IF(AND(L332=1,F332&lt;1000000000000000,G332&lt;=Cutoff!$B$10),1,0)</f>
        <v>1</v>
      </c>
      <c r="N332" s="12" t="n">
        <f aca="false">IF(AND(M332=1,F332+Cutoff!$B$16&lt;=Cutoff!$B$10),1,0)</f>
        <v>1</v>
      </c>
      <c r="O332" s="12" t="n">
        <f aca="false">IF(N332=1,IF(AND(H332&lt;1000000000000000,H332&gt;=MAX(F332,E332),H332&lt;F332+Cutoff!$B$16,I332&lt;=Cutoff!$B$10),1,0),0)</f>
        <v>1</v>
      </c>
      <c r="P332" s="12" t="n">
        <f aca="false">IF(AND(L332=1,J332&lt;=Cutoff!$B$10),1,0)</f>
        <v>1</v>
      </c>
      <c r="Q332" s="12" t="n">
        <f aca="false">IF(AND(N332=1,E332+Cutoff!$B$17&lt;=Cutoff!$B$10),1,0)</f>
        <v>1</v>
      </c>
      <c r="R332" s="12" t="n">
        <f aca="false">IF(Q332=1,IF(K332&lt;=Cutoff!$B$10,1,0),0)</f>
        <v>1</v>
      </c>
      <c r="S332" s="12" t="n">
        <f aca="false">IF(N332=1,SUMIFS(Subscriptions!$D$2:$D$208,Subscriptions!$A$2:$A$208,C332,Subscriptions!$E$2:$E$208,1,Subscriptions!$B$2:$B$208,"&gt;="&amp;Cutoff!$B$24,Subscriptions!$B$2:$B$208,"&lt;"&amp;Cutoff!$B$25,Subscriptions!$B$2:$B$208,"&lt;="&amp;Cutoff!$B$10),0)</f>
        <v>0</v>
      </c>
    </row>
    <row r="333" customFormat="false" ht="15" hidden="false" customHeight="false" outlineLevel="0" collapsed="false">
      <c r="A333" s="4" t="s">
        <v>950</v>
      </c>
      <c r="B333" s="4" t="s">
        <v>288</v>
      </c>
      <c r="C333" s="4" t="s">
        <v>951</v>
      </c>
      <c r="D333" s="4" t="s">
        <v>51</v>
      </c>
      <c r="E333" s="4" t="n">
        <v>1783368902</v>
      </c>
      <c r="F333" s="4" t="n">
        <v>1783368470</v>
      </c>
      <c r="G333" s="4" t="n">
        <v>1783368494</v>
      </c>
      <c r="H333" s="4" t="n">
        <v>1785053977</v>
      </c>
      <c r="I333" s="4" t="n">
        <v>1785053985</v>
      </c>
      <c r="J333" s="4" t="n">
        <v>1000000000000000</v>
      </c>
      <c r="K333" s="4" t="n">
        <v>1000000000000000</v>
      </c>
      <c r="L333" s="12" t="n">
        <f aca="false">IF(AND(B333=Cutoff!$B$12,E333&lt;=Cutoff!$B$10),1,0)</f>
        <v>1</v>
      </c>
      <c r="M333" s="12" t="n">
        <f aca="false">IF(AND(L333=1,F333&lt;1000000000000000,G333&lt;=Cutoff!$B$10),1,0)</f>
        <v>1</v>
      </c>
      <c r="N333" s="12" t="n">
        <f aca="false">IF(AND(M333=1,F333+Cutoff!$B$16&lt;=Cutoff!$B$10),1,0)</f>
        <v>1</v>
      </c>
      <c r="O333" s="12" t="n">
        <f aca="false">IF(N333=1,IF(AND(H333&lt;1000000000000000,H333&gt;=MAX(F333,E333),H333&lt;F333+Cutoff!$B$16,I333&lt;=Cutoff!$B$10),1,0),0)</f>
        <v>0</v>
      </c>
      <c r="P333" s="12" t="n">
        <f aca="false">IF(AND(L333=1,J333&lt;=Cutoff!$B$10),1,0)</f>
        <v>0</v>
      </c>
      <c r="Q333" s="12" t="n">
        <f aca="false">IF(AND(N333=1,E333+Cutoff!$B$17&lt;=Cutoff!$B$10),1,0)</f>
        <v>1</v>
      </c>
      <c r="R333" s="12" t="n">
        <f aca="false">IF(Q333=1,IF(K333&lt;=Cutoff!$B$10,1,0),0)</f>
        <v>0</v>
      </c>
      <c r="S333" s="12" t="n">
        <f aca="false">IF(N333=1,SUMIFS(Subscriptions!$D$2:$D$208,Subscriptions!$A$2:$A$208,C333,Subscriptions!$E$2:$E$208,1,Subscriptions!$B$2:$B$208,"&gt;="&amp;Cutoff!$B$24,Subscriptions!$B$2:$B$208,"&lt;"&amp;Cutoff!$B$25,Subscriptions!$B$2:$B$208,"&lt;="&amp;Cutoff!$B$10),0)</f>
        <v>0</v>
      </c>
    </row>
    <row r="334" customFormat="false" ht="15" hidden="false" customHeight="false" outlineLevel="0" collapsed="false">
      <c r="A334" s="4" t="s">
        <v>952</v>
      </c>
      <c r="B334" s="4" t="s">
        <v>288</v>
      </c>
      <c r="C334" s="4" t="s">
        <v>953</v>
      </c>
      <c r="D334" s="4" t="s">
        <v>51</v>
      </c>
      <c r="E334" s="4" t="n">
        <v>1783370607</v>
      </c>
      <c r="F334" s="4" t="n">
        <v>1783370045</v>
      </c>
      <c r="G334" s="4" t="n">
        <v>1783370237</v>
      </c>
      <c r="H334" s="4" t="n">
        <v>1000000000000000</v>
      </c>
      <c r="I334" s="4" t="n">
        <v>1000000000000000</v>
      </c>
      <c r="J334" s="4" t="n">
        <v>1783371042</v>
      </c>
      <c r="K334" s="4" t="n">
        <v>1783622410</v>
      </c>
      <c r="L334" s="12" t="n">
        <f aca="false">IF(AND(B334=Cutoff!$B$12,E334&lt;=Cutoff!$B$10),1,0)</f>
        <v>1</v>
      </c>
      <c r="M334" s="12" t="n">
        <f aca="false">IF(AND(L334=1,F334&lt;1000000000000000,G334&lt;=Cutoff!$B$10),1,0)</f>
        <v>1</v>
      </c>
      <c r="N334" s="12" t="n">
        <f aca="false">IF(AND(M334=1,F334+Cutoff!$B$16&lt;=Cutoff!$B$10),1,0)</f>
        <v>1</v>
      </c>
      <c r="O334" s="12" t="n">
        <f aca="false">IF(N334=1,IF(AND(H334&lt;1000000000000000,H334&gt;=MAX(F334,E334),H334&lt;F334+Cutoff!$B$16,I334&lt;=Cutoff!$B$10),1,0),0)</f>
        <v>0</v>
      </c>
      <c r="P334" s="12" t="n">
        <f aca="false">IF(AND(L334=1,J334&lt;=Cutoff!$B$10),1,0)</f>
        <v>1</v>
      </c>
      <c r="Q334" s="12" t="n">
        <f aca="false">IF(AND(N334=1,E334+Cutoff!$B$17&lt;=Cutoff!$B$10),1,0)</f>
        <v>1</v>
      </c>
      <c r="R334" s="12" t="n">
        <f aca="false">IF(Q334=1,IF(K334&lt;=Cutoff!$B$10,1,0),0)</f>
        <v>1</v>
      </c>
      <c r="S334" s="12" t="n">
        <f aca="false">IF(N334=1,SUMIFS(Subscriptions!$D$2:$D$208,Subscriptions!$A$2:$A$208,C334,Subscriptions!$E$2:$E$208,1,Subscriptions!$B$2:$B$208,"&gt;="&amp;Cutoff!$B$24,Subscriptions!$B$2:$B$208,"&lt;"&amp;Cutoff!$B$25,Subscriptions!$B$2:$B$208,"&lt;="&amp;Cutoff!$B$10),0)</f>
        <v>0</v>
      </c>
    </row>
    <row r="335" customFormat="false" ht="15" hidden="false" customHeight="false" outlineLevel="0" collapsed="false">
      <c r="A335" s="4" t="s">
        <v>954</v>
      </c>
      <c r="B335" s="4" t="s">
        <v>288</v>
      </c>
      <c r="C335" s="4" t="s">
        <v>955</v>
      </c>
      <c r="D335" s="4" t="s">
        <v>51</v>
      </c>
      <c r="E335" s="4" t="n">
        <v>1783375488</v>
      </c>
      <c r="F335" s="4" t="n">
        <v>1783375066</v>
      </c>
      <c r="G335" s="4" t="n">
        <v>1783375069</v>
      </c>
      <c r="H335" s="4" t="n">
        <v>1783553174</v>
      </c>
      <c r="I335" s="4" t="n">
        <v>1783553199</v>
      </c>
      <c r="J335" s="4" t="n">
        <v>1783376051</v>
      </c>
      <c r="K335" s="4" t="n">
        <v>1000000000000000</v>
      </c>
      <c r="L335" s="12" t="n">
        <f aca="false">IF(AND(B335=Cutoff!$B$12,E335&lt;=Cutoff!$B$10),1,0)</f>
        <v>1</v>
      </c>
      <c r="M335" s="12" t="n">
        <f aca="false">IF(AND(L335=1,F335&lt;1000000000000000,G335&lt;=Cutoff!$B$10),1,0)</f>
        <v>1</v>
      </c>
      <c r="N335" s="12" t="n">
        <f aca="false">IF(AND(M335=1,F335+Cutoff!$B$16&lt;=Cutoff!$B$10),1,0)</f>
        <v>1</v>
      </c>
      <c r="O335" s="12" t="n">
        <f aca="false">IF(N335=1,IF(AND(H335&lt;1000000000000000,H335&gt;=MAX(F335,E335),H335&lt;F335+Cutoff!$B$16,I335&lt;=Cutoff!$B$10),1,0),0)</f>
        <v>1</v>
      </c>
      <c r="P335" s="12" t="n">
        <f aca="false">IF(AND(L335=1,J335&lt;=Cutoff!$B$10),1,0)</f>
        <v>1</v>
      </c>
      <c r="Q335" s="12" t="n">
        <f aca="false">IF(AND(N335=1,E335+Cutoff!$B$17&lt;=Cutoff!$B$10),1,0)</f>
        <v>1</v>
      </c>
      <c r="R335" s="12" t="n">
        <f aca="false">IF(Q335=1,IF(K335&lt;=Cutoff!$B$10,1,0),0)</f>
        <v>0</v>
      </c>
      <c r="S335" s="12" t="n">
        <f aca="false">IF(N335=1,SUMIFS(Subscriptions!$D$2:$D$208,Subscriptions!$A$2:$A$208,C335,Subscriptions!$E$2:$E$208,1,Subscriptions!$B$2:$B$208,"&gt;="&amp;Cutoff!$B$24,Subscriptions!$B$2:$B$208,"&lt;"&amp;Cutoff!$B$25,Subscriptions!$B$2:$B$208,"&lt;="&amp;Cutoff!$B$10),0)</f>
        <v>0</v>
      </c>
    </row>
    <row r="336" customFormat="false" ht="15" hidden="false" customHeight="false" outlineLevel="0" collapsed="false">
      <c r="A336" s="4" t="s">
        <v>956</v>
      </c>
      <c r="B336" s="4" t="s">
        <v>288</v>
      </c>
      <c r="C336" s="4" t="s">
        <v>957</v>
      </c>
      <c r="D336" s="4" t="s">
        <v>52</v>
      </c>
      <c r="E336" s="4" t="n">
        <v>1783417067</v>
      </c>
      <c r="F336" s="4" t="n">
        <v>1783416854</v>
      </c>
      <c r="G336" s="4" t="n">
        <v>1783416856</v>
      </c>
      <c r="H336" s="4" t="n">
        <v>1000000000000000</v>
      </c>
      <c r="I336" s="4" t="n">
        <v>1000000000000000</v>
      </c>
      <c r="J336" s="4" t="n">
        <v>1000000000000000</v>
      </c>
      <c r="K336" s="4" t="n">
        <v>1000000000000000</v>
      </c>
      <c r="L336" s="12" t="n">
        <f aca="false">IF(AND(B336=Cutoff!$B$12,E336&lt;=Cutoff!$B$10),1,0)</f>
        <v>1</v>
      </c>
      <c r="M336" s="12" t="n">
        <f aca="false">IF(AND(L336=1,F336&lt;1000000000000000,G336&lt;=Cutoff!$B$10),1,0)</f>
        <v>1</v>
      </c>
      <c r="N336" s="12" t="n">
        <f aca="false">IF(AND(M336=1,F336+Cutoff!$B$16&lt;=Cutoff!$B$10),1,0)</f>
        <v>1</v>
      </c>
      <c r="O336" s="12" t="n">
        <f aca="false">IF(N336=1,IF(AND(H336&lt;1000000000000000,H336&gt;=MAX(F336,E336),H336&lt;F336+Cutoff!$B$16,I336&lt;=Cutoff!$B$10),1,0),0)</f>
        <v>0</v>
      </c>
      <c r="P336" s="12" t="n">
        <f aca="false">IF(AND(L336=1,J336&lt;=Cutoff!$B$10),1,0)</f>
        <v>0</v>
      </c>
      <c r="Q336" s="12" t="n">
        <f aca="false">IF(AND(N336=1,E336+Cutoff!$B$17&lt;=Cutoff!$B$10),1,0)</f>
        <v>1</v>
      </c>
      <c r="R336" s="12" t="n">
        <f aca="false">IF(Q336=1,IF(K336&lt;=Cutoff!$B$10,1,0),0)</f>
        <v>0</v>
      </c>
      <c r="S336" s="12" t="n">
        <f aca="false">IF(N336=1,SUMIFS(Subscriptions!$D$2:$D$208,Subscriptions!$A$2:$A$208,C336,Subscriptions!$E$2:$E$208,1,Subscriptions!$B$2:$B$208,"&gt;="&amp;Cutoff!$B$24,Subscriptions!$B$2:$B$208,"&lt;"&amp;Cutoff!$B$25,Subscriptions!$B$2:$B$208,"&lt;="&amp;Cutoff!$B$10),0)</f>
        <v>60</v>
      </c>
    </row>
    <row r="337" customFormat="false" ht="15" hidden="false" customHeight="false" outlineLevel="0" collapsed="false">
      <c r="A337" s="4" t="s">
        <v>958</v>
      </c>
      <c r="B337" s="4" t="s">
        <v>288</v>
      </c>
      <c r="C337" s="4" t="s">
        <v>959</v>
      </c>
      <c r="D337" s="4" t="s">
        <v>52</v>
      </c>
      <c r="E337" s="4" t="n">
        <v>1783418513</v>
      </c>
      <c r="F337" s="4" t="n">
        <v>1783418093</v>
      </c>
      <c r="G337" s="4" t="n">
        <v>1783418118</v>
      </c>
      <c r="H337" s="4" t="n">
        <v>1783442389</v>
      </c>
      <c r="I337" s="4" t="n">
        <v>1783442408</v>
      </c>
      <c r="J337" s="4" t="n">
        <v>1783419314</v>
      </c>
      <c r="K337" s="4" t="n">
        <v>1000000000000000</v>
      </c>
      <c r="L337" s="12" t="n">
        <f aca="false">IF(AND(B337=Cutoff!$B$12,E337&lt;=Cutoff!$B$10),1,0)</f>
        <v>1</v>
      </c>
      <c r="M337" s="12" t="n">
        <f aca="false">IF(AND(L337=1,F337&lt;1000000000000000,G337&lt;=Cutoff!$B$10),1,0)</f>
        <v>1</v>
      </c>
      <c r="N337" s="12" t="n">
        <f aca="false">IF(AND(M337=1,F337+Cutoff!$B$16&lt;=Cutoff!$B$10),1,0)</f>
        <v>1</v>
      </c>
      <c r="O337" s="12" t="n">
        <f aca="false">IF(N337=1,IF(AND(H337&lt;1000000000000000,H337&gt;=MAX(F337,E337),H337&lt;F337+Cutoff!$B$16,I337&lt;=Cutoff!$B$10),1,0),0)</f>
        <v>1</v>
      </c>
      <c r="P337" s="12" t="n">
        <f aca="false">IF(AND(L337=1,J337&lt;=Cutoff!$B$10),1,0)</f>
        <v>1</v>
      </c>
      <c r="Q337" s="12" t="n">
        <f aca="false">IF(AND(N337=1,E337+Cutoff!$B$17&lt;=Cutoff!$B$10),1,0)</f>
        <v>1</v>
      </c>
      <c r="R337" s="12" t="n">
        <f aca="false">IF(Q337=1,IF(K337&lt;=Cutoff!$B$10,1,0),0)</f>
        <v>0</v>
      </c>
      <c r="S337" s="12" t="n">
        <f aca="false">IF(N337=1,SUMIFS(Subscriptions!$D$2:$D$208,Subscriptions!$A$2:$A$208,C337,Subscriptions!$E$2:$E$208,1,Subscriptions!$B$2:$B$208,"&gt;="&amp;Cutoff!$B$24,Subscriptions!$B$2:$B$208,"&lt;"&amp;Cutoff!$B$25,Subscriptions!$B$2:$B$208,"&lt;="&amp;Cutoff!$B$10),0)</f>
        <v>0</v>
      </c>
    </row>
    <row r="338" customFormat="false" ht="15" hidden="false" customHeight="false" outlineLevel="0" collapsed="false">
      <c r="A338" s="4" t="s">
        <v>960</v>
      </c>
      <c r="B338" s="4" t="s">
        <v>288</v>
      </c>
      <c r="C338" s="4" t="s">
        <v>961</v>
      </c>
      <c r="D338" s="4" t="s">
        <v>51</v>
      </c>
      <c r="E338" s="4" t="n">
        <v>1783420869</v>
      </c>
      <c r="F338" s="4" t="n">
        <v>1783420486</v>
      </c>
      <c r="G338" s="4" t="n">
        <v>1783420493</v>
      </c>
      <c r="H338" s="4" t="n">
        <v>1000000000000000</v>
      </c>
      <c r="I338" s="4" t="n">
        <v>1000000000000000</v>
      </c>
      <c r="J338" s="4" t="n">
        <v>1000000000000000</v>
      </c>
      <c r="K338" s="4" t="n">
        <v>1000000000000000</v>
      </c>
      <c r="L338" s="12" t="n">
        <f aca="false">IF(AND(B338=Cutoff!$B$12,E338&lt;=Cutoff!$B$10),1,0)</f>
        <v>1</v>
      </c>
      <c r="M338" s="12" t="n">
        <f aca="false">IF(AND(L338=1,F338&lt;1000000000000000,G338&lt;=Cutoff!$B$10),1,0)</f>
        <v>1</v>
      </c>
      <c r="N338" s="12" t="n">
        <f aca="false">IF(AND(M338=1,F338+Cutoff!$B$16&lt;=Cutoff!$B$10),1,0)</f>
        <v>1</v>
      </c>
      <c r="O338" s="12" t="n">
        <f aca="false">IF(N338=1,IF(AND(H338&lt;1000000000000000,H338&gt;=MAX(F338,E338),H338&lt;F338+Cutoff!$B$16,I338&lt;=Cutoff!$B$10),1,0),0)</f>
        <v>0</v>
      </c>
      <c r="P338" s="12" t="n">
        <f aca="false">IF(AND(L338=1,J338&lt;=Cutoff!$B$10),1,0)</f>
        <v>0</v>
      </c>
      <c r="Q338" s="12" t="n">
        <f aca="false">IF(AND(N338=1,E338+Cutoff!$B$17&lt;=Cutoff!$B$10),1,0)</f>
        <v>1</v>
      </c>
      <c r="R338" s="12" t="n">
        <f aca="false">IF(Q338=1,IF(K338&lt;=Cutoff!$B$10,1,0),0)</f>
        <v>0</v>
      </c>
      <c r="S338" s="12" t="n">
        <f aca="false">IF(N338=1,SUMIFS(Subscriptions!$D$2:$D$208,Subscriptions!$A$2:$A$208,C338,Subscriptions!$E$2:$E$208,1,Subscriptions!$B$2:$B$208,"&gt;="&amp;Cutoff!$B$24,Subscriptions!$B$2:$B$208,"&lt;"&amp;Cutoff!$B$25,Subscriptions!$B$2:$B$208,"&lt;="&amp;Cutoff!$B$10),0)</f>
        <v>0</v>
      </c>
    </row>
    <row r="339" customFormat="false" ht="15" hidden="false" customHeight="false" outlineLevel="0" collapsed="false">
      <c r="A339" s="4" t="s">
        <v>962</v>
      </c>
      <c r="B339" s="4" t="s">
        <v>288</v>
      </c>
      <c r="C339" s="4" t="s">
        <v>963</v>
      </c>
      <c r="D339" s="4" t="s">
        <v>51</v>
      </c>
      <c r="E339" s="4" t="n">
        <v>1783422381</v>
      </c>
      <c r="F339" s="4" t="n">
        <v>1783421794</v>
      </c>
      <c r="G339" s="4" t="n">
        <v>1783421799</v>
      </c>
      <c r="H339" s="4" t="n">
        <v>1000000000000000</v>
      </c>
      <c r="I339" s="4" t="n">
        <v>1000000000000000</v>
      </c>
      <c r="J339" s="4" t="n">
        <v>1783423094</v>
      </c>
      <c r="K339" s="4" t="n">
        <v>1000000000000000</v>
      </c>
      <c r="L339" s="12" t="n">
        <f aca="false">IF(AND(B339=Cutoff!$B$12,E339&lt;=Cutoff!$B$10),1,0)</f>
        <v>1</v>
      </c>
      <c r="M339" s="12" t="n">
        <f aca="false">IF(AND(L339=1,F339&lt;1000000000000000,G339&lt;=Cutoff!$B$10),1,0)</f>
        <v>1</v>
      </c>
      <c r="N339" s="12" t="n">
        <f aca="false">IF(AND(M339=1,F339+Cutoff!$B$16&lt;=Cutoff!$B$10),1,0)</f>
        <v>1</v>
      </c>
      <c r="O339" s="12" t="n">
        <f aca="false">IF(N339=1,IF(AND(H339&lt;1000000000000000,H339&gt;=MAX(F339,E339),H339&lt;F339+Cutoff!$B$16,I339&lt;=Cutoff!$B$10),1,0),0)</f>
        <v>0</v>
      </c>
      <c r="P339" s="12" t="n">
        <f aca="false">IF(AND(L339=1,J339&lt;=Cutoff!$B$10),1,0)</f>
        <v>1</v>
      </c>
      <c r="Q339" s="12" t="n">
        <f aca="false">IF(AND(N339=1,E339+Cutoff!$B$17&lt;=Cutoff!$B$10),1,0)</f>
        <v>1</v>
      </c>
      <c r="R339" s="12" t="n">
        <f aca="false">IF(Q339=1,IF(K339&lt;=Cutoff!$B$10,1,0),0)</f>
        <v>0</v>
      </c>
      <c r="S339" s="12" t="n">
        <f aca="false">IF(N339=1,SUMIFS(Subscriptions!$D$2:$D$208,Subscriptions!$A$2:$A$208,C339,Subscriptions!$E$2:$E$208,1,Subscriptions!$B$2:$B$208,"&gt;="&amp;Cutoff!$B$24,Subscriptions!$B$2:$B$208,"&lt;"&amp;Cutoff!$B$25,Subscriptions!$B$2:$B$208,"&lt;="&amp;Cutoff!$B$10),0)</f>
        <v>0</v>
      </c>
    </row>
    <row r="340" customFormat="false" ht="15" hidden="false" customHeight="false" outlineLevel="0" collapsed="false">
      <c r="A340" s="4" t="s">
        <v>964</v>
      </c>
      <c r="B340" s="4" t="s">
        <v>288</v>
      </c>
      <c r="C340" s="4" t="s">
        <v>965</v>
      </c>
      <c r="D340" s="4" t="s">
        <v>52</v>
      </c>
      <c r="E340" s="4" t="n">
        <v>1783446972</v>
      </c>
      <c r="F340" s="4" t="n">
        <v>1783446499</v>
      </c>
      <c r="G340" s="4" t="n">
        <v>1783446502</v>
      </c>
      <c r="H340" s="4" t="n">
        <v>1783500966</v>
      </c>
      <c r="I340" s="4" t="n">
        <v>1783500990</v>
      </c>
      <c r="J340" s="4" t="n">
        <v>1783447336</v>
      </c>
      <c r="K340" s="4" t="n">
        <v>1000000000000000</v>
      </c>
      <c r="L340" s="12" t="n">
        <f aca="false">IF(AND(B340=Cutoff!$B$12,E340&lt;=Cutoff!$B$10),1,0)</f>
        <v>1</v>
      </c>
      <c r="M340" s="12" t="n">
        <f aca="false">IF(AND(L340=1,F340&lt;1000000000000000,G340&lt;=Cutoff!$B$10),1,0)</f>
        <v>1</v>
      </c>
      <c r="N340" s="12" t="n">
        <f aca="false">IF(AND(M340=1,F340+Cutoff!$B$16&lt;=Cutoff!$B$10),1,0)</f>
        <v>1</v>
      </c>
      <c r="O340" s="12" t="n">
        <f aca="false">IF(N340=1,IF(AND(H340&lt;1000000000000000,H340&gt;=MAX(F340,E340),H340&lt;F340+Cutoff!$B$16,I340&lt;=Cutoff!$B$10),1,0),0)</f>
        <v>1</v>
      </c>
      <c r="P340" s="12" t="n">
        <f aca="false">IF(AND(L340=1,J340&lt;=Cutoff!$B$10),1,0)</f>
        <v>1</v>
      </c>
      <c r="Q340" s="12" t="n">
        <f aca="false">IF(AND(N340=1,E340+Cutoff!$B$17&lt;=Cutoff!$B$10),1,0)</f>
        <v>1</v>
      </c>
      <c r="R340" s="12" t="n">
        <f aca="false">IF(Q340=1,IF(K340&lt;=Cutoff!$B$10,1,0),0)</f>
        <v>0</v>
      </c>
      <c r="S340" s="12" t="n">
        <f aca="false">IF(N340=1,SUMIFS(Subscriptions!$D$2:$D$208,Subscriptions!$A$2:$A$208,C340,Subscriptions!$E$2:$E$208,1,Subscriptions!$B$2:$B$208,"&gt;="&amp;Cutoff!$B$24,Subscriptions!$B$2:$B$208,"&lt;"&amp;Cutoff!$B$25,Subscriptions!$B$2:$B$208,"&lt;="&amp;Cutoff!$B$10),0)</f>
        <v>0</v>
      </c>
    </row>
    <row r="341" customFormat="false" ht="15" hidden="false" customHeight="false" outlineLevel="0" collapsed="false">
      <c r="A341" s="4" t="s">
        <v>966</v>
      </c>
      <c r="B341" s="4" t="s">
        <v>288</v>
      </c>
      <c r="C341" s="4" t="s">
        <v>967</v>
      </c>
      <c r="D341" s="4" t="s">
        <v>52</v>
      </c>
      <c r="E341" s="4" t="n">
        <v>1783450512</v>
      </c>
      <c r="F341" s="4" t="n">
        <v>1783450144</v>
      </c>
      <c r="G341" s="4" t="n">
        <v>1783450152</v>
      </c>
      <c r="H341" s="4" t="n">
        <v>1000000000000000</v>
      </c>
      <c r="I341" s="4" t="n">
        <v>1000000000000000</v>
      </c>
      <c r="J341" s="4" t="n">
        <v>1783451276</v>
      </c>
      <c r="K341" s="4" t="n">
        <v>1000000000000000</v>
      </c>
      <c r="L341" s="12" t="n">
        <f aca="false">IF(AND(B341=Cutoff!$B$12,E341&lt;=Cutoff!$B$10),1,0)</f>
        <v>1</v>
      </c>
      <c r="M341" s="12" t="n">
        <f aca="false">IF(AND(L341=1,F341&lt;1000000000000000,G341&lt;=Cutoff!$B$10),1,0)</f>
        <v>1</v>
      </c>
      <c r="N341" s="12" t="n">
        <f aca="false">IF(AND(M341=1,F341+Cutoff!$B$16&lt;=Cutoff!$B$10),1,0)</f>
        <v>1</v>
      </c>
      <c r="O341" s="12" t="n">
        <f aca="false">IF(N341=1,IF(AND(H341&lt;1000000000000000,H341&gt;=MAX(F341,E341),H341&lt;F341+Cutoff!$B$16,I341&lt;=Cutoff!$B$10),1,0),0)</f>
        <v>0</v>
      </c>
      <c r="P341" s="12" t="n">
        <f aca="false">IF(AND(L341=1,J341&lt;=Cutoff!$B$10),1,0)</f>
        <v>1</v>
      </c>
      <c r="Q341" s="12" t="n">
        <f aca="false">IF(AND(N341=1,E341+Cutoff!$B$17&lt;=Cutoff!$B$10),1,0)</f>
        <v>1</v>
      </c>
      <c r="R341" s="12" t="n">
        <f aca="false">IF(Q341=1,IF(K341&lt;=Cutoff!$B$10,1,0),0)</f>
        <v>0</v>
      </c>
      <c r="S341" s="12" t="n">
        <f aca="false">IF(N341=1,SUMIFS(Subscriptions!$D$2:$D$208,Subscriptions!$A$2:$A$208,C341,Subscriptions!$E$2:$E$208,1,Subscriptions!$B$2:$B$208,"&gt;="&amp;Cutoff!$B$24,Subscriptions!$B$2:$B$208,"&lt;"&amp;Cutoff!$B$25,Subscriptions!$B$2:$B$208,"&lt;="&amp;Cutoff!$B$10),0)</f>
        <v>84</v>
      </c>
    </row>
    <row r="342" customFormat="false" ht="15" hidden="false" customHeight="false" outlineLevel="0" collapsed="false">
      <c r="A342" s="4" t="s">
        <v>968</v>
      </c>
      <c r="B342" s="4" t="s">
        <v>288</v>
      </c>
      <c r="C342" s="4" t="s">
        <v>969</v>
      </c>
      <c r="D342" s="4" t="s">
        <v>52</v>
      </c>
      <c r="E342" s="4" t="n">
        <v>1783523213</v>
      </c>
      <c r="F342" s="4" t="n">
        <v>1783522855</v>
      </c>
      <c r="G342" s="4" t="n">
        <v>1783522865</v>
      </c>
      <c r="H342" s="4" t="n">
        <v>1000000000000000</v>
      </c>
      <c r="I342" s="4" t="n">
        <v>1000000000000000</v>
      </c>
      <c r="J342" s="4" t="n">
        <v>1000000000000000</v>
      </c>
      <c r="K342" s="4" t="n">
        <v>1000000000000000</v>
      </c>
      <c r="L342" s="12" t="n">
        <f aca="false">IF(AND(B342=Cutoff!$B$12,E342&lt;=Cutoff!$B$10),1,0)</f>
        <v>1</v>
      </c>
      <c r="M342" s="12" t="n">
        <f aca="false">IF(AND(L342=1,F342&lt;1000000000000000,G342&lt;=Cutoff!$B$10),1,0)</f>
        <v>1</v>
      </c>
      <c r="N342" s="12" t="n">
        <f aca="false">IF(AND(M342=1,F342+Cutoff!$B$16&lt;=Cutoff!$B$10),1,0)</f>
        <v>1</v>
      </c>
      <c r="O342" s="12" t="n">
        <f aca="false">IF(N342=1,IF(AND(H342&lt;1000000000000000,H342&gt;=MAX(F342,E342),H342&lt;F342+Cutoff!$B$16,I342&lt;=Cutoff!$B$10),1,0),0)</f>
        <v>0</v>
      </c>
      <c r="P342" s="12" t="n">
        <f aca="false">IF(AND(L342=1,J342&lt;=Cutoff!$B$10),1,0)</f>
        <v>0</v>
      </c>
      <c r="Q342" s="12" t="n">
        <f aca="false">IF(AND(N342=1,E342+Cutoff!$B$17&lt;=Cutoff!$B$10),1,0)</f>
        <v>1</v>
      </c>
      <c r="R342" s="12" t="n">
        <f aca="false">IF(Q342=1,IF(K342&lt;=Cutoff!$B$10,1,0),0)</f>
        <v>0</v>
      </c>
      <c r="S342" s="12" t="n">
        <f aca="false">IF(N342=1,SUMIFS(Subscriptions!$D$2:$D$208,Subscriptions!$A$2:$A$208,C342,Subscriptions!$E$2:$E$208,1,Subscriptions!$B$2:$B$208,"&gt;="&amp;Cutoff!$B$24,Subscriptions!$B$2:$B$208,"&lt;"&amp;Cutoff!$B$25,Subscriptions!$B$2:$B$208,"&lt;="&amp;Cutoff!$B$10),0)</f>
        <v>156</v>
      </c>
    </row>
    <row r="343" customFormat="false" ht="15" hidden="false" customHeight="false" outlineLevel="0" collapsed="false">
      <c r="A343" s="4" t="s">
        <v>970</v>
      </c>
      <c r="B343" s="4" t="s">
        <v>288</v>
      </c>
      <c r="C343" s="4" t="s">
        <v>971</v>
      </c>
      <c r="D343" s="4" t="s">
        <v>52</v>
      </c>
      <c r="E343" s="4" t="n">
        <v>1783526828</v>
      </c>
      <c r="F343" s="4" t="n">
        <v>1783526753</v>
      </c>
      <c r="G343" s="4" t="n">
        <v>1783526766</v>
      </c>
      <c r="H343" s="4" t="n">
        <v>1000000000000000</v>
      </c>
      <c r="I343" s="4" t="n">
        <v>1000000000000000</v>
      </c>
      <c r="J343" s="4" t="n">
        <v>1783527598</v>
      </c>
      <c r="K343" s="4" t="n">
        <v>1000000000000000</v>
      </c>
      <c r="L343" s="12" t="n">
        <f aca="false">IF(AND(B343=Cutoff!$B$12,E343&lt;=Cutoff!$B$10),1,0)</f>
        <v>1</v>
      </c>
      <c r="M343" s="12" t="n">
        <f aca="false">IF(AND(L343=1,F343&lt;1000000000000000,G343&lt;=Cutoff!$B$10),1,0)</f>
        <v>1</v>
      </c>
      <c r="N343" s="12" t="n">
        <f aca="false">IF(AND(M343=1,F343+Cutoff!$B$16&lt;=Cutoff!$B$10),1,0)</f>
        <v>1</v>
      </c>
      <c r="O343" s="12" t="n">
        <f aca="false">IF(N343=1,IF(AND(H343&lt;1000000000000000,H343&gt;=MAX(F343,E343),H343&lt;F343+Cutoff!$B$16,I343&lt;=Cutoff!$B$10),1,0),0)</f>
        <v>0</v>
      </c>
      <c r="P343" s="12" t="n">
        <f aca="false">IF(AND(L343=1,J343&lt;=Cutoff!$B$10),1,0)</f>
        <v>1</v>
      </c>
      <c r="Q343" s="12" t="n">
        <f aca="false">IF(AND(N343=1,E343+Cutoff!$B$17&lt;=Cutoff!$B$10),1,0)</f>
        <v>1</v>
      </c>
      <c r="R343" s="12" t="n">
        <f aca="false">IF(Q343=1,IF(K343&lt;=Cutoff!$B$10,1,0),0)</f>
        <v>0</v>
      </c>
      <c r="S343" s="12" t="n">
        <f aca="false">IF(N343=1,SUMIFS(Subscriptions!$D$2:$D$208,Subscriptions!$A$2:$A$208,C343,Subscriptions!$E$2:$E$208,1,Subscriptions!$B$2:$B$208,"&gt;="&amp;Cutoff!$B$24,Subscriptions!$B$2:$B$208,"&lt;"&amp;Cutoff!$B$25,Subscriptions!$B$2:$B$208,"&lt;="&amp;Cutoff!$B$10),0)</f>
        <v>0</v>
      </c>
    </row>
    <row r="344" customFormat="false" ht="15" hidden="false" customHeight="false" outlineLevel="0" collapsed="false">
      <c r="A344" s="4" t="s">
        <v>972</v>
      </c>
      <c r="B344" s="4" t="s">
        <v>288</v>
      </c>
      <c r="C344" s="4" t="s">
        <v>973</v>
      </c>
      <c r="D344" s="4" t="s">
        <v>51</v>
      </c>
      <c r="E344" s="4" t="n">
        <v>1783547646</v>
      </c>
      <c r="F344" s="4" t="n">
        <v>1783547243</v>
      </c>
      <c r="G344" s="4" t="n">
        <v>1783547252</v>
      </c>
      <c r="H344" s="4" t="n">
        <v>1783552002</v>
      </c>
      <c r="I344" s="4" t="n">
        <v>1783552003</v>
      </c>
      <c r="J344" s="4" t="n">
        <v>1783548753</v>
      </c>
      <c r="K344" s="4" t="n">
        <v>1000000000000000</v>
      </c>
      <c r="L344" s="12" t="n">
        <f aca="false">IF(AND(B344=Cutoff!$B$12,E344&lt;=Cutoff!$B$10),1,0)</f>
        <v>1</v>
      </c>
      <c r="M344" s="12" t="n">
        <f aca="false">IF(AND(L344=1,F344&lt;1000000000000000,G344&lt;=Cutoff!$B$10),1,0)</f>
        <v>1</v>
      </c>
      <c r="N344" s="12" t="n">
        <f aca="false">IF(AND(M344=1,F344+Cutoff!$B$16&lt;=Cutoff!$B$10),1,0)</f>
        <v>1</v>
      </c>
      <c r="O344" s="12" t="n">
        <f aca="false">IF(N344=1,IF(AND(H344&lt;1000000000000000,H344&gt;=MAX(F344,E344),H344&lt;F344+Cutoff!$B$16,I344&lt;=Cutoff!$B$10),1,0),0)</f>
        <v>1</v>
      </c>
      <c r="P344" s="12" t="n">
        <f aca="false">IF(AND(L344=1,J344&lt;=Cutoff!$B$10),1,0)</f>
        <v>1</v>
      </c>
      <c r="Q344" s="12" t="n">
        <f aca="false">IF(AND(N344=1,E344+Cutoff!$B$17&lt;=Cutoff!$B$10),1,0)</f>
        <v>1</v>
      </c>
      <c r="R344" s="12" t="n">
        <f aca="false">IF(Q344=1,IF(K344&lt;=Cutoff!$B$10,1,0),0)</f>
        <v>0</v>
      </c>
      <c r="S344" s="12" t="n">
        <f aca="false">IF(N344=1,SUMIFS(Subscriptions!$D$2:$D$208,Subscriptions!$A$2:$A$208,C344,Subscriptions!$E$2:$E$208,1,Subscriptions!$B$2:$B$208,"&gt;="&amp;Cutoff!$B$24,Subscriptions!$B$2:$B$208,"&lt;"&amp;Cutoff!$B$25,Subscriptions!$B$2:$B$208,"&lt;="&amp;Cutoff!$B$10),0)</f>
        <v>0</v>
      </c>
    </row>
    <row r="345" customFormat="false" ht="15" hidden="false" customHeight="false" outlineLevel="0" collapsed="false">
      <c r="A345" s="4" t="s">
        <v>974</v>
      </c>
      <c r="B345" s="4" t="s">
        <v>288</v>
      </c>
      <c r="C345" s="4" t="s">
        <v>975</v>
      </c>
      <c r="D345" s="4" t="s">
        <v>51</v>
      </c>
      <c r="E345" s="4" t="n">
        <v>1783549328</v>
      </c>
      <c r="F345" s="4" t="n">
        <v>1783548991</v>
      </c>
      <c r="G345" s="4" t="n">
        <v>1783549255</v>
      </c>
      <c r="H345" s="4" t="n">
        <v>1000000000000000</v>
      </c>
      <c r="I345" s="4" t="n">
        <v>1000000000000000</v>
      </c>
      <c r="J345" s="4" t="n">
        <v>1783549435</v>
      </c>
      <c r="K345" s="4" t="n">
        <v>1000000000000000</v>
      </c>
      <c r="L345" s="12" t="n">
        <f aca="false">IF(AND(B345=Cutoff!$B$12,E345&lt;=Cutoff!$B$10),1,0)</f>
        <v>1</v>
      </c>
      <c r="M345" s="12" t="n">
        <f aca="false">IF(AND(L345=1,F345&lt;1000000000000000,G345&lt;=Cutoff!$B$10),1,0)</f>
        <v>1</v>
      </c>
      <c r="N345" s="12" t="n">
        <f aca="false">IF(AND(M345=1,F345+Cutoff!$B$16&lt;=Cutoff!$B$10),1,0)</f>
        <v>1</v>
      </c>
      <c r="O345" s="12" t="n">
        <f aca="false">IF(N345=1,IF(AND(H345&lt;1000000000000000,H345&gt;=MAX(F345,E345),H345&lt;F345+Cutoff!$B$16,I345&lt;=Cutoff!$B$10),1,0),0)</f>
        <v>0</v>
      </c>
      <c r="P345" s="12" t="n">
        <f aca="false">IF(AND(L345=1,J345&lt;=Cutoff!$B$10),1,0)</f>
        <v>1</v>
      </c>
      <c r="Q345" s="12" t="n">
        <f aca="false">IF(AND(N345=1,E345+Cutoff!$B$17&lt;=Cutoff!$B$10),1,0)</f>
        <v>1</v>
      </c>
      <c r="R345" s="12" t="n">
        <f aca="false">IF(Q345=1,IF(K345&lt;=Cutoff!$B$10,1,0),0)</f>
        <v>0</v>
      </c>
      <c r="S345" s="12" t="n">
        <f aca="false">IF(N345=1,SUMIFS(Subscriptions!$D$2:$D$208,Subscriptions!$A$2:$A$208,C345,Subscriptions!$E$2:$E$208,1,Subscriptions!$B$2:$B$208,"&gt;="&amp;Cutoff!$B$24,Subscriptions!$B$2:$B$208,"&lt;"&amp;Cutoff!$B$25,Subscriptions!$B$2:$B$208,"&lt;="&amp;Cutoff!$B$10),0)</f>
        <v>0</v>
      </c>
    </row>
    <row r="346" customFormat="false" ht="15" hidden="false" customHeight="false" outlineLevel="0" collapsed="false">
      <c r="A346" s="4" t="s">
        <v>976</v>
      </c>
      <c r="B346" s="4" t="s">
        <v>288</v>
      </c>
      <c r="C346" s="4" t="s">
        <v>977</v>
      </c>
      <c r="D346" s="4" t="s">
        <v>51</v>
      </c>
      <c r="E346" s="4" t="n">
        <v>1783614442</v>
      </c>
      <c r="F346" s="4" t="n">
        <v>1783614032</v>
      </c>
      <c r="G346" s="4" t="n">
        <v>1783614043</v>
      </c>
      <c r="H346" s="4" t="n">
        <v>1000000000000000</v>
      </c>
      <c r="I346" s="4" t="n">
        <v>1000000000000000</v>
      </c>
      <c r="J346" s="4" t="n">
        <v>1783615331</v>
      </c>
      <c r="K346" s="4" t="n">
        <v>1000000000000000</v>
      </c>
      <c r="L346" s="12" t="n">
        <f aca="false">IF(AND(B346=Cutoff!$B$12,E346&lt;=Cutoff!$B$10),1,0)</f>
        <v>1</v>
      </c>
      <c r="M346" s="12" t="n">
        <f aca="false">IF(AND(L346=1,F346&lt;1000000000000000,G346&lt;=Cutoff!$B$10),1,0)</f>
        <v>1</v>
      </c>
      <c r="N346" s="12" t="n">
        <f aca="false">IF(AND(M346=1,F346+Cutoff!$B$16&lt;=Cutoff!$B$10),1,0)</f>
        <v>1</v>
      </c>
      <c r="O346" s="12" t="n">
        <f aca="false">IF(N346=1,IF(AND(H346&lt;1000000000000000,H346&gt;=MAX(F346,E346),H346&lt;F346+Cutoff!$B$16,I346&lt;=Cutoff!$B$10),1,0),0)</f>
        <v>0</v>
      </c>
      <c r="P346" s="12" t="n">
        <f aca="false">IF(AND(L346=1,J346&lt;=Cutoff!$B$10),1,0)</f>
        <v>1</v>
      </c>
      <c r="Q346" s="12" t="n">
        <f aca="false">IF(AND(N346=1,E346+Cutoff!$B$17&lt;=Cutoff!$B$10),1,0)</f>
        <v>1</v>
      </c>
      <c r="R346" s="12" t="n">
        <f aca="false">IF(Q346=1,IF(K346&lt;=Cutoff!$B$10,1,0),0)</f>
        <v>0</v>
      </c>
      <c r="S346" s="12" t="n">
        <f aca="false">IF(N346=1,SUMIFS(Subscriptions!$D$2:$D$208,Subscriptions!$A$2:$A$208,C346,Subscriptions!$E$2:$E$208,1,Subscriptions!$B$2:$B$208,"&gt;="&amp;Cutoff!$B$24,Subscriptions!$B$2:$B$208,"&lt;"&amp;Cutoff!$B$25,Subscriptions!$B$2:$B$208,"&lt;="&amp;Cutoff!$B$10),0)</f>
        <v>0</v>
      </c>
    </row>
    <row r="347" customFormat="false" ht="15" hidden="false" customHeight="false" outlineLevel="0" collapsed="false">
      <c r="A347" s="4" t="s">
        <v>978</v>
      </c>
      <c r="B347" s="4" t="s">
        <v>288</v>
      </c>
      <c r="C347" s="4" t="s">
        <v>979</v>
      </c>
      <c r="D347" s="4" t="s">
        <v>51</v>
      </c>
      <c r="E347" s="4" t="n">
        <v>1783636190</v>
      </c>
      <c r="F347" s="4" t="n">
        <v>1783635680</v>
      </c>
      <c r="G347" s="4" t="n">
        <v>1783635817</v>
      </c>
      <c r="H347" s="4" t="n">
        <v>1000000000000000</v>
      </c>
      <c r="I347" s="4" t="n">
        <v>1000000000000000</v>
      </c>
      <c r="J347" s="4" t="n">
        <v>1783636262</v>
      </c>
      <c r="K347" s="4" t="n">
        <v>1000000000000000</v>
      </c>
      <c r="L347" s="12" t="n">
        <f aca="false">IF(AND(B347=Cutoff!$B$12,E347&lt;=Cutoff!$B$10),1,0)</f>
        <v>1</v>
      </c>
      <c r="M347" s="12" t="n">
        <f aca="false">IF(AND(L347=1,F347&lt;1000000000000000,G347&lt;=Cutoff!$B$10),1,0)</f>
        <v>1</v>
      </c>
      <c r="N347" s="12" t="n">
        <f aca="false">IF(AND(M347=1,F347+Cutoff!$B$16&lt;=Cutoff!$B$10),1,0)</f>
        <v>1</v>
      </c>
      <c r="O347" s="12" t="n">
        <f aca="false">IF(N347=1,IF(AND(H347&lt;1000000000000000,H347&gt;=MAX(F347,E347),H347&lt;F347+Cutoff!$B$16,I347&lt;=Cutoff!$B$10),1,0),0)</f>
        <v>0</v>
      </c>
      <c r="P347" s="12" t="n">
        <f aca="false">IF(AND(L347=1,J347&lt;=Cutoff!$B$10),1,0)</f>
        <v>1</v>
      </c>
      <c r="Q347" s="12" t="n">
        <f aca="false">IF(AND(N347=1,E347+Cutoff!$B$17&lt;=Cutoff!$B$10),1,0)</f>
        <v>1</v>
      </c>
      <c r="R347" s="12" t="n">
        <f aca="false">IF(Q347=1,IF(K347&lt;=Cutoff!$B$10,1,0),0)</f>
        <v>0</v>
      </c>
      <c r="S347" s="12" t="n">
        <f aca="false">IF(N347=1,SUMIFS(Subscriptions!$D$2:$D$208,Subscriptions!$A$2:$A$208,C347,Subscriptions!$E$2:$E$208,1,Subscriptions!$B$2:$B$208,"&gt;="&amp;Cutoff!$B$24,Subscriptions!$B$2:$B$208,"&lt;"&amp;Cutoff!$B$25,Subscriptions!$B$2:$B$208,"&lt;="&amp;Cutoff!$B$10),0)</f>
        <v>0</v>
      </c>
    </row>
    <row r="348" customFormat="false" ht="15" hidden="false" customHeight="false" outlineLevel="0" collapsed="false">
      <c r="A348" s="4" t="s">
        <v>980</v>
      </c>
      <c r="B348" s="4" t="s">
        <v>288</v>
      </c>
      <c r="C348" s="4" t="s">
        <v>981</v>
      </c>
      <c r="D348" s="4" t="s">
        <v>52</v>
      </c>
      <c r="E348" s="4" t="n">
        <v>1783682391</v>
      </c>
      <c r="F348" s="4" t="n">
        <v>1783681946</v>
      </c>
      <c r="G348" s="4" t="n">
        <v>1783681954</v>
      </c>
      <c r="H348" s="4" t="n">
        <v>1783693862</v>
      </c>
      <c r="I348" s="4" t="n">
        <v>1783694066</v>
      </c>
      <c r="J348" s="4" t="n">
        <v>1783682403</v>
      </c>
      <c r="K348" s="4" t="n">
        <v>1000000000000000</v>
      </c>
      <c r="L348" s="12" t="n">
        <f aca="false">IF(AND(B348=Cutoff!$B$12,E348&lt;=Cutoff!$B$10),1,0)</f>
        <v>1</v>
      </c>
      <c r="M348" s="12" t="n">
        <f aca="false">IF(AND(L348=1,F348&lt;1000000000000000,G348&lt;=Cutoff!$B$10),1,0)</f>
        <v>1</v>
      </c>
      <c r="N348" s="12" t="n">
        <f aca="false">IF(AND(M348=1,F348+Cutoff!$B$16&lt;=Cutoff!$B$10),1,0)</f>
        <v>1</v>
      </c>
      <c r="O348" s="12" t="n">
        <f aca="false">IF(N348=1,IF(AND(H348&lt;1000000000000000,H348&gt;=MAX(F348,E348),H348&lt;F348+Cutoff!$B$16,I348&lt;=Cutoff!$B$10),1,0),0)</f>
        <v>1</v>
      </c>
      <c r="P348" s="12" t="n">
        <f aca="false">IF(AND(L348=1,J348&lt;=Cutoff!$B$10),1,0)</f>
        <v>1</v>
      </c>
      <c r="Q348" s="12" t="n">
        <f aca="false">IF(AND(N348=1,E348+Cutoff!$B$17&lt;=Cutoff!$B$10),1,0)</f>
        <v>1</v>
      </c>
      <c r="R348" s="12" t="n">
        <f aca="false">IF(Q348=1,IF(K348&lt;=Cutoff!$B$10,1,0),0)</f>
        <v>0</v>
      </c>
      <c r="S348" s="12" t="n">
        <f aca="false">IF(N348=1,SUMIFS(Subscriptions!$D$2:$D$208,Subscriptions!$A$2:$A$208,C348,Subscriptions!$E$2:$E$208,1,Subscriptions!$B$2:$B$208,"&gt;="&amp;Cutoff!$B$24,Subscriptions!$B$2:$B$208,"&lt;"&amp;Cutoff!$B$25,Subscriptions!$B$2:$B$208,"&lt;="&amp;Cutoff!$B$10),0)</f>
        <v>96</v>
      </c>
    </row>
    <row r="349" customFormat="false" ht="15" hidden="false" customHeight="false" outlineLevel="0" collapsed="false">
      <c r="A349" s="4" t="s">
        <v>982</v>
      </c>
      <c r="B349" s="4" t="s">
        <v>288</v>
      </c>
      <c r="C349" s="4" t="s">
        <v>983</v>
      </c>
      <c r="D349" s="4" t="s">
        <v>52</v>
      </c>
      <c r="E349" s="4" t="n">
        <v>1783696259</v>
      </c>
      <c r="F349" s="4" t="n">
        <v>1783695954</v>
      </c>
      <c r="G349" s="4" t="n">
        <v>1783695979</v>
      </c>
      <c r="H349" s="4" t="n">
        <v>1784384239</v>
      </c>
      <c r="I349" s="4" t="n">
        <v>1784384365</v>
      </c>
      <c r="J349" s="4" t="n">
        <v>1000000000000000</v>
      </c>
      <c r="K349" s="4" t="n">
        <v>1784056384</v>
      </c>
      <c r="L349" s="12" t="n">
        <f aca="false">IF(AND(B349=Cutoff!$B$12,E349&lt;=Cutoff!$B$10),1,0)</f>
        <v>1</v>
      </c>
      <c r="M349" s="12" t="n">
        <f aca="false">IF(AND(L349=1,F349&lt;1000000000000000,G349&lt;=Cutoff!$B$10),1,0)</f>
        <v>1</v>
      </c>
      <c r="N349" s="12" t="n">
        <f aca="false">IF(AND(M349=1,F349+Cutoff!$B$16&lt;=Cutoff!$B$10),1,0)</f>
        <v>1</v>
      </c>
      <c r="O349" s="12" t="n">
        <f aca="false">IF(N349=1,IF(AND(H349&lt;1000000000000000,H349&gt;=MAX(F349,E349),H349&lt;F349+Cutoff!$B$16,I349&lt;=Cutoff!$B$10),1,0),0)</f>
        <v>0</v>
      </c>
      <c r="P349" s="12" t="n">
        <f aca="false">IF(AND(L349=1,J349&lt;=Cutoff!$B$10),1,0)</f>
        <v>0</v>
      </c>
      <c r="Q349" s="12" t="n">
        <f aca="false">IF(AND(N349=1,E349+Cutoff!$B$17&lt;=Cutoff!$B$10),1,0)</f>
        <v>1</v>
      </c>
      <c r="R349" s="12" t="n">
        <f aca="false">IF(Q349=1,IF(K349&lt;=Cutoff!$B$10,1,0),0)</f>
        <v>1</v>
      </c>
      <c r="S349" s="12" t="n">
        <f aca="false">IF(N349=1,SUMIFS(Subscriptions!$D$2:$D$208,Subscriptions!$A$2:$A$208,C349,Subscriptions!$E$2:$E$208,1,Subscriptions!$B$2:$B$208,"&gt;="&amp;Cutoff!$B$24,Subscriptions!$B$2:$B$208,"&lt;"&amp;Cutoff!$B$25,Subscriptions!$B$2:$B$208,"&lt;="&amp;Cutoff!$B$10),0)</f>
        <v>0</v>
      </c>
    </row>
    <row r="350" customFormat="false" ht="15" hidden="false" customHeight="false" outlineLevel="0" collapsed="false">
      <c r="A350" s="4" t="s">
        <v>984</v>
      </c>
      <c r="B350" s="4" t="s">
        <v>288</v>
      </c>
      <c r="C350" s="4" t="s">
        <v>985</v>
      </c>
      <c r="D350" s="4" t="s">
        <v>52</v>
      </c>
      <c r="E350" s="4" t="n">
        <v>1783707403</v>
      </c>
      <c r="F350" s="4" t="n">
        <v>1783707253</v>
      </c>
      <c r="G350" s="4" t="n">
        <v>1783707269</v>
      </c>
      <c r="H350" s="4" t="n">
        <v>1000000000000000</v>
      </c>
      <c r="I350" s="4" t="n">
        <v>1000000000000000</v>
      </c>
      <c r="J350" s="4" t="n">
        <v>1783707822</v>
      </c>
      <c r="K350" s="4" t="n">
        <v>1000000000000000</v>
      </c>
      <c r="L350" s="12" t="n">
        <f aca="false">IF(AND(B350=Cutoff!$B$12,E350&lt;=Cutoff!$B$10),1,0)</f>
        <v>1</v>
      </c>
      <c r="M350" s="12" t="n">
        <f aca="false">IF(AND(L350=1,F350&lt;1000000000000000,G350&lt;=Cutoff!$B$10),1,0)</f>
        <v>1</v>
      </c>
      <c r="N350" s="12" t="n">
        <f aca="false">IF(AND(M350=1,F350+Cutoff!$B$16&lt;=Cutoff!$B$10),1,0)</f>
        <v>1</v>
      </c>
      <c r="O350" s="12" t="n">
        <f aca="false">IF(N350=1,IF(AND(H350&lt;1000000000000000,H350&gt;=MAX(F350,E350),H350&lt;F350+Cutoff!$B$16,I350&lt;=Cutoff!$B$10),1,0),0)</f>
        <v>0</v>
      </c>
      <c r="P350" s="12" t="n">
        <f aca="false">IF(AND(L350=1,J350&lt;=Cutoff!$B$10),1,0)</f>
        <v>1</v>
      </c>
      <c r="Q350" s="12" t="n">
        <f aca="false">IF(AND(N350=1,E350+Cutoff!$B$17&lt;=Cutoff!$B$10),1,0)</f>
        <v>1</v>
      </c>
      <c r="R350" s="12" t="n">
        <f aca="false">IF(Q350=1,IF(K350&lt;=Cutoff!$B$10,1,0),0)</f>
        <v>0</v>
      </c>
      <c r="S350" s="12" t="n">
        <f aca="false">IF(N350=1,SUMIFS(Subscriptions!$D$2:$D$208,Subscriptions!$A$2:$A$208,C350,Subscriptions!$E$2:$E$208,1,Subscriptions!$B$2:$B$208,"&gt;="&amp;Cutoff!$B$24,Subscriptions!$B$2:$B$208,"&lt;"&amp;Cutoff!$B$25,Subscriptions!$B$2:$B$208,"&lt;="&amp;Cutoff!$B$10),0)</f>
        <v>0</v>
      </c>
    </row>
    <row r="351" customFormat="false" ht="15" hidden="false" customHeight="false" outlineLevel="0" collapsed="false">
      <c r="A351" s="4" t="s">
        <v>986</v>
      </c>
      <c r="B351" s="4" t="s">
        <v>288</v>
      </c>
      <c r="C351" s="4" t="s">
        <v>987</v>
      </c>
      <c r="D351" s="4" t="s">
        <v>51</v>
      </c>
      <c r="E351" s="4" t="n">
        <v>1783713213</v>
      </c>
      <c r="F351" s="4" t="n">
        <v>1783712975</v>
      </c>
      <c r="G351" s="4" t="n">
        <v>1783717336</v>
      </c>
      <c r="H351" s="4" t="n">
        <v>1000000000000000</v>
      </c>
      <c r="I351" s="4" t="n">
        <v>1000000000000000</v>
      </c>
      <c r="J351" s="4" t="n">
        <v>1783713625</v>
      </c>
      <c r="K351" s="4" t="n">
        <v>1783713388</v>
      </c>
      <c r="L351" s="12" t="n">
        <f aca="false">IF(AND(B351=Cutoff!$B$12,E351&lt;=Cutoff!$B$10),1,0)</f>
        <v>1</v>
      </c>
      <c r="M351" s="12" t="n">
        <f aca="false">IF(AND(L351=1,F351&lt;1000000000000000,G351&lt;=Cutoff!$B$10),1,0)</f>
        <v>1</v>
      </c>
      <c r="N351" s="12" t="n">
        <f aca="false">IF(AND(M351=1,F351+Cutoff!$B$16&lt;=Cutoff!$B$10),1,0)</f>
        <v>1</v>
      </c>
      <c r="O351" s="12" t="n">
        <f aca="false">IF(N351=1,IF(AND(H351&lt;1000000000000000,H351&gt;=MAX(F351,E351),H351&lt;F351+Cutoff!$B$16,I351&lt;=Cutoff!$B$10),1,0),0)</f>
        <v>0</v>
      </c>
      <c r="P351" s="12" t="n">
        <f aca="false">IF(AND(L351=1,J351&lt;=Cutoff!$B$10),1,0)</f>
        <v>1</v>
      </c>
      <c r="Q351" s="12" t="n">
        <f aca="false">IF(AND(N351=1,E351+Cutoff!$B$17&lt;=Cutoff!$B$10),1,0)</f>
        <v>1</v>
      </c>
      <c r="R351" s="12" t="n">
        <f aca="false">IF(Q351=1,IF(K351&lt;=Cutoff!$B$10,1,0),0)</f>
        <v>1</v>
      </c>
      <c r="S351" s="12" t="n">
        <f aca="false">IF(N351=1,SUMIFS(Subscriptions!$D$2:$D$208,Subscriptions!$A$2:$A$208,C351,Subscriptions!$E$2:$E$208,1,Subscriptions!$B$2:$B$208,"&gt;="&amp;Cutoff!$B$24,Subscriptions!$B$2:$B$208,"&lt;"&amp;Cutoff!$B$25,Subscriptions!$B$2:$B$208,"&lt;="&amp;Cutoff!$B$10),0)</f>
        <v>0</v>
      </c>
    </row>
    <row r="352" customFormat="false" ht="15" hidden="false" customHeight="false" outlineLevel="0" collapsed="false">
      <c r="A352" s="4" t="s">
        <v>988</v>
      </c>
      <c r="B352" s="4" t="s">
        <v>288</v>
      </c>
      <c r="C352" s="4" t="s">
        <v>989</v>
      </c>
      <c r="D352" s="4" t="s">
        <v>52</v>
      </c>
      <c r="E352" s="4" t="n">
        <v>1783784210</v>
      </c>
      <c r="F352" s="4" t="n">
        <v>1783783829</v>
      </c>
      <c r="G352" s="4" t="n">
        <v>1783783839</v>
      </c>
      <c r="H352" s="4" t="n">
        <v>1783798518</v>
      </c>
      <c r="I352" s="4" t="n">
        <v>1783798524</v>
      </c>
      <c r="J352" s="4" t="n">
        <v>1783784268</v>
      </c>
      <c r="K352" s="4" t="n">
        <v>1000000000000000</v>
      </c>
      <c r="L352" s="12" t="n">
        <f aca="false">IF(AND(B352=Cutoff!$B$12,E352&lt;=Cutoff!$B$10),1,0)</f>
        <v>1</v>
      </c>
      <c r="M352" s="12" t="n">
        <f aca="false">IF(AND(L352=1,F352&lt;1000000000000000,G352&lt;=Cutoff!$B$10),1,0)</f>
        <v>1</v>
      </c>
      <c r="N352" s="12" t="n">
        <f aca="false">IF(AND(M352=1,F352+Cutoff!$B$16&lt;=Cutoff!$B$10),1,0)</f>
        <v>1</v>
      </c>
      <c r="O352" s="12" t="n">
        <f aca="false">IF(N352=1,IF(AND(H352&lt;1000000000000000,H352&gt;=MAX(F352,E352),H352&lt;F352+Cutoff!$B$16,I352&lt;=Cutoff!$B$10),1,0),0)</f>
        <v>1</v>
      </c>
      <c r="P352" s="12" t="n">
        <f aca="false">IF(AND(L352=1,J352&lt;=Cutoff!$B$10),1,0)</f>
        <v>1</v>
      </c>
      <c r="Q352" s="12" t="n">
        <f aca="false">IF(AND(N352=1,E352+Cutoff!$B$17&lt;=Cutoff!$B$10),1,0)</f>
        <v>1</v>
      </c>
      <c r="R352" s="12" t="n">
        <f aca="false">IF(Q352=1,IF(K352&lt;=Cutoff!$B$10,1,0),0)</f>
        <v>0</v>
      </c>
      <c r="S352" s="12" t="n">
        <f aca="false">IF(N352=1,SUMIFS(Subscriptions!$D$2:$D$208,Subscriptions!$A$2:$A$208,C352,Subscriptions!$E$2:$E$208,1,Subscriptions!$B$2:$B$208,"&gt;="&amp;Cutoff!$B$24,Subscriptions!$B$2:$B$208,"&lt;"&amp;Cutoff!$B$25,Subscriptions!$B$2:$B$208,"&lt;="&amp;Cutoff!$B$10),0)</f>
        <v>1326</v>
      </c>
    </row>
    <row r="353" customFormat="false" ht="15" hidden="false" customHeight="false" outlineLevel="0" collapsed="false">
      <c r="A353" s="4" t="s">
        <v>990</v>
      </c>
      <c r="B353" s="4" t="s">
        <v>288</v>
      </c>
      <c r="C353" s="4" t="s">
        <v>991</v>
      </c>
      <c r="D353" s="4" t="s">
        <v>51</v>
      </c>
      <c r="E353" s="4" t="n">
        <v>1783784514</v>
      </c>
      <c r="F353" s="4" t="n">
        <v>1783784010</v>
      </c>
      <c r="G353" s="4" t="n">
        <v>1783784027</v>
      </c>
      <c r="H353" s="4" t="n">
        <v>1000000000000000</v>
      </c>
      <c r="I353" s="4" t="n">
        <v>1000000000000000</v>
      </c>
      <c r="J353" s="4" t="n">
        <v>1783785471</v>
      </c>
      <c r="K353" s="4" t="n">
        <v>1000000000000000</v>
      </c>
      <c r="L353" s="12" t="n">
        <f aca="false">IF(AND(B353=Cutoff!$B$12,E353&lt;=Cutoff!$B$10),1,0)</f>
        <v>1</v>
      </c>
      <c r="M353" s="12" t="n">
        <f aca="false">IF(AND(L353=1,F353&lt;1000000000000000,G353&lt;=Cutoff!$B$10),1,0)</f>
        <v>1</v>
      </c>
      <c r="N353" s="12" t="n">
        <f aca="false">IF(AND(M353=1,F353+Cutoff!$B$16&lt;=Cutoff!$B$10),1,0)</f>
        <v>1</v>
      </c>
      <c r="O353" s="12" t="n">
        <f aca="false">IF(N353=1,IF(AND(H353&lt;1000000000000000,H353&gt;=MAX(F353,E353),H353&lt;F353+Cutoff!$B$16,I353&lt;=Cutoff!$B$10),1,0),0)</f>
        <v>0</v>
      </c>
      <c r="P353" s="12" t="n">
        <f aca="false">IF(AND(L353=1,J353&lt;=Cutoff!$B$10),1,0)</f>
        <v>1</v>
      </c>
      <c r="Q353" s="12" t="n">
        <f aca="false">IF(AND(N353=1,E353+Cutoff!$B$17&lt;=Cutoff!$B$10),1,0)</f>
        <v>1</v>
      </c>
      <c r="R353" s="12" t="n">
        <f aca="false">IF(Q353=1,IF(K353&lt;=Cutoff!$B$10,1,0),0)</f>
        <v>0</v>
      </c>
      <c r="S353" s="12" t="n">
        <f aca="false">IF(N353=1,SUMIFS(Subscriptions!$D$2:$D$208,Subscriptions!$A$2:$A$208,C353,Subscriptions!$E$2:$E$208,1,Subscriptions!$B$2:$B$208,"&gt;="&amp;Cutoff!$B$24,Subscriptions!$B$2:$B$208,"&lt;"&amp;Cutoff!$B$25,Subscriptions!$B$2:$B$208,"&lt;="&amp;Cutoff!$B$10),0)</f>
        <v>0</v>
      </c>
    </row>
    <row r="354" customFormat="false" ht="15" hidden="false" customHeight="false" outlineLevel="0" collapsed="false">
      <c r="A354" s="4" t="s">
        <v>992</v>
      </c>
      <c r="B354" s="4" t="s">
        <v>288</v>
      </c>
      <c r="C354" s="4" t="s">
        <v>993</v>
      </c>
      <c r="D354" s="4" t="s">
        <v>51</v>
      </c>
      <c r="E354" s="4" t="n">
        <v>1783804216</v>
      </c>
      <c r="F354" s="4" t="n">
        <v>1783803932</v>
      </c>
      <c r="G354" s="4" t="n">
        <v>1783803954</v>
      </c>
      <c r="H354" s="4" t="n">
        <v>1000000000000000</v>
      </c>
      <c r="I354" s="4" t="n">
        <v>1000000000000000</v>
      </c>
      <c r="J354" s="4" t="n">
        <v>1783805038</v>
      </c>
      <c r="K354" s="4" t="n">
        <v>1000000000000000</v>
      </c>
      <c r="L354" s="12" t="n">
        <f aca="false">IF(AND(B354=Cutoff!$B$12,E354&lt;=Cutoff!$B$10),1,0)</f>
        <v>1</v>
      </c>
      <c r="M354" s="12" t="n">
        <f aca="false">IF(AND(L354=1,F354&lt;1000000000000000,G354&lt;=Cutoff!$B$10),1,0)</f>
        <v>1</v>
      </c>
      <c r="N354" s="12" t="n">
        <f aca="false">IF(AND(M354=1,F354+Cutoff!$B$16&lt;=Cutoff!$B$10),1,0)</f>
        <v>1</v>
      </c>
      <c r="O354" s="12" t="n">
        <f aca="false">IF(N354=1,IF(AND(H354&lt;1000000000000000,H354&gt;=MAX(F354,E354),H354&lt;F354+Cutoff!$B$16,I354&lt;=Cutoff!$B$10),1,0),0)</f>
        <v>0</v>
      </c>
      <c r="P354" s="12" t="n">
        <f aca="false">IF(AND(L354=1,J354&lt;=Cutoff!$B$10),1,0)</f>
        <v>1</v>
      </c>
      <c r="Q354" s="12" t="n">
        <f aca="false">IF(AND(N354=1,E354+Cutoff!$B$17&lt;=Cutoff!$B$10),1,0)</f>
        <v>1</v>
      </c>
      <c r="R354" s="12" t="n">
        <f aca="false">IF(Q354=1,IF(K354&lt;=Cutoff!$B$10,1,0),0)</f>
        <v>0</v>
      </c>
      <c r="S354" s="12" t="n">
        <f aca="false">IF(N354=1,SUMIFS(Subscriptions!$D$2:$D$208,Subscriptions!$A$2:$A$208,C354,Subscriptions!$E$2:$E$208,1,Subscriptions!$B$2:$B$208,"&gt;="&amp;Cutoff!$B$24,Subscriptions!$B$2:$B$208,"&lt;"&amp;Cutoff!$B$25,Subscriptions!$B$2:$B$208,"&lt;="&amp;Cutoff!$B$10),0)</f>
        <v>0</v>
      </c>
    </row>
    <row r="355" customFormat="false" ht="15" hidden="false" customHeight="false" outlineLevel="0" collapsed="false">
      <c r="A355" s="4" t="s">
        <v>994</v>
      </c>
      <c r="B355" s="4" t="s">
        <v>288</v>
      </c>
      <c r="C355" s="4" t="s">
        <v>995</v>
      </c>
      <c r="D355" s="4" t="s">
        <v>52</v>
      </c>
      <c r="E355" s="4" t="n">
        <v>1783947753</v>
      </c>
      <c r="F355" s="4" t="n">
        <v>1783947462</v>
      </c>
      <c r="G355" s="4" t="n">
        <v>1783947475</v>
      </c>
      <c r="H355" s="4" t="n">
        <v>1000000000000000</v>
      </c>
      <c r="I355" s="4" t="n">
        <v>1000000000000000</v>
      </c>
      <c r="J355" s="4" t="n">
        <v>1783948490</v>
      </c>
      <c r="K355" s="4" t="n">
        <v>1000000000000000</v>
      </c>
      <c r="L355" s="12" t="n">
        <f aca="false">IF(AND(B355=Cutoff!$B$12,E355&lt;=Cutoff!$B$10),1,0)</f>
        <v>1</v>
      </c>
      <c r="M355" s="12" t="n">
        <f aca="false">IF(AND(L355=1,F355&lt;1000000000000000,G355&lt;=Cutoff!$B$10),1,0)</f>
        <v>1</v>
      </c>
      <c r="N355" s="12" t="n">
        <f aca="false">IF(AND(M355=1,F355+Cutoff!$B$16&lt;=Cutoff!$B$10),1,0)</f>
        <v>1</v>
      </c>
      <c r="O355" s="12" t="n">
        <f aca="false">IF(N355=1,IF(AND(H355&lt;1000000000000000,H355&gt;=MAX(F355,E355),H355&lt;F355+Cutoff!$B$16,I355&lt;=Cutoff!$B$10),1,0),0)</f>
        <v>0</v>
      </c>
      <c r="P355" s="12" t="n">
        <f aca="false">IF(AND(L355=1,J355&lt;=Cutoff!$B$10),1,0)</f>
        <v>1</v>
      </c>
      <c r="Q355" s="12" t="n">
        <f aca="false">IF(AND(N355=1,E355+Cutoff!$B$17&lt;=Cutoff!$B$10),1,0)</f>
        <v>1</v>
      </c>
      <c r="R355" s="12" t="n">
        <f aca="false">IF(Q355=1,IF(K355&lt;=Cutoff!$B$10,1,0),0)</f>
        <v>0</v>
      </c>
      <c r="S355" s="12" t="n">
        <f aca="false">IF(N355=1,SUMIFS(Subscriptions!$D$2:$D$208,Subscriptions!$A$2:$A$208,C355,Subscriptions!$E$2:$E$208,1,Subscriptions!$B$2:$B$208,"&gt;="&amp;Cutoff!$B$24,Subscriptions!$B$2:$B$208,"&lt;"&amp;Cutoff!$B$25,Subscriptions!$B$2:$B$208,"&lt;="&amp;Cutoff!$B$10),0)</f>
        <v>60</v>
      </c>
    </row>
    <row r="356" customFormat="false" ht="15" hidden="false" customHeight="false" outlineLevel="0" collapsed="false">
      <c r="A356" s="4" t="s">
        <v>996</v>
      </c>
      <c r="B356" s="4" t="s">
        <v>288</v>
      </c>
      <c r="C356" s="4" t="s">
        <v>997</v>
      </c>
      <c r="D356" s="4" t="s">
        <v>51</v>
      </c>
      <c r="E356" s="4" t="n">
        <v>1783963589</v>
      </c>
      <c r="F356" s="4" t="n">
        <v>1783963447</v>
      </c>
      <c r="G356" s="4" t="n">
        <v>1783963718</v>
      </c>
      <c r="H356" s="4" t="n">
        <v>1783964309</v>
      </c>
      <c r="I356" s="4" t="n">
        <v>1783964329</v>
      </c>
      <c r="J356" s="4" t="n">
        <v>1783963995</v>
      </c>
      <c r="K356" s="4" t="n">
        <v>1000000000000000</v>
      </c>
      <c r="L356" s="12" t="n">
        <f aca="false">IF(AND(B356=Cutoff!$B$12,E356&lt;=Cutoff!$B$10),1,0)</f>
        <v>1</v>
      </c>
      <c r="M356" s="12" t="n">
        <f aca="false">IF(AND(L356=1,F356&lt;1000000000000000,G356&lt;=Cutoff!$B$10),1,0)</f>
        <v>1</v>
      </c>
      <c r="N356" s="12" t="n">
        <f aca="false">IF(AND(M356=1,F356+Cutoff!$B$16&lt;=Cutoff!$B$10),1,0)</f>
        <v>1</v>
      </c>
      <c r="O356" s="12" t="n">
        <f aca="false">IF(N356=1,IF(AND(H356&lt;1000000000000000,H356&gt;=MAX(F356,E356),H356&lt;F356+Cutoff!$B$16,I356&lt;=Cutoff!$B$10),1,0),0)</f>
        <v>1</v>
      </c>
      <c r="P356" s="12" t="n">
        <f aca="false">IF(AND(L356=1,J356&lt;=Cutoff!$B$10),1,0)</f>
        <v>1</v>
      </c>
      <c r="Q356" s="12" t="n">
        <f aca="false">IF(AND(N356=1,E356+Cutoff!$B$17&lt;=Cutoff!$B$10),1,0)</f>
        <v>1</v>
      </c>
      <c r="R356" s="12" t="n">
        <f aca="false">IF(Q356=1,IF(K356&lt;=Cutoff!$B$10,1,0),0)</f>
        <v>0</v>
      </c>
      <c r="S356" s="12" t="n">
        <f aca="false">IF(N356=1,SUMIFS(Subscriptions!$D$2:$D$208,Subscriptions!$A$2:$A$208,C356,Subscriptions!$E$2:$E$208,1,Subscriptions!$B$2:$B$208,"&gt;="&amp;Cutoff!$B$24,Subscriptions!$B$2:$B$208,"&lt;"&amp;Cutoff!$B$25,Subscriptions!$B$2:$B$208,"&lt;="&amp;Cutoff!$B$10),0)</f>
        <v>975</v>
      </c>
    </row>
    <row r="357" customFormat="false" ht="15" hidden="false" customHeight="false" outlineLevel="0" collapsed="false">
      <c r="A357" s="4" t="s">
        <v>998</v>
      </c>
      <c r="B357" s="4" t="s">
        <v>288</v>
      </c>
      <c r="C357" s="4" t="s">
        <v>999</v>
      </c>
      <c r="D357" s="4" t="s">
        <v>52</v>
      </c>
      <c r="E357" s="4" t="n">
        <v>1783966088</v>
      </c>
      <c r="F357" s="4" t="n">
        <v>1783965825</v>
      </c>
      <c r="G357" s="4" t="n">
        <v>1783965833</v>
      </c>
      <c r="H357" s="4" t="n">
        <v>1783998393</v>
      </c>
      <c r="I357" s="4" t="n">
        <v>1783998410</v>
      </c>
      <c r="J357" s="4" t="n">
        <v>1783967059</v>
      </c>
      <c r="K357" s="4" t="n">
        <v>1000000000000000</v>
      </c>
      <c r="L357" s="12" t="n">
        <f aca="false">IF(AND(B357=Cutoff!$B$12,E357&lt;=Cutoff!$B$10),1,0)</f>
        <v>1</v>
      </c>
      <c r="M357" s="12" t="n">
        <f aca="false">IF(AND(L357=1,F357&lt;1000000000000000,G357&lt;=Cutoff!$B$10),1,0)</f>
        <v>1</v>
      </c>
      <c r="N357" s="12" t="n">
        <f aca="false">IF(AND(M357=1,F357+Cutoff!$B$16&lt;=Cutoff!$B$10),1,0)</f>
        <v>1</v>
      </c>
      <c r="O357" s="12" t="n">
        <f aca="false">IF(N357=1,IF(AND(H357&lt;1000000000000000,H357&gt;=MAX(F357,E357),H357&lt;F357+Cutoff!$B$16,I357&lt;=Cutoff!$B$10),1,0),0)</f>
        <v>1</v>
      </c>
      <c r="P357" s="12" t="n">
        <f aca="false">IF(AND(L357=1,J357&lt;=Cutoff!$B$10),1,0)</f>
        <v>1</v>
      </c>
      <c r="Q357" s="12" t="n">
        <f aca="false">IF(AND(N357=1,E357+Cutoff!$B$17&lt;=Cutoff!$B$10),1,0)</f>
        <v>1</v>
      </c>
      <c r="R357" s="12" t="n">
        <f aca="false">IF(Q357=1,IF(K357&lt;=Cutoff!$B$10,1,0),0)</f>
        <v>0</v>
      </c>
      <c r="S357" s="12" t="n">
        <f aca="false">IF(N357=1,SUMIFS(Subscriptions!$D$2:$D$208,Subscriptions!$A$2:$A$208,C357,Subscriptions!$E$2:$E$208,1,Subscriptions!$B$2:$B$208,"&gt;="&amp;Cutoff!$B$24,Subscriptions!$B$2:$B$208,"&lt;"&amp;Cutoff!$B$25,Subscriptions!$B$2:$B$208,"&lt;="&amp;Cutoff!$B$10),0)</f>
        <v>0</v>
      </c>
    </row>
    <row r="358" customFormat="false" ht="15" hidden="false" customHeight="false" outlineLevel="0" collapsed="false">
      <c r="A358" s="4" t="s">
        <v>1000</v>
      </c>
      <c r="B358" s="4" t="s">
        <v>288</v>
      </c>
      <c r="C358" s="4" t="s">
        <v>1001</v>
      </c>
      <c r="D358" s="4" t="s">
        <v>52</v>
      </c>
      <c r="E358" s="4" t="n">
        <v>1783967401</v>
      </c>
      <c r="F358" s="4" t="n">
        <v>1783966940</v>
      </c>
      <c r="G358" s="4" t="n">
        <v>1783966960</v>
      </c>
      <c r="H358" s="4" t="n">
        <v>1000000000000000</v>
      </c>
      <c r="I358" s="4" t="n">
        <v>1000000000000000</v>
      </c>
      <c r="J358" s="4" t="n">
        <v>1783968464</v>
      </c>
      <c r="K358" s="4" t="n">
        <v>1000000000000000</v>
      </c>
      <c r="L358" s="12" t="n">
        <f aca="false">IF(AND(B358=Cutoff!$B$12,E358&lt;=Cutoff!$B$10),1,0)</f>
        <v>1</v>
      </c>
      <c r="M358" s="12" t="n">
        <f aca="false">IF(AND(L358=1,F358&lt;1000000000000000,G358&lt;=Cutoff!$B$10),1,0)</f>
        <v>1</v>
      </c>
      <c r="N358" s="12" t="n">
        <f aca="false">IF(AND(M358=1,F358+Cutoff!$B$16&lt;=Cutoff!$B$10),1,0)</f>
        <v>1</v>
      </c>
      <c r="O358" s="12" t="n">
        <f aca="false">IF(N358=1,IF(AND(H358&lt;1000000000000000,H358&gt;=MAX(F358,E358),H358&lt;F358+Cutoff!$B$16,I358&lt;=Cutoff!$B$10),1,0),0)</f>
        <v>0</v>
      </c>
      <c r="P358" s="12" t="n">
        <f aca="false">IF(AND(L358=1,J358&lt;=Cutoff!$B$10),1,0)</f>
        <v>1</v>
      </c>
      <c r="Q358" s="12" t="n">
        <f aca="false">IF(AND(N358=1,E358+Cutoff!$B$17&lt;=Cutoff!$B$10),1,0)</f>
        <v>1</v>
      </c>
      <c r="R358" s="12" t="n">
        <f aca="false">IF(Q358=1,IF(K358&lt;=Cutoff!$B$10,1,0),0)</f>
        <v>0</v>
      </c>
      <c r="S358" s="12" t="n">
        <f aca="false">IF(N358=1,SUMIFS(Subscriptions!$D$2:$D$208,Subscriptions!$A$2:$A$208,C358,Subscriptions!$E$2:$E$208,1,Subscriptions!$B$2:$B$208,"&gt;="&amp;Cutoff!$B$24,Subscriptions!$B$2:$B$208,"&lt;"&amp;Cutoff!$B$25,Subscriptions!$B$2:$B$208,"&lt;="&amp;Cutoff!$B$10),0)</f>
        <v>144</v>
      </c>
    </row>
    <row r="359" customFormat="false" ht="15" hidden="false" customHeight="false" outlineLevel="0" collapsed="false">
      <c r="A359" s="4" t="s">
        <v>1002</v>
      </c>
      <c r="B359" s="4" t="s">
        <v>288</v>
      </c>
      <c r="C359" s="4" t="s">
        <v>1003</v>
      </c>
      <c r="D359" s="4" t="s">
        <v>51</v>
      </c>
      <c r="E359" s="4" t="n">
        <v>1783968948</v>
      </c>
      <c r="F359" s="4" t="n">
        <v>1783968806</v>
      </c>
      <c r="G359" s="4" t="n">
        <v>1783968819</v>
      </c>
      <c r="H359" s="4" t="n">
        <v>1000000000000000</v>
      </c>
      <c r="I359" s="4" t="n">
        <v>1000000000000000</v>
      </c>
      <c r="J359" s="4" t="n">
        <v>1000000000000000</v>
      </c>
      <c r="K359" s="4" t="n">
        <v>1000000000000000</v>
      </c>
      <c r="L359" s="12" t="n">
        <f aca="false">IF(AND(B359=Cutoff!$B$12,E359&lt;=Cutoff!$B$10),1,0)</f>
        <v>1</v>
      </c>
      <c r="M359" s="12" t="n">
        <f aca="false">IF(AND(L359=1,F359&lt;1000000000000000,G359&lt;=Cutoff!$B$10),1,0)</f>
        <v>1</v>
      </c>
      <c r="N359" s="12" t="n">
        <f aca="false">IF(AND(M359=1,F359+Cutoff!$B$16&lt;=Cutoff!$B$10),1,0)</f>
        <v>1</v>
      </c>
      <c r="O359" s="12" t="n">
        <f aca="false">IF(N359=1,IF(AND(H359&lt;1000000000000000,H359&gt;=MAX(F359,E359),H359&lt;F359+Cutoff!$B$16,I359&lt;=Cutoff!$B$10),1,0),0)</f>
        <v>0</v>
      </c>
      <c r="P359" s="12" t="n">
        <f aca="false">IF(AND(L359=1,J359&lt;=Cutoff!$B$10),1,0)</f>
        <v>0</v>
      </c>
      <c r="Q359" s="12" t="n">
        <f aca="false">IF(AND(N359=1,E359+Cutoff!$B$17&lt;=Cutoff!$B$10),1,0)</f>
        <v>1</v>
      </c>
      <c r="R359" s="12" t="n">
        <f aca="false">IF(Q359=1,IF(K359&lt;=Cutoff!$B$10,1,0),0)</f>
        <v>0</v>
      </c>
      <c r="S359" s="12" t="n">
        <f aca="false">IF(N359=1,SUMIFS(Subscriptions!$D$2:$D$208,Subscriptions!$A$2:$A$208,C359,Subscriptions!$E$2:$E$208,1,Subscriptions!$B$2:$B$208,"&gt;="&amp;Cutoff!$B$24,Subscriptions!$B$2:$B$208,"&lt;"&amp;Cutoff!$B$25,Subscriptions!$B$2:$B$208,"&lt;="&amp;Cutoff!$B$10),0)</f>
        <v>144</v>
      </c>
    </row>
    <row r="360" customFormat="false" ht="15" hidden="false" customHeight="false" outlineLevel="0" collapsed="false">
      <c r="A360" s="4" t="s">
        <v>1004</v>
      </c>
      <c r="B360" s="4" t="s">
        <v>288</v>
      </c>
      <c r="C360" s="4" t="s">
        <v>1005</v>
      </c>
      <c r="D360" s="4" t="s">
        <v>52</v>
      </c>
      <c r="E360" s="4" t="n">
        <v>1783977607</v>
      </c>
      <c r="F360" s="4" t="n">
        <v>1783977439</v>
      </c>
      <c r="G360" s="4" t="n">
        <v>1783977451</v>
      </c>
      <c r="H360" s="4" t="n">
        <v>1784017422</v>
      </c>
      <c r="I360" s="4" t="n">
        <v>1784017592</v>
      </c>
      <c r="J360" s="4" t="n">
        <v>1783977642</v>
      </c>
      <c r="K360" s="4" t="n">
        <v>1000000000000000</v>
      </c>
      <c r="L360" s="12" t="n">
        <f aca="false">IF(AND(B360=Cutoff!$B$12,E360&lt;=Cutoff!$B$10),1,0)</f>
        <v>1</v>
      </c>
      <c r="M360" s="12" t="n">
        <f aca="false">IF(AND(L360=1,F360&lt;1000000000000000,G360&lt;=Cutoff!$B$10),1,0)</f>
        <v>1</v>
      </c>
      <c r="N360" s="12" t="n">
        <f aca="false">IF(AND(M360=1,F360+Cutoff!$B$16&lt;=Cutoff!$B$10),1,0)</f>
        <v>1</v>
      </c>
      <c r="O360" s="12" t="n">
        <f aca="false">IF(N360=1,IF(AND(H360&lt;1000000000000000,H360&gt;=MAX(F360,E360),H360&lt;F360+Cutoff!$B$16,I360&lt;=Cutoff!$B$10),1,0),0)</f>
        <v>1</v>
      </c>
      <c r="P360" s="12" t="n">
        <f aca="false">IF(AND(L360=1,J360&lt;=Cutoff!$B$10),1,0)</f>
        <v>1</v>
      </c>
      <c r="Q360" s="12" t="n">
        <f aca="false">IF(AND(N360=1,E360+Cutoff!$B$17&lt;=Cutoff!$B$10),1,0)</f>
        <v>1</v>
      </c>
      <c r="R360" s="12" t="n">
        <f aca="false">IF(Q360=1,IF(K360&lt;=Cutoff!$B$10,1,0),0)</f>
        <v>0</v>
      </c>
      <c r="S360" s="12" t="n">
        <f aca="false">IF(N360=1,SUMIFS(Subscriptions!$D$2:$D$208,Subscriptions!$A$2:$A$208,C360,Subscriptions!$E$2:$E$208,1,Subscriptions!$B$2:$B$208,"&gt;="&amp;Cutoff!$B$24,Subscriptions!$B$2:$B$208,"&lt;"&amp;Cutoff!$B$25,Subscriptions!$B$2:$B$208,"&lt;="&amp;Cutoff!$B$10),0)</f>
        <v>0</v>
      </c>
    </row>
    <row r="361" customFormat="false" ht="15" hidden="false" customHeight="false" outlineLevel="0" collapsed="false">
      <c r="A361" s="4" t="s">
        <v>1006</v>
      </c>
      <c r="B361" s="4" t="s">
        <v>288</v>
      </c>
      <c r="C361" s="4" t="s">
        <v>1007</v>
      </c>
      <c r="D361" s="4" t="s">
        <v>51</v>
      </c>
      <c r="E361" s="4" t="n">
        <v>1784031451</v>
      </c>
      <c r="F361" s="4" t="n">
        <v>1784031246</v>
      </c>
      <c r="G361" s="4" t="n">
        <v>1784031257</v>
      </c>
      <c r="H361" s="4" t="n">
        <v>1000000000000000</v>
      </c>
      <c r="I361" s="4" t="n">
        <v>1000000000000000</v>
      </c>
      <c r="J361" s="4" t="n">
        <v>1000000000000000</v>
      </c>
      <c r="K361" s="4" t="n">
        <v>1000000000000000</v>
      </c>
      <c r="L361" s="12" t="n">
        <f aca="false">IF(AND(B361=Cutoff!$B$12,E361&lt;=Cutoff!$B$10),1,0)</f>
        <v>1</v>
      </c>
      <c r="M361" s="12" t="n">
        <f aca="false">IF(AND(L361=1,F361&lt;1000000000000000,G361&lt;=Cutoff!$B$10),1,0)</f>
        <v>1</v>
      </c>
      <c r="N361" s="12" t="n">
        <f aca="false">IF(AND(M361=1,F361+Cutoff!$B$16&lt;=Cutoff!$B$10),1,0)</f>
        <v>1</v>
      </c>
      <c r="O361" s="12" t="n">
        <f aca="false">IF(N361=1,IF(AND(H361&lt;1000000000000000,H361&gt;=MAX(F361,E361),H361&lt;F361+Cutoff!$B$16,I361&lt;=Cutoff!$B$10),1,0),0)</f>
        <v>0</v>
      </c>
      <c r="P361" s="12" t="n">
        <f aca="false">IF(AND(L361=1,J361&lt;=Cutoff!$B$10),1,0)</f>
        <v>0</v>
      </c>
      <c r="Q361" s="12" t="n">
        <f aca="false">IF(AND(N361=1,E361+Cutoff!$B$17&lt;=Cutoff!$B$10),1,0)</f>
        <v>1</v>
      </c>
      <c r="R361" s="12" t="n">
        <f aca="false">IF(Q361=1,IF(K361&lt;=Cutoff!$B$10,1,0),0)</f>
        <v>0</v>
      </c>
      <c r="S361" s="12" t="n">
        <f aca="false">IF(N361=1,SUMIFS(Subscriptions!$D$2:$D$208,Subscriptions!$A$2:$A$208,C361,Subscriptions!$E$2:$E$208,1,Subscriptions!$B$2:$B$208,"&gt;="&amp;Cutoff!$B$24,Subscriptions!$B$2:$B$208,"&lt;"&amp;Cutoff!$B$25,Subscriptions!$B$2:$B$208,"&lt;="&amp;Cutoff!$B$10),0)</f>
        <v>0</v>
      </c>
    </row>
    <row r="362" customFormat="false" ht="15" hidden="false" customHeight="false" outlineLevel="0" collapsed="false">
      <c r="A362" s="4" t="s">
        <v>1008</v>
      </c>
      <c r="B362" s="4" t="s">
        <v>288</v>
      </c>
      <c r="C362" s="4" t="s">
        <v>1009</v>
      </c>
      <c r="D362" s="4" t="s">
        <v>51</v>
      </c>
      <c r="E362" s="4" t="n">
        <v>1784036587</v>
      </c>
      <c r="F362" s="4" t="n">
        <v>1784036206</v>
      </c>
      <c r="G362" s="4" t="n">
        <v>1784542143</v>
      </c>
      <c r="H362" s="4" t="n">
        <v>1000000000000000</v>
      </c>
      <c r="I362" s="4" t="n">
        <v>1000000000000000</v>
      </c>
      <c r="J362" s="4" t="n">
        <v>1000000000000000</v>
      </c>
      <c r="K362" s="4" t="n">
        <v>1000000000000000</v>
      </c>
      <c r="L362" s="12" t="n">
        <f aca="false">IF(AND(B362=Cutoff!$B$12,E362&lt;=Cutoff!$B$10),1,0)</f>
        <v>1</v>
      </c>
      <c r="M362" s="12" t="n">
        <f aca="false">IF(AND(L362=1,F362&lt;1000000000000000,G362&lt;=Cutoff!$B$10),1,0)</f>
        <v>1</v>
      </c>
      <c r="N362" s="12" t="n">
        <f aca="false">IF(AND(M362=1,F362+Cutoff!$B$16&lt;=Cutoff!$B$10),1,0)</f>
        <v>1</v>
      </c>
      <c r="O362" s="12" t="n">
        <f aca="false">IF(N362=1,IF(AND(H362&lt;1000000000000000,H362&gt;=MAX(F362,E362),H362&lt;F362+Cutoff!$B$16,I362&lt;=Cutoff!$B$10),1,0),0)</f>
        <v>0</v>
      </c>
      <c r="P362" s="12" t="n">
        <f aca="false">IF(AND(L362=1,J362&lt;=Cutoff!$B$10),1,0)</f>
        <v>0</v>
      </c>
      <c r="Q362" s="12" t="n">
        <f aca="false">IF(AND(N362=1,E362+Cutoff!$B$17&lt;=Cutoff!$B$10),1,0)</f>
        <v>1</v>
      </c>
      <c r="R362" s="12" t="n">
        <f aca="false">IF(Q362=1,IF(K362&lt;=Cutoff!$B$10,1,0),0)</f>
        <v>0</v>
      </c>
      <c r="S362" s="12" t="n">
        <f aca="false">IF(N362=1,SUMIFS(Subscriptions!$D$2:$D$208,Subscriptions!$A$2:$A$208,C362,Subscriptions!$E$2:$E$208,1,Subscriptions!$B$2:$B$208,"&gt;="&amp;Cutoff!$B$24,Subscriptions!$B$2:$B$208,"&lt;"&amp;Cutoff!$B$25,Subscriptions!$B$2:$B$208,"&lt;="&amp;Cutoff!$B$10),0)</f>
        <v>0</v>
      </c>
    </row>
    <row r="363" customFormat="false" ht="15" hidden="false" customHeight="false" outlineLevel="0" collapsed="false">
      <c r="A363" s="4" t="s">
        <v>1010</v>
      </c>
      <c r="B363" s="4" t="s">
        <v>288</v>
      </c>
      <c r="C363" s="4" t="s">
        <v>1011</v>
      </c>
      <c r="D363" s="4" t="s">
        <v>52</v>
      </c>
      <c r="E363" s="4" t="n">
        <v>1784042870</v>
      </c>
      <c r="F363" s="4" t="n">
        <v>1784042545</v>
      </c>
      <c r="G363" s="4" t="n">
        <v>1784042565</v>
      </c>
      <c r="H363" s="4" t="n">
        <v>1784046888</v>
      </c>
      <c r="I363" s="4" t="n">
        <v>1784046897</v>
      </c>
      <c r="J363" s="4" t="n">
        <v>1784042960</v>
      </c>
      <c r="K363" s="4" t="n">
        <v>1000000000000000</v>
      </c>
      <c r="L363" s="12" t="n">
        <f aca="false">IF(AND(B363=Cutoff!$B$12,E363&lt;=Cutoff!$B$10),1,0)</f>
        <v>1</v>
      </c>
      <c r="M363" s="12" t="n">
        <f aca="false">IF(AND(L363=1,F363&lt;1000000000000000,G363&lt;=Cutoff!$B$10),1,0)</f>
        <v>1</v>
      </c>
      <c r="N363" s="12" t="n">
        <f aca="false">IF(AND(M363=1,F363+Cutoff!$B$16&lt;=Cutoff!$B$10),1,0)</f>
        <v>1</v>
      </c>
      <c r="O363" s="12" t="n">
        <f aca="false">IF(N363=1,IF(AND(H363&lt;1000000000000000,H363&gt;=MAX(F363,E363),H363&lt;F363+Cutoff!$B$16,I363&lt;=Cutoff!$B$10),1,0),0)</f>
        <v>1</v>
      </c>
      <c r="P363" s="12" t="n">
        <f aca="false">IF(AND(L363=1,J363&lt;=Cutoff!$B$10),1,0)</f>
        <v>1</v>
      </c>
      <c r="Q363" s="12" t="n">
        <f aca="false">IF(AND(N363=1,E363+Cutoff!$B$17&lt;=Cutoff!$B$10),1,0)</f>
        <v>1</v>
      </c>
      <c r="R363" s="12" t="n">
        <f aca="false">IF(Q363=1,IF(K363&lt;=Cutoff!$B$10,1,0),0)</f>
        <v>0</v>
      </c>
      <c r="S363" s="12" t="n">
        <f aca="false">IF(N363=1,SUMIFS(Subscriptions!$D$2:$D$208,Subscriptions!$A$2:$A$208,C363,Subscriptions!$E$2:$E$208,1,Subscriptions!$B$2:$B$208,"&gt;="&amp;Cutoff!$B$24,Subscriptions!$B$2:$B$208,"&lt;"&amp;Cutoff!$B$25,Subscriptions!$B$2:$B$208,"&lt;="&amp;Cutoff!$B$10),0)</f>
        <v>0</v>
      </c>
    </row>
    <row r="364" customFormat="false" ht="15" hidden="false" customHeight="false" outlineLevel="0" collapsed="false">
      <c r="A364" s="4" t="s">
        <v>1012</v>
      </c>
      <c r="B364" s="4" t="s">
        <v>288</v>
      </c>
      <c r="C364" s="4" t="s">
        <v>1013</v>
      </c>
      <c r="D364" s="4" t="s">
        <v>51</v>
      </c>
      <c r="E364" s="4" t="n">
        <v>1784048830</v>
      </c>
      <c r="F364" s="4" t="n">
        <v>1784048505</v>
      </c>
      <c r="G364" s="4" t="n">
        <v>1784157127</v>
      </c>
      <c r="H364" s="4" t="n">
        <v>1784641737</v>
      </c>
      <c r="I364" s="4" t="n">
        <v>1784641988</v>
      </c>
      <c r="J364" s="4" t="n">
        <v>1784049338</v>
      </c>
      <c r="K364" s="4" t="n">
        <v>1784643829</v>
      </c>
      <c r="L364" s="12" t="n">
        <f aca="false">IF(AND(B364=Cutoff!$B$12,E364&lt;=Cutoff!$B$10),1,0)</f>
        <v>1</v>
      </c>
      <c r="M364" s="12" t="n">
        <f aca="false">IF(AND(L364=1,F364&lt;1000000000000000,G364&lt;=Cutoff!$B$10),1,0)</f>
        <v>1</v>
      </c>
      <c r="N364" s="12" t="n">
        <f aca="false">IF(AND(M364=1,F364+Cutoff!$B$16&lt;=Cutoff!$B$10),1,0)</f>
        <v>1</v>
      </c>
      <c r="O364" s="12" t="n">
        <f aca="false">IF(N364=1,IF(AND(H364&lt;1000000000000000,H364&gt;=MAX(F364,E364),H364&lt;F364+Cutoff!$B$16,I364&lt;=Cutoff!$B$10),1,0),0)</f>
        <v>1</v>
      </c>
      <c r="P364" s="12" t="n">
        <f aca="false">IF(AND(L364=1,J364&lt;=Cutoff!$B$10),1,0)</f>
        <v>1</v>
      </c>
      <c r="Q364" s="12" t="n">
        <f aca="false">IF(AND(N364=1,E364+Cutoff!$B$17&lt;=Cutoff!$B$10),1,0)</f>
        <v>1</v>
      </c>
      <c r="R364" s="12" t="n">
        <f aca="false">IF(Q364=1,IF(K364&lt;=Cutoff!$B$10,1,0),0)</f>
        <v>1</v>
      </c>
      <c r="S364" s="12" t="n">
        <f aca="false">IF(N364=1,SUMIFS(Subscriptions!$D$2:$D$208,Subscriptions!$A$2:$A$208,C364,Subscriptions!$E$2:$E$208,1,Subscriptions!$B$2:$B$208,"&gt;="&amp;Cutoff!$B$24,Subscriptions!$B$2:$B$208,"&lt;"&amp;Cutoff!$B$25,Subscriptions!$B$2:$B$208,"&lt;="&amp;Cutoff!$B$10),0)</f>
        <v>96</v>
      </c>
    </row>
    <row r="365" customFormat="false" ht="15" hidden="false" customHeight="false" outlineLevel="0" collapsed="false">
      <c r="A365" s="4" t="s">
        <v>1014</v>
      </c>
      <c r="B365" s="4" t="s">
        <v>288</v>
      </c>
      <c r="C365" s="4" t="s">
        <v>1015</v>
      </c>
      <c r="D365" s="4" t="s">
        <v>52</v>
      </c>
      <c r="E365" s="4" t="n">
        <v>1784057386</v>
      </c>
      <c r="F365" s="4" t="n">
        <v>1784057194</v>
      </c>
      <c r="G365" s="4" t="n">
        <v>1784057208</v>
      </c>
      <c r="H365" s="4" t="n">
        <v>1000000000000000</v>
      </c>
      <c r="I365" s="4" t="n">
        <v>1000000000000000</v>
      </c>
      <c r="J365" s="4" t="n">
        <v>1784058045</v>
      </c>
      <c r="K365" s="4" t="n">
        <v>1000000000000000</v>
      </c>
      <c r="L365" s="12" t="n">
        <f aca="false">IF(AND(B365=Cutoff!$B$12,E365&lt;=Cutoff!$B$10),1,0)</f>
        <v>1</v>
      </c>
      <c r="M365" s="12" t="n">
        <f aca="false">IF(AND(L365=1,F365&lt;1000000000000000,G365&lt;=Cutoff!$B$10),1,0)</f>
        <v>1</v>
      </c>
      <c r="N365" s="12" t="n">
        <f aca="false">IF(AND(M365=1,F365+Cutoff!$B$16&lt;=Cutoff!$B$10),1,0)</f>
        <v>1</v>
      </c>
      <c r="O365" s="12" t="n">
        <f aca="false">IF(N365=1,IF(AND(H365&lt;1000000000000000,H365&gt;=MAX(F365,E365),H365&lt;F365+Cutoff!$B$16,I365&lt;=Cutoff!$B$10),1,0),0)</f>
        <v>0</v>
      </c>
      <c r="P365" s="12" t="n">
        <f aca="false">IF(AND(L365=1,J365&lt;=Cutoff!$B$10),1,0)</f>
        <v>1</v>
      </c>
      <c r="Q365" s="12" t="n">
        <f aca="false">IF(AND(N365=1,E365+Cutoff!$B$17&lt;=Cutoff!$B$10),1,0)</f>
        <v>1</v>
      </c>
      <c r="R365" s="12" t="n">
        <f aca="false">IF(Q365=1,IF(K365&lt;=Cutoff!$B$10,1,0),0)</f>
        <v>0</v>
      </c>
      <c r="S365" s="12" t="n">
        <f aca="false">IF(N365=1,SUMIFS(Subscriptions!$D$2:$D$208,Subscriptions!$A$2:$A$208,C365,Subscriptions!$E$2:$E$208,1,Subscriptions!$B$2:$B$208,"&gt;="&amp;Cutoff!$B$24,Subscriptions!$B$2:$B$208,"&lt;"&amp;Cutoff!$B$25,Subscriptions!$B$2:$B$208,"&lt;="&amp;Cutoff!$B$10),0)</f>
        <v>0</v>
      </c>
    </row>
    <row r="366" customFormat="false" ht="15" hidden="false" customHeight="false" outlineLevel="0" collapsed="false">
      <c r="A366" s="4" t="s">
        <v>1016</v>
      </c>
      <c r="B366" s="4" t="s">
        <v>288</v>
      </c>
      <c r="C366" s="4" t="s">
        <v>1017</v>
      </c>
      <c r="D366" s="4" t="s">
        <v>52</v>
      </c>
      <c r="E366" s="4" t="n">
        <v>1784060957</v>
      </c>
      <c r="F366" s="4" t="n">
        <v>1784060590</v>
      </c>
      <c r="G366" s="4" t="n">
        <v>1784060605</v>
      </c>
      <c r="H366" s="4" t="n">
        <v>1784201249</v>
      </c>
      <c r="I366" s="4" t="n">
        <v>1784202006</v>
      </c>
      <c r="J366" s="4" t="n">
        <v>1784061378</v>
      </c>
      <c r="K366" s="4" t="n">
        <v>1000000000000000</v>
      </c>
      <c r="L366" s="12" t="n">
        <f aca="false">IF(AND(B366=Cutoff!$B$12,E366&lt;=Cutoff!$B$10),1,0)</f>
        <v>1</v>
      </c>
      <c r="M366" s="12" t="n">
        <f aca="false">IF(AND(L366=1,F366&lt;1000000000000000,G366&lt;=Cutoff!$B$10),1,0)</f>
        <v>1</v>
      </c>
      <c r="N366" s="12" t="n">
        <f aca="false">IF(AND(M366=1,F366+Cutoff!$B$16&lt;=Cutoff!$B$10),1,0)</f>
        <v>1</v>
      </c>
      <c r="O366" s="12" t="n">
        <f aca="false">IF(N366=1,IF(AND(H366&lt;1000000000000000,H366&gt;=MAX(F366,E366),H366&lt;F366+Cutoff!$B$16,I366&lt;=Cutoff!$B$10),1,0),0)</f>
        <v>1</v>
      </c>
      <c r="P366" s="12" t="n">
        <f aca="false">IF(AND(L366=1,J366&lt;=Cutoff!$B$10),1,0)</f>
        <v>1</v>
      </c>
      <c r="Q366" s="12" t="n">
        <f aca="false">IF(AND(N366=1,E366+Cutoff!$B$17&lt;=Cutoff!$B$10),1,0)</f>
        <v>1</v>
      </c>
      <c r="R366" s="12" t="n">
        <f aca="false">IF(Q366=1,IF(K366&lt;=Cutoff!$B$10,1,0),0)</f>
        <v>0</v>
      </c>
      <c r="S366" s="12" t="n">
        <f aca="false">IF(N366=1,SUMIFS(Subscriptions!$D$2:$D$208,Subscriptions!$A$2:$A$208,C366,Subscriptions!$E$2:$E$208,1,Subscriptions!$B$2:$B$208,"&gt;="&amp;Cutoff!$B$24,Subscriptions!$B$2:$B$208,"&lt;"&amp;Cutoff!$B$25,Subscriptions!$B$2:$B$208,"&lt;="&amp;Cutoff!$B$10),0)</f>
        <v>0</v>
      </c>
    </row>
    <row r="367" customFormat="false" ht="15" hidden="false" customHeight="false" outlineLevel="0" collapsed="false">
      <c r="A367" s="4" t="s">
        <v>1018</v>
      </c>
      <c r="B367" s="4" t="s">
        <v>288</v>
      </c>
      <c r="C367" s="4" t="s">
        <v>1019</v>
      </c>
      <c r="D367" s="4" t="s">
        <v>51</v>
      </c>
      <c r="E367" s="4" t="n">
        <v>1784115517</v>
      </c>
      <c r="F367" s="4" t="n">
        <v>1784115155</v>
      </c>
      <c r="G367" s="4" t="n">
        <v>1784115401</v>
      </c>
      <c r="H367" s="4" t="n">
        <v>1000000000000000</v>
      </c>
      <c r="I367" s="4" t="n">
        <v>1000000000000000</v>
      </c>
      <c r="J367" s="4" t="n">
        <v>1784116416</v>
      </c>
      <c r="K367" s="4" t="n">
        <v>1000000000000000</v>
      </c>
      <c r="L367" s="12" t="n">
        <f aca="false">IF(AND(B367=Cutoff!$B$12,E367&lt;=Cutoff!$B$10),1,0)</f>
        <v>1</v>
      </c>
      <c r="M367" s="12" t="n">
        <f aca="false">IF(AND(L367=1,F367&lt;1000000000000000,G367&lt;=Cutoff!$B$10),1,0)</f>
        <v>1</v>
      </c>
      <c r="N367" s="12" t="n">
        <f aca="false">IF(AND(M367=1,F367+Cutoff!$B$16&lt;=Cutoff!$B$10),1,0)</f>
        <v>1</v>
      </c>
      <c r="O367" s="12" t="n">
        <f aca="false">IF(N367=1,IF(AND(H367&lt;1000000000000000,H367&gt;=MAX(F367,E367),H367&lt;F367+Cutoff!$B$16,I367&lt;=Cutoff!$B$10),1,0),0)</f>
        <v>0</v>
      </c>
      <c r="P367" s="12" t="n">
        <f aca="false">IF(AND(L367=1,J367&lt;=Cutoff!$B$10),1,0)</f>
        <v>1</v>
      </c>
      <c r="Q367" s="12" t="n">
        <f aca="false">IF(AND(N367=1,E367+Cutoff!$B$17&lt;=Cutoff!$B$10),1,0)</f>
        <v>1</v>
      </c>
      <c r="R367" s="12" t="n">
        <f aca="false">IF(Q367=1,IF(K367&lt;=Cutoff!$B$10,1,0),0)</f>
        <v>0</v>
      </c>
      <c r="S367" s="12" t="n">
        <f aca="false">IF(N367=1,SUMIFS(Subscriptions!$D$2:$D$208,Subscriptions!$A$2:$A$208,C367,Subscriptions!$E$2:$E$208,1,Subscriptions!$B$2:$B$208,"&gt;="&amp;Cutoff!$B$24,Subscriptions!$B$2:$B$208,"&lt;"&amp;Cutoff!$B$25,Subscriptions!$B$2:$B$208,"&lt;="&amp;Cutoff!$B$10),0)</f>
        <v>36</v>
      </c>
    </row>
    <row r="368" customFormat="false" ht="15" hidden="false" customHeight="false" outlineLevel="0" collapsed="false">
      <c r="A368" s="4" t="s">
        <v>1020</v>
      </c>
      <c r="B368" s="4" t="s">
        <v>288</v>
      </c>
      <c r="C368" s="4" t="s">
        <v>1021</v>
      </c>
      <c r="D368" s="4" t="s">
        <v>52</v>
      </c>
      <c r="E368" s="4" t="n">
        <v>1784135877</v>
      </c>
      <c r="F368" s="4" t="n">
        <v>1784135521</v>
      </c>
      <c r="G368" s="4" t="n">
        <v>1784135818</v>
      </c>
      <c r="H368" s="4" t="n">
        <v>1784138320</v>
      </c>
      <c r="I368" s="4" t="n">
        <v>1784138325</v>
      </c>
      <c r="J368" s="4" t="n">
        <v>1784136741</v>
      </c>
      <c r="K368" s="4" t="n">
        <v>1784726970</v>
      </c>
      <c r="L368" s="12" t="n">
        <f aca="false">IF(AND(B368=Cutoff!$B$12,E368&lt;=Cutoff!$B$10),1,0)</f>
        <v>1</v>
      </c>
      <c r="M368" s="12" t="n">
        <f aca="false">IF(AND(L368=1,F368&lt;1000000000000000,G368&lt;=Cutoff!$B$10),1,0)</f>
        <v>1</v>
      </c>
      <c r="N368" s="12" t="n">
        <f aca="false">IF(AND(M368=1,F368+Cutoff!$B$16&lt;=Cutoff!$B$10),1,0)</f>
        <v>1</v>
      </c>
      <c r="O368" s="12" t="n">
        <f aca="false">IF(N368=1,IF(AND(H368&lt;1000000000000000,H368&gt;=MAX(F368,E368),H368&lt;F368+Cutoff!$B$16,I368&lt;=Cutoff!$B$10),1,0),0)</f>
        <v>1</v>
      </c>
      <c r="P368" s="12" t="n">
        <f aca="false">IF(AND(L368=1,J368&lt;=Cutoff!$B$10),1,0)</f>
        <v>1</v>
      </c>
      <c r="Q368" s="12" t="n">
        <f aca="false">IF(AND(N368=1,E368+Cutoff!$B$17&lt;=Cutoff!$B$10),1,0)</f>
        <v>1</v>
      </c>
      <c r="R368" s="12" t="n">
        <f aca="false">IF(Q368=1,IF(K368&lt;=Cutoff!$B$10,1,0),0)</f>
        <v>1</v>
      </c>
      <c r="S368" s="12" t="n">
        <f aca="false">IF(N368=1,SUMIFS(Subscriptions!$D$2:$D$208,Subscriptions!$A$2:$A$208,C368,Subscriptions!$E$2:$E$208,1,Subscriptions!$B$2:$B$208,"&gt;="&amp;Cutoff!$B$24,Subscriptions!$B$2:$B$208,"&lt;"&amp;Cutoff!$B$25,Subscriptions!$B$2:$B$208,"&lt;="&amp;Cutoff!$B$10),0)</f>
        <v>468</v>
      </c>
    </row>
    <row r="369" customFormat="false" ht="15" hidden="false" customHeight="false" outlineLevel="0" collapsed="false">
      <c r="A369" s="4" t="s">
        <v>1022</v>
      </c>
      <c r="B369" s="4" t="s">
        <v>288</v>
      </c>
      <c r="C369" s="4" t="s">
        <v>1023</v>
      </c>
      <c r="D369" s="4" t="s">
        <v>51</v>
      </c>
      <c r="E369" s="4" t="n">
        <v>1784141977</v>
      </c>
      <c r="F369" s="4" t="n">
        <v>1784141852</v>
      </c>
      <c r="G369" s="4" t="n">
        <v>1784141859</v>
      </c>
      <c r="H369" s="4" t="n">
        <v>1000000000000000</v>
      </c>
      <c r="I369" s="4" t="n">
        <v>1000000000000000</v>
      </c>
      <c r="J369" s="4" t="n">
        <v>1784142078</v>
      </c>
      <c r="K369" s="4" t="n">
        <v>1000000000000000</v>
      </c>
      <c r="L369" s="12" t="n">
        <f aca="false">IF(AND(B369=Cutoff!$B$12,E369&lt;=Cutoff!$B$10),1,0)</f>
        <v>1</v>
      </c>
      <c r="M369" s="12" t="n">
        <f aca="false">IF(AND(L369=1,F369&lt;1000000000000000,G369&lt;=Cutoff!$B$10),1,0)</f>
        <v>1</v>
      </c>
      <c r="N369" s="12" t="n">
        <f aca="false">IF(AND(M369=1,F369+Cutoff!$B$16&lt;=Cutoff!$B$10),1,0)</f>
        <v>1</v>
      </c>
      <c r="O369" s="12" t="n">
        <f aca="false">IF(N369=1,IF(AND(H369&lt;1000000000000000,H369&gt;=MAX(F369,E369),H369&lt;F369+Cutoff!$B$16,I369&lt;=Cutoff!$B$10),1,0),0)</f>
        <v>0</v>
      </c>
      <c r="P369" s="12" t="n">
        <f aca="false">IF(AND(L369=1,J369&lt;=Cutoff!$B$10),1,0)</f>
        <v>1</v>
      </c>
      <c r="Q369" s="12" t="n">
        <f aca="false">IF(AND(N369=1,E369+Cutoff!$B$17&lt;=Cutoff!$B$10),1,0)</f>
        <v>1</v>
      </c>
      <c r="R369" s="12" t="n">
        <f aca="false">IF(Q369=1,IF(K369&lt;=Cutoff!$B$10,1,0),0)</f>
        <v>0</v>
      </c>
      <c r="S369" s="12" t="n">
        <f aca="false">IF(N369=1,SUMIFS(Subscriptions!$D$2:$D$208,Subscriptions!$A$2:$A$208,C369,Subscriptions!$E$2:$E$208,1,Subscriptions!$B$2:$B$208,"&gt;="&amp;Cutoff!$B$24,Subscriptions!$B$2:$B$208,"&lt;"&amp;Cutoff!$B$25,Subscriptions!$B$2:$B$208,"&lt;="&amp;Cutoff!$B$10),0)</f>
        <v>0</v>
      </c>
    </row>
    <row r="370" customFormat="false" ht="15" hidden="false" customHeight="false" outlineLevel="0" collapsed="false">
      <c r="A370" s="4" t="s">
        <v>1024</v>
      </c>
      <c r="B370" s="4" t="s">
        <v>288</v>
      </c>
      <c r="C370" s="4" t="s">
        <v>1025</v>
      </c>
      <c r="D370" s="4" t="s">
        <v>52</v>
      </c>
      <c r="E370" s="4" t="n">
        <v>1784252914</v>
      </c>
      <c r="F370" s="4" t="n">
        <v>1784252782</v>
      </c>
      <c r="G370" s="4" t="n">
        <v>1784253981</v>
      </c>
      <c r="H370" s="4" t="n">
        <v>1000000000000000</v>
      </c>
      <c r="I370" s="4" t="n">
        <v>1000000000000000</v>
      </c>
      <c r="J370" s="4" t="n">
        <v>1784253894</v>
      </c>
      <c r="K370" s="4" t="n">
        <v>1000000000000000</v>
      </c>
      <c r="L370" s="12" t="n">
        <f aca="false">IF(AND(B370=Cutoff!$B$12,E370&lt;=Cutoff!$B$10),1,0)</f>
        <v>1</v>
      </c>
      <c r="M370" s="12" t="n">
        <f aca="false">IF(AND(L370=1,F370&lt;1000000000000000,G370&lt;=Cutoff!$B$10),1,0)</f>
        <v>1</v>
      </c>
      <c r="N370" s="12" t="n">
        <f aca="false">IF(AND(M370=1,F370+Cutoff!$B$16&lt;=Cutoff!$B$10),1,0)</f>
        <v>1</v>
      </c>
      <c r="O370" s="12" t="n">
        <f aca="false">IF(N370=1,IF(AND(H370&lt;1000000000000000,H370&gt;=MAX(F370,E370),H370&lt;F370+Cutoff!$B$16,I370&lt;=Cutoff!$B$10),1,0),0)</f>
        <v>0</v>
      </c>
      <c r="P370" s="12" t="n">
        <f aca="false">IF(AND(L370=1,J370&lt;=Cutoff!$B$10),1,0)</f>
        <v>1</v>
      </c>
      <c r="Q370" s="12" t="n">
        <f aca="false">IF(AND(N370=1,E370+Cutoff!$B$17&lt;=Cutoff!$B$10),1,0)</f>
        <v>1</v>
      </c>
      <c r="R370" s="12" t="n">
        <f aca="false">IF(Q370=1,IF(K370&lt;=Cutoff!$B$10,1,0),0)</f>
        <v>0</v>
      </c>
      <c r="S370" s="12" t="n">
        <f aca="false">IF(N370=1,SUMIFS(Subscriptions!$D$2:$D$208,Subscriptions!$A$2:$A$208,C370,Subscriptions!$E$2:$E$208,1,Subscriptions!$B$2:$B$208,"&gt;="&amp;Cutoff!$B$24,Subscriptions!$B$2:$B$208,"&lt;"&amp;Cutoff!$B$25,Subscriptions!$B$2:$B$208,"&lt;="&amp;Cutoff!$B$10),0)</f>
        <v>0</v>
      </c>
    </row>
    <row r="371" customFormat="false" ht="15" hidden="false" customHeight="false" outlineLevel="0" collapsed="false">
      <c r="A371" s="4" t="s">
        <v>1026</v>
      </c>
      <c r="B371" s="4" t="s">
        <v>288</v>
      </c>
      <c r="C371" s="4" t="s">
        <v>1027</v>
      </c>
      <c r="D371" s="4" t="s">
        <v>51</v>
      </c>
      <c r="E371" s="4" t="n">
        <v>1784294164</v>
      </c>
      <c r="F371" s="4" t="n">
        <v>1784294096</v>
      </c>
      <c r="G371" s="4" t="n">
        <v>1784294103</v>
      </c>
      <c r="H371" s="4" t="n">
        <v>1000000000000000</v>
      </c>
      <c r="I371" s="4" t="n">
        <v>1000000000000000</v>
      </c>
      <c r="J371" s="4" t="n">
        <v>1784295108</v>
      </c>
      <c r="K371" s="4" t="n">
        <v>1000000000000000</v>
      </c>
      <c r="L371" s="12" t="n">
        <f aca="false">IF(AND(B371=Cutoff!$B$12,E371&lt;=Cutoff!$B$10),1,0)</f>
        <v>1</v>
      </c>
      <c r="M371" s="12" t="n">
        <f aca="false">IF(AND(L371=1,F371&lt;1000000000000000,G371&lt;=Cutoff!$B$10),1,0)</f>
        <v>1</v>
      </c>
      <c r="N371" s="12" t="n">
        <f aca="false">IF(AND(M371=1,F371+Cutoff!$B$16&lt;=Cutoff!$B$10),1,0)</f>
        <v>1</v>
      </c>
      <c r="O371" s="12" t="n">
        <f aca="false">IF(N371=1,IF(AND(H371&lt;1000000000000000,H371&gt;=MAX(F371,E371),H371&lt;F371+Cutoff!$B$16,I371&lt;=Cutoff!$B$10),1,0),0)</f>
        <v>0</v>
      </c>
      <c r="P371" s="12" t="n">
        <f aca="false">IF(AND(L371=1,J371&lt;=Cutoff!$B$10),1,0)</f>
        <v>1</v>
      </c>
      <c r="Q371" s="12" t="n">
        <f aca="false">IF(AND(N371=1,E371+Cutoff!$B$17&lt;=Cutoff!$B$10),1,0)</f>
        <v>1</v>
      </c>
      <c r="R371" s="12" t="n">
        <f aca="false">IF(Q371=1,IF(K371&lt;=Cutoff!$B$10,1,0),0)</f>
        <v>0</v>
      </c>
      <c r="S371" s="12" t="n">
        <f aca="false">IF(N371=1,SUMIFS(Subscriptions!$D$2:$D$208,Subscriptions!$A$2:$A$208,C371,Subscriptions!$E$2:$E$208,1,Subscriptions!$B$2:$B$208,"&gt;="&amp;Cutoff!$B$24,Subscriptions!$B$2:$B$208,"&lt;"&amp;Cutoff!$B$25,Subscriptions!$B$2:$B$208,"&lt;="&amp;Cutoff!$B$10),0)</f>
        <v>0</v>
      </c>
    </row>
    <row r="372" customFormat="false" ht="15" hidden="false" customHeight="false" outlineLevel="0" collapsed="false">
      <c r="A372" s="4" t="s">
        <v>1028</v>
      </c>
      <c r="B372" s="4" t="s">
        <v>288</v>
      </c>
      <c r="C372" s="4" t="s">
        <v>1029</v>
      </c>
      <c r="D372" s="4" t="s">
        <v>52</v>
      </c>
      <c r="E372" s="4" t="n">
        <v>1784301313</v>
      </c>
      <c r="F372" s="4" t="n">
        <v>1784301070</v>
      </c>
      <c r="G372" s="4" t="n">
        <v>1784301081</v>
      </c>
      <c r="H372" s="4" t="n">
        <v>1784421464</v>
      </c>
      <c r="I372" s="4" t="n">
        <v>1784421485</v>
      </c>
      <c r="J372" s="4" t="n">
        <v>1784301890</v>
      </c>
      <c r="K372" s="4" t="n">
        <v>1000000000000000</v>
      </c>
      <c r="L372" s="12" t="n">
        <f aca="false">IF(AND(B372=Cutoff!$B$12,E372&lt;=Cutoff!$B$10),1,0)</f>
        <v>1</v>
      </c>
      <c r="M372" s="12" t="n">
        <f aca="false">IF(AND(L372=1,F372&lt;1000000000000000,G372&lt;=Cutoff!$B$10),1,0)</f>
        <v>1</v>
      </c>
      <c r="N372" s="12" t="n">
        <f aca="false">IF(AND(M372=1,F372+Cutoff!$B$16&lt;=Cutoff!$B$10),1,0)</f>
        <v>1</v>
      </c>
      <c r="O372" s="12" t="n">
        <f aca="false">IF(N372=1,IF(AND(H372&lt;1000000000000000,H372&gt;=MAX(F372,E372),H372&lt;F372+Cutoff!$B$16,I372&lt;=Cutoff!$B$10),1,0),0)</f>
        <v>1</v>
      </c>
      <c r="P372" s="12" t="n">
        <f aca="false">IF(AND(L372=1,J372&lt;=Cutoff!$B$10),1,0)</f>
        <v>1</v>
      </c>
      <c r="Q372" s="12" t="n">
        <f aca="false">IF(AND(N372=1,E372+Cutoff!$B$17&lt;=Cutoff!$B$10),1,0)</f>
        <v>1</v>
      </c>
      <c r="R372" s="12" t="n">
        <f aca="false">IF(Q372=1,IF(K372&lt;=Cutoff!$B$10,1,0),0)</f>
        <v>0</v>
      </c>
      <c r="S372" s="12" t="n">
        <f aca="false">IF(N372=1,SUMIFS(Subscriptions!$D$2:$D$208,Subscriptions!$A$2:$A$208,C372,Subscriptions!$E$2:$E$208,1,Subscriptions!$B$2:$B$208,"&gt;="&amp;Cutoff!$B$24,Subscriptions!$B$2:$B$208,"&lt;"&amp;Cutoff!$B$25,Subscriptions!$B$2:$B$208,"&lt;="&amp;Cutoff!$B$10),0)</f>
        <v>0</v>
      </c>
    </row>
    <row r="373" customFormat="false" ht="15" hidden="false" customHeight="false" outlineLevel="0" collapsed="false">
      <c r="A373" s="4" t="s">
        <v>1030</v>
      </c>
      <c r="B373" s="4" t="s">
        <v>288</v>
      </c>
      <c r="C373" s="4" t="s">
        <v>1031</v>
      </c>
      <c r="D373" s="4" t="s">
        <v>51</v>
      </c>
      <c r="E373" s="4" t="n">
        <v>1784321286</v>
      </c>
      <c r="F373" s="4" t="n">
        <v>1784320917</v>
      </c>
      <c r="G373" s="4" t="n">
        <v>1784320930</v>
      </c>
      <c r="H373" s="4" t="n">
        <v>1000000000000000</v>
      </c>
      <c r="I373" s="4" t="n">
        <v>1000000000000000</v>
      </c>
      <c r="J373" s="4" t="n">
        <v>1784321946</v>
      </c>
      <c r="K373" s="4" t="n">
        <v>1000000000000000</v>
      </c>
      <c r="L373" s="12" t="n">
        <f aca="false">IF(AND(B373=Cutoff!$B$12,E373&lt;=Cutoff!$B$10),1,0)</f>
        <v>1</v>
      </c>
      <c r="M373" s="12" t="n">
        <f aca="false">IF(AND(L373=1,F373&lt;1000000000000000,G373&lt;=Cutoff!$B$10),1,0)</f>
        <v>1</v>
      </c>
      <c r="N373" s="12" t="n">
        <f aca="false">IF(AND(M373=1,F373+Cutoff!$B$16&lt;=Cutoff!$B$10),1,0)</f>
        <v>1</v>
      </c>
      <c r="O373" s="12" t="n">
        <f aca="false">IF(N373=1,IF(AND(H373&lt;1000000000000000,H373&gt;=MAX(F373,E373),H373&lt;F373+Cutoff!$B$16,I373&lt;=Cutoff!$B$10),1,0),0)</f>
        <v>0</v>
      </c>
      <c r="P373" s="12" t="n">
        <f aca="false">IF(AND(L373=1,J373&lt;=Cutoff!$B$10),1,0)</f>
        <v>1</v>
      </c>
      <c r="Q373" s="12" t="n">
        <f aca="false">IF(AND(N373=1,E373+Cutoff!$B$17&lt;=Cutoff!$B$10),1,0)</f>
        <v>1</v>
      </c>
      <c r="R373" s="12" t="n">
        <f aca="false">IF(Q373=1,IF(K373&lt;=Cutoff!$B$10,1,0),0)</f>
        <v>0</v>
      </c>
      <c r="S373" s="12" t="n">
        <f aca="false">IF(N373=1,SUMIFS(Subscriptions!$D$2:$D$208,Subscriptions!$A$2:$A$208,C373,Subscriptions!$E$2:$E$208,1,Subscriptions!$B$2:$B$208,"&gt;="&amp;Cutoff!$B$24,Subscriptions!$B$2:$B$208,"&lt;"&amp;Cutoff!$B$25,Subscriptions!$B$2:$B$208,"&lt;="&amp;Cutoff!$B$10),0)</f>
        <v>0</v>
      </c>
    </row>
    <row r="374" customFormat="false" ht="15" hidden="false" customHeight="false" outlineLevel="0" collapsed="false">
      <c r="A374" s="4" t="s">
        <v>1032</v>
      </c>
      <c r="B374" s="4" t="s">
        <v>288</v>
      </c>
      <c r="C374" s="4" t="s">
        <v>1033</v>
      </c>
      <c r="D374" s="4" t="s">
        <v>52</v>
      </c>
      <c r="E374" s="4" t="n">
        <v>1784323099</v>
      </c>
      <c r="F374" s="4" t="n">
        <v>1784322902</v>
      </c>
      <c r="G374" s="4" t="n">
        <v>1784322908</v>
      </c>
      <c r="H374" s="4" t="n">
        <v>1000000000000000</v>
      </c>
      <c r="I374" s="4" t="n">
        <v>1000000000000000</v>
      </c>
      <c r="J374" s="4" t="n">
        <v>1784324035</v>
      </c>
      <c r="K374" s="4" t="n">
        <v>1000000000000000</v>
      </c>
      <c r="L374" s="12" t="n">
        <f aca="false">IF(AND(B374=Cutoff!$B$12,E374&lt;=Cutoff!$B$10),1,0)</f>
        <v>1</v>
      </c>
      <c r="M374" s="12" t="n">
        <f aca="false">IF(AND(L374=1,F374&lt;1000000000000000,G374&lt;=Cutoff!$B$10),1,0)</f>
        <v>1</v>
      </c>
      <c r="N374" s="12" t="n">
        <f aca="false">IF(AND(M374=1,F374+Cutoff!$B$16&lt;=Cutoff!$B$10),1,0)</f>
        <v>1</v>
      </c>
      <c r="O374" s="12" t="n">
        <f aca="false">IF(N374=1,IF(AND(H374&lt;1000000000000000,H374&gt;=MAX(F374,E374),H374&lt;F374+Cutoff!$B$16,I374&lt;=Cutoff!$B$10),1,0),0)</f>
        <v>0</v>
      </c>
      <c r="P374" s="12" t="n">
        <f aca="false">IF(AND(L374=1,J374&lt;=Cutoff!$B$10),1,0)</f>
        <v>1</v>
      </c>
      <c r="Q374" s="12" t="n">
        <f aca="false">IF(AND(N374=1,E374+Cutoff!$B$17&lt;=Cutoff!$B$10),1,0)</f>
        <v>1</v>
      </c>
      <c r="R374" s="12" t="n">
        <f aca="false">IF(Q374=1,IF(K374&lt;=Cutoff!$B$10,1,0),0)</f>
        <v>0</v>
      </c>
      <c r="S374" s="12" t="n">
        <f aca="false">IF(N374=1,SUMIFS(Subscriptions!$D$2:$D$208,Subscriptions!$A$2:$A$208,C374,Subscriptions!$E$2:$E$208,1,Subscriptions!$B$2:$B$208,"&gt;="&amp;Cutoff!$B$24,Subscriptions!$B$2:$B$208,"&lt;"&amp;Cutoff!$B$25,Subscriptions!$B$2:$B$208,"&lt;="&amp;Cutoff!$B$10),0)</f>
        <v>0</v>
      </c>
    </row>
    <row r="375" customFormat="false" ht="15" hidden="false" customHeight="false" outlineLevel="0" collapsed="false">
      <c r="A375" s="4" t="s">
        <v>1034</v>
      </c>
      <c r="B375" s="4" t="s">
        <v>288</v>
      </c>
      <c r="C375" s="4" t="s">
        <v>1035</v>
      </c>
      <c r="D375" s="4" t="s">
        <v>51</v>
      </c>
      <c r="E375" s="4" t="n">
        <v>1784332897</v>
      </c>
      <c r="F375" s="4" t="n">
        <v>1784332511</v>
      </c>
      <c r="G375" s="4" t="n">
        <v>1784332529</v>
      </c>
      <c r="H375" s="4" t="n">
        <v>1784407030</v>
      </c>
      <c r="I375" s="4" t="n">
        <v>1784407035</v>
      </c>
      <c r="J375" s="4" t="n">
        <v>1000000000000000</v>
      </c>
      <c r="K375" s="4" t="n">
        <v>1000000000000000</v>
      </c>
      <c r="L375" s="12" t="n">
        <f aca="false">IF(AND(B375=Cutoff!$B$12,E375&lt;=Cutoff!$B$10),1,0)</f>
        <v>1</v>
      </c>
      <c r="M375" s="12" t="n">
        <f aca="false">IF(AND(L375=1,F375&lt;1000000000000000,G375&lt;=Cutoff!$B$10),1,0)</f>
        <v>1</v>
      </c>
      <c r="N375" s="12" t="n">
        <f aca="false">IF(AND(M375=1,F375+Cutoff!$B$16&lt;=Cutoff!$B$10),1,0)</f>
        <v>1</v>
      </c>
      <c r="O375" s="12" t="n">
        <f aca="false">IF(N375=1,IF(AND(H375&lt;1000000000000000,H375&gt;=MAX(F375,E375),H375&lt;F375+Cutoff!$B$16,I375&lt;=Cutoff!$B$10),1,0),0)</f>
        <v>1</v>
      </c>
      <c r="P375" s="12" t="n">
        <f aca="false">IF(AND(L375=1,J375&lt;=Cutoff!$B$10),1,0)</f>
        <v>0</v>
      </c>
      <c r="Q375" s="12" t="n">
        <f aca="false">IF(AND(N375=1,E375+Cutoff!$B$17&lt;=Cutoff!$B$10),1,0)</f>
        <v>1</v>
      </c>
      <c r="R375" s="12" t="n">
        <f aca="false">IF(Q375=1,IF(K375&lt;=Cutoff!$B$10,1,0),0)</f>
        <v>0</v>
      </c>
      <c r="S375" s="12" t="n">
        <f aca="false">IF(N375=1,SUMIFS(Subscriptions!$D$2:$D$208,Subscriptions!$A$2:$A$208,C375,Subscriptions!$E$2:$E$208,1,Subscriptions!$B$2:$B$208,"&gt;="&amp;Cutoff!$B$24,Subscriptions!$B$2:$B$208,"&lt;"&amp;Cutoff!$B$25,Subscriptions!$B$2:$B$208,"&lt;="&amp;Cutoff!$B$10),0)</f>
        <v>0</v>
      </c>
    </row>
    <row r="376" customFormat="false" ht="15" hidden="false" customHeight="false" outlineLevel="0" collapsed="false">
      <c r="A376" s="4" t="s">
        <v>1036</v>
      </c>
      <c r="B376" s="4" t="s">
        <v>288</v>
      </c>
      <c r="C376" s="4" t="s">
        <v>1037</v>
      </c>
      <c r="D376" s="4" t="s">
        <v>51</v>
      </c>
      <c r="E376" s="4" t="n">
        <v>1784364549</v>
      </c>
      <c r="F376" s="4" t="n">
        <v>1784364241</v>
      </c>
      <c r="G376" s="4" t="n">
        <v>1784364251</v>
      </c>
      <c r="H376" s="4" t="n">
        <v>1000000000000000</v>
      </c>
      <c r="I376" s="4" t="n">
        <v>1000000000000000</v>
      </c>
      <c r="J376" s="4" t="n">
        <v>1000000000000000</v>
      </c>
      <c r="K376" s="4" t="n">
        <v>1000000000000000</v>
      </c>
      <c r="L376" s="12" t="n">
        <f aca="false">IF(AND(B376=Cutoff!$B$12,E376&lt;=Cutoff!$B$10),1,0)</f>
        <v>1</v>
      </c>
      <c r="M376" s="12" t="n">
        <f aca="false">IF(AND(L376=1,F376&lt;1000000000000000,G376&lt;=Cutoff!$B$10),1,0)</f>
        <v>1</v>
      </c>
      <c r="N376" s="12" t="n">
        <f aca="false">IF(AND(M376=1,F376+Cutoff!$B$16&lt;=Cutoff!$B$10),1,0)</f>
        <v>1</v>
      </c>
      <c r="O376" s="12" t="n">
        <f aca="false">IF(N376=1,IF(AND(H376&lt;1000000000000000,H376&gt;=MAX(F376,E376),H376&lt;F376+Cutoff!$B$16,I376&lt;=Cutoff!$B$10),1,0),0)</f>
        <v>0</v>
      </c>
      <c r="P376" s="12" t="n">
        <f aca="false">IF(AND(L376=1,J376&lt;=Cutoff!$B$10),1,0)</f>
        <v>0</v>
      </c>
      <c r="Q376" s="12" t="n">
        <f aca="false">IF(AND(N376=1,E376+Cutoff!$B$17&lt;=Cutoff!$B$10),1,0)</f>
        <v>1</v>
      </c>
      <c r="R376" s="12" t="n">
        <f aca="false">IF(Q376=1,IF(K376&lt;=Cutoff!$B$10,1,0),0)</f>
        <v>0</v>
      </c>
      <c r="S376" s="12" t="n">
        <f aca="false">IF(N376=1,SUMIFS(Subscriptions!$D$2:$D$208,Subscriptions!$A$2:$A$208,C376,Subscriptions!$E$2:$E$208,1,Subscriptions!$B$2:$B$208,"&gt;="&amp;Cutoff!$B$24,Subscriptions!$B$2:$B$208,"&lt;"&amp;Cutoff!$B$25,Subscriptions!$B$2:$B$208,"&lt;="&amp;Cutoff!$B$10),0)</f>
        <v>0</v>
      </c>
    </row>
    <row r="377" customFormat="false" ht="15" hidden="false" customHeight="false" outlineLevel="0" collapsed="false">
      <c r="A377" s="4" t="s">
        <v>1038</v>
      </c>
      <c r="B377" s="4" t="s">
        <v>288</v>
      </c>
      <c r="C377" s="4" t="s">
        <v>1039</v>
      </c>
      <c r="D377" s="4" t="s">
        <v>52</v>
      </c>
      <c r="E377" s="4" t="n">
        <v>1784491189</v>
      </c>
      <c r="F377" s="4" t="n">
        <v>1784490814</v>
      </c>
      <c r="G377" s="4" t="n">
        <v>1784491106</v>
      </c>
      <c r="H377" s="4" t="n">
        <v>1000000000000000</v>
      </c>
      <c r="I377" s="4" t="n">
        <v>1000000000000000</v>
      </c>
      <c r="J377" s="4" t="n">
        <v>1784491770</v>
      </c>
      <c r="K377" s="4" t="n">
        <v>1000000000000000</v>
      </c>
      <c r="L377" s="12" t="n">
        <f aca="false">IF(AND(B377=Cutoff!$B$12,E377&lt;=Cutoff!$B$10),1,0)</f>
        <v>1</v>
      </c>
      <c r="M377" s="12" t="n">
        <f aca="false">IF(AND(L377=1,F377&lt;1000000000000000,G377&lt;=Cutoff!$B$10),1,0)</f>
        <v>1</v>
      </c>
      <c r="N377" s="12" t="n">
        <f aca="false">IF(AND(M377=1,F377+Cutoff!$B$16&lt;=Cutoff!$B$10),1,0)</f>
        <v>1</v>
      </c>
      <c r="O377" s="12" t="n">
        <f aca="false">IF(N377=1,IF(AND(H377&lt;1000000000000000,H377&gt;=MAX(F377,E377),H377&lt;F377+Cutoff!$B$16,I377&lt;=Cutoff!$B$10),1,0),0)</f>
        <v>0</v>
      </c>
      <c r="P377" s="12" t="n">
        <f aca="false">IF(AND(L377=1,J377&lt;=Cutoff!$B$10),1,0)</f>
        <v>1</v>
      </c>
      <c r="Q377" s="12" t="n">
        <f aca="false">IF(AND(N377=1,E377+Cutoff!$B$17&lt;=Cutoff!$B$10),1,0)</f>
        <v>1</v>
      </c>
      <c r="R377" s="12" t="n">
        <f aca="false">IF(Q377=1,IF(K377&lt;=Cutoff!$B$10,1,0),0)</f>
        <v>0</v>
      </c>
      <c r="S377" s="12" t="n">
        <f aca="false">IF(N377=1,SUMIFS(Subscriptions!$D$2:$D$208,Subscriptions!$A$2:$A$208,C377,Subscriptions!$E$2:$E$208,1,Subscriptions!$B$2:$B$208,"&gt;="&amp;Cutoff!$B$24,Subscriptions!$B$2:$B$208,"&lt;"&amp;Cutoff!$B$25,Subscriptions!$B$2:$B$208,"&lt;="&amp;Cutoff!$B$10),0)</f>
        <v>0</v>
      </c>
    </row>
    <row r="378" customFormat="false" ht="15" hidden="false" customHeight="false" outlineLevel="0" collapsed="false">
      <c r="A378" s="4" t="s">
        <v>1040</v>
      </c>
      <c r="B378" s="4" t="s">
        <v>288</v>
      </c>
      <c r="C378" s="4" t="s">
        <v>1041</v>
      </c>
      <c r="D378" s="4" t="s">
        <v>51</v>
      </c>
      <c r="E378" s="4" t="n">
        <v>1784495258</v>
      </c>
      <c r="F378" s="4" t="n">
        <v>1784495043</v>
      </c>
      <c r="G378" s="4" t="n">
        <v>1784495064</v>
      </c>
      <c r="H378" s="4" t="n">
        <v>1000000000000000</v>
      </c>
      <c r="I378" s="4" t="n">
        <v>1000000000000000</v>
      </c>
      <c r="J378" s="4" t="n">
        <v>1784495373</v>
      </c>
      <c r="K378" s="4" t="n">
        <v>1000000000000000</v>
      </c>
      <c r="L378" s="12" t="n">
        <f aca="false">IF(AND(B378=Cutoff!$B$12,E378&lt;=Cutoff!$B$10),1,0)</f>
        <v>1</v>
      </c>
      <c r="M378" s="12" t="n">
        <f aca="false">IF(AND(L378=1,F378&lt;1000000000000000,G378&lt;=Cutoff!$B$10),1,0)</f>
        <v>1</v>
      </c>
      <c r="N378" s="12" t="n">
        <f aca="false">IF(AND(M378=1,F378+Cutoff!$B$16&lt;=Cutoff!$B$10),1,0)</f>
        <v>1</v>
      </c>
      <c r="O378" s="12" t="n">
        <f aca="false">IF(N378=1,IF(AND(H378&lt;1000000000000000,H378&gt;=MAX(F378,E378),H378&lt;F378+Cutoff!$B$16,I378&lt;=Cutoff!$B$10),1,0),0)</f>
        <v>0</v>
      </c>
      <c r="P378" s="12" t="n">
        <f aca="false">IF(AND(L378=1,J378&lt;=Cutoff!$B$10),1,0)</f>
        <v>1</v>
      </c>
      <c r="Q378" s="12" t="n">
        <f aca="false">IF(AND(N378=1,E378+Cutoff!$B$17&lt;=Cutoff!$B$10),1,0)</f>
        <v>1</v>
      </c>
      <c r="R378" s="12" t="n">
        <f aca="false">IF(Q378=1,IF(K378&lt;=Cutoff!$B$10,1,0),0)</f>
        <v>0</v>
      </c>
      <c r="S378" s="12" t="n">
        <f aca="false">IF(N378=1,SUMIFS(Subscriptions!$D$2:$D$208,Subscriptions!$A$2:$A$208,C378,Subscriptions!$E$2:$E$208,1,Subscriptions!$B$2:$B$208,"&gt;="&amp;Cutoff!$B$24,Subscriptions!$B$2:$B$208,"&lt;"&amp;Cutoff!$B$25,Subscriptions!$B$2:$B$208,"&lt;="&amp;Cutoff!$B$10),0)</f>
        <v>0</v>
      </c>
    </row>
    <row r="379" customFormat="false" ht="15" hidden="false" customHeight="false" outlineLevel="0" collapsed="false">
      <c r="A379" s="4" t="s">
        <v>1042</v>
      </c>
      <c r="B379" s="4" t="s">
        <v>288</v>
      </c>
      <c r="C379" s="4" t="s">
        <v>1043</v>
      </c>
      <c r="D379" s="4" t="s">
        <v>52</v>
      </c>
      <c r="E379" s="4" t="n">
        <v>1784499862</v>
      </c>
      <c r="F379" s="4" t="n">
        <v>1784499489</v>
      </c>
      <c r="G379" s="4" t="n">
        <v>1784499492</v>
      </c>
      <c r="H379" s="4" t="n">
        <v>1000000000000000</v>
      </c>
      <c r="I379" s="4" t="n">
        <v>1000000000000000</v>
      </c>
      <c r="J379" s="4" t="n">
        <v>1784500391</v>
      </c>
      <c r="K379" s="4" t="n">
        <v>1000000000000000</v>
      </c>
      <c r="L379" s="12" t="n">
        <f aca="false">IF(AND(B379=Cutoff!$B$12,E379&lt;=Cutoff!$B$10),1,0)</f>
        <v>1</v>
      </c>
      <c r="M379" s="12" t="n">
        <f aca="false">IF(AND(L379=1,F379&lt;1000000000000000,G379&lt;=Cutoff!$B$10),1,0)</f>
        <v>1</v>
      </c>
      <c r="N379" s="12" t="n">
        <f aca="false">IF(AND(M379=1,F379+Cutoff!$B$16&lt;=Cutoff!$B$10),1,0)</f>
        <v>1</v>
      </c>
      <c r="O379" s="12" t="n">
        <f aca="false">IF(N379=1,IF(AND(H379&lt;1000000000000000,H379&gt;=MAX(F379,E379),H379&lt;F379+Cutoff!$B$16,I379&lt;=Cutoff!$B$10),1,0),0)</f>
        <v>0</v>
      </c>
      <c r="P379" s="12" t="n">
        <f aca="false">IF(AND(L379=1,J379&lt;=Cutoff!$B$10),1,0)</f>
        <v>1</v>
      </c>
      <c r="Q379" s="12" t="n">
        <f aca="false">IF(AND(N379=1,E379+Cutoff!$B$17&lt;=Cutoff!$B$10),1,0)</f>
        <v>1</v>
      </c>
      <c r="R379" s="12" t="n">
        <f aca="false">IF(Q379=1,IF(K379&lt;=Cutoff!$B$10,1,0),0)</f>
        <v>0</v>
      </c>
      <c r="S379" s="12" t="n">
        <f aca="false">IF(N379=1,SUMIFS(Subscriptions!$D$2:$D$208,Subscriptions!$A$2:$A$208,C379,Subscriptions!$E$2:$E$208,1,Subscriptions!$B$2:$B$208,"&gt;="&amp;Cutoff!$B$24,Subscriptions!$B$2:$B$208,"&lt;"&amp;Cutoff!$B$25,Subscriptions!$B$2:$B$208,"&lt;="&amp;Cutoff!$B$10),0)</f>
        <v>0</v>
      </c>
    </row>
    <row r="380" customFormat="false" ht="15" hidden="false" customHeight="false" outlineLevel="0" collapsed="false">
      <c r="A380" s="4" t="s">
        <v>1044</v>
      </c>
      <c r="B380" s="4" t="s">
        <v>288</v>
      </c>
      <c r="C380" s="4" t="s">
        <v>1045</v>
      </c>
      <c r="D380" s="4" t="s">
        <v>52</v>
      </c>
      <c r="E380" s="4" t="n">
        <v>1784563650</v>
      </c>
      <c r="F380" s="4" t="n">
        <v>1784563071</v>
      </c>
      <c r="G380" s="4" t="n">
        <v>1784563091</v>
      </c>
      <c r="H380" s="4" t="n">
        <v>1000000000000000</v>
      </c>
      <c r="I380" s="4" t="n">
        <v>1000000000000000</v>
      </c>
      <c r="J380" s="4" t="n">
        <v>1784564268</v>
      </c>
      <c r="K380" s="4" t="n">
        <v>1000000000000000</v>
      </c>
      <c r="L380" s="12" t="n">
        <f aca="false">IF(AND(B380=Cutoff!$B$12,E380&lt;=Cutoff!$B$10),1,0)</f>
        <v>1</v>
      </c>
      <c r="M380" s="12" t="n">
        <f aca="false">IF(AND(L380=1,F380&lt;1000000000000000,G380&lt;=Cutoff!$B$10),1,0)</f>
        <v>1</v>
      </c>
      <c r="N380" s="12" t="n">
        <f aca="false">IF(AND(M380=1,F380+Cutoff!$B$16&lt;=Cutoff!$B$10),1,0)</f>
        <v>1</v>
      </c>
      <c r="O380" s="12" t="n">
        <f aca="false">IF(N380=1,IF(AND(H380&lt;1000000000000000,H380&gt;=MAX(F380,E380),H380&lt;F380+Cutoff!$B$16,I380&lt;=Cutoff!$B$10),1,0),0)</f>
        <v>0</v>
      </c>
      <c r="P380" s="12" t="n">
        <f aca="false">IF(AND(L380=1,J380&lt;=Cutoff!$B$10),1,0)</f>
        <v>1</v>
      </c>
      <c r="Q380" s="12" t="n">
        <f aca="false">IF(AND(N380=1,E380+Cutoff!$B$17&lt;=Cutoff!$B$10),1,0)</f>
        <v>1</v>
      </c>
      <c r="R380" s="12" t="n">
        <f aca="false">IF(Q380=1,IF(K380&lt;=Cutoff!$B$10,1,0),0)</f>
        <v>0</v>
      </c>
      <c r="S380" s="12" t="n">
        <f aca="false">IF(N380=1,SUMIFS(Subscriptions!$D$2:$D$208,Subscriptions!$A$2:$A$208,C380,Subscriptions!$E$2:$E$208,1,Subscriptions!$B$2:$B$208,"&gt;="&amp;Cutoff!$B$24,Subscriptions!$B$2:$B$208,"&lt;"&amp;Cutoff!$B$25,Subscriptions!$B$2:$B$208,"&lt;="&amp;Cutoff!$B$10),0)</f>
        <v>0</v>
      </c>
    </row>
    <row r="381" customFormat="false" ht="15" hidden="false" customHeight="false" outlineLevel="0" collapsed="false">
      <c r="A381" s="4" t="s">
        <v>1046</v>
      </c>
      <c r="B381" s="4" t="s">
        <v>288</v>
      </c>
      <c r="C381" s="4" t="s">
        <v>1047</v>
      </c>
      <c r="D381" s="4" t="s">
        <v>51</v>
      </c>
      <c r="E381" s="4" t="n">
        <v>1784564733</v>
      </c>
      <c r="F381" s="4" t="n">
        <v>1784564253</v>
      </c>
      <c r="G381" s="4" t="n">
        <v>1784564254</v>
      </c>
      <c r="H381" s="4" t="n">
        <v>1784583486</v>
      </c>
      <c r="I381" s="4" t="n">
        <v>1784583500</v>
      </c>
      <c r="J381" s="4" t="n">
        <v>1784564853</v>
      </c>
      <c r="K381" s="4" t="n">
        <v>1000000000000000</v>
      </c>
      <c r="L381" s="12" t="n">
        <f aca="false">IF(AND(B381=Cutoff!$B$12,E381&lt;=Cutoff!$B$10),1,0)</f>
        <v>1</v>
      </c>
      <c r="M381" s="12" t="n">
        <f aca="false">IF(AND(L381=1,F381&lt;1000000000000000,G381&lt;=Cutoff!$B$10),1,0)</f>
        <v>1</v>
      </c>
      <c r="N381" s="12" t="n">
        <f aca="false">IF(AND(M381=1,F381+Cutoff!$B$16&lt;=Cutoff!$B$10),1,0)</f>
        <v>1</v>
      </c>
      <c r="O381" s="12" t="n">
        <f aca="false">IF(N381=1,IF(AND(H381&lt;1000000000000000,H381&gt;=MAX(F381,E381),H381&lt;F381+Cutoff!$B$16,I381&lt;=Cutoff!$B$10),1,0),0)</f>
        <v>1</v>
      </c>
      <c r="P381" s="12" t="n">
        <f aca="false">IF(AND(L381=1,J381&lt;=Cutoff!$B$10),1,0)</f>
        <v>1</v>
      </c>
      <c r="Q381" s="12" t="n">
        <f aca="false">IF(AND(N381=1,E381+Cutoff!$B$17&lt;=Cutoff!$B$10),1,0)</f>
        <v>1</v>
      </c>
      <c r="R381" s="12" t="n">
        <f aca="false">IF(Q381=1,IF(K381&lt;=Cutoff!$B$10,1,0),0)</f>
        <v>0</v>
      </c>
      <c r="S381" s="12" t="n">
        <f aca="false">IF(N381=1,SUMIFS(Subscriptions!$D$2:$D$208,Subscriptions!$A$2:$A$208,C381,Subscriptions!$E$2:$E$208,1,Subscriptions!$B$2:$B$208,"&gt;="&amp;Cutoff!$B$24,Subscriptions!$B$2:$B$208,"&lt;"&amp;Cutoff!$B$25,Subscriptions!$B$2:$B$208,"&lt;="&amp;Cutoff!$B$10),0)</f>
        <v>0</v>
      </c>
    </row>
    <row r="382" customFormat="false" ht="15" hidden="false" customHeight="false" outlineLevel="0" collapsed="false">
      <c r="A382" s="4" t="s">
        <v>1048</v>
      </c>
      <c r="B382" s="4" t="s">
        <v>288</v>
      </c>
      <c r="C382" s="4" t="s">
        <v>1049</v>
      </c>
      <c r="D382" s="4" t="s">
        <v>52</v>
      </c>
      <c r="E382" s="4" t="n">
        <v>1784573407</v>
      </c>
      <c r="F382" s="4" t="n">
        <v>1784573138</v>
      </c>
      <c r="G382" s="4" t="n">
        <v>1784573163</v>
      </c>
      <c r="H382" s="4" t="n">
        <v>1784582832</v>
      </c>
      <c r="I382" s="4" t="n">
        <v>1784582857</v>
      </c>
      <c r="J382" s="4" t="n">
        <v>1784573453</v>
      </c>
      <c r="K382" s="4" t="n">
        <v>1000000000000000</v>
      </c>
      <c r="L382" s="12" t="n">
        <f aca="false">IF(AND(B382=Cutoff!$B$12,E382&lt;=Cutoff!$B$10),1,0)</f>
        <v>1</v>
      </c>
      <c r="M382" s="12" t="n">
        <f aca="false">IF(AND(L382=1,F382&lt;1000000000000000,G382&lt;=Cutoff!$B$10),1,0)</f>
        <v>1</v>
      </c>
      <c r="N382" s="12" t="n">
        <f aca="false">IF(AND(M382=1,F382+Cutoff!$B$16&lt;=Cutoff!$B$10),1,0)</f>
        <v>1</v>
      </c>
      <c r="O382" s="12" t="n">
        <f aca="false">IF(N382=1,IF(AND(H382&lt;1000000000000000,H382&gt;=MAX(F382,E382),H382&lt;F382+Cutoff!$B$16,I382&lt;=Cutoff!$B$10),1,0),0)</f>
        <v>1</v>
      </c>
      <c r="P382" s="12" t="n">
        <f aca="false">IF(AND(L382=1,J382&lt;=Cutoff!$B$10),1,0)</f>
        <v>1</v>
      </c>
      <c r="Q382" s="12" t="n">
        <f aca="false">IF(AND(N382=1,E382+Cutoff!$B$17&lt;=Cutoff!$B$10),1,0)</f>
        <v>1</v>
      </c>
      <c r="R382" s="12" t="n">
        <f aca="false">IF(Q382=1,IF(K382&lt;=Cutoff!$B$10,1,0),0)</f>
        <v>0</v>
      </c>
      <c r="S382" s="12" t="n">
        <f aca="false">IF(N382=1,SUMIFS(Subscriptions!$D$2:$D$208,Subscriptions!$A$2:$A$208,C382,Subscriptions!$E$2:$E$208,1,Subscriptions!$B$2:$B$208,"&gt;="&amp;Cutoff!$B$24,Subscriptions!$B$2:$B$208,"&lt;"&amp;Cutoff!$B$25,Subscriptions!$B$2:$B$208,"&lt;="&amp;Cutoff!$B$10),0)</f>
        <v>1014</v>
      </c>
    </row>
    <row r="383" customFormat="false" ht="15" hidden="false" customHeight="false" outlineLevel="0" collapsed="false">
      <c r="A383" s="4" t="s">
        <v>1050</v>
      </c>
      <c r="B383" s="4" t="s">
        <v>288</v>
      </c>
      <c r="C383" s="4" t="s">
        <v>1051</v>
      </c>
      <c r="D383" s="4" t="s">
        <v>52</v>
      </c>
      <c r="E383" s="4" t="n">
        <v>1784589005</v>
      </c>
      <c r="F383" s="4" t="n">
        <v>1784588909</v>
      </c>
      <c r="G383" s="4" t="n">
        <v>1784589194</v>
      </c>
      <c r="H383" s="4" t="n">
        <v>1784590424</v>
      </c>
      <c r="I383" s="4" t="n">
        <v>1784691710</v>
      </c>
      <c r="J383" s="4" t="n">
        <v>1784589932</v>
      </c>
      <c r="K383" s="4" t="n">
        <v>1000000000000000</v>
      </c>
      <c r="L383" s="12" t="n">
        <f aca="false">IF(AND(B383=Cutoff!$B$12,E383&lt;=Cutoff!$B$10),1,0)</f>
        <v>1</v>
      </c>
      <c r="M383" s="12" t="n">
        <f aca="false">IF(AND(L383=1,F383&lt;1000000000000000,G383&lt;=Cutoff!$B$10),1,0)</f>
        <v>1</v>
      </c>
      <c r="N383" s="12" t="n">
        <f aca="false">IF(AND(M383=1,F383+Cutoff!$B$16&lt;=Cutoff!$B$10),1,0)</f>
        <v>1</v>
      </c>
      <c r="O383" s="12" t="n">
        <f aca="false">IF(N383=1,IF(AND(H383&lt;1000000000000000,H383&gt;=MAX(F383,E383),H383&lt;F383+Cutoff!$B$16,I383&lt;=Cutoff!$B$10),1,0),0)</f>
        <v>1</v>
      </c>
      <c r="P383" s="12" t="n">
        <f aca="false">IF(AND(L383=1,J383&lt;=Cutoff!$B$10),1,0)</f>
        <v>1</v>
      </c>
      <c r="Q383" s="12" t="n">
        <f aca="false">IF(AND(N383=1,E383+Cutoff!$B$17&lt;=Cutoff!$B$10),1,0)</f>
        <v>1</v>
      </c>
      <c r="R383" s="12" t="n">
        <f aca="false">IF(Q383=1,IF(K383&lt;=Cutoff!$B$10,1,0),0)</f>
        <v>0</v>
      </c>
      <c r="S383" s="12" t="n">
        <f aca="false">IF(N383=1,SUMIFS(Subscriptions!$D$2:$D$208,Subscriptions!$A$2:$A$208,C383,Subscriptions!$E$2:$E$208,1,Subscriptions!$B$2:$B$208,"&gt;="&amp;Cutoff!$B$24,Subscriptions!$B$2:$B$208,"&lt;"&amp;Cutoff!$B$25,Subscriptions!$B$2:$B$208,"&lt;="&amp;Cutoff!$B$10),0)</f>
        <v>0</v>
      </c>
    </row>
    <row r="384" customFormat="false" ht="15" hidden="false" customHeight="false" outlineLevel="0" collapsed="false">
      <c r="A384" s="4" t="s">
        <v>1052</v>
      </c>
      <c r="B384" s="4" t="s">
        <v>288</v>
      </c>
      <c r="C384" s="4" t="s">
        <v>1053</v>
      </c>
      <c r="D384" s="4" t="s">
        <v>51</v>
      </c>
      <c r="E384" s="4" t="n">
        <v>1784631740</v>
      </c>
      <c r="F384" s="4" t="n">
        <v>1784631494</v>
      </c>
      <c r="G384" s="4" t="n">
        <v>1784631503</v>
      </c>
      <c r="H384" s="4" t="n">
        <v>1000000000000000</v>
      </c>
      <c r="I384" s="4" t="n">
        <v>1000000000000000</v>
      </c>
      <c r="J384" s="4" t="n">
        <v>1784631761</v>
      </c>
      <c r="K384" s="4" t="n">
        <v>1000000000000000</v>
      </c>
      <c r="L384" s="12" t="n">
        <f aca="false">IF(AND(B384=Cutoff!$B$12,E384&lt;=Cutoff!$B$10),1,0)</f>
        <v>1</v>
      </c>
      <c r="M384" s="12" t="n">
        <f aca="false">IF(AND(L384=1,F384&lt;1000000000000000,G384&lt;=Cutoff!$B$10),1,0)</f>
        <v>1</v>
      </c>
      <c r="N384" s="12" t="n">
        <f aca="false">IF(AND(M384=1,F384+Cutoff!$B$16&lt;=Cutoff!$B$10),1,0)</f>
        <v>1</v>
      </c>
      <c r="O384" s="12" t="n">
        <f aca="false">IF(N384=1,IF(AND(H384&lt;1000000000000000,H384&gt;=MAX(F384,E384),H384&lt;F384+Cutoff!$B$16,I384&lt;=Cutoff!$B$10),1,0),0)</f>
        <v>0</v>
      </c>
      <c r="P384" s="12" t="n">
        <f aca="false">IF(AND(L384=1,J384&lt;=Cutoff!$B$10),1,0)</f>
        <v>1</v>
      </c>
      <c r="Q384" s="12" t="n">
        <f aca="false">IF(AND(N384=1,E384+Cutoff!$B$17&lt;=Cutoff!$B$10),1,0)</f>
        <v>1</v>
      </c>
      <c r="R384" s="12" t="n">
        <f aca="false">IF(Q384=1,IF(K384&lt;=Cutoff!$B$10,1,0),0)</f>
        <v>0</v>
      </c>
      <c r="S384" s="12" t="n">
        <f aca="false">IF(N384=1,SUMIFS(Subscriptions!$D$2:$D$208,Subscriptions!$A$2:$A$208,C384,Subscriptions!$E$2:$E$208,1,Subscriptions!$B$2:$B$208,"&gt;="&amp;Cutoff!$B$24,Subscriptions!$B$2:$B$208,"&lt;"&amp;Cutoff!$B$25,Subscriptions!$B$2:$B$208,"&lt;="&amp;Cutoff!$B$10),0)</f>
        <v>0</v>
      </c>
    </row>
    <row r="385" customFormat="false" ht="15" hidden="false" customHeight="false" outlineLevel="0" collapsed="false">
      <c r="A385" s="4" t="s">
        <v>1054</v>
      </c>
      <c r="B385" s="4" t="s">
        <v>288</v>
      </c>
      <c r="C385" s="4" t="s">
        <v>1055</v>
      </c>
      <c r="D385" s="4" t="s">
        <v>51</v>
      </c>
      <c r="E385" s="4" t="n">
        <v>1784658148</v>
      </c>
      <c r="F385" s="4" t="n">
        <v>1784657858</v>
      </c>
      <c r="G385" s="4" t="n">
        <v>1784657875</v>
      </c>
      <c r="H385" s="4" t="n">
        <v>1000000000000000</v>
      </c>
      <c r="I385" s="4" t="n">
        <v>1000000000000000</v>
      </c>
      <c r="J385" s="4" t="n">
        <v>1784658807</v>
      </c>
      <c r="K385" s="4" t="n">
        <v>1000000000000000</v>
      </c>
      <c r="L385" s="12" t="n">
        <f aca="false">IF(AND(B385=Cutoff!$B$12,E385&lt;=Cutoff!$B$10),1,0)</f>
        <v>1</v>
      </c>
      <c r="M385" s="12" t="n">
        <f aca="false">IF(AND(L385=1,F385&lt;1000000000000000,G385&lt;=Cutoff!$B$10),1,0)</f>
        <v>1</v>
      </c>
      <c r="N385" s="12" t="n">
        <f aca="false">IF(AND(M385=1,F385+Cutoff!$B$16&lt;=Cutoff!$B$10),1,0)</f>
        <v>1</v>
      </c>
      <c r="O385" s="12" t="n">
        <f aca="false">IF(N385=1,IF(AND(H385&lt;1000000000000000,H385&gt;=MAX(F385,E385),H385&lt;F385+Cutoff!$B$16,I385&lt;=Cutoff!$B$10),1,0),0)</f>
        <v>0</v>
      </c>
      <c r="P385" s="12" t="n">
        <f aca="false">IF(AND(L385=1,J385&lt;=Cutoff!$B$10),1,0)</f>
        <v>1</v>
      </c>
      <c r="Q385" s="12" t="n">
        <f aca="false">IF(AND(N385=1,E385+Cutoff!$B$17&lt;=Cutoff!$B$10),1,0)</f>
        <v>1</v>
      </c>
      <c r="R385" s="12" t="n">
        <f aca="false">IF(Q385=1,IF(K385&lt;=Cutoff!$B$10,1,0),0)</f>
        <v>0</v>
      </c>
      <c r="S385" s="12" t="n">
        <f aca="false">IF(N385=1,SUMIFS(Subscriptions!$D$2:$D$208,Subscriptions!$A$2:$A$208,C385,Subscriptions!$E$2:$E$208,1,Subscriptions!$B$2:$B$208,"&gt;="&amp;Cutoff!$B$24,Subscriptions!$B$2:$B$208,"&lt;"&amp;Cutoff!$B$25,Subscriptions!$B$2:$B$208,"&lt;="&amp;Cutoff!$B$10),0)</f>
        <v>0</v>
      </c>
    </row>
    <row r="386" customFormat="false" ht="15" hidden="false" customHeight="false" outlineLevel="0" collapsed="false">
      <c r="A386" s="4" t="s">
        <v>1056</v>
      </c>
      <c r="B386" s="4" t="s">
        <v>288</v>
      </c>
      <c r="C386" s="4" t="s">
        <v>1057</v>
      </c>
      <c r="D386" s="4" t="s">
        <v>52</v>
      </c>
      <c r="E386" s="4" t="n">
        <v>1784660715</v>
      </c>
      <c r="F386" s="4" t="n">
        <v>1784660640</v>
      </c>
      <c r="G386" s="4" t="n">
        <v>1784660665</v>
      </c>
      <c r="H386" s="4" t="n">
        <v>1000000000000000</v>
      </c>
      <c r="I386" s="4" t="n">
        <v>1000000000000000</v>
      </c>
      <c r="J386" s="4" t="n">
        <v>1784660828</v>
      </c>
      <c r="K386" s="4" t="n">
        <v>1000000000000000</v>
      </c>
      <c r="L386" s="12" t="n">
        <f aca="false">IF(AND(B386=Cutoff!$B$12,E386&lt;=Cutoff!$B$10),1,0)</f>
        <v>1</v>
      </c>
      <c r="M386" s="12" t="n">
        <f aca="false">IF(AND(L386=1,F386&lt;1000000000000000,G386&lt;=Cutoff!$B$10),1,0)</f>
        <v>1</v>
      </c>
      <c r="N386" s="12" t="n">
        <f aca="false">IF(AND(M386=1,F386+Cutoff!$B$16&lt;=Cutoff!$B$10),1,0)</f>
        <v>1</v>
      </c>
      <c r="O386" s="12" t="n">
        <f aca="false">IF(N386=1,IF(AND(H386&lt;1000000000000000,H386&gt;=MAX(F386,E386),H386&lt;F386+Cutoff!$B$16,I386&lt;=Cutoff!$B$10),1,0),0)</f>
        <v>0</v>
      </c>
      <c r="P386" s="12" t="n">
        <f aca="false">IF(AND(L386=1,J386&lt;=Cutoff!$B$10),1,0)</f>
        <v>1</v>
      </c>
      <c r="Q386" s="12" t="n">
        <f aca="false">IF(AND(N386=1,E386+Cutoff!$B$17&lt;=Cutoff!$B$10),1,0)</f>
        <v>1</v>
      </c>
      <c r="R386" s="12" t="n">
        <f aca="false">IF(Q386=1,IF(K386&lt;=Cutoff!$B$10,1,0),0)</f>
        <v>0</v>
      </c>
      <c r="S386" s="12" t="n">
        <f aca="false">IF(N386=1,SUMIFS(Subscriptions!$D$2:$D$208,Subscriptions!$A$2:$A$208,C386,Subscriptions!$E$2:$E$208,1,Subscriptions!$B$2:$B$208,"&gt;="&amp;Cutoff!$B$24,Subscriptions!$B$2:$B$208,"&lt;"&amp;Cutoff!$B$25,Subscriptions!$B$2:$B$208,"&lt;="&amp;Cutoff!$B$10),0)</f>
        <v>0</v>
      </c>
    </row>
    <row r="387" customFormat="false" ht="15" hidden="false" customHeight="false" outlineLevel="0" collapsed="false">
      <c r="A387" s="4" t="s">
        <v>1058</v>
      </c>
      <c r="B387" s="4" t="s">
        <v>288</v>
      </c>
      <c r="C387" s="4" t="s">
        <v>1059</v>
      </c>
      <c r="D387" s="4" t="s">
        <v>51</v>
      </c>
      <c r="E387" s="4" t="n">
        <v>1784667280</v>
      </c>
      <c r="F387" s="4" t="n">
        <v>1784667080</v>
      </c>
      <c r="G387" s="4" t="n">
        <v>1784667206</v>
      </c>
      <c r="H387" s="4" t="n">
        <v>1000000000000000</v>
      </c>
      <c r="I387" s="4" t="n">
        <v>1000000000000000</v>
      </c>
      <c r="J387" s="4" t="n">
        <v>1784667581</v>
      </c>
      <c r="K387" s="4" t="n">
        <v>1000000000000000</v>
      </c>
      <c r="L387" s="12" t="n">
        <f aca="false">IF(AND(B387=Cutoff!$B$12,E387&lt;=Cutoff!$B$10),1,0)</f>
        <v>1</v>
      </c>
      <c r="M387" s="12" t="n">
        <f aca="false">IF(AND(L387=1,F387&lt;1000000000000000,G387&lt;=Cutoff!$B$10),1,0)</f>
        <v>1</v>
      </c>
      <c r="N387" s="12" t="n">
        <f aca="false">IF(AND(M387=1,F387+Cutoff!$B$16&lt;=Cutoff!$B$10),1,0)</f>
        <v>1</v>
      </c>
      <c r="O387" s="12" t="n">
        <f aca="false">IF(N387=1,IF(AND(H387&lt;1000000000000000,H387&gt;=MAX(F387,E387),H387&lt;F387+Cutoff!$B$16,I387&lt;=Cutoff!$B$10),1,0),0)</f>
        <v>0</v>
      </c>
      <c r="P387" s="12" t="n">
        <f aca="false">IF(AND(L387=1,J387&lt;=Cutoff!$B$10),1,0)</f>
        <v>1</v>
      </c>
      <c r="Q387" s="12" t="n">
        <f aca="false">IF(AND(N387=1,E387+Cutoff!$B$17&lt;=Cutoff!$B$10),1,0)</f>
        <v>1</v>
      </c>
      <c r="R387" s="12" t="n">
        <f aca="false">IF(Q387=1,IF(K387&lt;=Cutoff!$B$10,1,0),0)</f>
        <v>0</v>
      </c>
      <c r="S387" s="12" t="n">
        <f aca="false">IF(N387=1,SUMIFS(Subscriptions!$D$2:$D$208,Subscriptions!$A$2:$A$208,C387,Subscriptions!$E$2:$E$208,1,Subscriptions!$B$2:$B$208,"&gt;="&amp;Cutoff!$B$24,Subscriptions!$B$2:$B$208,"&lt;"&amp;Cutoff!$B$25,Subscriptions!$B$2:$B$208,"&lt;="&amp;Cutoff!$B$10),0)</f>
        <v>108</v>
      </c>
    </row>
    <row r="388" customFormat="false" ht="15" hidden="false" customHeight="false" outlineLevel="0" collapsed="false">
      <c r="A388" s="4" t="s">
        <v>1060</v>
      </c>
      <c r="B388" s="4" t="s">
        <v>288</v>
      </c>
      <c r="C388" s="4" t="s">
        <v>1061</v>
      </c>
      <c r="D388" s="4" t="s">
        <v>52</v>
      </c>
      <c r="E388" s="4" t="n">
        <v>1784718551</v>
      </c>
      <c r="F388" s="4" t="n">
        <v>1784718410</v>
      </c>
      <c r="G388" s="4" t="n">
        <v>1784718413</v>
      </c>
      <c r="H388" s="4" t="n">
        <v>1000000000000000</v>
      </c>
      <c r="I388" s="4" t="n">
        <v>1000000000000000</v>
      </c>
      <c r="J388" s="4" t="n">
        <v>1784719231</v>
      </c>
      <c r="K388" s="4" t="n">
        <v>1785065764</v>
      </c>
      <c r="L388" s="12" t="n">
        <f aca="false">IF(AND(B388=Cutoff!$B$12,E388&lt;=Cutoff!$B$10),1,0)</f>
        <v>1</v>
      </c>
      <c r="M388" s="12" t="n">
        <f aca="false">IF(AND(L388=1,F388&lt;1000000000000000,G388&lt;=Cutoff!$B$10),1,0)</f>
        <v>1</v>
      </c>
      <c r="N388" s="12" t="n">
        <f aca="false">IF(AND(M388=1,F388+Cutoff!$B$16&lt;=Cutoff!$B$10),1,0)</f>
        <v>1</v>
      </c>
      <c r="O388" s="12" t="n">
        <f aca="false">IF(N388=1,IF(AND(H388&lt;1000000000000000,H388&gt;=MAX(F388,E388),H388&lt;F388+Cutoff!$B$16,I388&lt;=Cutoff!$B$10),1,0),0)</f>
        <v>0</v>
      </c>
      <c r="P388" s="12" t="n">
        <f aca="false">IF(AND(L388=1,J388&lt;=Cutoff!$B$10),1,0)</f>
        <v>1</v>
      </c>
      <c r="Q388" s="12" t="n">
        <f aca="false">IF(AND(N388=1,E388+Cutoff!$B$17&lt;=Cutoff!$B$10),1,0)</f>
        <v>1</v>
      </c>
      <c r="R388" s="12" t="n">
        <f aca="false">IF(Q388=1,IF(K388&lt;=Cutoff!$B$10,1,0),0)</f>
        <v>1</v>
      </c>
      <c r="S388" s="12" t="n">
        <f aca="false">IF(N388=1,SUMIFS(Subscriptions!$D$2:$D$208,Subscriptions!$A$2:$A$208,C388,Subscriptions!$E$2:$E$208,1,Subscriptions!$B$2:$B$208,"&gt;="&amp;Cutoff!$B$24,Subscriptions!$B$2:$B$208,"&lt;"&amp;Cutoff!$B$25,Subscriptions!$B$2:$B$208,"&lt;="&amp;Cutoff!$B$10),0)</f>
        <v>351</v>
      </c>
    </row>
    <row r="389" customFormat="false" ht="15" hidden="false" customHeight="false" outlineLevel="0" collapsed="false">
      <c r="A389" s="4" t="s">
        <v>1062</v>
      </c>
      <c r="B389" s="4" t="s">
        <v>288</v>
      </c>
      <c r="C389" s="4" t="s">
        <v>1063</v>
      </c>
      <c r="D389" s="4" t="s">
        <v>51</v>
      </c>
      <c r="E389" s="4" t="n">
        <v>1784730210</v>
      </c>
      <c r="F389" s="4" t="n">
        <v>1784730115</v>
      </c>
      <c r="G389" s="4" t="n">
        <v>1784730139</v>
      </c>
      <c r="H389" s="4" t="n">
        <v>1784825298</v>
      </c>
      <c r="I389" s="4" t="n">
        <v>1784829911</v>
      </c>
      <c r="J389" s="4" t="n">
        <v>1784730796</v>
      </c>
      <c r="K389" s="4" t="n">
        <v>1000000000000000</v>
      </c>
      <c r="L389" s="12" t="n">
        <f aca="false">IF(AND(B389=Cutoff!$B$12,E389&lt;=Cutoff!$B$10),1,0)</f>
        <v>1</v>
      </c>
      <c r="M389" s="12" t="n">
        <f aca="false">IF(AND(L389=1,F389&lt;1000000000000000,G389&lt;=Cutoff!$B$10),1,0)</f>
        <v>1</v>
      </c>
      <c r="N389" s="12" t="n">
        <f aca="false">IF(AND(M389=1,F389+Cutoff!$B$16&lt;=Cutoff!$B$10),1,0)</f>
        <v>1</v>
      </c>
      <c r="O389" s="12" t="n">
        <f aca="false">IF(N389=1,IF(AND(H389&lt;1000000000000000,H389&gt;=MAX(F389,E389),H389&lt;F389+Cutoff!$B$16,I389&lt;=Cutoff!$B$10),1,0),0)</f>
        <v>1</v>
      </c>
      <c r="P389" s="12" t="n">
        <f aca="false">IF(AND(L389=1,J389&lt;=Cutoff!$B$10),1,0)</f>
        <v>1</v>
      </c>
      <c r="Q389" s="12" t="n">
        <f aca="false">IF(AND(N389=1,E389+Cutoff!$B$17&lt;=Cutoff!$B$10),1,0)</f>
        <v>1</v>
      </c>
      <c r="R389" s="12" t="n">
        <f aca="false">IF(Q389=1,IF(K389&lt;=Cutoff!$B$10,1,0),0)</f>
        <v>0</v>
      </c>
      <c r="S389" s="12" t="n">
        <f aca="false">IF(N389=1,SUMIFS(Subscriptions!$D$2:$D$208,Subscriptions!$A$2:$A$208,C389,Subscriptions!$E$2:$E$208,1,Subscriptions!$B$2:$B$208,"&gt;="&amp;Cutoff!$B$24,Subscriptions!$B$2:$B$208,"&lt;"&amp;Cutoff!$B$25,Subscriptions!$B$2:$B$208,"&lt;="&amp;Cutoff!$B$10),0)</f>
        <v>0</v>
      </c>
    </row>
    <row r="390" customFormat="false" ht="15" hidden="false" customHeight="false" outlineLevel="0" collapsed="false">
      <c r="A390" s="4" t="s">
        <v>1064</v>
      </c>
      <c r="B390" s="4" t="s">
        <v>288</v>
      </c>
      <c r="C390" s="4" t="s">
        <v>1065</v>
      </c>
      <c r="D390" s="4" t="s">
        <v>52</v>
      </c>
      <c r="E390" s="4" t="n">
        <v>1784747353</v>
      </c>
      <c r="F390" s="4" t="n">
        <v>1784746980</v>
      </c>
      <c r="G390" s="4" t="n">
        <v>1784751376</v>
      </c>
      <c r="H390" s="4" t="n">
        <v>1000000000000000</v>
      </c>
      <c r="I390" s="4" t="n">
        <v>1000000000000000</v>
      </c>
      <c r="J390" s="4" t="n">
        <v>1784747753</v>
      </c>
      <c r="K390" s="4" t="n">
        <v>1000000000000000</v>
      </c>
      <c r="L390" s="12" t="n">
        <f aca="false">IF(AND(B390=Cutoff!$B$12,E390&lt;=Cutoff!$B$10),1,0)</f>
        <v>1</v>
      </c>
      <c r="M390" s="12" t="n">
        <f aca="false">IF(AND(L390=1,F390&lt;1000000000000000,G390&lt;=Cutoff!$B$10),1,0)</f>
        <v>1</v>
      </c>
      <c r="N390" s="12" t="n">
        <f aca="false">IF(AND(M390=1,F390+Cutoff!$B$16&lt;=Cutoff!$B$10),1,0)</f>
        <v>1</v>
      </c>
      <c r="O390" s="12" t="n">
        <f aca="false">IF(N390=1,IF(AND(H390&lt;1000000000000000,H390&gt;=MAX(F390,E390),H390&lt;F390+Cutoff!$B$16,I390&lt;=Cutoff!$B$10),1,0),0)</f>
        <v>0</v>
      </c>
      <c r="P390" s="12" t="n">
        <f aca="false">IF(AND(L390=1,J390&lt;=Cutoff!$B$10),1,0)</f>
        <v>1</v>
      </c>
      <c r="Q390" s="12" t="n">
        <f aca="false">IF(AND(N390=1,E390+Cutoff!$B$17&lt;=Cutoff!$B$10),1,0)</f>
        <v>1</v>
      </c>
      <c r="R390" s="12" t="n">
        <f aca="false">IF(Q390=1,IF(K390&lt;=Cutoff!$B$10,1,0),0)</f>
        <v>0</v>
      </c>
      <c r="S390" s="12" t="n">
        <f aca="false">IF(N390=1,SUMIFS(Subscriptions!$D$2:$D$208,Subscriptions!$A$2:$A$208,C390,Subscriptions!$E$2:$E$208,1,Subscriptions!$B$2:$B$208,"&gt;="&amp;Cutoff!$B$24,Subscriptions!$B$2:$B$208,"&lt;"&amp;Cutoff!$B$25,Subscriptions!$B$2:$B$208,"&lt;="&amp;Cutoff!$B$10),0)</f>
        <v>72</v>
      </c>
    </row>
    <row r="391" customFormat="false" ht="15" hidden="false" customHeight="false" outlineLevel="0" collapsed="false">
      <c r="A391" s="4" t="s">
        <v>1066</v>
      </c>
      <c r="B391" s="4" t="s">
        <v>288</v>
      </c>
      <c r="C391" s="4" t="s">
        <v>1067</v>
      </c>
      <c r="D391" s="4" t="s">
        <v>51</v>
      </c>
      <c r="E391" s="4" t="n">
        <v>1784747756</v>
      </c>
      <c r="F391" s="4" t="n">
        <v>1784747504</v>
      </c>
      <c r="G391" s="4" t="n">
        <v>1784747520</v>
      </c>
      <c r="H391" s="4" t="n">
        <v>1784762175</v>
      </c>
      <c r="I391" s="4" t="n">
        <v>1784762197</v>
      </c>
      <c r="J391" s="4" t="n">
        <v>1784748782</v>
      </c>
      <c r="K391" s="4" t="n">
        <v>1000000000000000</v>
      </c>
      <c r="L391" s="12" t="n">
        <f aca="false">IF(AND(B391=Cutoff!$B$12,E391&lt;=Cutoff!$B$10),1,0)</f>
        <v>1</v>
      </c>
      <c r="M391" s="12" t="n">
        <f aca="false">IF(AND(L391=1,F391&lt;1000000000000000,G391&lt;=Cutoff!$B$10),1,0)</f>
        <v>1</v>
      </c>
      <c r="N391" s="12" t="n">
        <f aca="false">IF(AND(M391=1,F391+Cutoff!$B$16&lt;=Cutoff!$B$10),1,0)</f>
        <v>1</v>
      </c>
      <c r="O391" s="12" t="n">
        <f aca="false">IF(N391=1,IF(AND(H391&lt;1000000000000000,H391&gt;=MAX(F391,E391),H391&lt;F391+Cutoff!$B$16,I391&lt;=Cutoff!$B$10),1,0),0)</f>
        <v>1</v>
      </c>
      <c r="P391" s="12" t="n">
        <f aca="false">IF(AND(L391=1,J391&lt;=Cutoff!$B$10),1,0)</f>
        <v>1</v>
      </c>
      <c r="Q391" s="12" t="n">
        <f aca="false">IF(AND(N391=1,E391+Cutoff!$B$17&lt;=Cutoff!$B$10),1,0)</f>
        <v>1</v>
      </c>
      <c r="R391" s="12" t="n">
        <f aca="false">IF(Q391=1,IF(K391&lt;=Cutoff!$B$10,1,0),0)</f>
        <v>0</v>
      </c>
      <c r="S391" s="12" t="n">
        <f aca="false">IF(N391=1,SUMIFS(Subscriptions!$D$2:$D$208,Subscriptions!$A$2:$A$208,C391,Subscriptions!$E$2:$E$208,1,Subscriptions!$B$2:$B$208,"&gt;="&amp;Cutoff!$B$24,Subscriptions!$B$2:$B$208,"&lt;"&amp;Cutoff!$B$25,Subscriptions!$B$2:$B$208,"&lt;="&amp;Cutoff!$B$10),0)</f>
        <v>0</v>
      </c>
    </row>
    <row r="392" customFormat="false" ht="15" hidden="false" customHeight="false" outlineLevel="0" collapsed="false">
      <c r="A392" s="4" t="s">
        <v>1068</v>
      </c>
      <c r="B392" s="4" t="s">
        <v>288</v>
      </c>
      <c r="C392" s="4" t="s">
        <v>1069</v>
      </c>
      <c r="D392" s="4" t="s">
        <v>51</v>
      </c>
      <c r="E392" s="4" t="n">
        <v>1784749137</v>
      </c>
      <c r="F392" s="4" t="n">
        <v>1784748990</v>
      </c>
      <c r="G392" s="4" t="n">
        <v>1785454271</v>
      </c>
      <c r="H392" s="4" t="n">
        <v>1784757791</v>
      </c>
      <c r="I392" s="4" t="n">
        <v>1784757812</v>
      </c>
      <c r="J392" s="4" t="n">
        <v>1784750004</v>
      </c>
      <c r="K392" s="4" t="n">
        <v>1000000000000000</v>
      </c>
      <c r="L392" s="12" t="n">
        <f aca="false">IF(AND(B392=Cutoff!$B$12,E392&lt;=Cutoff!$B$10),1,0)</f>
        <v>1</v>
      </c>
      <c r="M392" s="12" t="n">
        <f aca="false">IF(AND(L392=1,F392&lt;1000000000000000,G392&lt;=Cutoff!$B$10),1,0)</f>
        <v>1</v>
      </c>
      <c r="N392" s="12" t="n">
        <f aca="false">IF(AND(M392=1,F392+Cutoff!$B$16&lt;=Cutoff!$B$10),1,0)</f>
        <v>1</v>
      </c>
      <c r="O392" s="12" t="n">
        <f aca="false">IF(N392=1,IF(AND(H392&lt;1000000000000000,H392&gt;=MAX(F392,E392),H392&lt;F392+Cutoff!$B$16,I392&lt;=Cutoff!$B$10),1,0),0)</f>
        <v>1</v>
      </c>
      <c r="P392" s="12" t="n">
        <f aca="false">IF(AND(L392=1,J392&lt;=Cutoff!$B$10),1,0)</f>
        <v>1</v>
      </c>
      <c r="Q392" s="12" t="n">
        <f aca="false">IF(AND(N392=1,E392+Cutoff!$B$17&lt;=Cutoff!$B$10),1,0)</f>
        <v>1</v>
      </c>
      <c r="R392" s="12" t="n">
        <f aca="false">IF(Q392=1,IF(K392&lt;=Cutoff!$B$10,1,0),0)</f>
        <v>0</v>
      </c>
      <c r="S392" s="12" t="n">
        <f aca="false">IF(N392=1,SUMIFS(Subscriptions!$D$2:$D$208,Subscriptions!$A$2:$A$208,C392,Subscriptions!$E$2:$E$208,1,Subscriptions!$B$2:$B$208,"&gt;="&amp;Cutoff!$B$24,Subscriptions!$B$2:$B$208,"&lt;"&amp;Cutoff!$B$25,Subscriptions!$B$2:$B$208,"&lt;="&amp;Cutoff!$B$10),0)</f>
        <v>0</v>
      </c>
    </row>
    <row r="393" customFormat="false" ht="15" hidden="false" customHeight="false" outlineLevel="0" collapsed="false">
      <c r="A393" s="4" t="s">
        <v>1070</v>
      </c>
      <c r="B393" s="4" t="s">
        <v>288</v>
      </c>
      <c r="C393" s="4" t="s">
        <v>1071</v>
      </c>
      <c r="D393" s="4" t="s">
        <v>52</v>
      </c>
      <c r="E393" s="4" t="n">
        <v>1784753710</v>
      </c>
      <c r="F393" s="4" t="n">
        <v>1784753358</v>
      </c>
      <c r="G393" s="4" t="n">
        <v>1784753364</v>
      </c>
      <c r="H393" s="4" t="n">
        <v>1000000000000000</v>
      </c>
      <c r="I393" s="4" t="n">
        <v>1000000000000000</v>
      </c>
      <c r="J393" s="4" t="n">
        <v>1784754310</v>
      </c>
      <c r="K393" s="4" t="n">
        <v>1000000000000000</v>
      </c>
      <c r="L393" s="12" t="n">
        <f aca="false">IF(AND(B393=Cutoff!$B$12,E393&lt;=Cutoff!$B$10),1,0)</f>
        <v>1</v>
      </c>
      <c r="M393" s="12" t="n">
        <f aca="false">IF(AND(L393=1,F393&lt;1000000000000000,G393&lt;=Cutoff!$B$10),1,0)</f>
        <v>1</v>
      </c>
      <c r="N393" s="12" t="n">
        <f aca="false">IF(AND(M393=1,F393+Cutoff!$B$16&lt;=Cutoff!$B$10),1,0)</f>
        <v>1</v>
      </c>
      <c r="O393" s="12" t="n">
        <f aca="false">IF(N393=1,IF(AND(H393&lt;1000000000000000,H393&gt;=MAX(F393,E393),H393&lt;F393+Cutoff!$B$16,I393&lt;=Cutoff!$B$10),1,0),0)</f>
        <v>0</v>
      </c>
      <c r="P393" s="12" t="n">
        <f aca="false">IF(AND(L393=1,J393&lt;=Cutoff!$B$10),1,0)</f>
        <v>1</v>
      </c>
      <c r="Q393" s="12" t="n">
        <f aca="false">IF(AND(N393=1,E393+Cutoff!$B$17&lt;=Cutoff!$B$10),1,0)</f>
        <v>1</v>
      </c>
      <c r="R393" s="12" t="n">
        <f aca="false">IF(Q393=1,IF(K393&lt;=Cutoff!$B$10,1,0),0)</f>
        <v>0</v>
      </c>
      <c r="S393" s="12" t="n">
        <f aca="false">IF(N393=1,SUMIFS(Subscriptions!$D$2:$D$208,Subscriptions!$A$2:$A$208,C393,Subscriptions!$E$2:$E$208,1,Subscriptions!$B$2:$B$208,"&gt;="&amp;Cutoff!$B$24,Subscriptions!$B$2:$B$208,"&lt;"&amp;Cutoff!$B$25,Subscriptions!$B$2:$B$208,"&lt;="&amp;Cutoff!$B$10),0)</f>
        <v>0</v>
      </c>
    </row>
    <row r="394" customFormat="false" ht="15" hidden="false" customHeight="false" outlineLevel="0" collapsed="false">
      <c r="A394" s="4" t="s">
        <v>1072</v>
      </c>
      <c r="B394" s="4" t="s">
        <v>288</v>
      </c>
      <c r="C394" s="4" t="s">
        <v>1073</v>
      </c>
      <c r="D394" s="4" t="s">
        <v>51</v>
      </c>
      <c r="E394" s="4" t="n">
        <v>1784830304</v>
      </c>
      <c r="F394" s="4" t="n">
        <v>1784830202</v>
      </c>
      <c r="G394" s="4" t="n">
        <v>1784830219</v>
      </c>
      <c r="H394" s="4" t="n">
        <v>1000000000000000</v>
      </c>
      <c r="I394" s="4" t="n">
        <v>1000000000000000</v>
      </c>
      <c r="J394" s="4" t="n">
        <v>1784830672</v>
      </c>
      <c r="K394" s="4" t="n">
        <v>1000000000000000</v>
      </c>
      <c r="L394" s="12" t="n">
        <f aca="false">IF(AND(B394=Cutoff!$B$12,E394&lt;=Cutoff!$B$10),1,0)</f>
        <v>1</v>
      </c>
      <c r="M394" s="12" t="n">
        <f aca="false">IF(AND(L394=1,F394&lt;1000000000000000,G394&lt;=Cutoff!$B$10),1,0)</f>
        <v>1</v>
      </c>
      <c r="N394" s="12" t="n">
        <f aca="false">IF(AND(M394=1,F394+Cutoff!$B$16&lt;=Cutoff!$B$10),1,0)</f>
        <v>1</v>
      </c>
      <c r="O394" s="12" t="n">
        <f aca="false">IF(N394=1,IF(AND(H394&lt;1000000000000000,H394&gt;=MAX(F394,E394),H394&lt;F394+Cutoff!$B$16,I394&lt;=Cutoff!$B$10),1,0),0)</f>
        <v>0</v>
      </c>
      <c r="P394" s="12" t="n">
        <f aca="false">IF(AND(L394=1,J394&lt;=Cutoff!$B$10),1,0)</f>
        <v>1</v>
      </c>
      <c r="Q394" s="12" t="n">
        <f aca="false">IF(AND(N394=1,E394+Cutoff!$B$17&lt;=Cutoff!$B$10),1,0)</f>
        <v>1</v>
      </c>
      <c r="R394" s="12" t="n">
        <f aca="false">IF(Q394=1,IF(K394&lt;=Cutoff!$B$10,1,0),0)</f>
        <v>0</v>
      </c>
      <c r="S394" s="12" t="n">
        <f aca="false">IF(N394=1,SUMIFS(Subscriptions!$D$2:$D$208,Subscriptions!$A$2:$A$208,C394,Subscriptions!$E$2:$E$208,1,Subscriptions!$B$2:$B$208,"&gt;="&amp;Cutoff!$B$24,Subscriptions!$B$2:$B$208,"&lt;"&amp;Cutoff!$B$25,Subscriptions!$B$2:$B$208,"&lt;="&amp;Cutoff!$B$10),0)</f>
        <v>0</v>
      </c>
    </row>
    <row r="395" customFormat="false" ht="15" hidden="false" customHeight="false" outlineLevel="0" collapsed="false">
      <c r="A395" s="4" t="s">
        <v>1074</v>
      </c>
      <c r="B395" s="4" t="s">
        <v>288</v>
      </c>
      <c r="C395" s="4" t="s">
        <v>1075</v>
      </c>
      <c r="D395" s="4" t="s">
        <v>52</v>
      </c>
      <c r="E395" s="4" t="n">
        <v>1784835523</v>
      </c>
      <c r="F395" s="4" t="n">
        <v>1784834998</v>
      </c>
      <c r="G395" s="4" t="n">
        <v>1784835156</v>
      </c>
      <c r="H395" s="4" t="n">
        <v>1000000000000000</v>
      </c>
      <c r="I395" s="4" t="n">
        <v>1000000000000000</v>
      </c>
      <c r="J395" s="4" t="n">
        <v>1784836047</v>
      </c>
      <c r="K395" s="4" t="n">
        <v>1785341073</v>
      </c>
      <c r="L395" s="12" t="n">
        <f aca="false">IF(AND(B395=Cutoff!$B$12,E395&lt;=Cutoff!$B$10),1,0)</f>
        <v>1</v>
      </c>
      <c r="M395" s="12" t="n">
        <f aca="false">IF(AND(L395=1,F395&lt;1000000000000000,G395&lt;=Cutoff!$B$10),1,0)</f>
        <v>1</v>
      </c>
      <c r="N395" s="12" t="n">
        <f aca="false">IF(AND(M395=1,F395+Cutoff!$B$16&lt;=Cutoff!$B$10),1,0)</f>
        <v>1</v>
      </c>
      <c r="O395" s="12" t="n">
        <f aca="false">IF(N395=1,IF(AND(H395&lt;1000000000000000,H395&gt;=MAX(F395,E395),H395&lt;F395+Cutoff!$B$16,I395&lt;=Cutoff!$B$10),1,0),0)</f>
        <v>0</v>
      </c>
      <c r="P395" s="12" t="n">
        <f aca="false">IF(AND(L395=1,J395&lt;=Cutoff!$B$10),1,0)</f>
        <v>1</v>
      </c>
      <c r="Q395" s="12" t="n">
        <f aca="false">IF(AND(N395=1,E395+Cutoff!$B$17&lt;=Cutoff!$B$10),1,0)</f>
        <v>1</v>
      </c>
      <c r="R395" s="12" t="n">
        <f aca="false">IF(Q395=1,IF(K395&lt;=Cutoff!$B$10,1,0),0)</f>
        <v>1</v>
      </c>
      <c r="S395" s="12" t="n">
        <f aca="false">IF(N395=1,SUMIFS(Subscriptions!$D$2:$D$208,Subscriptions!$A$2:$A$208,C395,Subscriptions!$E$2:$E$208,1,Subscriptions!$B$2:$B$208,"&gt;="&amp;Cutoff!$B$24,Subscriptions!$B$2:$B$208,"&lt;"&amp;Cutoff!$B$25,Subscriptions!$B$2:$B$208,"&lt;="&amp;Cutoff!$B$10),0)</f>
        <v>0</v>
      </c>
    </row>
    <row r="396" customFormat="false" ht="15" hidden="false" customHeight="false" outlineLevel="0" collapsed="false">
      <c r="A396" s="4" t="s">
        <v>1076</v>
      </c>
      <c r="B396" s="4" t="s">
        <v>288</v>
      </c>
      <c r="C396" s="4" t="s">
        <v>1077</v>
      </c>
      <c r="D396" s="4" t="s">
        <v>52</v>
      </c>
      <c r="E396" s="4" t="n">
        <v>1784836661</v>
      </c>
      <c r="F396" s="4" t="n">
        <v>1784836095</v>
      </c>
      <c r="G396" s="4" t="n">
        <v>1784836777</v>
      </c>
      <c r="H396" s="4" t="n">
        <v>1000000000000000</v>
      </c>
      <c r="I396" s="4" t="n">
        <v>1000000000000000</v>
      </c>
      <c r="J396" s="4" t="n">
        <v>1784837522</v>
      </c>
      <c r="K396" s="4" t="n">
        <v>1000000000000000</v>
      </c>
      <c r="L396" s="12" t="n">
        <f aca="false">IF(AND(B396=Cutoff!$B$12,E396&lt;=Cutoff!$B$10),1,0)</f>
        <v>1</v>
      </c>
      <c r="M396" s="12" t="n">
        <f aca="false">IF(AND(L396=1,F396&lt;1000000000000000,G396&lt;=Cutoff!$B$10),1,0)</f>
        <v>1</v>
      </c>
      <c r="N396" s="12" t="n">
        <f aca="false">IF(AND(M396=1,F396+Cutoff!$B$16&lt;=Cutoff!$B$10),1,0)</f>
        <v>1</v>
      </c>
      <c r="O396" s="12" t="n">
        <f aca="false">IF(N396=1,IF(AND(H396&lt;1000000000000000,H396&gt;=MAX(F396,E396),H396&lt;F396+Cutoff!$B$16,I396&lt;=Cutoff!$B$10),1,0),0)</f>
        <v>0</v>
      </c>
      <c r="P396" s="12" t="n">
        <f aca="false">IF(AND(L396=1,J396&lt;=Cutoff!$B$10),1,0)</f>
        <v>1</v>
      </c>
      <c r="Q396" s="12" t="n">
        <f aca="false">IF(AND(N396=1,E396+Cutoff!$B$17&lt;=Cutoff!$B$10),1,0)</f>
        <v>1</v>
      </c>
      <c r="R396" s="12" t="n">
        <f aca="false">IF(Q396=1,IF(K396&lt;=Cutoff!$B$10,1,0),0)</f>
        <v>0</v>
      </c>
      <c r="S396" s="12" t="n">
        <f aca="false">IF(N396=1,SUMIFS(Subscriptions!$D$2:$D$208,Subscriptions!$A$2:$A$208,C396,Subscriptions!$E$2:$E$208,1,Subscriptions!$B$2:$B$208,"&gt;="&amp;Cutoff!$B$24,Subscriptions!$B$2:$B$208,"&lt;"&amp;Cutoff!$B$25,Subscriptions!$B$2:$B$208,"&lt;="&amp;Cutoff!$B$10),0)</f>
        <v>0</v>
      </c>
    </row>
    <row r="397" customFormat="false" ht="15" hidden="false" customHeight="false" outlineLevel="0" collapsed="false">
      <c r="A397" s="4" t="s">
        <v>1078</v>
      </c>
      <c r="B397" s="4" t="s">
        <v>288</v>
      </c>
      <c r="C397" s="4" t="s">
        <v>1079</v>
      </c>
      <c r="D397" s="4" t="s">
        <v>51</v>
      </c>
      <c r="E397" s="4" t="n">
        <v>1784861010</v>
      </c>
      <c r="F397" s="4" t="n">
        <v>1784860647</v>
      </c>
      <c r="G397" s="4" t="n">
        <v>1784860649</v>
      </c>
      <c r="H397" s="4" t="n">
        <v>1000000000000000</v>
      </c>
      <c r="I397" s="4" t="n">
        <v>1000000000000000</v>
      </c>
      <c r="J397" s="4" t="n">
        <v>1784861985</v>
      </c>
      <c r="K397" s="4" t="n">
        <v>1000000000000000</v>
      </c>
      <c r="L397" s="12" t="n">
        <f aca="false">IF(AND(B397=Cutoff!$B$12,E397&lt;=Cutoff!$B$10),1,0)</f>
        <v>1</v>
      </c>
      <c r="M397" s="12" t="n">
        <f aca="false">IF(AND(L397=1,F397&lt;1000000000000000,G397&lt;=Cutoff!$B$10),1,0)</f>
        <v>1</v>
      </c>
      <c r="N397" s="12" t="n">
        <f aca="false">IF(AND(M397=1,F397+Cutoff!$B$16&lt;=Cutoff!$B$10),1,0)</f>
        <v>1</v>
      </c>
      <c r="O397" s="12" t="n">
        <f aca="false">IF(N397=1,IF(AND(H397&lt;1000000000000000,H397&gt;=MAX(F397,E397),H397&lt;F397+Cutoff!$B$16,I397&lt;=Cutoff!$B$10),1,0),0)</f>
        <v>0</v>
      </c>
      <c r="P397" s="12" t="n">
        <f aca="false">IF(AND(L397=1,J397&lt;=Cutoff!$B$10),1,0)</f>
        <v>1</v>
      </c>
      <c r="Q397" s="12" t="n">
        <f aca="false">IF(AND(N397=1,E397+Cutoff!$B$17&lt;=Cutoff!$B$10),1,0)</f>
        <v>1</v>
      </c>
      <c r="R397" s="12" t="n">
        <f aca="false">IF(Q397=1,IF(K397&lt;=Cutoff!$B$10,1,0),0)</f>
        <v>0</v>
      </c>
      <c r="S397" s="12" t="n">
        <f aca="false">IF(N397=1,SUMIFS(Subscriptions!$D$2:$D$208,Subscriptions!$A$2:$A$208,C397,Subscriptions!$E$2:$E$208,1,Subscriptions!$B$2:$B$208,"&gt;="&amp;Cutoff!$B$24,Subscriptions!$B$2:$B$208,"&lt;"&amp;Cutoff!$B$25,Subscriptions!$B$2:$B$208,"&lt;="&amp;Cutoff!$B$10),0)</f>
        <v>60</v>
      </c>
    </row>
    <row r="398" customFormat="false" ht="15" hidden="false" customHeight="false" outlineLevel="0" collapsed="false">
      <c r="A398" s="4" t="s">
        <v>1080</v>
      </c>
      <c r="B398" s="4" t="s">
        <v>288</v>
      </c>
      <c r="C398" s="4" t="s">
        <v>1081</v>
      </c>
      <c r="D398" s="4" t="s">
        <v>52</v>
      </c>
      <c r="E398" s="4" t="n">
        <v>1784922562</v>
      </c>
      <c r="F398" s="4" t="n">
        <v>1784922423</v>
      </c>
      <c r="G398" s="4" t="n">
        <v>1784922431</v>
      </c>
      <c r="H398" s="4" t="n">
        <v>1784922841</v>
      </c>
      <c r="I398" s="4" t="n">
        <v>1784922849</v>
      </c>
      <c r="J398" s="4" t="n">
        <v>1784923034</v>
      </c>
      <c r="K398" s="4" t="n">
        <v>1000000000000000</v>
      </c>
      <c r="L398" s="12" t="n">
        <f aca="false">IF(AND(B398=Cutoff!$B$12,E398&lt;=Cutoff!$B$10),1,0)</f>
        <v>1</v>
      </c>
      <c r="M398" s="12" t="n">
        <f aca="false">IF(AND(L398=1,F398&lt;1000000000000000,G398&lt;=Cutoff!$B$10),1,0)</f>
        <v>1</v>
      </c>
      <c r="N398" s="12" t="n">
        <f aca="false">IF(AND(M398=1,F398+Cutoff!$B$16&lt;=Cutoff!$B$10),1,0)</f>
        <v>1</v>
      </c>
      <c r="O398" s="12" t="n">
        <f aca="false">IF(N398=1,IF(AND(H398&lt;1000000000000000,H398&gt;=MAX(F398,E398),H398&lt;F398+Cutoff!$B$16,I398&lt;=Cutoff!$B$10),1,0),0)</f>
        <v>1</v>
      </c>
      <c r="P398" s="12" t="n">
        <f aca="false">IF(AND(L398=1,J398&lt;=Cutoff!$B$10),1,0)</f>
        <v>1</v>
      </c>
      <c r="Q398" s="12" t="n">
        <f aca="false">IF(AND(N398=1,E398+Cutoff!$B$17&lt;=Cutoff!$B$10),1,0)</f>
        <v>1</v>
      </c>
      <c r="R398" s="12" t="n">
        <f aca="false">IF(Q398=1,IF(K398&lt;=Cutoff!$B$10,1,0),0)</f>
        <v>0</v>
      </c>
      <c r="S398" s="12" t="n">
        <f aca="false">IF(N398=1,SUMIFS(Subscriptions!$D$2:$D$208,Subscriptions!$A$2:$A$208,C398,Subscriptions!$E$2:$E$208,1,Subscriptions!$B$2:$B$208,"&gt;="&amp;Cutoff!$B$24,Subscriptions!$B$2:$B$208,"&lt;"&amp;Cutoff!$B$25,Subscriptions!$B$2:$B$208,"&lt;="&amp;Cutoff!$B$10),0)</f>
        <v>60</v>
      </c>
    </row>
    <row r="399" customFormat="false" ht="15" hidden="false" customHeight="false" outlineLevel="0" collapsed="false">
      <c r="A399" s="4" t="s">
        <v>1082</v>
      </c>
      <c r="B399" s="4" t="s">
        <v>288</v>
      </c>
      <c r="C399" s="4" t="s">
        <v>1083</v>
      </c>
      <c r="D399" s="4" t="s">
        <v>52</v>
      </c>
      <c r="E399" s="4" t="n">
        <v>1784937022</v>
      </c>
      <c r="F399" s="4" t="n">
        <v>1784936649</v>
      </c>
      <c r="G399" s="4" t="n">
        <v>1784936654</v>
      </c>
      <c r="H399" s="4" t="n">
        <v>1000000000000000</v>
      </c>
      <c r="I399" s="4" t="n">
        <v>1000000000000000</v>
      </c>
      <c r="J399" s="4" t="n">
        <v>1000000000000000</v>
      </c>
      <c r="K399" s="4" t="n">
        <v>1000000000000000</v>
      </c>
      <c r="L399" s="12" t="n">
        <f aca="false">IF(AND(B399=Cutoff!$B$12,E399&lt;=Cutoff!$B$10),1,0)</f>
        <v>1</v>
      </c>
      <c r="M399" s="12" t="n">
        <f aca="false">IF(AND(L399=1,F399&lt;1000000000000000,G399&lt;=Cutoff!$B$10),1,0)</f>
        <v>1</v>
      </c>
      <c r="N399" s="12" t="n">
        <f aca="false">IF(AND(M399=1,F399+Cutoff!$B$16&lt;=Cutoff!$B$10),1,0)</f>
        <v>1</v>
      </c>
      <c r="O399" s="12" t="n">
        <f aca="false">IF(N399=1,IF(AND(H399&lt;1000000000000000,H399&gt;=MAX(F399,E399),H399&lt;F399+Cutoff!$B$16,I399&lt;=Cutoff!$B$10),1,0),0)</f>
        <v>0</v>
      </c>
      <c r="P399" s="12" t="n">
        <f aca="false">IF(AND(L399=1,J399&lt;=Cutoff!$B$10),1,0)</f>
        <v>0</v>
      </c>
      <c r="Q399" s="12" t="n">
        <f aca="false">IF(AND(N399=1,E399+Cutoff!$B$17&lt;=Cutoff!$B$10),1,0)</f>
        <v>1</v>
      </c>
      <c r="R399" s="12" t="n">
        <f aca="false">IF(Q399=1,IF(K399&lt;=Cutoff!$B$10,1,0),0)</f>
        <v>0</v>
      </c>
      <c r="S399" s="12" t="n">
        <f aca="false">IF(N399=1,SUMIFS(Subscriptions!$D$2:$D$208,Subscriptions!$A$2:$A$208,C399,Subscriptions!$E$2:$E$208,1,Subscriptions!$B$2:$B$208,"&gt;="&amp;Cutoff!$B$24,Subscriptions!$B$2:$B$208,"&lt;"&amp;Cutoff!$B$25,Subscriptions!$B$2:$B$208,"&lt;="&amp;Cutoff!$B$10),0)</f>
        <v>0</v>
      </c>
    </row>
    <row r="400" customFormat="false" ht="15" hidden="false" customHeight="false" outlineLevel="0" collapsed="false">
      <c r="A400" s="4" t="s">
        <v>1084</v>
      </c>
      <c r="B400" s="4" t="s">
        <v>288</v>
      </c>
      <c r="C400" s="4" t="s">
        <v>1085</v>
      </c>
      <c r="D400" s="4" t="s">
        <v>51</v>
      </c>
      <c r="E400" s="4" t="n">
        <v>1784937587</v>
      </c>
      <c r="F400" s="4" t="n">
        <v>1784937264</v>
      </c>
      <c r="G400" s="4" t="n">
        <v>1784937286</v>
      </c>
      <c r="H400" s="4" t="n">
        <v>1000000000000000</v>
      </c>
      <c r="I400" s="4" t="n">
        <v>1000000000000000</v>
      </c>
      <c r="J400" s="4" t="n">
        <v>1784938119</v>
      </c>
      <c r="K400" s="4" t="n">
        <v>1000000000000000</v>
      </c>
      <c r="L400" s="12" t="n">
        <f aca="false">IF(AND(B400=Cutoff!$B$12,E400&lt;=Cutoff!$B$10),1,0)</f>
        <v>1</v>
      </c>
      <c r="M400" s="12" t="n">
        <f aca="false">IF(AND(L400=1,F400&lt;1000000000000000,G400&lt;=Cutoff!$B$10),1,0)</f>
        <v>1</v>
      </c>
      <c r="N400" s="12" t="n">
        <f aca="false">IF(AND(M400=1,F400+Cutoff!$B$16&lt;=Cutoff!$B$10),1,0)</f>
        <v>1</v>
      </c>
      <c r="O400" s="12" t="n">
        <f aca="false">IF(N400=1,IF(AND(H400&lt;1000000000000000,H400&gt;=MAX(F400,E400),H400&lt;F400+Cutoff!$B$16,I400&lt;=Cutoff!$B$10),1,0),0)</f>
        <v>0</v>
      </c>
      <c r="P400" s="12" t="n">
        <f aca="false">IF(AND(L400=1,J400&lt;=Cutoff!$B$10),1,0)</f>
        <v>1</v>
      </c>
      <c r="Q400" s="12" t="n">
        <f aca="false">IF(AND(N400=1,E400+Cutoff!$B$17&lt;=Cutoff!$B$10),1,0)</f>
        <v>1</v>
      </c>
      <c r="R400" s="12" t="n">
        <f aca="false">IF(Q400=1,IF(K400&lt;=Cutoff!$B$10,1,0),0)</f>
        <v>0</v>
      </c>
      <c r="S400" s="12" t="n">
        <f aca="false">IF(N400=1,SUMIFS(Subscriptions!$D$2:$D$208,Subscriptions!$A$2:$A$208,C400,Subscriptions!$E$2:$E$208,1,Subscriptions!$B$2:$B$208,"&gt;="&amp;Cutoff!$B$24,Subscriptions!$B$2:$B$208,"&lt;"&amp;Cutoff!$B$25,Subscriptions!$B$2:$B$208,"&lt;="&amp;Cutoff!$B$10),0)</f>
        <v>0</v>
      </c>
    </row>
    <row r="401" customFormat="false" ht="15" hidden="false" customHeight="false" outlineLevel="0" collapsed="false">
      <c r="A401" s="4" t="s">
        <v>1086</v>
      </c>
      <c r="B401" s="4" t="s">
        <v>288</v>
      </c>
      <c r="C401" s="4" t="s">
        <v>1087</v>
      </c>
      <c r="D401" s="4" t="s">
        <v>51</v>
      </c>
      <c r="E401" s="4" t="n">
        <v>1785013363</v>
      </c>
      <c r="F401" s="4" t="n">
        <v>1785013107</v>
      </c>
      <c r="G401" s="4" t="n">
        <v>1785013128</v>
      </c>
      <c r="H401" s="4" t="n">
        <v>1000000000000000</v>
      </c>
      <c r="I401" s="4" t="n">
        <v>1000000000000000</v>
      </c>
      <c r="J401" s="4" t="n">
        <v>1785013633</v>
      </c>
      <c r="K401" s="4" t="n">
        <v>1000000000000000</v>
      </c>
      <c r="L401" s="12" t="n">
        <f aca="false">IF(AND(B401=Cutoff!$B$12,E401&lt;=Cutoff!$B$10),1,0)</f>
        <v>1</v>
      </c>
      <c r="M401" s="12" t="n">
        <f aca="false">IF(AND(L401=1,F401&lt;1000000000000000,G401&lt;=Cutoff!$B$10),1,0)</f>
        <v>1</v>
      </c>
      <c r="N401" s="12" t="n">
        <f aca="false">IF(AND(M401=1,F401+Cutoff!$B$16&lt;=Cutoff!$B$10),1,0)</f>
        <v>1</v>
      </c>
      <c r="O401" s="12" t="n">
        <f aca="false">IF(N401=1,IF(AND(H401&lt;1000000000000000,H401&gt;=MAX(F401,E401),H401&lt;F401+Cutoff!$B$16,I401&lt;=Cutoff!$B$10),1,0),0)</f>
        <v>0</v>
      </c>
      <c r="P401" s="12" t="n">
        <f aca="false">IF(AND(L401=1,J401&lt;=Cutoff!$B$10),1,0)</f>
        <v>1</v>
      </c>
      <c r="Q401" s="12" t="n">
        <f aca="false">IF(AND(N401=1,E401+Cutoff!$B$17&lt;=Cutoff!$B$10),1,0)</f>
        <v>1</v>
      </c>
      <c r="R401" s="12" t="n">
        <f aca="false">IF(Q401=1,IF(K401&lt;=Cutoff!$B$10,1,0),0)</f>
        <v>0</v>
      </c>
      <c r="S401" s="12" t="n">
        <f aca="false">IF(N401=1,SUMIFS(Subscriptions!$D$2:$D$208,Subscriptions!$A$2:$A$208,C401,Subscriptions!$E$2:$E$208,1,Subscriptions!$B$2:$B$208,"&gt;="&amp;Cutoff!$B$24,Subscriptions!$B$2:$B$208,"&lt;"&amp;Cutoff!$B$25,Subscriptions!$B$2:$B$208,"&lt;="&amp;Cutoff!$B$10),0)</f>
        <v>312</v>
      </c>
    </row>
    <row r="402" customFormat="false" ht="15" hidden="false" customHeight="false" outlineLevel="0" collapsed="false">
      <c r="A402" s="4" t="s">
        <v>1088</v>
      </c>
      <c r="B402" s="4" t="s">
        <v>1089</v>
      </c>
      <c r="C402" s="4" t="s">
        <v>1090</v>
      </c>
      <c r="D402" s="4" t="s">
        <v>52</v>
      </c>
      <c r="E402" s="4" t="n">
        <v>1785950654</v>
      </c>
      <c r="F402" s="4" t="n">
        <v>1785950287</v>
      </c>
      <c r="G402" s="4" t="n">
        <v>1785950301</v>
      </c>
      <c r="H402" s="4" t="n">
        <v>1786121304</v>
      </c>
      <c r="I402" s="4" t="n">
        <v>1786121566</v>
      </c>
      <c r="J402" s="4" t="n">
        <v>1785950709</v>
      </c>
      <c r="K402" s="4" t="n">
        <v>1000000000000000</v>
      </c>
      <c r="L402" s="12" t="n">
        <f aca="false">IF(AND(B402=Cutoff!$B$12,E402&lt;=Cutoff!$B$10),1,0)</f>
        <v>0</v>
      </c>
      <c r="M402" s="12" t="n">
        <f aca="false">IF(AND(L402=1,F402&lt;1000000000000000,G402&lt;=Cutoff!$B$10),1,0)</f>
        <v>0</v>
      </c>
      <c r="N402" s="12" t="n">
        <f aca="false">IF(AND(M402=1,F402+Cutoff!$B$16&lt;=Cutoff!$B$10),1,0)</f>
        <v>0</v>
      </c>
      <c r="O402" s="12" t="n">
        <f aca="false">IF(N402=1,IF(AND(H402&lt;1000000000000000,H402&gt;=MAX(F402,E402),H402&lt;F402+Cutoff!$B$16,I402&lt;=Cutoff!$B$10),1,0),0)</f>
        <v>0</v>
      </c>
      <c r="P402" s="12" t="n">
        <f aca="false">IF(AND(L402=1,J402&lt;=Cutoff!$B$10),1,0)</f>
        <v>0</v>
      </c>
      <c r="Q402" s="12" t="n">
        <f aca="false">IF(AND(N402=1,E402+Cutoff!$B$17&lt;=Cutoff!$B$10),1,0)</f>
        <v>0</v>
      </c>
      <c r="R402" s="12" t="n">
        <f aca="false">IF(Q402=1,IF(K402&lt;=Cutoff!$B$10,1,0),0)</f>
        <v>0</v>
      </c>
      <c r="S402" s="12" t="n">
        <f aca="false">IF(N402=1,SUMIFS(Subscriptions!$D$2:$D$208,Subscriptions!$A$2:$A$208,C402,Subscriptions!$E$2:$E$208,1,Subscriptions!$B$2:$B$208,"&gt;="&amp;Cutoff!$B$24,Subscriptions!$B$2:$B$208,"&lt;"&amp;Cutoff!$B$25,Subscriptions!$B$2:$B$208,"&lt;="&amp;Cutoff!$B$10),0)</f>
        <v>0</v>
      </c>
    </row>
    <row r="403" customFormat="false" ht="15" hidden="false" customHeight="false" outlineLevel="0" collapsed="false">
      <c r="A403" s="4" t="s">
        <v>1091</v>
      </c>
      <c r="B403" s="4" t="s">
        <v>1089</v>
      </c>
      <c r="C403" s="4" t="s">
        <v>1092</v>
      </c>
      <c r="D403" s="4" t="s">
        <v>52</v>
      </c>
      <c r="E403" s="4" t="n">
        <v>1785958799</v>
      </c>
      <c r="F403" s="4" t="n">
        <v>1785958537</v>
      </c>
      <c r="G403" s="4" t="n">
        <v>1785958548</v>
      </c>
      <c r="H403" s="4" t="n">
        <v>1000000000000000</v>
      </c>
      <c r="I403" s="4" t="n">
        <v>1000000000000000</v>
      </c>
      <c r="J403" s="4" t="n">
        <v>1785959917</v>
      </c>
      <c r="K403" s="4" t="n">
        <v>1786025378</v>
      </c>
      <c r="L403" s="12" t="n">
        <f aca="false">IF(AND(B403=Cutoff!$B$12,E403&lt;=Cutoff!$B$10),1,0)</f>
        <v>0</v>
      </c>
      <c r="M403" s="12" t="n">
        <f aca="false">IF(AND(L403=1,F403&lt;1000000000000000,G403&lt;=Cutoff!$B$10),1,0)</f>
        <v>0</v>
      </c>
      <c r="N403" s="12" t="n">
        <f aca="false">IF(AND(M403=1,F403+Cutoff!$B$16&lt;=Cutoff!$B$10),1,0)</f>
        <v>0</v>
      </c>
      <c r="O403" s="12" t="n">
        <f aca="false">IF(N403=1,IF(AND(H403&lt;1000000000000000,H403&gt;=MAX(F403,E403),H403&lt;F403+Cutoff!$B$16,I403&lt;=Cutoff!$B$10),1,0),0)</f>
        <v>0</v>
      </c>
      <c r="P403" s="12" t="n">
        <f aca="false">IF(AND(L403=1,J403&lt;=Cutoff!$B$10),1,0)</f>
        <v>0</v>
      </c>
      <c r="Q403" s="12" t="n">
        <f aca="false">IF(AND(N403=1,E403+Cutoff!$B$17&lt;=Cutoff!$B$10),1,0)</f>
        <v>0</v>
      </c>
      <c r="R403" s="12" t="n">
        <f aca="false">IF(Q403=1,IF(K403&lt;=Cutoff!$B$10,1,0),0)</f>
        <v>0</v>
      </c>
      <c r="S403" s="12" t="n">
        <f aca="false">IF(N403=1,SUMIFS(Subscriptions!$D$2:$D$208,Subscriptions!$A$2:$A$208,C403,Subscriptions!$E$2:$E$208,1,Subscriptions!$B$2:$B$208,"&gt;="&amp;Cutoff!$B$24,Subscriptions!$B$2:$B$208,"&lt;"&amp;Cutoff!$B$25,Subscriptions!$B$2:$B$208,"&lt;="&amp;Cutoff!$B$10),0)</f>
        <v>0</v>
      </c>
    </row>
    <row r="404" customFormat="false" ht="15" hidden="false" customHeight="false" outlineLevel="0" collapsed="false">
      <c r="A404" s="4" t="s">
        <v>1093</v>
      </c>
      <c r="B404" s="4" t="s">
        <v>1089</v>
      </c>
      <c r="C404" s="4" t="s">
        <v>1094</v>
      </c>
      <c r="D404" s="4" t="s">
        <v>52</v>
      </c>
      <c r="E404" s="4" t="n">
        <v>1785964265</v>
      </c>
      <c r="F404" s="4" t="n">
        <v>1785963985</v>
      </c>
      <c r="G404" s="4" t="n">
        <v>1785963997</v>
      </c>
      <c r="H404" s="4" t="n">
        <v>1786067923</v>
      </c>
      <c r="I404" s="4" t="n">
        <v>1786067935</v>
      </c>
      <c r="J404" s="4" t="n">
        <v>1785964725</v>
      </c>
      <c r="K404" s="4" t="n">
        <v>1785964356</v>
      </c>
      <c r="L404" s="12" t="n">
        <f aca="false">IF(AND(B404=Cutoff!$B$12,E404&lt;=Cutoff!$B$10),1,0)</f>
        <v>0</v>
      </c>
      <c r="M404" s="12" t="n">
        <f aca="false">IF(AND(L404=1,F404&lt;1000000000000000,G404&lt;=Cutoff!$B$10),1,0)</f>
        <v>0</v>
      </c>
      <c r="N404" s="12" t="n">
        <f aca="false">IF(AND(M404=1,F404+Cutoff!$B$16&lt;=Cutoff!$B$10),1,0)</f>
        <v>0</v>
      </c>
      <c r="O404" s="12" t="n">
        <f aca="false">IF(N404=1,IF(AND(H404&lt;1000000000000000,H404&gt;=MAX(F404,E404),H404&lt;F404+Cutoff!$B$16,I404&lt;=Cutoff!$B$10),1,0),0)</f>
        <v>0</v>
      </c>
      <c r="P404" s="12" t="n">
        <f aca="false">IF(AND(L404=1,J404&lt;=Cutoff!$B$10),1,0)</f>
        <v>0</v>
      </c>
      <c r="Q404" s="12" t="n">
        <f aca="false">IF(AND(N404=1,E404+Cutoff!$B$17&lt;=Cutoff!$B$10),1,0)</f>
        <v>0</v>
      </c>
      <c r="R404" s="12" t="n">
        <f aca="false">IF(Q404=1,IF(K404&lt;=Cutoff!$B$10,1,0),0)</f>
        <v>0</v>
      </c>
      <c r="S404" s="12" t="n">
        <f aca="false">IF(N404=1,SUMIFS(Subscriptions!$D$2:$D$208,Subscriptions!$A$2:$A$208,C404,Subscriptions!$E$2:$E$208,1,Subscriptions!$B$2:$B$208,"&gt;="&amp;Cutoff!$B$24,Subscriptions!$B$2:$B$208,"&lt;"&amp;Cutoff!$B$25,Subscriptions!$B$2:$B$208,"&lt;="&amp;Cutoff!$B$10),0)</f>
        <v>0</v>
      </c>
    </row>
    <row r="405" customFormat="false" ht="15" hidden="false" customHeight="false" outlineLevel="0" collapsed="false">
      <c r="A405" s="4" t="s">
        <v>1095</v>
      </c>
      <c r="B405" s="4" t="s">
        <v>1089</v>
      </c>
      <c r="C405" s="4" t="s">
        <v>1096</v>
      </c>
      <c r="D405" s="4" t="s">
        <v>51</v>
      </c>
      <c r="E405" s="4" t="n">
        <v>1786011352</v>
      </c>
      <c r="F405" s="4" t="n">
        <v>1786011275</v>
      </c>
      <c r="G405" s="4" t="n">
        <v>1786011545</v>
      </c>
      <c r="H405" s="4" t="n">
        <v>1787070395</v>
      </c>
      <c r="I405" s="4" t="n">
        <v>1787070412</v>
      </c>
      <c r="J405" s="4" t="n">
        <v>1786011946</v>
      </c>
      <c r="K405" s="4" t="n">
        <v>1000000000000000</v>
      </c>
      <c r="L405" s="12" t="n">
        <f aca="false">IF(AND(B405=Cutoff!$B$12,E405&lt;=Cutoff!$B$10),1,0)</f>
        <v>0</v>
      </c>
      <c r="M405" s="12" t="n">
        <f aca="false">IF(AND(L405=1,F405&lt;1000000000000000,G405&lt;=Cutoff!$B$10),1,0)</f>
        <v>0</v>
      </c>
      <c r="N405" s="12" t="n">
        <f aca="false">IF(AND(M405=1,F405+Cutoff!$B$16&lt;=Cutoff!$B$10),1,0)</f>
        <v>0</v>
      </c>
      <c r="O405" s="12" t="n">
        <f aca="false">IF(N405=1,IF(AND(H405&lt;1000000000000000,H405&gt;=MAX(F405,E405),H405&lt;F405+Cutoff!$B$16,I405&lt;=Cutoff!$B$10),1,0),0)</f>
        <v>0</v>
      </c>
      <c r="P405" s="12" t="n">
        <f aca="false">IF(AND(L405=1,J405&lt;=Cutoff!$B$10),1,0)</f>
        <v>0</v>
      </c>
      <c r="Q405" s="12" t="n">
        <f aca="false">IF(AND(N405=1,E405+Cutoff!$B$17&lt;=Cutoff!$B$10),1,0)</f>
        <v>0</v>
      </c>
      <c r="R405" s="12" t="n">
        <f aca="false">IF(Q405=1,IF(K405&lt;=Cutoff!$B$10,1,0),0)</f>
        <v>0</v>
      </c>
      <c r="S405" s="12" t="n">
        <f aca="false">IF(N405=1,SUMIFS(Subscriptions!$D$2:$D$208,Subscriptions!$A$2:$A$208,C405,Subscriptions!$E$2:$E$208,1,Subscriptions!$B$2:$B$208,"&gt;="&amp;Cutoff!$B$24,Subscriptions!$B$2:$B$208,"&lt;"&amp;Cutoff!$B$25,Subscriptions!$B$2:$B$208,"&lt;="&amp;Cutoff!$B$10),0)</f>
        <v>0</v>
      </c>
    </row>
    <row r="406" customFormat="false" ht="15" hidden="false" customHeight="false" outlineLevel="0" collapsed="false">
      <c r="A406" s="4" t="s">
        <v>1097</v>
      </c>
      <c r="B406" s="4" t="s">
        <v>1089</v>
      </c>
      <c r="C406" s="4" t="s">
        <v>1098</v>
      </c>
      <c r="D406" s="4" t="s">
        <v>51</v>
      </c>
      <c r="E406" s="4" t="n">
        <v>1786035710</v>
      </c>
      <c r="F406" s="4" t="n">
        <v>1786035217</v>
      </c>
      <c r="G406" s="4" t="n">
        <v>1786035222</v>
      </c>
      <c r="H406" s="4" t="n">
        <v>1000000000000000</v>
      </c>
      <c r="I406" s="4" t="n">
        <v>1000000000000000</v>
      </c>
      <c r="J406" s="4" t="n">
        <v>1786036599</v>
      </c>
      <c r="K406" s="4" t="n">
        <v>1000000000000000</v>
      </c>
      <c r="L406" s="12" t="n">
        <f aca="false">IF(AND(B406=Cutoff!$B$12,E406&lt;=Cutoff!$B$10),1,0)</f>
        <v>0</v>
      </c>
      <c r="M406" s="12" t="n">
        <f aca="false">IF(AND(L406=1,F406&lt;1000000000000000,G406&lt;=Cutoff!$B$10),1,0)</f>
        <v>0</v>
      </c>
      <c r="N406" s="12" t="n">
        <f aca="false">IF(AND(M406=1,F406+Cutoff!$B$16&lt;=Cutoff!$B$10),1,0)</f>
        <v>0</v>
      </c>
      <c r="O406" s="12" t="n">
        <f aca="false">IF(N406=1,IF(AND(H406&lt;1000000000000000,H406&gt;=MAX(F406,E406),H406&lt;F406+Cutoff!$B$16,I406&lt;=Cutoff!$B$10),1,0),0)</f>
        <v>0</v>
      </c>
      <c r="P406" s="12" t="n">
        <f aca="false">IF(AND(L406=1,J406&lt;=Cutoff!$B$10),1,0)</f>
        <v>0</v>
      </c>
      <c r="Q406" s="12" t="n">
        <f aca="false">IF(AND(N406=1,E406+Cutoff!$B$17&lt;=Cutoff!$B$10),1,0)</f>
        <v>0</v>
      </c>
      <c r="R406" s="12" t="n">
        <f aca="false">IF(Q406=1,IF(K406&lt;=Cutoff!$B$10,1,0),0)</f>
        <v>0</v>
      </c>
      <c r="S406" s="12" t="n">
        <f aca="false">IF(N406=1,SUMIFS(Subscriptions!$D$2:$D$208,Subscriptions!$A$2:$A$208,C406,Subscriptions!$E$2:$E$208,1,Subscriptions!$B$2:$B$208,"&gt;="&amp;Cutoff!$B$24,Subscriptions!$B$2:$B$208,"&lt;"&amp;Cutoff!$B$25,Subscriptions!$B$2:$B$208,"&lt;="&amp;Cutoff!$B$10),0)</f>
        <v>0</v>
      </c>
    </row>
    <row r="407" customFormat="false" ht="15" hidden="false" customHeight="false" outlineLevel="0" collapsed="false">
      <c r="A407" s="4" t="s">
        <v>1099</v>
      </c>
      <c r="B407" s="4" t="s">
        <v>1089</v>
      </c>
      <c r="C407" s="4" t="s">
        <v>1100</v>
      </c>
      <c r="D407" s="4" t="s">
        <v>51</v>
      </c>
      <c r="E407" s="4" t="n">
        <v>1786042253</v>
      </c>
      <c r="F407" s="4" t="n">
        <v>1786041687</v>
      </c>
      <c r="G407" s="4" t="n">
        <v>1786041703</v>
      </c>
      <c r="H407" s="4" t="n">
        <v>1786055574</v>
      </c>
      <c r="I407" s="4" t="n">
        <v>1786055585</v>
      </c>
      <c r="J407" s="4" t="n">
        <v>1000000000000000</v>
      </c>
      <c r="K407" s="4" t="n">
        <v>1786309845</v>
      </c>
      <c r="L407" s="12" t="n">
        <f aca="false">IF(AND(B407=Cutoff!$B$12,E407&lt;=Cutoff!$B$10),1,0)</f>
        <v>0</v>
      </c>
      <c r="M407" s="12" t="n">
        <f aca="false">IF(AND(L407=1,F407&lt;1000000000000000,G407&lt;=Cutoff!$B$10),1,0)</f>
        <v>0</v>
      </c>
      <c r="N407" s="12" t="n">
        <f aca="false">IF(AND(M407=1,F407+Cutoff!$B$16&lt;=Cutoff!$B$10),1,0)</f>
        <v>0</v>
      </c>
      <c r="O407" s="12" t="n">
        <f aca="false">IF(N407=1,IF(AND(H407&lt;1000000000000000,H407&gt;=MAX(F407,E407),H407&lt;F407+Cutoff!$B$16,I407&lt;=Cutoff!$B$10),1,0),0)</f>
        <v>0</v>
      </c>
      <c r="P407" s="12" t="n">
        <f aca="false">IF(AND(L407=1,J407&lt;=Cutoff!$B$10),1,0)</f>
        <v>0</v>
      </c>
      <c r="Q407" s="12" t="n">
        <f aca="false">IF(AND(N407=1,E407+Cutoff!$B$17&lt;=Cutoff!$B$10),1,0)</f>
        <v>0</v>
      </c>
      <c r="R407" s="12" t="n">
        <f aca="false">IF(Q407=1,IF(K407&lt;=Cutoff!$B$10,1,0),0)</f>
        <v>0</v>
      </c>
      <c r="S407" s="12" t="n">
        <f aca="false">IF(N407=1,SUMIFS(Subscriptions!$D$2:$D$208,Subscriptions!$A$2:$A$208,C407,Subscriptions!$E$2:$E$208,1,Subscriptions!$B$2:$B$208,"&gt;="&amp;Cutoff!$B$24,Subscriptions!$B$2:$B$208,"&lt;"&amp;Cutoff!$B$25,Subscriptions!$B$2:$B$208,"&lt;="&amp;Cutoff!$B$10),0)</f>
        <v>0</v>
      </c>
    </row>
    <row r="408" customFormat="false" ht="15" hidden="false" customHeight="false" outlineLevel="0" collapsed="false">
      <c r="A408" s="4" t="s">
        <v>1101</v>
      </c>
      <c r="B408" s="4" t="s">
        <v>1089</v>
      </c>
      <c r="C408" s="4" t="s">
        <v>1102</v>
      </c>
      <c r="D408" s="4" t="s">
        <v>52</v>
      </c>
      <c r="E408" s="4" t="n">
        <v>1786054658</v>
      </c>
      <c r="F408" s="4" t="n">
        <v>1786054530</v>
      </c>
      <c r="G408" s="4" t="n">
        <v>1786054543</v>
      </c>
      <c r="H408" s="4" t="n">
        <v>1786056167</v>
      </c>
      <c r="I408" s="4" t="n">
        <v>1786059475</v>
      </c>
      <c r="J408" s="4" t="n">
        <v>1786054890</v>
      </c>
      <c r="K408" s="4" t="n">
        <v>1000000000000000</v>
      </c>
      <c r="L408" s="12" t="n">
        <f aca="false">IF(AND(B408=Cutoff!$B$12,E408&lt;=Cutoff!$B$10),1,0)</f>
        <v>0</v>
      </c>
      <c r="M408" s="12" t="n">
        <f aca="false">IF(AND(L408=1,F408&lt;1000000000000000,G408&lt;=Cutoff!$B$10),1,0)</f>
        <v>0</v>
      </c>
      <c r="N408" s="12" t="n">
        <f aca="false">IF(AND(M408=1,F408+Cutoff!$B$16&lt;=Cutoff!$B$10),1,0)</f>
        <v>0</v>
      </c>
      <c r="O408" s="12" t="n">
        <f aca="false">IF(N408=1,IF(AND(H408&lt;1000000000000000,H408&gt;=MAX(F408,E408),H408&lt;F408+Cutoff!$B$16,I408&lt;=Cutoff!$B$10),1,0),0)</f>
        <v>0</v>
      </c>
      <c r="P408" s="12" t="n">
        <f aca="false">IF(AND(L408=1,J408&lt;=Cutoff!$B$10),1,0)</f>
        <v>0</v>
      </c>
      <c r="Q408" s="12" t="n">
        <f aca="false">IF(AND(N408=1,E408+Cutoff!$B$17&lt;=Cutoff!$B$10),1,0)</f>
        <v>0</v>
      </c>
      <c r="R408" s="12" t="n">
        <f aca="false">IF(Q408=1,IF(K408&lt;=Cutoff!$B$10,1,0),0)</f>
        <v>0</v>
      </c>
      <c r="S408" s="12" t="n">
        <f aca="false">IF(N408=1,SUMIFS(Subscriptions!$D$2:$D$208,Subscriptions!$A$2:$A$208,C408,Subscriptions!$E$2:$E$208,1,Subscriptions!$B$2:$B$208,"&gt;="&amp;Cutoff!$B$24,Subscriptions!$B$2:$B$208,"&lt;"&amp;Cutoff!$B$25,Subscriptions!$B$2:$B$208,"&lt;="&amp;Cutoff!$B$10),0)</f>
        <v>0</v>
      </c>
    </row>
    <row r="409" customFormat="false" ht="15" hidden="false" customHeight="false" outlineLevel="0" collapsed="false">
      <c r="A409" s="4" t="s">
        <v>1103</v>
      </c>
      <c r="B409" s="4" t="s">
        <v>1089</v>
      </c>
      <c r="C409" s="4" t="s">
        <v>1104</v>
      </c>
      <c r="D409" s="4" t="s">
        <v>52</v>
      </c>
      <c r="E409" s="4" t="n">
        <v>1786115607</v>
      </c>
      <c r="F409" s="4" t="n">
        <v>1786115263</v>
      </c>
      <c r="G409" s="4" t="n">
        <v>1786115265</v>
      </c>
      <c r="H409" s="4" t="n">
        <v>1000000000000000</v>
      </c>
      <c r="I409" s="4" t="n">
        <v>1000000000000000</v>
      </c>
      <c r="J409" s="4" t="n">
        <v>1786116337</v>
      </c>
      <c r="K409" s="4" t="n">
        <v>1000000000000000</v>
      </c>
      <c r="L409" s="12" t="n">
        <f aca="false">IF(AND(B409=Cutoff!$B$12,E409&lt;=Cutoff!$B$10),1,0)</f>
        <v>0</v>
      </c>
      <c r="M409" s="12" t="n">
        <f aca="false">IF(AND(L409=1,F409&lt;1000000000000000,G409&lt;=Cutoff!$B$10),1,0)</f>
        <v>0</v>
      </c>
      <c r="N409" s="12" t="n">
        <f aca="false">IF(AND(M409=1,F409+Cutoff!$B$16&lt;=Cutoff!$B$10),1,0)</f>
        <v>0</v>
      </c>
      <c r="O409" s="12" t="n">
        <f aca="false">IF(N409=1,IF(AND(H409&lt;1000000000000000,H409&gt;=MAX(F409,E409),H409&lt;F409+Cutoff!$B$16,I409&lt;=Cutoff!$B$10),1,0),0)</f>
        <v>0</v>
      </c>
      <c r="P409" s="12" t="n">
        <f aca="false">IF(AND(L409=1,J409&lt;=Cutoff!$B$10),1,0)</f>
        <v>0</v>
      </c>
      <c r="Q409" s="12" t="n">
        <f aca="false">IF(AND(N409=1,E409+Cutoff!$B$17&lt;=Cutoff!$B$10),1,0)</f>
        <v>0</v>
      </c>
      <c r="R409" s="12" t="n">
        <f aca="false">IF(Q409=1,IF(K409&lt;=Cutoff!$B$10,1,0),0)</f>
        <v>0</v>
      </c>
      <c r="S409" s="12" t="n">
        <f aca="false">IF(N409=1,SUMIFS(Subscriptions!$D$2:$D$208,Subscriptions!$A$2:$A$208,C409,Subscriptions!$E$2:$E$208,1,Subscriptions!$B$2:$B$208,"&gt;="&amp;Cutoff!$B$24,Subscriptions!$B$2:$B$208,"&lt;"&amp;Cutoff!$B$25,Subscriptions!$B$2:$B$208,"&lt;="&amp;Cutoff!$B$10),0)</f>
        <v>0</v>
      </c>
    </row>
    <row r="410" customFormat="false" ht="15" hidden="false" customHeight="false" outlineLevel="0" collapsed="false">
      <c r="A410" s="4" t="s">
        <v>1105</v>
      </c>
      <c r="B410" s="4" t="s">
        <v>1089</v>
      </c>
      <c r="C410" s="4" t="s">
        <v>1106</v>
      </c>
      <c r="D410" s="4" t="s">
        <v>51</v>
      </c>
      <c r="E410" s="4" t="n">
        <v>1786120046</v>
      </c>
      <c r="F410" s="4" t="n">
        <v>1786119709</v>
      </c>
      <c r="G410" s="4" t="n">
        <v>1786119734</v>
      </c>
      <c r="H410" s="4" t="n">
        <v>1000000000000000</v>
      </c>
      <c r="I410" s="4" t="n">
        <v>1000000000000000</v>
      </c>
      <c r="J410" s="4" t="n">
        <v>1786120999</v>
      </c>
      <c r="K410" s="4" t="n">
        <v>1000000000000000</v>
      </c>
      <c r="L410" s="12" t="n">
        <f aca="false">IF(AND(B410=Cutoff!$B$12,E410&lt;=Cutoff!$B$10),1,0)</f>
        <v>0</v>
      </c>
      <c r="M410" s="12" t="n">
        <f aca="false">IF(AND(L410=1,F410&lt;1000000000000000,G410&lt;=Cutoff!$B$10),1,0)</f>
        <v>0</v>
      </c>
      <c r="N410" s="12" t="n">
        <f aca="false">IF(AND(M410=1,F410+Cutoff!$B$16&lt;=Cutoff!$B$10),1,0)</f>
        <v>0</v>
      </c>
      <c r="O410" s="12" t="n">
        <f aca="false">IF(N410=1,IF(AND(H410&lt;1000000000000000,H410&gt;=MAX(F410,E410),H410&lt;F410+Cutoff!$B$16,I410&lt;=Cutoff!$B$10),1,0),0)</f>
        <v>0</v>
      </c>
      <c r="P410" s="12" t="n">
        <f aca="false">IF(AND(L410=1,J410&lt;=Cutoff!$B$10),1,0)</f>
        <v>0</v>
      </c>
      <c r="Q410" s="12" t="n">
        <f aca="false">IF(AND(N410=1,E410+Cutoff!$B$17&lt;=Cutoff!$B$10),1,0)</f>
        <v>0</v>
      </c>
      <c r="R410" s="12" t="n">
        <f aca="false">IF(Q410=1,IF(K410&lt;=Cutoff!$B$10,1,0),0)</f>
        <v>0</v>
      </c>
      <c r="S410" s="12" t="n">
        <f aca="false">IF(N410=1,SUMIFS(Subscriptions!$D$2:$D$208,Subscriptions!$A$2:$A$208,C410,Subscriptions!$E$2:$E$208,1,Subscriptions!$B$2:$B$208,"&gt;="&amp;Cutoff!$B$24,Subscriptions!$B$2:$B$208,"&lt;"&amp;Cutoff!$B$25,Subscriptions!$B$2:$B$208,"&lt;="&amp;Cutoff!$B$10),0)</f>
        <v>0</v>
      </c>
    </row>
    <row r="411" customFormat="false" ht="15" hidden="false" customHeight="false" outlineLevel="0" collapsed="false">
      <c r="A411" s="4" t="s">
        <v>1107</v>
      </c>
      <c r="B411" s="4" t="s">
        <v>1089</v>
      </c>
      <c r="C411" s="4" t="s">
        <v>1108</v>
      </c>
      <c r="D411" s="4" t="s">
        <v>52</v>
      </c>
      <c r="E411" s="4" t="n">
        <v>1786130103</v>
      </c>
      <c r="F411" s="4" t="n">
        <v>1786129852</v>
      </c>
      <c r="G411" s="4" t="n">
        <v>1786129863</v>
      </c>
      <c r="H411" s="4" t="n">
        <v>1786346142</v>
      </c>
      <c r="I411" s="4" t="n">
        <v>1786346278</v>
      </c>
      <c r="J411" s="4" t="n">
        <v>1786130150</v>
      </c>
      <c r="K411" s="4" t="n">
        <v>1000000000000000</v>
      </c>
      <c r="L411" s="12" t="n">
        <f aca="false">IF(AND(B411=Cutoff!$B$12,E411&lt;=Cutoff!$B$10),1,0)</f>
        <v>0</v>
      </c>
      <c r="M411" s="12" t="n">
        <f aca="false">IF(AND(L411=1,F411&lt;1000000000000000,G411&lt;=Cutoff!$B$10),1,0)</f>
        <v>0</v>
      </c>
      <c r="N411" s="12" t="n">
        <f aca="false">IF(AND(M411=1,F411+Cutoff!$B$16&lt;=Cutoff!$B$10),1,0)</f>
        <v>0</v>
      </c>
      <c r="O411" s="12" t="n">
        <f aca="false">IF(N411=1,IF(AND(H411&lt;1000000000000000,H411&gt;=MAX(F411,E411),H411&lt;F411+Cutoff!$B$16,I411&lt;=Cutoff!$B$10),1,0),0)</f>
        <v>0</v>
      </c>
      <c r="P411" s="12" t="n">
        <f aca="false">IF(AND(L411=1,J411&lt;=Cutoff!$B$10),1,0)</f>
        <v>0</v>
      </c>
      <c r="Q411" s="12" t="n">
        <f aca="false">IF(AND(N411=1,E411+Cutoff!$B$17&lt;=Cutoff!$B$10),1,0)</f>
        <v>0</v>
      </c>
      <c r="R411" s="12" t="n">
        <f aca="false">IF(Q411=1,IF(K411&lt;=Cutoff!$B$10,1,0),0)</f>
        <v>0</v>
      </c>
      <c r="S411" s="12" t="n">
        <f aca="false">IF(N411=1,SUMIFS(Subscriptions!$D$2:$D$208,Subscriptions!$A$2:$A$208,C411,Subscriptions!$E$2:$E$208,1,Subscriptions!$B$2:$B$208,"&gt;="&amp;Cutoff!$B$24,Subscriptions!$B$2:$B$208,"&lt;"&amp;Cutoff!$B$25,Subscriptions!$B$2:$B$208,"&lt;="&amp;Cutoff!$B$10),0)</f>
        <v>0</v>
      </c>
    </row>
    <row r="412" customFormat="false" ht="15" hidden="false" customHeight="false" outlineLevel="0" collapsed="false">
      <c r="A412" s="4" t="s">
        <v>1109</v>
      </c>
      <c r="B412" s="4" t="s">
        <v>1089</v>
      </c>
      <c r="C412" s="4" t="s">
        <v>1110</v>
      </c>
      <c r="D412" s="4" t="s">
        <v>52</v>
      </c>
      <c r="E412" s="4" t="n">
        <v>1786306211</v>
      </c>
      <c r="F412" s="4" t="n">
        <v>1786305694</v>
      </c>
      <c r="G412" s="4" t="n">
        <v>1786305702</v>
      </c>
      <c r="H412" s="4" t="n">
        <v>1786381094</v>
      </c>
      <c r="I412" s="4" t="n">
        <v>1786381119</v>
      </c>
      <c r="J412" s="4" t="n">
        <v>1786306242</v>
      </c>
      <c r="K412" s="4" t="n">
        <v>1000000000000000</v>
      </c>
      <c r="L412" s="12" t="n">
        <f aca="false">IF(AND(B412=Cutoff!$B$12,E412&lt;=Cutoff!$B$10),1,0)</f>
        <v>0</v>
      </c>
      <c r="M412" s="12" t="n">
        <f aca="false">IF(AND(L412=1,F412&lt;1000000000000000,G412&lt;=Cutoff!$B$10),1,0)</f>
        <v>0</v>
      </c>
      <c r="N412" s="12" t="n">
        <f aca="false">IF(AND(M412=1,F412+Cutoff!$B$16&lt;=Cutoff!$B$10),1,0)</f>
        <v>0</v>
      </c>
      <c r="O412" s="12" t="n">
        <f aca="false">IF(N412=1,IF(AND(H412&lt;1000000000000000,H412&gt;=MAX(F412,E412),H412&lt;F412+Cutoff!$B$16,I412&lt;=Cutoff!$B$10),1,0),0)</f>
        <v>0</v>
      </c>
      <c r="P412" s="12" t="n">
        <f aca="false">IF(AND(L412=1,J412&lt;=Cutoff!$B$10),1,0)</f>
        <v>0</v>
      </c>
      <c r="Q412" s="12" t="n">
        <f aca="false">IF(AND(N412=1,E412+Cutoff!$B$17&lt;=Cutoff!$B$10),1,0)</f>
        <v>0</v>
      </c>
      <c r="R412" s="12" t="n">
        <f aca="false">IF(Q412=1,IF(K412&lt;=Cutoff!$B$10,1,0),0)</f>
        <v>0</v>
      </c>
      <c r="S412" s="12" t="n">
        <f aca="false">IF(N412=1,SUMIFS(Subscriptions!$D$2:$D$208,Subscriptions!$A$2:$A$208,C412,Subscriptions!$E$2:$E$208,1,Subscriptions!$B$2:$B$208,"&gt;="&amp;Cutoff!$B$24,Subscriptions!$B$2:$B$208,"&lt;"&amp;Cutoff!$B$25,Subscriptions!$B$2:$B$208,"&lt;="&amp;Cutoff!$B$10),0)</f>
        <v>0</v>
      </c>
    </row>
    <row r="413" customFormat="false" ht="15" hidden="false" customHeight="false" outlineLevel="0" collapsed="false">
      <c r="A413" s="4" t="s">
        <v>1111</v>
      </c>
      <c r="B413" s="4" t="s">
        <v>1089</v>
      </c>
      <c r="C413" s="4" t="s">
        <v>1112</v>
      </c>
      <c r="D413" s="4" t="s">
        <v>51</v>
      </c>
      <c r="E413" s="4" t="n">
        <v>1786361193</v>
      </c>
      <c r="F413" s="4" t="n">
        <v>1786360744</v>
      </c>
      <c r="G413" s="4" t="n">
        <v>1786360768</v>
      </c>
      <c r="H413" s="4" t="n">
        <v>1000000000000000</v>
      </c>
      <c r="I413" s="4" t="n">
        <v>1000000000000000</v>
      </c>
      <c r="J413" s="4" t="n">
        <v>1786362040</v>
      </c>
      <c r="K413" s="4" t="n">
        <v>1000000000000000</v>
      </c>
      <c r="L413" s="12" t="n">
        <f aca="false">IF(AND(B413=Cutoff!$B$12,E413&lt;=Cutoff!$B$10),1,0)</f>
        <v>0</v>
      </c>
      <c r="M413" s="12" t="n">
        <f aca="false">IF(AND(L413=1,F413&lt;1000000000000000,G413&lt;=Cutoff!$B$10),1,0)</f>
        <v>0</v>
      </c>
      <c r="N413" s="12" t="n">
        <f aca="false">IF(AND(M413=1,F413+Cutoff!$B$16&lt;=Cutoff!$B$10),1,0)</f>
        <v>0</v>
      </c>
      <c r="O413" s="12" t="n">
        <f aca="false">IF(N413=1,IF(AND(H413&lt;1000000000000000,H413&gt;=MAX(F413,E413),H413&lt;F413+Cutoff!$B$16,I413&lt;=Cutoff!$B$10),1,0),0)</f>
        <v>0</v>
      </c>
      <c r="P413" s="12" t="n">
        <f aca="false">IF(AND(L413=1,J413&lt;=Cutoff!$B$10),1,0)</f>
        <v>0</v>
      </c>
      <c r="Q413" s="12" t="n">
        <f aca="false">IF(AND(N413=1,E413+Cutoff!$B$17&lt;=Cutoff!$B$10),1,0)</f>
        <v>0</v>
      </c>
      <c r="R413" s="12" t="n">
        <f aca="false">IF(Q413=1,IF(K413&lt;=Cutoff!$B$10,1,0),0)</f>
        <v>0</v>
      </c>
      <c r="S413" s="12" t="n">
        <f aca="false">IF(N413=1,SUMIFS(Subscriptions!$D$2:$D$208,Subscriptions!$A$2:$A$208,C413,Subscriptions!$E$2:$E$208,1,Subscriptions!$B$2:$B$208,"&gt;="&amp;Cutoff!$B$24,Subscriptions!$B$2:$B$208,"&lt;"&amp;Cutoff!$B$25,Subscriptions!$B$2:$B$208,"&lt;="&amp;Cutoff!$B$10),0)</f>
        <v>0</v>
      </c>
    </row>
    <row r="414" customFormat="false" ht="15" hidden="false" customHeight="false" outlineLevel="0" collapsed="false">
      <c r="A414" s="4" t="s">
        <v>1113</v>
      </c>
      <c r="B414" s="4" t="s">
        <v>1089</v>
      </c>
      <c r="C414" s="4" t="s">
        <v>1114</v>
      </c>
      <c r="D414" s="4" t="s">
        <v>51</v>
      </c>
      <c r="E414" s="4" t="n">
        <v>1786377173</v>
      </c>
      <c r="F414" s="4" t="n">
        <v>1786376927</v>
      </c>
      <c r="G414" s="4" t="n">
        <v>1786376931</v>
      </c>
      <c r="H414" s="4" t="n">
        <v>1000000000000000</v>
      </c>
      <c r="I414" s="4" t="n">
        <v>1000000000000000</v>
      </c>
      <c r="J414" s="4" t="n">
        <v>1786377401</v>
      </c>
      <c r="K414" s="4" t="n">
        <v>1000000000000000</v>
      </c>
      <c r="L414" s="12" t="n">
        <f aca="false">IF(AND(B414=Cutoff!$B$12,E414&lt;=Cutoff!$B$10),1,0)</f>
        <v>0</v>
      </c>
      <c r="M414" s="12" t="n">
        <f aca="false">IF(AND(L414=1,F414&lt;1000000000000000,G414&lt;=Cutoff!$B$10),1,0)</f>
        <v>0</v>
      </c>
      <c r="N414" s="12" t="n">
        <f aca="false">IF(AND(M414=1,F414+Cutoff!$B$16&lt;=Cutoff!$B$10),1,0)</f>
        <v>0</v>
      </c>
      <c r="O414" s="12" t="n">
        <f aca="false">IF(N414=1,IF(AND(H414&lt;1000000000000000,H414&gt;=MAX(F414,E414),H414&lt;F414+Cutoff!$B$16,I414&lt;=Cutoff!$B$10),1,0),0)</f>
        <v>0</v>
      </c>
      <c r="P414" s="12" t="n">
        <f aca="false">IF(AND(L414=1,J414&lt;=Cutoff!$B$10),1,0)</f>
        <v>0</v>
      </c>
      <c r="Q414" s="12" t="n">
        <f aca="false">IF(AND(N414=1,E414+Cutoff!$B$17&lt;=Cutoff!$B$10),1,0)</f>
        <v>0</v>
      </c>
      <c r="R414" s="12" t="n">
        <f aca="false">IF(Q414=1,IF(K414&lt;=Cutoff!$B$10,1,0),0)</f>
        <v>0</v>
      </c>
      <c r="S414" s="12" t="n">
        <f aca="false">IF(N414=1,SUMIFS(Subscriptions!$D$2:$D$208,Subscriptions!$A$2:$A$208,C414,Subscriptions!$E$2:$E$208,1,Subscriptions!$B$2:$B$208,"&gt;="&amp;Cutoff!$B$24,Subscriptions!$B$2:$B$208,"&lt;"&amp;Cutoff!$B$25,Subscriptions!$B$2:$B$208,"&lt;="&amp;Cutoff!$B$10),0)</f>
        <v>0</v>
      </c>
    </row>
    <row r="415" customFormat="false" ht="15" hidden="false" customHeight="false" outlineLevel="0" collapsed="false">
      <c r="A415" s="4" t="s">
        <v>1115</v>
      </c>
      <c r="B415" s="4" t="s">
        <v>1089</v>
      </c>
      <c r="C415" s="4" t="s">
        <v>1116</v>
      </c>
      <c r="D415" s="4" t="s">
        <v>52</v>
      </c>
      <c r="E415" s="4" t="n">
        <v>1786385945</v>
      </c>
      <c r="F415" s="4" t="n">
        <v>1786385626</v>
      </c>
      <c r="G415" s="4" t="n">
        <v>1786385628</v>
      </c>
      <c r="H415" s="4" t="n">
        <v>1000000000000000</v>
      </c>
      <c r="I415" s="4" t="n">
        <v>1000000000000000</v>
      </c>
      <c r="J415" s="4" t="n">
        <v>1786386630</v>
      </c>
      <c r="K415" s="4" t="n">
        <v>1000000000000000</v>
      </c>
      <c r="L415" s="12" t="n">
        <f aca="false">IF(AND(B415=Cutoff!$B$12,E415&lt;=Cutoff!$B$10),1,0)</f>
        <v>0</v>
      </c>
      <c r="M415" s="12" t="n">
        <f aca="false">IF(AND(L415=1,F415&lt;1000000000000000,G415&lt;=Cutoff!$B$10),1,0)</f>
        <v>0</v>
      </c>
      <c r="N415" s="12" t="n">
        <f aca="false">IF(AND(M415=1,F415+Cutoff!$B$16&lt;=Cutoff!$B$10),1,0)</f>
        <v>0</v>
      </c>
      <c r="O415" s="12" t="n">
        <f aca="false">IF(N415=1,IF(AND(H415&lt;1000000000000000,H415&gt;=MAX(F415,E415),H415&lt;F415+Cutoff!$B$16,I415&lt;=Cutoff!$B$10),1,0),0)</f>
        <v>0</v>
      </c>
      <c r="P415" s="12" t="n">
        <f aca="false">IF(AND(L415=1,J415&lt;=Cutoff!$B$10),1,0)</f>
        <v>0</v>
      </c>
      <c r="Q415" s="12" t="n">
        <f aca="false">IF(AND(N415=1,E415+Cutoff!$B$17&lt;=Cutoff!$B$10),1,0)</f>
        <v>0</v>
      </c>
      <c r="R415" s="12" t="n">
        <f aca="false">IF(Q415=1,IF(K415&lt;=Cutoff!$B$10,1,0),0)</f>
        <v>0</v>
      </c>
      <c r="S415" s="12" t="n">
        <f aca="false">IF(N415=1,SUMIFS(Subscriptions!$D$2:$D$208,Subscriptions!$A$2:$A$208,C415,Subscriptions!$E$2:$E$208,1,Subscriptions!$B$2:$B$208,"&gt;="&amp;Cutoff!$B$24,Subscriptions!$B$2:$B$208,"&lt;"&amp;Cutoff!$B$25,Subscriptions!$B$2:$B$208,"&lt;="&amp;Cutoff!$B$10),0)</f>
        <v>0</v>
      </c>
    </row>
    <row r="416" customFormat="false" ht="15" hidden="false" customHeight="false" outlineLevel="0" collapsed="false">
      <c r="A416" s="4" t="s">
        <v>1117</v>
      </c>
      <c r="B416" s="4" t="s">
        <v>1089</v>
      </c>
      <c r="C416" s="4" t="s">
        <v>1118</v>
      </c>
      <c r="D416" s="4" t="s">
        <v>52</v>
      </c>
      <c r="E416" s="4" t="n">
        <v>1786438285</v>
      </c>
      <c r="F416" s="4" t="n">
        <v>1786437926</v>
      </c>
      <c r="G416" s="4" t="n">
        <v>1786437937</v>
      </c>
      <c r="H416" s="4" t="n">
        <v>1786542253</v>
      </c>
      <c r="I416" s="4" t="n">
        <v>1786542276</v>
      </c>
      <c r="J416" s="4" t="n">
        <v>1000000000000000</v>
      </c>
      <c r="K416" s="4" t="n">
        <v>1000000000000000</v>
      </c>
      <c r="L416" s="12" t="n">
        <f aca="false">IF(AND(B416=Cutoff!$B$12,E416&lt;=Cutoff!$B$10),1,0)</f>
        <v>0</v>
      </c>
      <c r="M416" s="12" t="n">
        <f aca="false">IF(AND(L416=1,F416&lt;1000000000000000,G416&lt;=Cutoff!$B$10),1,0)</f>
        <v>0</v>
      </c>
      <c r="N416" s="12" t="n">
        <f aca="false">IF(AND(M416=1,F416+Cutoff!$B$16&lt;=Cutoff!$B$10),1,0)</f>
        <v>0</v>
      </c>
      <c r="O416" s="12" t="n">
        <f aca="false">IF(N416=1,IF(AND(H416&lt;1000000000000000,H416&gt;=MAX(F416,E416),H416&lt;F416+Cutoff!$B$16,I416&lt;=Cutoff!$B$10),1,0),0)</f>
        <v>0</v>
      </c>
      <c r="P416" s="12" t="n">
        <f aca="false">IF(AND(L416=1,J416&lt;=Cutoff!$B$10),1,0)</f>
        <v>0</v>
      </c>
      <c r="Q416" s="12" t="n">
        <f aca="false">IF(AND(N416=1,E416+Cutoff!$B$17&lt;=Cutoff!$B$10),1,0)</f>
        <v>0</v>
      </c>
      <c r="R416" s="12" t="n">
        <f aca="false">IF(Q416=1,IF(K416&lt;=Cutoff!$B$10,1,0),0)</f>
        <v>0</v>
      </c>
      <c r="S416" s="12" t="n">
        <f aca="false">IF(N416=1,SUMIFS(Subscriptions!$D$2:$D$208,Subscriptions!$A$2:$A$208,C416,Subscriptions!$E$2:$E$208,1,Subscriptions!$B$2:$B$208,"&gt;="&amp;Cutoff!$B$24,Subscriptions!$B$2:$B$208,"&lt;"&amp;Cutoff!$B$25,Subscriptions!$B$2:$B$208,"&lt;="&amp;Cutoff!$B$10),0)</f>
        <v>0</v>
      </c>
    </row>
    <row r="417" customFormat="false" ht="15" hidden="false" customHeight="false" outlineLevel="0" collapsed="false">
      <c r="A417" s="4" t="s">
        <v>1119</v>
      </c>
      <c r="B417" s="4" t="s">
        <v>1089</v>
      </c>
      <c r="C417" s="4" t="s">
        <v>1120</v>
      </c>
      <c r="D417" s="4" t="s">
        <v>52</v>
      </c>
      <c r="E417" s="4" t="n">
        <v>1786439416</v>
      </c>
      <c r="F417" s="4" t="n">
        <v>1786439104</v>
      </c>
      <c r="G417" s="4" t="n">
        <v>1786440628</v>
      </c>
      <c r="H417" s="4" t="n">
        <v>1786489917</v>
      </c>
      <c r="I417" s="4" t="n">
        <v>1786489919</v>
      </c>
      <c r="J417" s="4" t="n">
        <v>1786439908</v>
      </c>
      <c r="K417" s="4" t="n">
        <v>1000000000000000</v>
      </c>
      <c r="L417" s="12" t="n">
        <f aca="false">IF(AND(B417=Cutoff!$B$12,E417&lt;=Cutoff!$B$10),1,0)</f>
        <v>0</v>
      </c>
      <c r="M417" s="12" t="n">
        <f aca="false">IF(AND(L417=1,F417&lt;1000000000000000,G417&lt;=Cutoff!$B$10),1,0)</f>
        <v>0</v>
      </c>
      <c r="N417" s="12" t="n">
        <f aca="false">IF(AND(M417=1,F417+Cutoff!$B$16&lt;=Cutoff!$B$10),1,0)</f>
        <v>0</v>
      </c>
      <c r="O417" s="12" t="n">
        <f aca="false">IF(N417=1,IF(AND(H417&lt;1000000000000000,H417&gt;=MAX(F417,E417),H417&lt;F417+Cutoff!$B$16,I417&lt;=Cutoff!$B$10),1,0),0)</f>
        <v>0</v>
      </c>
      <c r="P417" s="12" t="n">
        <f aca="false">IF(AND(L417=1,J417&lt;=Cutoff!$B$10),1,0)</f>
        <v>0</v>
      </c>
      <c r="Q417" s="12" t="n">
        <f aca="false">IF(AND(N417=1,E417+Cutoff!$B$17&lt;=Cutoff!$B$10),1,0)</f>
        <v>0</v>
      </c>
      <c r="R417" s="12" t="n">
        <f aca="false">IF(Q417=1,IF(K417&lt;=Cutoff!$B$10,1,0),0)</f>
        <v>0</v>
      </c>
      <c r="S417" s="12" t="n">
        <f aca="false">IF(N417=1,SUMIFS(Subscriptions!$D$2:$D$208,Subscriptions!$A$2:$A$208,C417,Subscriptions!$E$2:$E$208,1,Subscriptions!$B$2:$B$208,"&gt;="&amp;Cutoff!$B$24,Subscriptions!$B$2:$B$208,"&lt;"&amp;Cutoff!$B$25,Subscriptions!$B$2:$B$208,"&lt;="&amp;Cutoff!$B$10),0)</f>
        <v>0</v>
      </c>
    </row>
    <row r="418" customFormat="false" ht="15" hidden="false" customHeight="false" outlineLevel="0" collapsed="false">
      <c r="A418" s="4" t="s">
        <v>1121</v>
      </c>
      <c r="B418" s="4" t="s">
        <v>1089</v>
      </c>
      <c r="C418" s="4" t="s">
        <v>1122</v>
      </c>
      <c r="D418" s="4" t="s">
        <v>52</v>
      </c>
      <c r="E418" s="4" t="n">
        <v>1786451086</v>
      </c>
      <c r="F418" s="4" t="n">
        <v>1786450962</v>
      </c>
      <c r="G418" s="4" t="n">
        <v>1786450987</v>
      </c>
      <c r="H418" s="4" t="n">
        <v>1786833143</v>
      </c>
      <c r="I418" s="4" t="n">
        <v>1786833148</v>
      </c>
      <c r="J418" s="4" t="n">
        <v>1786452224</v>
      </c>
      <c r="K418" s="4" t="n">
        <v>1000000000000000</v>
      </c>
      <c r="L418" s="12" t="n">
        <f aca="false">IF(AND(B418=Cutoff!$B$12,E418&lt;=Cutoff!$B$10),1,0)</f>
        <v>0</v>
      </c>
      <c r="M418" s="12" t="n">
        <f aca="false">IF(AND(L418=1,F418&lt;1000000000000000,G418&lt;=Cutoff!$B$10),1,0)</f>
        <v>0</v>
      </c>
      <c r="N418" s="12" t="n">
        <f aca="false">IF(AND(M418=1,F418+Cutoff!$B$16&lt;=Cutoff!$B$10),1,0)</f>
        <v>0</v>
      </c>
      <c r="O418" s="12" t="n">
        <f aca="false">IF(N418=1,IF(AND(H418&lt;1000000000000000,H418&gt;=MAX(F418,E418),H418&lt;F418+Cutoff!$B$16,I418&lt;=Cutoff!$B$10),1,0),0)</f>
        <v>0</v>
      </c>
      <c r="P418" s="12" t="n">
        <f aca="false">IF(AND(L418=1,J418&lt;=Cutoff!$B$10),1,0)</f>
        <v>0</v>
      </c>
      <c r="Q418" s="12" t="n">
        <f aca="false">IF(AND(N418=1,E418+Cutoff!$B$17&lt;=Cutoff!$B$10),1,0)</f>
        <v>0</v>
      </c>
      <c r="R418" s="12" t="n">
        <f aca="false">IF(Q418=1,IF(K418&lt;=Cutoff!$B$10,1,0),0)</f>
        <v>0</v>
      </c>
      <c r="S418" s="12" t="n">
        <f aca="false">IF(N418=1,SUMIFS(Subscriptions!$D$2:$D$208,Subscriptions!$A$2:$A$208,C418,Subscriptions!$E$2:$E$208,1,Subscriptions!$B$2:$B$208,"&gt;="&amp;Cutoff!$B$24,Subscriptions!$B$2:$B$208,"&lt;"&amp;Cutoff!$B$25,Subscriptions!$B$2:$B$208,"&lt;="&amp;Cutoff!$B$10),0)</f>
        <v>0</v>
      </c>
    </row>
    <row r="419" customFormat="false" ht="15" hidden="false" customHeight="false" outlineLevel="0" collapsed="false">
      <c r="A419" s="4" t="s">
        <v>1123</v>
      </c>
      <c r="B419" s="4" t="s">
        <v>1089</v>
      </c>
      <c r="C419" s="4" t="s">
        <v>1124</v>
      </c>
      <c r="D419" s="4" t="s">
        <v>51</v>
      </c>
      <c r="E419" s="4" t="n">
        <v>1786462846</v>
      </c>
      <c r="F419" s="4" t="n">
        <v>1786462359</v>
      </c>
      <c r="G419" s="4" t="n">
        <v>1786462364</v>
      </c>
      <c r="H419" s="4" t="n">
        <v>1000000000000000</v>
      </c>
      <c r="I419" s="4" t="n">
        <v>1000000000000000</v>
      </c>
      <c r="J419" s="4" t="n">
        <v>1786463501</v>
      </c>
      <c r="K419" s="4" t="n">
        <v>1000000000000000</v>
      </c>
      <c r="L419" s="12" t="n">
        <f aca="false">IF(AND(B419=Cutoff!$B$12,E419&lt;=Cutoff!$B$10),1,0)</f>
        <v>0</v>
      </c>
      <c r="M419" s="12" t="n">
        <f aca="false">IF(AND(L419=1,F419&lt;1000000000000000,G419&lt;=Cutoff!$B$10),1,0)</f>
        <v>0</v>
      </c>
      <c r="N419" s="12" t="n">
        <f aca="false">IF(AND(M419=1,F419+Cutoff!$B$16&lt;=Cutoff!$B$10),1,0)</f>
        <v>0</v>
      </c>
      <c r="O419" s="12" t="n">
        <f aca="false">IF(N419=1,IF(AND(H419&lt;1000000000000000,H419&gt;=MAX(F419,E419),H419&lt;F419+Cutoff!$B$16,I419&lt;=Cutoff!$B$10),1,0),0)</f>
        <v>0</v>
      </c>
      <c r="P419" s="12" t="n">
        <f aca="false">IF(AND(L419=1,J419&lt;=Cutoff!$B$10),1,0)</f>
        <v>0</v>
      </c>
      <c r="Q419" s="12" t="n">
        <f aca="false">IF(AND(N419=1,E419+Cutoff!$B$17&lt;=Cutoff!$B$10),1,0)</f>
        <v>0</v>
      </c>
      <c r="R419" s="12" t="n">
        <f aca="false">IF(Q419=1,IF(K419&lt;=Cutoff!$B$10,1,0),0)</f>
        <v>0</v>
      </c>
      <c r="S419" s="12" t="n">
        <f aca="false">IF(N419=1,SUMIFS(Subscriptions!$D$2:$D$208,Subscriptions!$A$2:$A$208,C419,Subscriptions!$E$2:$E$208,1,Subscriptions!$B$2:$B$208,"&gt;="&amp;Cutoff!$B$24,Subscriptions!$B$2:$B$208,"&lt;"&amp;Cutoff!$B$25,Subscriptions!$B$2:$B$208,"&lt;="&amp;Cutoff!$B$10),0)</f>
        <v>0</v>
      </c>
    </row>
    <row r="420" customFormat="false" ht="15" hidden="false" customHeight="false" outlineLevel="0" collapsed="false">
      <c r="A420" s="4" t="s">
        <v>1125</v>
      </c>
      <c r="B420" s="4" t="s">
        <v>1089</v>
      </c>
      <c r="C420" s="4" t="s">
        <v>1126</v>
      </c>
      <c r="D420" s="4" t="s">
        <v>52</v>
      </c>
      <c r="E420" s="4" t="n">
        <v>1786470166</v>
      </c>
      <c r="F420" s="4" t="n">
        <v>1786469999</v>
      </c>
      <c r="G420" s="4" t="n">
        <v>1786476380</v>
      </c>
      <c r="H420" s="4" t="n">
        <v>1786518179</v>
      </c>
      <c r="I420" s="4" t="n">
        <v>1786518193</v>
      </c>
      <c r="J420" s="4" t="n">
        <v>1786470610</v>
      </c>
      <c r="K420" s="4" t="n">
        <v>1000000000000000</v>
      </c>
      <c r="L420" s="12" t="n">
        <f aca="false">IF(AND(B420=Cutoff!$B$12,E420&lt;=Cutoff!$B$10),1,0)</f>
        <v>0</v>
      </c>
      <c r="M420" s="12" t="n">
        <f aca="false">IF(AND(L420=1,F420&lt;1000000000000000,G420&lt;=Cutoff!$B$10),1,0)</f>
        <v>0</v>
      </c>
      <c r="N420" s="12" t="n">
        <f aca="false">IF(AND(M420=1,F420+Cutoff!$B$16&lt;=Cutoff!$B$10),1,0)</f>
        <v>0</v>
      </c>
      <c r="O420" s="12" t="n">
        <f aca="false">IF(N420=1,IF(AND(H420&lt;1000000000000000,H420&gt;=MAX(F420,E420),H420&lt;F420+Cutoff!$B$16,I420&lt;=Cutoff!$B$10),1,0),0)</f>
        <v>0</v>
      </c>
      <c r="P420" s="12" t="n">
        <f aca="false">IF(AND(L420=1,J420&lt;=Cutoff!$B$10),1,0)</f>
        <v>0</v>
      </c>
      <c r="Q420" s="12" t="n">
        <f aca="false">IF(AND(N420=1,E420+Cutoff!$B$17&lt;=Cutoff!$B$10),1,0)</f>
        <v>0</v>
      </c>
      <c r="R420" s="12" t="n">
        <f aca="false">IF(Q420=1,IF(K420&lt;=Cutoff!$B$10,1,0),0)</f>
        <v>0</v>
      </c>
      <c r="S420" s="12" t="n">
        <f aca="false">IF(N420=1,SUMIFS(Subscriptions!$D$2:$D$208,Subscriptions!$A$2:$A$208,C420,Subscriptions!$E$2:$E$208,1,Subscriptions!$B$2:$B$208,"&gt;="&amp;Cutoff!$B$24,Subscriptions!$B$2:$B$208,"&lt;"&amp;Cutoff!$B$25,Subscriptions!$B$2:$B$208,"&lt;="&amp;Cutoff!$B$10),0)</f>
        <v>0</v>
      </c>
    </row>
    <row r="421" customFormat="false" ht="15" hidden="false" customHeight="false" outlineLevel="0" collapsed="false">
      <c r="A421" s="4" t="s">
        <v>1127</v>
      </c>
      <c r="B421" s="4" t="s">
        <v>1089</v>
      </c>
      <c r="C421" s="4" t="s">
        <v>1128</v>
      </c>
      <c r="D421" s="4" t="s">
        <v>51</v>
      </c>
      <c r="E421" s="4" t="n">
        <v>1786481811</v>
      </c>
      <c r="F421" s="4" t="n">
        <v>1786481491</v>
      </c>
      <c r="G421" s="4" t="n">
        <v>1786481508</v>
      </c>
      <c r="H421" s="4" t="n">
        <v>1000000000000000</v>
      </c>
      <c r="I421" s="4" t="n">
        <v>1000000000000000</v>
      </c>
      <c r="J421" s="4" t="n">
        <v>1786482978</v>
      </c>
      <c r="K421" s="4" t="n">
        <v>1000000000000000</v>
      </c>
      <c r="L421" s="12" t="n">
        <f aca="false">IF(AND(B421=Cutoff!$B$12,E421&lt;=Cutoff!$B$10),1,0)</f>
        <v>0</v>
      </c>
      <c r="M421" s="12" t="n">
        <f aca="false">IF(AND(L421=1,F421&lt;1000000000000000,G421&lt;=Cutoff!$B$10),1,0)</f>
        <v>0</v>
      </c>
      <c r="N421" s="12" t="n">
        <f aca="false">IF(AND(M421=1,F421+Cutoff!$B$16&lt;=Cutoff!$B$10),1,0)</f>
        <v>0</v>
      </c>
      <c r="O421" s="12" t="n">
        <f aca="false">IF(N421=1,IF(AND(H421&lt;1000000000000000,H421&gt;=MAX(F421,E421),H421&lt;F421+Cutoff!$B$16,I421&lt;=Cutoff!$B$10),1,0),0)</f>
        <v>0</v>
      </c>
      <c r="P421" s="12" t="n">
        <f aca="false">IF(AND(L421=1,J421&lt;=Cutoff!$B$10),1,0)</f>
        <v>0</v>
      </c>
      <c r="Q421" s="12" t="n">
        <f aca="false">IF(AND(N421=1,E421+Cutoff!$B$17&lt;=Cutoff!$B$10),1,0)</f>
        <v>0</v>
      </c>
      <c r="R421" s="12" t="n">
        <f aca="false">IF(Q421=1,IF(K421&lt;=Cutoff!$B$10,1,0),0)</f>
        <v>0</v>
      </c>
      <c r="S421" s="12" t="n">
        <f aca="false">IF(N421=1,SUMIFS(Subscriptions!$D$2:$D$208,Subscriptions!$A$2:$A$208,C421,Subscriptions!$E$2:$E$208,1,Subscriptions!$B$2:$B$208,"&gt;="&amp;Cutoff!$B$24,Subscriptions!$B$2:$B$208,"&lt;"&amp;Cutoff!$B$25,Subscriptions!$B$2:$B$208,"&lt;="&amp;Cutoff!$B$10),0)</f>
        <v>0</v>
      </c>
    </row>
    <row r="422" customFormat="false" ht="15" hidden="false" customHeight="false" outlineLevel="0" collapsed="false">
      <c r="A422" s="4" t="s">
        <v>1129</v>
      </c>
      <c r="B422" s="4" t="s">
        <v>1089</v>
      </c>
      <c r="C422" s="4" t="s">
        <v>1130</v>
      </c>
      <c r="D422" s="4" t="s">
        <v>51</v>
      </c>
      <c r="E422" s="4" t="n">
        <v>1786564678</v>
      </c>
      <c r="F422" s="4" t="n">
        <v>1786564406</v>
      </c>
      <c r="G422" s="4" t="n">
        <v>1786564427</v>
      </c>
      <c r="H422" s="4" t="n">
        <v>1786647559</v>
      </c>
      <c r="I422" s="4" t="n">
        <v>1786647855</v>
      </c>
      <c r="J422" s="4" t="n">
        <v>1786564725</v>
      </c>
      <c r="K422" s="4" t="n">
        <v>1000000000000000</v>
      </c>
      <c r="L422" s="12" t="n">
        <f aca="false">IF(AND(B422=Cutoff!$B$12,E422&lt;=Cutoff!$B$10),1,0)</f>
        <v>0</v>
      </c>
      <c r="M422" s="12" t="n">
        <f aca="false">IF(AND(L422=1,F422&lt;1000000000000000,G422&lt;=Cutoff!$B$10),1,0)</f>
        <v>0</v>
      </c>
      <c r="N422" s="12" t="n">
        <f aca="false">IF(AND(M422=1,F422+Cutoff!$B$16&lt;=Cutoff!$B$10),1,0)</f>
        <v>0</v>
      </c>
      <c r="O422" s="12" t="n">
        <f aca="false">IF(N422=1,IF(AND(H422&lt;1000000000000000,H422&gt;=MAX(F422,E422),H422&lt;F422+Cutoff!$B$16,I422&lt;=Cutoff!$B$10),1,0),0)</f>
        <v>0</v>
      </c>
      <c r="P422" s="12" t="n">
        <f aca="false">IF(AND(L422=1,J422&lt;=Cutoff!$B$10),1,0)</f>
        <v>0</v>
      </c>
      <c r="Q422" s="12" t="n">
        <f aca="false">IF(AND(N422=1,E422+Cutoff!$B$17&lt;=Cutoff!$B$10),1,0)</f>
        <v>0</v>
      </c>
      <c r="R422" s="12" t="n">
        <f aca="false">IF(Q422=1,IF(K422&lt;=Cutoff!$B$10,1,0),0)</f>
        <v>0</v>
      </c>
      <c r="S422" s="12" t="n">
        <f aca="false">IF(N422=1,SUMIFS(Subscriptions!$D$2:$D$208,Subscriptions!$A$2:$A$208,C422,Subscriptions!$E$2:$E$208,1,Subscriptions!$B$2:$B$208,"&gt;="&amp;Cutoff!$B$24,Subscriptions!$B$2:$B$208,"&lt;"&amp;Cutoff!$B$25,Subscriptions!$B$2:$B$208,"&lt;="&amp;Cutoff!$B$10),0)</f>
        <v>0</v>
      </c>
    </row>
    <row r="423" customFormat="false" ht="15" hidden="false" customHeight="false" outlineLevel="0" collapsed="false">
      <c r="A423" s="4" t="s">
        <v>1131</v>
      </c>
      <c r="B423" s="4" t="s">
        <v>1089</v>
      </c>
      <c r="C423" s="4" t="s">
        <v>1132</v>
      </c>
      <c r="D423" s="4" t="s">
        <v>52</v>
      </c>
      <c r="E423" s="4" t="n">
        <v>1786565024</v>
      </c>
      <c r="F423" s="4" t="n">
        <v>1786564632</v>
      </c>
      <c r="G423" s="4" t="n">
        <v>1786564653</v>
      </c>
      <c r="H423" s="4" t="n">
        <v>1000000000000000</v>
      </c>
      <c r="I423" s="4" t="n">
        <v>1000000000000000</v>
      </c>
      <c r="J423" s="4" t="n">
        <v>1786565694</v>
      </c>
      <c r="K423" s="4" t="n">
        <v>1786566022</v>
      </c>
      <c r="L423" s="12" t="n">
        <f aca="false">IF(AND(B423=Cutoff!$B$12,E423&lt;=Cutoff!$B$10),1,0)</f>
        <v>0</v>
      </c>
      <c r="M423" s="12" t="n">
        <f aca="false">IF(AND(L423=1,F423&lt;1000000000000000,G423&lt;=Cutoff!$B$10),1,0)</f>
        <v>0</v>
      </c>
      <c r="N423" s="12" t="n">
        <f aca="false">IF(AND(M423=1,F423+Cutoff!$B$16&lt;=Cutoff!$B$10),1,0)</f>
        <v>0</v>
      </c>
      <c r="O423" s="12" t="n">
        <f aca="false">IF(N423=1,IF(AND(H423&lt;1000000000000000,H423&gt;=MAX(F423,E423),H423&lt;F423+Cutoff!$B$16,I423&lt;=Cutoff!$B$10),1,0),0)</f>
        <v>0</v>
      </c>
      <c r="P423" s="12" t="n">
        <f aca="false">IF(AND(L423=1,J423&lt;=Cutoff!$B$10),1,0)</f>
        <v>0</v>
      </c>
      <c r="Q423" s="12" t="n">
        <f aca="false">IF(AND(N423=1,E423+Cutoff!$B$17&lt;=Cutoff!$B$10),1,0)</f>
        <v>0</v>
      </c>
      <c r="R423" s="12" t="n">
        <f aca="false">IF(Q423=1,IF(K423&lt;=Cutoff!$B$10,1,0),0)</f>
        <v>0</v>
      </c>
      <c r="S423" s="12" t="n">
        <f aca="false">IF(N423=1,SUMIFS(Subscriptions!$D$2:$D$208,Subscriptions!$A$2:$A$208,C423,Subscriptions!$E$2:$E$208,1,Subscriptions!$B$2:$B$208,"&gt;="&amp;Cutoff!$B$24,Subscriptions!$B$2:$B$208,"&lt;"&amp;Cutoff!$B$25,Subscriptions!$B$2:$B$208,"&lt;="&amp;Cutoff!$B$10),0)</f>
        <v>0</v>
      </c>
    </row>
    <row r="424" customFormat="false" ht="15" hidden="false" customHeight="false" outlineLevel="0" collapsed="false">
      <c r="A424" s="4" t="s">
        <v>1133</v>
      </c>
      <c r="B424" s="4" t="s">
        <v>1089</v>
      </c>
      <c r="C424" s="4" t="s">
        <v>1134</v>
      </c>
      <c r="D424" s="4" t="s">
        <v>51</v>
      </c>
      <c r="E424" s="4" t="n">
        <v>1786569843</v>
      </c>
      <c r="F424" s="4" t="n">
        <v>1786569448</v>
      </c>
      <c r="G424" s="4" t="n">
        <v>1786569714</v>
      </c>
      <c r="H424" s="4" t="n">
        <v>1786592675</v>
      </c>
      <c r="I424" s="4" t="n">
        <v>1786592688</v>
      </c>
      <c r="J424" s="4" t="n">
        <v>1786570252</v>
      </c>
      <c r="K424" s="4" t="n">
        <v>1000000000000000</v>
      </c>
      <c r="L424" s="12" t="n">
        <f aca="false">IF(AND(B424=Cutoff!$B$12,E424&lt;=Cutoff!$B$10),1,0)</f>
        <v>0</v>
      </c>
      <c r="M424" s="12" t="n">
        <f aca="false">IF(AND(L424=1,F424&lt;1000000000000000,G424&lt;=Cutoff!$B$10),1,0)</f>
        <v>0</v>
      </c>
      <c r="N424" s="12" t="n">
        <f aca="false">IF(AND(M424=1,F424+Cutoff!$B$16&lt;=Cutoff!$B$10),1,0)</f>
        <v>0</v>
      </c>
      <c r="O424" s="12" t="n">
        <f aca="false">IF(N424=1,IF(AND(H424&lt;1000000000000000,H424&gt;=MAX(F424,E424),H424&lt;F424+Cutoff!$B$16,I424&lt;=Cutoff!$B$10),1,0),0)</f>
        <v>0</v>
      </c>
      <c r="P424" s="12" t="n">
        <f aca="false">IF(AND(L424=1,J424&lt;=Cutoff!$B$10),1,0)</f>
        <v>0</v>
      </c>
      <c r="Q424" s="12" t="n">
        <f aca="false">IF(AND(N424=1,E424+Cutoff!$B$17&lt;=Cutoff!$B$10),1,0)</f>
        <v>0</v>
      </c>
      <c r="R424" s="12" t="n">
        <f aca="false">IF(Q424=1,IF(K424&lt;=Cutoff!$B$10,1,0),0)</f>
        <v>0</v>
      </c>
      <c r="S424" s="12" t="n">
        <f aca="false">IF(N424=1,SUMIFS(Subscriptions!$D$2:$D$208,Subscriptions!$A$2:$A$208,C424,Subscriptions!$E$2:$E$208,1,Subscriptions!$B$2:$B$208,"&gt;="&amp;Cutoff!$B$24,Subscriptions!$B$2:$B$208,"&lt;"&amp;Cutoff!$B$25,Subscriptions!$B$2:$B$208,"&lt;="&amp;Cutoff!$B$10),0)</f>
        <v>0</v>
      </c>
    </row>
    <row r="425" customFormat="false" ht="15" hidden="false" customHeight="false" outlineLevel="0" collapsed="false">
      <c r="A425" s="4" t="s">
        <v>1135</v>
      </c>
      <c r="B425" s="4" t="s">
        <v>1089</v>
      </c>
      <c r="C425" s="4" t="s">
        <v>1136</v>
      </c>
      <c r="D425" s="4" t="s">
        <v>52</v>
      </c>
      <c r="E425" s="4" t="n">
        <v>1786612506</v>
      </c>
      <c r="F425" s="4" t="n">
        <v>1786612114</v>
      </c>
      <c r="G425" s="4" t="n">
        <v>1786612296</v>
      </c>
      <c r="H425" s="4" t="n">
        <v>1786630008</v>
      </c>
      <c r="I425" s="4" t="n">
        <v>1786630023</v>
      </c>
      <c r="J425" s="4" t="n">
        <v>1000000000000000</v>
      </c>
      <c r="K425" s="4" t="n">
        <v>1000000000000000</v>
      </c>
      <c r="L425" s="12" t="n">
        <f aca="false">IF(AND(B425=Cutoff!$B$12,E425&lt;=Cutoff!$B$10),1,0)</f>
        <v>0</v>
      </c>
      <c r="M425" s="12" t="n">
        <f aca="false">IF(AND(L425=1,F425&lt;1000000000000000,G425&lt;=Cutoff!$B$10),1,0)</f>
        <v>0</v>
      </c>
      <c r="N425" s="12" t="n">
        <f aca="false">IF(AND(M425=1,F425+Cutoff!$B$16&lt;=Cutoff!$B$10),1,0)</f>
        <v>0</v>
      </c>
      <c r="O425" s="12" t="n">
        <f aca="false">IF(N425=1,IF(AND(H425&lt;1000000000000000,H425&gt;=MAX(F425,E425),H425&lt;F425+Cutoff!$B$16,I425&lt;=Cutoff!$B$10),1,0),0)</f>
        <v>0</v>
      </c>
      <c r="P425" s="12" t="n">
        <f aca="false">IF(AND(L425=1,J425&lt;=Cutoff!$B$10),1,0)</f>
        <v>0</v>
      </c>
      <c r="Q425" s="12" t="n">
        <f aca="false">IF(AND(N425=1,E425+Cutoff!$B$17&lt;=Cutoff!$B$10),1,0)</f>
        <v>0</v>
      </c>
      <c r="R425" s="12" t="n">
        <f aca="false">IF(Q425=1,IF(K425&lt;=Cutoff!$B$10,1,0),0)</f>
        <v>0</v>
      </c>
      <c r="S425" s="12" t="n">
        <f aca="false">IF(N425=1,SUMIFS(Subscriptions!$D$2:$D$208,Subscriptions!$A$2:$A$208,C425,Subscriptions!$E$2:$E$208,1,Subscriptions!$B$2:$B$208,"&gt;="&amp;Cutoff!$B$24,Subscriptions!$B$2:$B$208,"&lt;"&amp;Cutoff!$B$25,Subscriptions!$B$2:$B$208,"&lt;="&amp;Cutoff!$B$10),0)</f>
        <v>0</v>
      </c>
    </row>
    <row r="426" customFormat="false" ht="15" hidden="false" customHeight="false" outlineLevel="0" collapsed="false">
      <c r="A426" s="4" t="s">
        <v>1137</v>
      </c>
      <c r="B426" s="4" t="s">
        <v>1089</v>
      </c>
      <c r="C426" s="4" t="s">
        <v>1138</v>
      </c>
      <c r="D426" s="4" t="s">
        <v>52</v>
      </c>
      <c r="E426" s="4" t="n">
        <v>1786626289</v>
      </c>
      <c r="F426" s="4" t="n">
        <v>1786625745</v>
      </c>
      <c r="G426" s="4" t="n">
        <v>1786625757</v>
      </c>
      <c r="H426" s="4" t="n">
        <v>1000000000000000</v>
      </c>
      <c r="I426" s="4" t="n">
        <v>1000000000000000</v>
      </c>
      <c r="J426" s="4" t="n">
        <v>1786626650</v>
      </c>
      <c r="K426" s="4" t="n">
        <v>1000000000000000</v>
      </c>
      <c r="L426" s="12" t="n">
        <f aca="false">IF(AND(B426=Cutoff!$B$12,E426&lt;=Cutoff!$B$10),1,0)</f>
        <v>0</v>
      </c>
      <c r="M426" s="12" t="n">
        <f aca="false">IF(AND(L426=1,F426&lt;1000000000000000,G426&lt;=Cutoff!$B$10),1,0)</f>
        <v>0</v>
      </c>
      <c r="N426" s="12" t="n">
        <f aca="false">IF(AND(M426=1,F426+Cutoff!$B$16&lt;=Cutoff!$B$10),1,0)</f>
        <v>0</v>
      </c>
      <c r="O426" s="12" t="n">
        <f aca="false">IF(N426=1,IF(AND(H426&lt;1000000000000000,H426&gt;=MAX(F426,E426),H426&lt;F426+Cutoff!$B$16,I426&lt;=Cutoff!$B$10),1,0),0)</f>
        <v>0</v>
      </c>
      <c r="P426" s="12" t="n">
        <f aca="false">IF(AND(L426=1,J426&lt;=Cutoff!$B$10),1,0)</f>
        <v>0</v>
      </c>
      <c r="Q426" s="12" t="n">
        <f aca="false">IF(AND(N426=1,E426+Cutoff!$B$17&lt;=Cutoff!$B$10),1,0)</f>
        <v>0</v>
      </c>
      <c r="R426" s="12" t="n">
        <f aca="false">IF(Q426=1,IF(K426&lt;=Cutoff!$B$10,1,0),0)</f>
        <v>0</v>
      </c>
      <c r="S426" s="12" t="n">
        <f aca="false">IF(N426=1,SUMIFS(Subscriptions!$D$2:$D$208,Subscriptions!$A$2:$A$208,C426,Subscriptions!$E$2:$E$208,1,Subscriptions!$B$2:$B$208,"&gt;="&amp;Cutoff!$B$24,Subscriptions!$B$2:$B$208,"&lt;"&amp;Cutoff!$B$25,Subscriptions!$B$2:$B$208,"&lt;="&amp;Cutoff!$B$10),0)</f>
        <v>0</v>
      </c>
    </row>
    <row r="427" customFormat="false" ht="15" hidden="false" customHeight="false" outlineLevel="0" collapsed="false">
      <c r="A427" s="4" t="s">
        <v>1139</v>
      </c>
      <c r="B427" s="4" t="s">
        <v>1089</v>
      </c>
      <c r="C427" s="4" t="s">
        <v>1140</v>
      </c>
      <c r="D427" s="4" t="s">
        <v>51</v>
      </c>
      <c r="E427" s="4" t="n">
        <v>1786642528</v>
      </c>
      <c r="F427" s="4" t="n">
        <v>1786641983</v>
      </c>
      <c r="G427" s="4" t="n">
        <v>1786642000</v>
      </c>
      <c r="H427" s="4" t="n">
        <v>1000000000000000</v>
      </c>
      <c r="I427" s="4" t="n">
        <v>1000000000000000</v>
      </c>
      <c r="J427" s="4" t="n">
        <v>1786643067</v>
      </c>
      <c r="K427" s="4" t="n">
        <v>1000000000000000</v>
      </c>
      <c r="L427" s="12" t="n">
        <f aca="false">IF(AND(B427=Cutoff!$B$12,E427&lt;=Cutoff!$B$10),1,0)</f>
        <v>0</v>
      </c>
      <c r="M427" s="12" t="n">
        <f aca="false">IF(AND(L427=1,F427&lt;1000000000000000,G427&lt;=Cutoff!$B$10),1,0)</f>
        <v>0</v>
      </c>
      <c r="N427" s="12" t="n">
        <f aca="false">IF(AND(M427=1,F427+Cutoff!$B$16&lt;=Cutoff!$B$10),1,0)</f>
        <v>0</v>
      </c>
      <c r="O427" s="12" t="n">
        <f aca="false">IF(N427=1,IF(AND(H427&lt;1000000000000000,H427&gt;=MAX(F427,E427),H427&lt;F427+Cutoff!$B$16,I427&lt;=Cutoff!$B$10),1,0),0)</f>
        <v>0</v>
      </c>
      <c r="P427" s="12" t="n">
        <f aca="false">IF(AND(L427=1,J427&lt;=Cutoff!$B$10),1,0)</f>
        <v>0</v>
      </c>
      <c r="Q427" s="12" t="n">
        <f aca="false">IF(AND(N427=1,E427+Cutoff!$B$17&lt;=Cutoff!$B$10),1,0)</f>
        <v>0</v>
      </c>
      <c r="R427" s="12" t="n">
        <f aca="false">IF(Q427=1,IF(K427&lt;=Cutoff!$B$10,1,0),0)</f>
        <v>0</v>
      </c>
      <c r="S427" s="12" t="n">
        <f aca="false">IF(N427=1,SUMIFS(Subscriptions!$D$2:$D$208,Subscriptions!$A$2:$A$208,C427,Subscriptions!$E$2:$E$208,1,Subscriptions!$B$2:$B$208,"&gt;="&amp;Cutoff!$B$24,Subscriptions!$B$2:$B$208,"&lt;"&amp;Cutoff!$B$25,Subscriptions!$B$2:$B$208,"&lt;="&amp;Cutoff!$B$10),0)</f>
        <v>0</v>
      </c>
    </row>
    <row r="428" customFormat="false" ht="15" hidden="false" customHeight="false" outlineLevel="0" collapsed="false">
      <c r="A428" s="4" t="s">
        <v>1141</v>
      </c>
      <c r="B428" s="4" t="s">
        <v>1089</v>
      </c>
      <c r="C428" s="4" t="s">
        <v>1142</v>
      </c>
      <c r="D428" s="4" t="s">
        <v>51</v>
      </c>
      <c r="E428" s="4" t="n">
        <v>1786648281</v>
      </c>
      <c r="F428" s="4" t="n">
        <v>1786647727</v>
      </c>
      <c r="G428" s="4" t="n">
        <v>1786648025</v>
      </c>
      <c r="H428" s="4" t="n">
        <v>1786752659</v>
      </c>
      <c r="I428" s="4" t="n">
        <v>1786752663</v>
      </c>
      <c r="J428" s="4" t="n">
        <v>1786649057</v>
      </c>
      <c r="K428" s="4" t="n">
        <v>1787246611</v>
      </c>
      <c r="L428" s="12" t="n">
        <f aca="false">IF(AND(B428=Cutoff!$B$12,E428&lt;=Cutoff!$B$10),1,0)</f>
        <v>0</v>
      </c>
      <c r="M428" s="12" t="n">
        <f aca="false">IF(AND(L428=1,F428&lt;1000000000000000,G428&lt;=Cutoff!$B$10),1,0)</f>
        <v>0</v>
      </c>
      <c r="N428" s="12" t="n">
        <f aca="false">IF(AND(M428=1,F428+Cutoff!$B$16&lt;=Cutoff!$B$10),1,0)</f>
        <v>0</v>
      </c>
      <c r="O428" s="12" t="n">
        <f aca="false">IF(N428=1,IF(AND(H428&lt;1000000000000000,H428&gt;=MAX(F428,E428),H428&lt;F428+Cutoff!$B$16,I428&lt;=Cutoff!$B$10),1,0),0)</f>
        <v>0</v>
      </c>
      <c r="P428" s="12" t="n">
        <f aca="false">IF(AND(L428=1,J428&lt;=Cutoff!$B$10),1,0)</f>
        <v>0</v>
      </c>
      <c r="Q428" s="12" t="n">
        <f aca="false">IF(AND(N428=1,E428+Cutoff!$B$17&lt;=Cutoff!$B$10),1,0)</f>
        <v>0</v>
      </c>
      <c r="R428" s="12" t="n">
        <f aca="false">IF(Q428=1,IF(K428&lt;=Cutoff!$B$10,1,0),0)</f>
        <v>0</v>
      </c>
      <c r="S428" s="12" t="n">
        <f aca="false">IF(N428=1,SUMIFS(Subscriptions!$D$2:$D$208,Subscriptions!$A$2:$A$208,C428,Subscriptions!$E$2:$E$208,1,Subscriptions!$B$2:$B$208,"&gt;="&amp;Cutoff!$B$24,Subscriptions!$B$2:$B$208,"&lt;"&amp;Cutoff!$B$25,Subscriptions!$B$2:$B$208,"&lt;="&amp;Cutoff!$B$10),0)</f>
        <v>0</v>
      </c>
    </row>
    <row r="429" customFormat="false" ht="15" hidden="false" customHeight="false" outlineLevel="0" collapsed="false">
      <c r="A429" s="4" t="s">
        <v>1143</v>
      </c>
      <c r="B429" s="4" t="s">
        <v>1089</v>
      </c>
      <c r="C429" s="4" t="s">
        <v>1144</v>
      </c>
      <c r="D429" s="4" t="s">
        <v>52</v>
      </c>
      <c r="E429" s="4" t="n">
        <v>1786741073</v>
      </c>
      <c r="F429" s="4" t="n">
        <v>1786740716</v>
      </c>
      <c r="G429" s="4" t="n">
        <v>1786740728</v>
      </c>
      <c r="H429" s="4" t="n">
        <v>1786753205</v>
      </c>
      <c r="I429" s="4" t="n">
        <v>1786753224</v>
      </c>
      <c r="J429" s="4" t="n">
        <v>1786741148</v>
      </c>
      <c r="K429" s="4" t="n">
        <v>1000000000000000</v>
      </c>
      <c r="L429" s="12" t="n">
        <f aca="false">IF(AND(B429=Cutoff!$B$12,E429&lt;=Cutoff!$B$10),1,0)</f>
        <v>0</v>
      </c>
      <c r="M429" s="12" t="n">
        <f aca="false">IF(AND(L429=1,F429&lt;1000000000000000,G429&lt;=Cutoff!$B$10),1,0)</f>
        <v>0</v>
      </c>
      <c r="N429" s="12" t="n">
        <f aca="false">IF(AND(M429=1,F429+Cutoff!$B$16&lt;=Cutoff!$B$10),1,0)</f>
        <v>0</v>
      </c>
      <c r="O429" s="12" t="n">
        <f aca="false">IF(N429=1,IF(AND(H429&lt;1000000000000000,H429&gt;=MAX(F429,E429),H429&lt;F429+Cutoff!$B$16,I429&lt;=Cutoff!$B$10),1,0),0)</f>
        <v>0</v>
      </c>
      <c r="P429" s="12" t="n">
        <f aca="false">IF(AND(L429=1,J429&lt;=Cutoff!$B$10),1,0)</f>
        <v>0</v>
      </c>
      <c r="Q429" s="12" t="n">
        <f aca="false">IF(AND(N429=1,E429+Cutoff!$B$17&lt;=Cutoff!$B$10),1,0)</f>
        <v>0</v>
      </c>
      <c r="R429" s="12" t="n">
        <f aca="false">IF(Q429=1,IF(K429&lt;=Cutoff!$B$10,1,0),0)</f>
        <v>0</v>
      </c>
      <c r="S429" s="12" t="n">
        <f aca="false">IF(N429=1,SUMIFS(Subscriptions!$D$2:$D$208,Subscriptions!$A$2:$A$208,C429,Subscriptions!$E$2:$E$208,1,Subscriptions!$B$2:$B$208,"&gt;="&amp;Cutoff!$B$24,Subscriptions!$B$2:$B$208,"&lt;"&amp;Cutoff!$B$25,Subscriptions!$B$2:$B$208,"&lt;="&amp;Cutoff!$B$10),0)</f>
        <v>0</v>
      </c>
    </row>
    <row r="430" customFormat="false" ht="15" hidden="false" customHeight="false" outlineLevel="0" collapsed="false">
      <c r="A430" s="4" t="s">
        <v>1145</v>
      </c>
      <c r="B430" s="4" t="s">
        <v>1089</v>
      </c>
      <c r="C430" s="4" t="s">
        <v>1146</v>
      </c>
      <c r="D430" s="4" t="s">
        <v>52</v>
      </c>
      <c r="E430" s="4" t="n">
        <v>1786744962</v>
      </c>
      <c r="F430" s="4" t="n">
        <v>1786744764</v>
      </c>
      <c r="G430" s="4" t="n">
        <v>1786744775</v>
      </c>
      <c r="H430" s="4" t="n">
        <v>1000000000000000</v>
      </c>
      <c r="I430" s="4" t="n">
        <v>1000000000000000</v>
      </c>
      <c r="J430" s="4" t="n">
        <v>1786745328</v>
      </c>
      <c r="K430" s="4" t="n">
        <v>1000000000000000</v>
      </c>
      <c r="L430" s="12" t="n">
        <f aca="false">IF(AND(B430=Cutoff!$B$12,E430&lt;=Cutoff!$B$10),1,0)</f>
        <v>0</v>
      </c>
      <c r="M430" s="12" t="n">
        <f aca="false">IF(AND(L430=1,F430&lt;1000000000000000,G430&lt;=Cutoff!$B$10),1,0)</f>
        <v>0</v>
      </c>
      <c r="N430" s="12" t="n">
        <f aca="false">IF(AND(M430=1,F430+Cutoff!$B$16&lt;=Cutoff!$B$10),1,0)</f>
        <v>0</v>
      </c>
      <c r="O430" s="12" t="n">
        <f aca="false">IF(N430=1,IF(AND(H430&lt;1000000000000000,H430&gt;=MAX(F430,E430),H430&lt;F430+Cutoff!$B$16,I430&lt;=Cutoff!$B$10),1,0),0)</f>
        <v>0</v>
      </c>
      <c r="P430" s="12" t="n">
        <f aca="false">IF(AND(L430=1,J430&lt;=Cutoff!$B$10),1,0)</f>
        <v>0</v>
      </c>
      <c r="Q430" s="12" t="n">
        <f aca="false">IF(AND(N430=1,E430+Cutoff!$B$17&lt;=Cutoff!$B$10),1,0)</f>
        <v>0</v>
      </c>
      <c r="R430" s="12" t="n">
        <f aca="false">IF(Q430=1,IF(K430&lt;=Cutoff!$B$10,1,0),0)</f>
        <v>0</v>
      </c>
      <c r="S430" s="12" t="n">
        <f aca="false">IF(N430=1,SUMIFS(Subscriptions!$D$2:$D$208,Subscriptions!$A$2:$A$208,C430,Subscriptions!$E$2:$E$208,1,Subscriptions!$B$2:$B$208,"&gt;="&amp;Cutoff!$B$24,Subscriptions!$B$2:$B$208,"&lt;"&amp;Cutoff!$B$25,Subscriptions!$B$2:$B$208,"&lt;="&amp;Cutoff!$B$10),0)</f>
        <v>0</v>
      </c>
    </row>
    <row r="431" customFormat="false" ht="15" hidden="false" customHeight="false" outlineLevel="0" collapsed="false">
      <c r="A431" s="4" t="s">
        <v>1147</v>
      </c>
      <c r="B431" s="4" t="s">
        <v>1089</v>
      </c>
      <c r="C431" s="4" t="s">
        <v>1148</v>
      </c>
      <c r="D431" s="4" t="s">
        <v>52</v>
      </c>
      <c r="E431" s="4" t="n">
        <v>1786889311</v>
      </c>
      <c r="F431" s="4" t="n">
        <v>1786888728</v>
      </c>
      <c r="G431" s="4" t="n">
        <v>1786888737</v>
      </c>
      <c r="H431" s="4" t="n">
        <v>1000000000000000</v>
      </c>
      <c r="I431" s="4" t="n">
        <v>1000000000000000</v>
      </c>
      <c r="J431" s="4" t="n">
        <v>1786889500</v>
      </c>
      <c r="K431" s="4" t="n">
        <v>1786889654</v>
      </c>
      <c r="L431" s="12" t="n">
        <f aca="false">IF(AND(B431=Cutoff!$B$12,E431&lt;=Cutoff!$B$10),1,0)</f>
        <v>0</v>
      </c>
      <c r="M431" s="12" t="n">
        <f aca="false">IF(AND(L431=1,F431&lt;1000000000000000,G431&lt;=Cutoff!$B$10),1,0)</f>
        <v>0</v>
      </c>
      <c r="N431" s="12" t="n">
        <f aca="false">IF(AND(M431=1,F431+Cutoff!$B$16&lt;=Cutoff!$B$10),1,0)</f>
        <v>0</v>
      </c>
      <c r="O431" s="12" t="n">
        <f aca="false">IF(N431=1,IF(AND(H431&lt;1000000000000000,H431&gt;=MAX(F431,E431),H431&lt;F431+Cutoff!$B$16,I431&lt;=Cutoff!$B$10),1,0),0)</f>
        <v>0</v>
      </c>
      <c r="P431" s="12" t="n">
        <f aca="false">IF(AND(L431=1,J431&lt;=Cutoff!$B$10),1,0)</f>
        <v>0</v>
      </c>
      <c r="Q431" s="12" t="n">
        <f aca="false">IF(AND(N431=1,E431+Cutoff!$B$17&lt;=Cutoff!$B$10),1,0)</f>
        <v>0</v>
      </c>
      <c r="R431" s="12" t="n">
        <f aca="false">IF(Q431=1,IF(K431&lt;=Cutoff!$B$10,1,0),0)</f>
        <v>0</v>
      </c>
      <c r="S431" s="12" t="n">
        <f aca="false">IF(N431=1,SUMIFS(Subscriptions!$D$2:$D$208,Subscriptions!$A$2:$A$208,C431,Subscriptions!$E$2:$E$208,1,Subscriptions!$B$2:$B$208,"&gt;="&amp;Cutoff!$B$24,Subscriptions!$B$2:$B$208,"&lt;"&amp;Cutoff!$B$25,Subscriptions!$B$2:$B$208,"&lt;="&amp;Cutoff!$B$10),0)</f>
        <v>0</v>
      </c>
    </row>
    <row r="432" customFormat="false" ht="15" hidden="false" customHeight="false" outlineLevel="0" collapsed="false">
      <c r="A432" s="4" t="s">
        <v>1149</v>
      </c>
      <c r="B432" s="4" t="s">
        <v>1089</v>
      </c>
      <c r="C432" s="4" t="s">
        <v>1150</v>
      </c>
      <c r="D432" s="4" t="s">
        <v>51</v>
      </c>
      <c r="E432" s="4" t="n">
        <v>1786981682</v>
      </c>
      <c r="F432" s="4" t="n">
        <v>1786981213</v>
      </c>
      <c r="G432" s="4" t="n">
        <v>1786981237</v>
      </c>
      <c r="H432" s="4" t="n">
        <v>1786993950</v>
      </c>
      <c r="I432" s="4" t="n">
        <v>1786993967</v>
      </c>
      <c r="J432" s="4" t="n">
        <v>1786982588</v>
      </c>
      <c r="K432" s="4" t="n">
        <v>1787268508</v>
      </c>
      <c r="L432" s="12" t="n">
        <f aca="false">IF(AND(B432=Cutoff!$B$12,E432&lt;=Cutoff!$B$10),1,0)</f>
        <v>0</v>
      </c>
      <c r="M432" s="12" t="n">
        <f aca="false">IF(AND(L432=1,F432&lt;1000000000000000,G432&lt;=Cutoff!$B$10),1,0)</f>
        <v>0</v>
      </c>
      <c r="N432" s="12" t="n">
        <f aca="false">IF(AND(M432=1,F432+Cutoff!$B$16&lt;=Cutoff!$B$10),1,0)</f>
        <v>0</v>
      </c>
      <c r="O432" s="12" t="n">
        <f aca="false">IF(N432=1,IF(AND(H432&lt;1000000000000000,H432&gt;=MAX(F432,E432),H432&lt;F432+Cutoff!$B$16,I432&lt;=Cutoff!$B$10),1,0),0)</f>
        <v>0</v>
      </c>
      <c r="P432" s="12" t="n">
        <f aca="false">IF(AND(L432=1,J432&lt;=Cutoff!$B$10),1,0)</f>
        <v>0</v>
      </c>
      <c r="Q432" s="12" t="n">
        <f aca="false">IF(AND(N432=1,E432+Cutoff!$B$17&lt;=Cutoff!$B$10),1,0)</f>
        <v>0</v>
      </c>
      <c r="R432" s="12" t="n">
        <f aca="false">IF(Q432=1,IF(K432&lt;=Cutoff!$B$10,1,0),0)</f>
        <v>0</v>
      </c>
      <c r="S432" s="12" t="n">
        <f aca="false">IF(N432=1,SUMIFS(Subscriptions!$D$2:$D$208,Subscriptions!$A$2:$A$208,C432,Subscriptions!$E$2:$E$208,1,Subscriptions!$B$2:$B$208,"&gt;="&amp;Cutoff!$B$24,Subscriptions!$B$2:$B$208,"&lt;"&amp;Cutoff!$B$25,Subscriptions!$B$2:$B$208,"&lt;="&amp;Cutoff!$B$10),0)</f>
        <v>0</v>
      </c>
    </row>
    <row r="433" customFormat="false" ht="15" hidden="false" customHeight="false" outlineLevel="0" collapsed="false">
      <c r="A433" s="4" t="s">
        <v>1151</v>
      </c>
      <c r="B433" s="4" t="s">
        <v>1089</v>
      </c>
      <c r="C433" s="4" t="s">
        <v>1152</v>
      </c>
      <c r="D433" s="4" t="s">
        <v>52</v>
      </c>
      <c r="E433" s="4" t="n">
        <v>1786998462</v>
      </c>
      <c r="F433" s="4" t="n">
        <v>1786998114</v>
      </c>
      <c r="G433" s="4" t="n">
        <v>1786998172</v>
      </c>
      <c r="H433" s="4" t="n">
        <v>1000000000000000</v>
      </c>
      <c r="I433" s="4" t="n">
        <v>1000000000000000</v>
      </c>
      <c r="J433" s="4" t="n">
        <v>1786998767</v>
      </c>
      <c r="K433" s="4" t="n">
        <v>1000000000000000</v>
      </c>
      <c r="L433" s="12" t="n">
        <f aca="false">IF(AND(B433=Cutoff!$B$12,E433&lt;=Cutoff!$B$10),1,0)</f>
        <v>0</v>
      </c>
      <c r="M433" s="12" t="n">
        <f aca="false">IF(AND(L433=1,F433&lt;1000000000000000,G433&lt;=Cutoff!$B$10),1,0)</f>
        <v>0</v>
      </c>
      <c r="N433" s="12" t="n">
        <f aca="false">IF(AND(M433=1,F433+Cutoff!$B$16&lt;=Cutoff!$B$10),1,0)</f>
        <v>0</v>
      </c>
      <c r="O433" s="12" t="n">
        <f aca="false">IF(N433=1,IF(AND(H433&lt;1000000000000000,H433&gt;=MAX(F433,E433),H433&lt;F433+Cutoff!$B$16,I433&lt;=Cutoff!$B$10),1,0),0)</f>
        <v>0</v>
      </c>
      <c r="P433" s="12" t="n">
        <f aca="false">IF(AND(L433=1,J433&lt;=Cutoff!$B$10),1,0)</f>
        <v>0</v>
      </c>
      <c r="Q433" s="12" t="n">
        <f aca="false">IF(AND(N433=1,E433+Cutoff!$B$17&lt;=Cutoff!$B$10),1,0)</f>
        <v>0</v>
      </c>
      <c r="R433" s="12" t="n">
        <f aca="false">IF(Q433=1,IF(K433&lt;=Cutoff!$B$10,1,0),0)</f>
        <v>0</v>
      </c>
      <c r="S433" s="12" t="n">
        <f aca="false">IF(N433=1,SUMIFS(Subscriptions!$D$2:$D$208,Subscriptions!$A$2:$A$208,C433,Subscriptions!$E$2:$E$208,1,Subscriptions!$B$2:$B$208,"&gt;="&amp;Cutoff!$B$24,Subscriptions!$B$2:$B$208,"&lt;"&amp;Cutoff!$B$25,Subscriptions!$B$2:$B$208,"&lt;="&amp;Cutoff!$B$10),0)</f>
        <v>0</v>
      </c>
    </row>
    <row r="434" customFormat="false" ht="15" hidden="false" customHeight="false" outlineLevel="0" collapsed="false">
      <c r="A434" s="4" t="s">
        <v>1153</v>
      </c>
      <c r="B434" s="4" t="s">
        <v>1089</v>
      </c>
      <c r="C434" s="4" t="s">
        <v>1154</v>
      </c>
      <c r="D434" s="4" t="s">
        <v>51</v>
      </c>
      <c r="E434" s="4" t="n">
        <v>1787053642</v>
      </c>
      <c r="F434" s="4" t="n">
        <v>1787053217</v>
      </c>
      <c r="G434" s="4" t="n">
        <v>1787053240</v>
      </c>
      <c r="H434" s="4" t="n">
        <v>1000000000000000</v>
      </c>
      <c r="I434" s="4" t="n">
        <v>1000000000000000</v>
      </c>
      <c r="J434" s="4" t="n">
        <v>1787053787</v>
      </c>
      <c r="K434" s="4" t="n">
        <v>1787324186</v>
      </c>
      <c r="L434" s="12" t="n">
        <f aca="false">IF(AND(B434=Cutoff!$B$12,E434&lt;=Cutoff!$B$10),1,0)</f>
        <v>0</v>
      </c>
      <c r="M434" s="12" t="n">
        <f aca="false">IF(AND(L434=1,F434&lt;1000000000000000,G434&lt;=Cutoff!$B$10),1,0)</f>
        <v>0</v>
      </c>
      <c r="N434" s="12" t="n">
        <f aca="false">IF(AND(M434=1,F434+Cutoff!$B$16&lt;=Cutoff!$B$10),1,0)</f>
        <v>0</v>
      </c>
      <c r="O434" s="12" t="n">
        <f aca="false">IF(N434=1,IF(AND(H434&lt;1000000000000000,H434&gt;=MAX(F434,E434),H434&lt;F434+Cutoff!$B$16,I434&lt;=Cutoff!$B$10),1,0),0)</f>
        <v>0</v>
      </c>
      <c r="P434" s="12" t="n">
        <f aca="false">IF(AND(L434=1,J434&lt;=Cutoff!$B$10),1,0)</f>
        <v>0</v>
      </c>
      <c r="Q434" s="12" t="n">
        <f aca="false">IF(AND(N434=1,E434+Cutoff!$B$17&lt;=Cutoff!$B$10),1,0)</f>
        <v>0</v>
      </c>
      <c r="R434" s="12" t="n">
        <f aca="false">IF(Q434=1,IF(K434&lt;=Cutoff!$B$10,1,0),0)</f>
        <v>0</v>
      </c>
      <c r="S434" s="12" t="n">
        <f aca="false">IF(N434=1,SUMIFS(Subscriptions!$D$2:$D$208,Subscriptions!$A$2:$A$208,C434,Subscriptions!$E$2:$E$208,1,Subscriptions!$B$2:$B$208,"&gt;="&amp;Cutoff!$B$24,Subscriptions!$B$2:$B$208,"&lt;"&amp;Cutoff!$B$25,Subscriptions!$B$2:$B$208,"&lt;="&amp;Cutoff!$B$10),0)</f>
        <v>0</v>
      </c>
    </row>
    <row r="435" customFormat="false" ht="15" hidden="false" customHeight="false" outlineLevel="0" collapsed="false">
      <c r="A435" s="4" t="s">
        <v>1155</v>
      </c>
      <c r="B435" s="4" t="s">
        <v>1089</v>
      </c>
      <c r="C435" s="4" t="s">
        <v>1156</v>
      </c>
      <c r="D435" s="4" t="s">
        <v>52</v>
      </c>
      <c r="E435" s="4" t="n">
        <v>1787062251</v>
      </c>
      <c r="F435" s="4" t="n">
        <v>1787061705</v>
      </c>
      <c r="G435" s="4" t="n">
        <v>1787061725</v>
      </c>
      <c r="H435" s="4" t="n">
        <v>1000000000000000</v>
      </c>
      <c r="I435" s="4" t="n">
        <v>1000000000000000</v>
      </c>
      <c r="J435" s="4" t="n">
        <v>1000000000000000</v>
      </c>
      <c r="K435" s="4" t="n">
        <v>1787325886</v>
      </c>
      <c r="L435" s="12" t="n">
        <f aca="false">IF(AND(B435=Cutoff!$B$12,E435&lt;=Cutoff!$B$10),1,0)</f>
        <v>0</v>
      </c>
      <c r="M435" s="12" t="n">
        <f aca="false">IF(AND(L435=1,F435&lt;1000000000000000,G435&lt;=Cutoff!$B$10),1,0)</f>
        <v>0</v>
      </c>
      <c r="N435" s="12" t="n">
        <f aca="false">IF(AND(M435=1,F435+Cutoff!$B$16&lt;=Cutoff!$B$10),1,0)</f>
        <v>0</v>
      </c>
      <c r="O435" s="12" t="n">
        <f aca="false">IF(N435=1,IF(AND(H435&lt;1000000000000000,H435&gt;=MAX(F435,E435),H435&lt;F435+Cutoff!$B$16,I435&lt;=Cutoff!$B$10),1,0),0)</f>
        <v>0</v>
      </c>
      <c r="P435" s="12" t="n">
        <f aca="false">IF(AND(L435=1,J435&lt;=Cutoff!$B$10),1,0)</f>
        <v>0</v>
      </c>
      <c r="Q435" s="12" t="n">
        <f aca="false">IF(AND(N435=1,E435+Cutoff!$B$17&lt;=Cutoff!$B$10),1,0)</f>
        <v>0</v>
      </c>
      <c r="R435" s="12" t="n">
        <f aca="false">IF(Q435=1,IF(K435&lt;=Cutoff!$B$10,1,0),0)</f>
        <v>0</v>
      </c>
      <c r="S435" s="12" t="n">
        <f aca="false">IF(N435=1,SUMIFS(Subscriptions!$D$2:$D$208,Subscriptions!$A$2:$A$208,C435,Subscriptions!$E$2:$E$208,1,Subscriptions!$B$2:$B$208,"&gt;="&amp;Cutoff!$B$24,Subscriptions!$B$2:$B$208,"&lt;"&amp;Cutoff!$B$25,Subscriptions!$B$2:$B$208,"&lt;="&amp;Cutoff!$B$10),0)</f>
        <v>0</v>
      </c>
    </row>
    <row r="436" customFormat="false" ht="15" hidden="false" customHeight="false" outlineLevel="0" collapsed="false">
      <c r="A436" s="4" t="s">
        <v>1157</v>
      </c>
      <c r="B436" s="4" t="s">
        <v>1089</v>
      </c>
      <c r="C436" s="4" t="s">
        <v>1158</v>
      </c>
      <c r="D436" s="4" t="s">
        <v>52</v>
      </c>
      <c r="E436" s="4" t="n">
        <v>1787075071</v>
      </c>
      <c r="F436" s="4" t="n">
        <v>1787074720</v>
      </c>
      <c r="G436" s="4" t="n">
        <v>1787376736</v>
      </c>
      <c r="H436" s="4" t="n">
        <v>1000000000000000</v>
      </c>
      <c r="I436" s="4" t="n">
        <v>1000000000000000</v>
      </c>
      <c r="J436" s="4" t="n">
        <v>1000000000000000</v>
      </c>
      <c r="K436" s="4" t="n">
        <v>1000000000000000</v>
      </c>
      <c r="L436" s="12" t="n">
        <f aca="false">IF(AND(B436=Cutoff!$B$12,E436&lt;=Cutoff!$B$10),1,0)</f>
        <v>0</v>
      </c>
      <c r="M436" s="12" t="n">
        <f aca="false">IF(AND(L436=1,F436&lt;1000000000000000,G436&lt;=Cutoff!$B$10),1,0)</f>
        <v>0</v>
      </c>
      <c r="N436" s="12" t="n">
        <f aca="false">IF(AND(M436=1,F436+Cutoff!$B$16&lt;=Cutoff!$B$10),1,0)</f>
        <v>0</v>
      </c>
      <c r="O436" s="12" t="n">
        <f aca="false">IF(N436=1,IF(AND(H436&lt;1000000000000000,H436&gt;=MAX(F436,E436),H436&lt;F436+Cutoff!$B$16,I436&lt;=Cutoff!$B$10),1,0),0)</f>
        <v>0</v>
      </c>
      <c r="P436" s="12" t="n">
        <f aca="false">IF(AND(L436=1,J436&lt;=Cutoff!$B$10),1,0)</f>
        <v>0</v>
      </c>
      <c r="Q436" s="12" t="n">
        <f aca="false">IF(AND(N436=1,E436+Cutoff!$B$17&lt;=Cutoff!$B$10),1,0)</f>
        <v>0</v>
      </c>
      <c r="R436" s="12" t="n">
        <f aca="false">IF(Q436=1,IF(K436&lt;=Cutoff!$B$10,1,0),0)</f>
        <v>0</v>
      </c>
      <c r="S436" s="12" t="n">
        <f aca="false">IF(N436=1,SUMIFS(Subscriptions!$D$2:$D$208,Subscriptions!$A$2:$A$208,C436,Subscriptions!$E$2:$E$208,1,Subscriptions!$B$2:$B$208,"&gt;="&amp;Cutoff!$B$24,Subscriptions!$B$2:$B$208,"&lt;"&amp;Cutoff!$B$25,Subscriptions!$B$2:$B$208,"&lt;="&amp;Cutoff!$B$10),0)</f>
        <v>0</v>
      </c>
    </row>
    <row r="437" customFormat="false" ht="15" hidden="false" customHeight="false" outlineLevel="0" collapsed="false">
      <c r="A437" s="4" t="s">
        <v>1159</v>
      </c>
      <c r="B437" s="4" t="s">
        <v>1089</v>
      </c>
      <c r="C437" s="4" t="s">
        <v>1160</v>
      </c>
      <c r="D437" s="4" t="s">
        <v>52</v>
      </c>
      <c r="E437" s="4" t="n">
        <v>1787094461</v>
      </c>
      <c r="F437" s="4" t="n">
        <v>1787094310</v>
      </c>
      <c r="G437" s="4" t="n">
        <v>1787094329</v>
      </c>
      <c r="H437" s="4" t="n">
        <v>1000000000000000</v>
      </c>
      <c r="I437" s="4" t="n">
        <v>1000000000000000</v>
      </c>
      <c r="J437" s="4" t="n">
        <v>1787094840</v>
      </c>
      <c r="K437" s="4" t="n">
        <v>1000000000000000</v>
      </c>
      <c r="L437" s="12" t="n">
        <f aca="false">IF(AND(B437=Cutoff!$B$12,E437&lt;=Cutoff!$B$10),1,0)</f>
        <v>0</v>
      </c>
      <c r="M437" s="12" t="n">
        <f aca="false">IF(AND(L437=1,F437&lt;1000000000000000,G437&lt;=Cutoff!$B$10),1,0)</f>
        <v>0</v>
      </c>
      <c r="N437" s="12" t="n">
        <f aca="false">IF(AND(M437=1,F437+Cutoff!$B$16&lt;=Cutoff!$B$10),1,0)</f>
        <v>0</v>
      </c>
      <c r="O437" s="12" t="n">
        <f aca="false">IF(N437=1,IF(AND(H437&lt;1000000000000000,H437&gt;=MAX(F437,E437),H437&lt;F437+Cutoff!$B$16,I437&lt;=Cutoff!$B$10),1,0),0)</f>
        <v>0</v>
      </c>
      <c r="P437" s="12" t="n">
        <f aca="false">IF(AND(L437=1,J437&lt;=Cutoff!$B$10),1,0)</f>
        <v>0</v>
      </c>
      <c r="Q437" s="12" t="n">
        <f aca="false">IF(AND(N437=1,E437+Cutoff!$B$17&lt;=Cutoff!$B$10),1,0)</f>
        <v>0</v>
      </c>
      <c r="R437" s="12" t="n">
        <f aca="false">IF(Q437=1,IF(K437&lt;=Cutoff!$B$10,1,0),0)</f>
        <v>0</v>
      </c>
      <c r="S437" s="12" t="n">
        <f aca="false">IF(N437=1,SUMIFS(Subscriptions!$D$2:$D$208,Subscriptions!$A$2:$A$208,C437,Subscriptions!$E$2:$E$208,1,Subscriptions!$B$2:$B$208,"&gt;="&amp;Cutoff!$B$24,Subscriptions!$B$2:$B$208,"&lt;"&amp;Cutoff!$B$25,Subscriptions!$B$2:$B$208,"&lt;="&amp;Cutoff!$B$10),0)</f>
        <v>0</v>
      </c>
    </row>
    <row r="438" customFormat="false" ht="15" hidden="false" customHeight="false" outlineLevel="0" collapsed="false">
      <c r="A438" s="4" t="s">
        <v>1161</v>
      </c>
      <c r="B438" s="4" t="s">
        <v>1089</v>
      </c>
      <c r="C438" s="4" t="s">
        <v>1162</v>
      </c>
      <c r="D438" s="4" t="s">
        <v>52</v>
      </c>
      <c r="E438" s="4" t="n">
        <v>1787134295</v>
      </c>
      <c r="F438" s="4" t="n">
        <v>1787134064</v>
      </c>
      <c r="G438" s="4" t="n">
        <v>1787134093</v>
      </c>
      <c r="H438" s="4" t="n">
        <v>1000000000000000</v>
      </c>
      <c r="I438" s="4" t="n">
        <v>1000000000000000</v>
      </c>
      <c r="J438" s="4" t="n">
        <v>1787135287</v>
      </c>
      <c r="K438" s="4" t="n">
        <v>1000000000000000</v>
      </c>
      <c r="L438" s="12" t="n">
        <f aca="false">IF(AND(B438=Cutoff!$B$12,E438&lt;=Cutoff!$B$10),1,0)</f>
        <v>0</v>
      </c>
      <c r="M438" s="12" t="n">
        <f aca="false">IF(AND(L438=1,F438&lt;1000000000000000,G438&lt;=Cutoff!$B$10),1,0)</f>
        <v>0</v>
      </c>
      <c r="N438" s="12" t="n">
        <f aca="false">IF(AND(M438=1,F438+Cutoff!$B$16&lt;=Cutoff!$B$10),1,0)</f>
        <v>0</v>
      </c>
      <c r="O438" s="12" t="n">
        <f aca="false">IF(N438=1,IF(AND(H438&lt;1000000000000000,H438&gt;=MAX(F438,E438),H438&lt;F438+Cutoff!$B$16,I438&lt;=Cutoff!$B$10),1,0),0)</f>
        <v>0</v>
      </c>
      <c r="P438" s="12" t="n">
        <f aca="false">IF(AND(L438=1,J438&lt;=Cutoff!$B$10),1,0)</f>
        <v>0</v>
      </c>
      <c r="Q438" s="12" t="n">
        <f aca="false">IF(AND(N438=1,E438+Cutoff!$B$17&lt;=Cutoff!$B$10),1,0)</f>
        <v>0</v>
      </c>
      <c r="R438" s="12" t="n">
        <f aca="false">IF(Q438=1,IF(K438&lt;=Cutoff!$B$10,1,0),0)</f>
        <v>0</v>
      </c>
      <c r="S438" s="12" t="n">
        <f aca="false">IF(N438=1,SUMIFS(Subscriptions!$D$2:$D$208,Subscriptions!$A$2:$A$208,C438,Subscriptions!$E$2:$E$208,1,Subscriptions!$B$2:$B$208,"&gt;="&amp;Cutoff!$B$24,Subscriptions!$B$2:$B$208,"&lt;"&amp;Cutoff!$B$25,Subscriptions!$B$2:$B$208,"&lt;="&amp;Cutoff!$B$10),0)</f>
        <v>0</v>
      </c>
    </row>
    <row r="439" customFormat="false" ht="15" hidden="false" customHeight="false" outlineLevel="0" collapsed="false">
      <c r="A439" s="4" t="s">
        <v>1163</v>
      </c>
      <c r="B439" s="4" t="s">
        <v>1089</v>
      </c>
      <c r="C439" s="4" t="s">
        <v>1164</v>
      </c>
      <c r="D439" s="4" t="s">
        <v>52</v>
      </c>
      <c r="E439" s="4" t="n">
        <v>1787141274</v>
      </c>
      <c r="F439" s="4" t="n">
        <v>1787141211</v>
      </c>
      <c r="G439" s="4" t="n">
        <v>1787141216</v>
      </c>
      <c r="H439" s="4" t="n">
        <v>1000000000000000</v>
      </c>
      <c r="I439" s="4" t="n">
        <v>1000000000000000</v>
      </c>
      <c r="J439" s="4" t="n">
        <v>1000000000000000</v>
      </c>
      <c r="K439" s="4" t="n">
        <v>1000000000000000</v>
      </c>
      <c r="L439" s="12" t="n">
        <f aca="false">IF(AND(B439=Cutoff!$B$12,E439&lt;=Cutoff!$B$10),1,0)</f>
        <v>0</v>
      </c>
      <c r="M439" s="12" t="n">
        <f aca="false">IF(AND(L439=1,F439&lt;1000000000000000,G439&lt;=Cutoff!$B$10),1,0)</f>
        <v>0</v>
      </c>
      <c r="N439" s="12" t="n">
        <f aca="false">IF(AND(M439=1,F439+Cutoff!$B$16&lt;=Cutoff!$B$10),1,0)</f>
        <v>0</v>
      </c>
      <c r="O439" s="12" t="n">
        <f aca="false">IF(N439=1,IF(AND(H439&lt;1000000000000000,H439&gt;=MAX(F439,E439),H439&lt;F439+Cutoff!$B$16,I439&lt;=Cutoff!$B$10),1,0),0)</f>
        <v>0</v>
      </c>
      <c r="P439" s="12" t="n">
        <f aca="false">IF(AND(L439=1,J439&lt;=Cutoff!$B$10),1,0)</f>
        <v>0</v>
      </c>
      <c r="Q439" s="12" t="n">
        <f aca="false">IF(AND(N439=1,E439+Cutoff!$B$17&lt;=Cutoff!$B$10),1,0)</f>
        <v>0</v>
      </c>
      <c r="R439" s="12" t="n">
        <f aca="false">IF(Q439=1,IF(K439&lt;=Cutoff!$B$10,1,0),0)</f>
        <v>0</v>
      </c>
      <c r="S439" s="12" t="n">
        <f aca="false">IF(N439=1,SUMIFS(Subscriptions!$D$2:$D$208,Subscriptions!$A$2:$A$208,C439,Subscriptions!$E$2:$E$208,1,Subscriptions!$B$2:$B$208,"&gt;="&amp;Cutoff!$B$24,Subscriptions!$B$2:$B$208,"&lt;"&amp;Cutoff!$B$25,Subscriptions!$B$2:$B$208,"&lt;="&amp;Cutoff!$B$10),0)</f>
        <v>0</v>
      </c>
    </row>
    <row r="440" customFormat="false" ht="15" hidden="false" customHeight="false" outlineLevel="0" collapsed="false">
      <c r="A440" s="4" t="s">
        <v>1165</v>
      </c>
      <c r="B440" s="4" t="s">
        <v>1089</v>
      </c>
      <c r="C440" s="4" t="s">
        <v>1166</v>
      </c>
      <c r="D440" s="4" t="s">
        <v>51</v>
      </c>
      <c r="E440" s="4" t="n">
        <v>1787155862</v>
      </c>
      <c r="F440" s="4" t="n">
        <v>1787155435</v>
      </c>
      <c r="G440" s="4" t="n">
        <v>1787815966</v>
      </c>
      <c r="H440" s="4" t="n">
        <v>1000000000000000</v>
      </c>
      <c r="I440" s="4" t="n">
        <v>1000000000000000</v>
      </c>
      <c r="J440" s="4" t="n">
        <v>1787156184</v>
      </c>
      <c r="K440" s="4" t="n">
        <v>1000000000000000</v>
      </c>
      <c r="L440" s="12" t="n">
        <f aca="false">IF(AND(B440=Cutoff!$B$12,E440&lt;=Cutoff!$B$10),1,0)</f>
        <v>0</v>
      </c>
      <c r="M440" s="12" t="n">
        <f aca="false">IF(AND(L440=1,F440&lt;1000000000000000,G440&lt;=Cutoff!$B$10),1,0)</f>
        <v>0</v>
      </c>
      <c r="N440" s="12" t="n">
        <f aca="false">IF(AND(M440=1,F440+Cutoff!$B$16&lt;=Cutoff!$B$10),1,0)</f>
        <v>0</v>
      </c>
      <c r="O440" s="12" t="n">
        <f aca="false">IF(N440=1,IF(AND(H440&lt;1000000000000000,H440&gt;=MAX(F440,E440),H440&lt;F440+Cutoff!$B$16,I440&lt;=Cutoff!$B$10),1,0),0)</f>
        <v>0</v>
      </c>
      <c r="P440" s="12" t="n">
        <f aca="false">IF(AND(L440=1,J440&lt;=Cutoff!$B$10),1,0)</f>
        <v>0</v>
      </c>
      <c r="Q440" s="12" t="n">
        <f aca="false">IF(AND(N440=1,E440+Cutoff!$B$17&lt;=Cutoff!$B$10),1,0)</f>
        <v>0</v>
      </c>
      <c r="R440" s="12" t="n">
        <f aca="false">IF(Q440=1,IF(K440&lt;=Cutoff!$B$10,1,0),0)</f>
        <v>0</v>
      </c>
      <c r="S440" s="12" t="n">
        <f aca="false">IF(N440=1,SUMIFS(Subscriptions!$D$2:$D$208,Subscriptions!$A$2:$A$208,C440,Subscriptions!$E$2:$E$208,1,Subscriptions!$B$2:$B$208,"&gt;="&amp;Cutoff!$B$24,Subscriptions!$B$2:$B$208,"&lt;"&amp;Cutoff!$B$25,Subscriptions!$B$2:$B$208,"&lt;="&amp;Cutoff!$B$10),0)</f>
        <v>0</v>
      </c>
    </row>
    <row r="441" customFormat="false" ht="15" hidden="false" customHeight="false" outlineLevel="0" collapsed="false">
      <c r="A441" s="4" t="s">
        <v>1167</v>
      </c>
      <c r="B441" s="4" t="s">
        <v>1089</v>
      </c>
      <c r="C441" s="4" t="s">
        <v>1168</v>
      </c>
      <c r="D441" s="4" t="s">
        <v>51</v>
      </c>
      <c r="E441" s="4" t="n">
        <v>1787160324</v>
      </c>
      <c r="F441" s="4" t="n">
        <v>1787159728</v>
      </c>
      <c r="G441" s="4" t="n">
        <v>1787159736</v>
      </c>
      <c r="H441" s="4" t="n">
        <v>1000000000000000</v>
      </c>
      <c r="I441" s="4" t="n">
        <v>1000000000000000</v>
      </c>
      <c r="J441" s="4" t="n">
        <v>1787161074</v>
      </c>
      <c r="K441" s="4" t="n">
        <v>1000000000000000</v>
      </c>
      <c r="L441" s="12" t="n">
        <f aca="false">IF(AND(B441=Cutoff!$B$12,E441&lt;=Cutoff!$B$10),1,0)</f>
        <v>0</v>
      </c>
      <c r="M441" s="12" t="n">
        <f aca="false">IF(AND(L441=1,F441&lt;1000000000000000,G441&lt;=Cutoff!$B$10),1,0)</f>
        <v>0</v>
      </c>
      <c r="N441" s="12" t="n">
        <f aca="false">IF(AND(M441=1,F441+Cutoff!$B$16&lt;=Cutoff!$B$10),1,0)</f>
        <v>0</v>
      </c>
      <c r="O441" s="12" t="n">
        <f aca="false">IF(N441=1,IF(AND(H441&lt;1000000000000000,H441&gt;=MAX(F441,E441),H441&lt;F441+Cutoff!$B$16,I441&lt;=Cutoff!$B$10),1,0),0)</f>
        <v>0</v>
      </c>
      <c r="P441" s="12" t="n">
        <f aca="false">IF(AND(L441=1,J441&lt;=Cutoff!$B$10),1,0)</f>
        <v>0</v>
      </c>
      <c r="Q441" s="12" t="n">
        <f aca="false">IF(AND(N441=1,E441+Cutoff!$B$17&lt;=Cutoff!$B$10),1,0)</f>
        <v>0</v>
      </c>
      <c r="R441" s="12" t="n">
        <f aca="false">IF(Q441=1,IF(K441&lt;=Cutoff!$B$10,1,0),0)</f>
        <v>0</v>
      </c>
      <c r="S441" s="12" t="n">
        <f aca="false">IF(N441=1,SUMIFS(Subscriptions!$D$2:$D$208,Subscriptions!$A$2:$A$208,C441,Subscriptions!$E$2:$E$208,1,Subscriptions!$B$2:$B$208,"&gt;="&amp;Cutoff!$B$24,Subscriptions!$B$2:$B$208,"&lt;"&amp;Cutoff!$B$25,Subscriptions!$B$2:$B$208,"&lt;="&amp;Cutoff!$B$10),0)</f>
        <v>0</v>
      </c>
    </row>
    <row r="442" customFormat="false" ht="15" hidden="false" customHeight="false" outlineLevel="0" collapsed="false">
      <c r="A442" s="4" t="s">
        <v>1169</v>
      </c>
      <c r="B442" s="4" t="s">
        <v>1089</v>
      </c>
      <c r="C442" s="4" t="s">
        <v>1170</v>
      </c>
      <c r="D442" s="4" t="s">
        <v>52</v>
      </c>
      <c r="E442" s="4" t="n">
        <v>1787165491</v>
      </c>
      <c r="F442" s="4" t="n">
        <v>1787165024</v>
      </c>
      <c r="G442" s="4" t="n">
        <v>1787165035</v>
      </c>
      <c r="H442" s="4" t="n">
        <v>1000000000000000</v>
      </c>
      <c r="I442" s="4" t="n">
        <v>1000000000000000</v>
      </c>
      <c r="J442" s="4" t="n">
        <v>1787165534</v>
      </c>
      <c r="K442" s="4" t="n">
        <v>1000000000000000</v>
      </c>
      <c r="L442" s="12" t="n">
        <f aca="false">IF(AND(B442=Cutoff!$B$12,E442&lt;=Cutoff!$B$10),1,0)</f>
        <v>0</v>
      </c>
      <c r="M442" s="12" t="n">
        <f aca="false">IF(AND(L442=1,F442&lt;1000000000000000,G442&lt;=Cutoff!$B$10),1,0)</f>
        <v>0</v>
      </c>
      <c r="N442" s="12" t="n">
        <f aca="false">IF(AND(M442=1,F442+Cutoff!$B$16&lt;=Cutoff!$B$10),1,0)</f>
        <v>0</v>
      </c>
      <c r="O442" s="12" t="n">
        <f aca="false">IF(N442=1,IF(AND(H442&lt;1000000000000000,H442&gt;=MAX(F442,E442),H442&lt;F442+Cutoff!$B$16,I442&lt;=Cutoff!$B$10),1,0),0)</f>
        <v>0</v>
      </c>
      <c r="P442" s="12" t="n">
        <f aca="false">IF(AND(L442=1,J442&lt;=Cutoff!$B$10),1,0)</f>
        <v>0</v>
      </c>
      <c r="Q442" s="12" t="n">
        <f aca="false">IF(AND(N442=1,E442+Cutoff!$B$17&lt;=Cutoff!$B$10),1,0)</f>
        <v>0</v>
      </c>
      <c r="R442" s="12" t="n">
        <f aca="false">IF(Q442=1,IF(K442&lt;=Cutoff!$B$10,1,0),0)</f>
        <v>0</v>
      </c>
      <c r="S442" s="12" t="n">
        <f aca="false">IF(N442=1,SUMIFS(Subscriptions!$D$2:$D$208,Subscriptions!$A$2:$A$208,C442,Subscriptions!$E$2:$E$208,1,Subscriptions!$B$2:$B$208,"&gt;="&amp;Cutoff!$B$24,Subscriptions!$B$2:$B$208,"&lt;"&amp;Cutoff!$B$25,Subscriptions!$B$2:$B$208,"&lt;="&amp;Cutoff!$B$10),0)</f>
        <v>0</v>
      </c>
    </row>
    <row r="443" customFormat="false" ht="15" hidden="false" customHeight="false" outlineLevel="0" collapsed="false">
      <c r="A443" s="4" t="s">
        <v>1171</v>
      </c>
      <c r="B443" s="4" t="s">
        <v>1089</v>
      </c>
      <c r="C443" s="4" t="s">
        <v>1172</v>
      </c>
      <c r="D443" s="4" t="s">
        <v>52</v>
      </c>
      <c r="E443" s="4" t="n">
        <v>1787181501</v>
      </c>
      <c r="F443" s="4" t="n">
        <v>1787180940</v>
      </c>
      <c r="G443" s="4" t="n">
        <v>1787180943</v>
      </c>
      <c r="H443" s="4" t="n">
        <v>1000000000000000</v>
      </c>
      <c r="I443" s="4" t="n">
        <v>1000000000000000</v>
      </c>
      <c r="J443" s="4" t="n">
        <v>1787182293</v>
      </c>
      <c r="K443" s="4" t="n">
        <v>1000000000000000</v>
      </c>
      <c r="L443" s="12" t="n">
        <f aca="false">IF(AND(B443=Cutoff!$B$12,E443&lt;=Cutoff!$B$10),1,0)</f>
        <v>0</v>
      </c>
      <c r="M443" s="12" t="n">
        <f aca="false">IF(AND(L443=1,F443&lt;1000000000000000,G443&lt;=Cutoff!$B$10),1,0)</f>
        <v>0</v>
      </c>
      <c r="N443" s="12" t="n">
        <f aca="false">IF(AND(M443=1,F443+Cutoff!$B$16&lt;=Cutoff!$B$10),1,0)</f>
        <v>0</v>
      </c>
      <c r="O443" s="12" t="n">
        <f aca="false">IF(N443=1,IF(AND(H443&lt;1000000000000000,H443&gt;=MAX(F443,E443),H443&lt;F443+Cutoff!$B$16,I443&lt;=Cutoff!$B$10),1,0),0)</f>
        <v>0</v>
      </c>
      <c r="P443" s="12" t="n">
        <f aca="false">IF(AND(L443=1,J443&lt;=Cutoff!$B$10),1,0)</f>
        <v>0</v>
      </c>
      <c r="Q443" s="12" t="n">
        <f aca="false">IF(AND(N443=1,E443+Cutoff!$B$17&lt;=Cutoff!$B$10),1,0)</f>
        <v>0</v>
      </c>
      <c r="R443" s="12" t="n">
        <f aca="false">IF(Q443=1,IF(K443&lt;=Cutoff!$B$10,1,0),0)</f>
        <v>0</v>
      </c>
      <c r="S443" s="12" t="n">
        <f aca="false">IF(N443=1,SUMIFS(Subscriptions!$D$2:$D$208,Subscriptions!$A$2:$A$208,C443,Subscriptions!$E$2:$E$208,1,Subscriptions!$B$2:$B$208,"&gt;="&amp;Cutoff!$B$24,Subscriptions!$B$2:$B$208,"&lt;"&amp;Cutoff!$B$25,Subscriptions!$B$2:$B$208,"&lt;="&amp;Cutoff!$B$10),0)</f>
        <v>0</v>
      </c>
    </row>
    <row r="444" customFormat="false" ht="15" hidden="false" customHeight="false" outlineLevel="0" collapsed="false">
      <c r="A444" s="4" t="s">
        <v>1173</v>
      </c>
      <c r="B444" s="4" t="s">
        <v>1089</v>
      </c>
      <c r="C444" s="4" t="s">
        <v>1174</v>
      </c>
      <c r="D444" s="4" t="s">
        <v>52</v>
      </c>
      <c r="E444" s="4" t="n">
        <v>1787183753</v>
      </c>
      <c r="F444" s="4" t="n">
        <v>1787183359</v>
      </c>
      <c r="G444" s="4" t="n">
        <v>1787183380</v>
      </c>
      <c r="H444" s="4" t="n">
        <v>1787204517</v>
      </c>
      <c r="I444" s="4" t="n">
        <v>1787204542</v>
      </c>
      <c r="J444" s="4" t="n">
        <v>1787184723</v>
      </c>
      <c r="K444" s="4" t="n">
        <v>1000000000000000</v>
      </c>
      <c r="L444" s="12" t="n">
        <f aca="false">IF(AND(B444=Cutoff!$B$12,E444&lt;=Cutoff!$B$10),1,0)</f>
        <v>0</v>
      </c>
      <c r="M444" s="12" t="n">
        <f aca="false">IF(AND(L444=1,F444&lt;1000000000000000,G444&lt;=Cutoff!$B$10),1,0)</f>
        <v>0</v>
      </c>
      <c r="N444" s="12" t="n">
        <f aca="false">IF(AND(M444=1,F444+Cutoff!$B$16&lt;=Cutoff!$B$10),1,0)</f>
        <v>0</v>
      </c>
      <c r="O444" s="12" t="n">
        <f aca="false">IF(N444=1,IF(AND(H444&lt;1000000000000000,H444&gt;=MAX(F444,E444),H444&lt;F444+Cutoff!$B$16,I444&lt;=Cutoff!$B$10),1,0),0)</f>
        <v>0</v>
      </c>
      <c r="P444" s="12" t="n">
        <f aca="false">IF(AND(L444=1,J444&lt;=Cutoff!$B$10),1,0)</f>
        <v>0</v>
      </c>
      <c r="Q444" s="12" t="n">
        <f aca="false">IF(AND(N444=1,E444+Cutoff!$B$17&lt;=Cutoff!$B$10),1,0)</f>
        <v>0</v>
      </c>
      <c r="R444" s="12" t="n">
        <f aca="false">IF(Q444=1,IF(K444&lt;=Cutoff!$B$10,1,0),0)</f>
        <v>0</v>
      </c>
      <c r="S444" s="12" t="n">
        <f aca="false">IF(N444=1,SUMIFS(Subscriptions!$D$2:$D$208,Subscriptions!$A$2:$A$208,C444,Subscriptions!$E$2:$E$208,1,Subscriptions!$B$2:$B$208,"&gt;="&amp;Cutoff!$B$24,Subscriptions!$B$2:$B$208,"&lt;"&amp;Cutoff!$B$25,Subscriptions!$B$2:$B$208,"&lt;="&amp;Cutoff!$B$10),0)</f>
        <v>0</v>
      </c>
    </row>
    <row r="445" customFormat="false" ht="15" hidden="false" customHeight="false" outlineLevel="0" collapsed="false">
      <c r="A445" s="4" t="s">
        <v>1175</v>
      </c>
      <c r="B445" s="4" t="s">
        <v>1089</v>
      </c>
      <c r="C445" s="4" t="s">
        <v>1176</v>
      </c>
      <c r="D445" s="4" t="s">
        <v>51</v>
      </c>
      <c r="E445" s="4" t="n">
        <v>1787184576</v>
      </c>
      <c r="F445" s="4" t="n">
        <v>1787184001</v>
      </c>
      <c r="G445" s="4" t="n">
        <v>1787184008</v>
      </c>
      <c r="H445" s="4" t="n">
        <v>1000000000000000</v>
      </c>
      <c r="I445" s="4" t="n">
        <v>1000000000000000</v>
      </c>
      <c r="J445" s="4" t="n">
        <v>1787184636</v>
      </c>
      <c r="K445" s="4" t="n">
        <v>1787350317</v>
      </c>
      <c r="L445" s="12" t="n">
        <f aca="false">IF(AND(B445=Cutoff!$B$12,E445&lt;=Cutoff!$B$10),1,0)</f>
        <v>0</v>
      </c>
      <c r="M445" s="12" t="n">
        <f aca="false">IF(AND(L445=1,F445&lt;1000000000000000,G445&lt;=Cutoff!$B$10),1,0)</f>
        <v>0</v>
      </c>
      <c r="N445" s="12" t="n">
        <f aca="false">IF(AND(M445=1,F445+Cutoff!$B$16&lt;=Cutoff!$B$10),1,0)</f>
        <v>0</v>
      </c>
      <c r="O445" s="12" t="n">
        <f aca="false">IF(N445=1,IF(AND(H445&lt;1000000000000000,H445&gt;=MAX(F445,E445),H445&lt;F445+Cutoff!$B$16,I445&lt;=Cutoff!$B$10),1,0),0)</f>
        <v>0</v>
      </c>
      <c r="P445" s="12" t="n">
        <f aca="false">IF(AND(L445=1,J445&lt;=Cutoff!$B$10),1,0)</f>
        <v>0</v>
      </c>
      <c r="Q445" s="12" t="n">
        <f aca="false">IF(AND(N445=1,E445+Cutoff!$B$17&lt;=Cutoff!$B$10),1,0)</f>
        <v>0</v>
      </c>
      <c r="R445" s="12" t="n">
        <f aca="false">IF(Q445=1,IF(K445&lt;=Cutoff!$B$10,1,0),0)</f>
        <v>0</v>
      </c>
      <c r="S445" s="12" t="n">
        <f aca="false">IF(N445=1,SUMIFS(Subscriptions!$D$2:$D$208,Subscriptions!$A$2:$A$208,C445,Subscriptions!$E$2:$E$208,1,Subscriptions!$B$2:$B$208,"&gt;="&amp;Cutoff!$B$24,Subscriptions!$B$2:$B$208,"&lt;"&amp;Cutoff!$B$25,Subscriptions!$B$2:$B$208,"&lt;="&amp;Cutoff!$B$10),0)</f>
        <v>0</v>
      </c>
    </row>
    <row r="446" customFormat="false" ht="15" hidden="false" customHeight="false" outlineLevel="0" collapsed="false">
      <c r="A446" s="4" t="s">
        <v>1177</v>
      </c>
      <c r="B446" s="4" t="s">
        <v>1089</v>
      </c>
      <c r="C446" s="4" t="s">
        <v>1178</v>
      </c>
      <c r="D446" s="4" t="s">
        <v>51</v>
      </c>
      <c r="E446" s="4" t="n">
        <v>1787257080</v>
      </c>
      <c r="F446" s="4" t="n">
        <v>1787256624</v>
      </c>
      <c r="G446" s="4" t="n">
        <v>1787256630</v>
      </c>
      <c r="H446" s="4" t="n">
        <v>1000000000000000</v>
      </c>
      <c r="I446" s="4" t="n">
        <v>1000000000000000</v>
      </c>
      <c r="J446" s="4" t="n">
        <v>1787257384</v>
      </c>
      <c r="K446" s="4" t="n">
        <v>1000000000000000</v>
      </c>
      <c r="L446" s="12" t="n">
        <f aca="false">IF(AND(B446=Cutoff!$B$12,E446&lt;=Cutoff!$B$10),1,0)</f>
        <v>0</v>
      </c>
      <c r="M446" s="12" t="n">
        <f aca="false">IF(AND(L446=1,F446&lt;1000000000000000,G446&lt;=Cutoff!$B$10),1,0)</f>
        <v>0</v>
      </c>
      <c r="N446" s="12" t="n">
        <f aca="false">IF(AND(M446=1,F446+Cutoff!$B$16&lt;=Cutoff!$B$10),1,0)</f>
        <v>0</v>
      </c>
      <c r="O446" s="12" t="n">
        <f aca="false">IF(N446=1,IF(AND(H446&lt;1000000000000000,H446&gt;=MAX(F446,E446),H446&lt;F446+Cutoff!$B$16,I446&lt;=Cutoff!$B$10),1,0),0)</f>
        <v>0</v>
      </c>
      <c r="P446" s="12" t="n">
        <f aca="false">IF(AND(L446=1,J446&lt;=Cutoff!$B$10),1,0)</f>
        <v>0</v>
      </c>
      <c r="Q446" s="12" t="n">
        <f aca="false">IF(AND(N446=1,E446+Cutoff!$B$17&lt;=Cutoff!$B$10),1,0)</f>
        <v>0</v>
      </c>
      <c r="R446" s="12" t="n">
        <f aca="false">IF(Q446=1,IF(K446&lt;=Cutoff!$B$10,1,0),0)</f>
        <v>0</v>
      </c>
      <c r="S446" s="12" t="n">
        <f aca="false">IF(N446=1,SUMIFS(Subscriptions!$D$2:$D$208,Subscriptions!$A$2:$A$208,C446,Subscriptions!$E$2:$E$208,1,Subscriptions!$B$2:$B$208,"&gt;="&amp;Cutoff!$B$24,Subscriptions!$B$2:$B$208,"&lt;"&amp;Cutoff!$B$25,Subscriptions!$B$2:$B$208,"&lt;="&amp;Cutoff!$B$10),0)</f>
        <v>0</v>
      </c>
    </row>
    <row r="447" customFormat="false" ht="15" hidden="false" customHeight="false" outlineLevel="0" collapsed="false">
      <c r="A447" s="4" t="s">
        <v>1179</v>
      </c>
      <c r="B447" s="4" t="s">
        <v>1089</v>
      </c>
      <c r="C447" s="4" t="s">
        <v>1180</v>
      </c>
      <c r="D447" s="4" t="s">
        <v>52</v>
      </c>
      <c r="E447" s="4" t="n">
        <v>1787308540</v>
      </c>
      <c r="F447" s="4" t="n">
        <v>1787307985</v>
      </c>
      <c r="G447" s="4" t="n">
        <v>1787308275</v>
      </c>
      <c r="H447" s="4" t="n">
        <v>1787344229</v>
      </c>
      <c r="I447" s="4" t="n">
        <v>1787344251</v>
      </c>
      <c r="J447" s="4" t="n">
        <v>1787308584</v>
      </c>
      <c r="K447" s="4" t="n">
        <v>1000000000000000</v>
      </c>
      <c r="L447" s="12" t="n">
        <f aca="false">IF(AND(B447=Cutoff!$B$12,E447&lt;=Cutoff!$B$10),1,0)</f>
        <v>0</v>
      </c>
      <c r="M447" s="12" t="n">
        <f aca="false">IF(AND(L447=1,F447&lt;1000000000000000,G447&lt;=Cutoff!$B$10),1,0)</f>
        <v>0</v>
      </c>
      <c r="N447" s="12" t="n">
        <f aca="false">IF(AND(M447=1,F447+Cutoff!$B$16&lt;=Cutoff!$B$10),1,0)</f>
        <v>0</v>
      </c>
      <c r="O447" s="12" t="n">
        <f aca="false">IF(N447=1,IF(AND(H447&lt;1000000000000000,H447&gt;=MAX(F447,E447),H447&lt;F447+Cutoff!$B$16,I447&lt;=Cutoff!$B$10),1,0),0)</f>
        <v>0</v>
      </c>
      <c r="P447" s="12" t="n">
        <f aca="false">IF(AND(L447=1,J447&lt;=Cutoff!$B$10),1,0)</f>
        <v>0</v>
      </c>
      <c r="Q447" s="12" t="n">
        <f aca="false">IF(AND(N447=1,E447+Cutoff!$B$17&lt;=Cutoff!$B$10),1,0)</f>
        <v>0</v>
      </c>
      <c r="R447" s="12" t="n">
        <f aca="false">IF(Q447=1,IF(K447&lt;=Cutoff!$B$10,1,0),0)</f>
        <v>0</v>
      </c>
      <c r="S447" s="12" t="n">
        <f aca="false">IF(N447=1,SUMIFS(Subscriptions!$D$2:$D$208,Subscriptions!$A$2:$A$208,C447,Subscriptions!$E$2:$E$208,1,Subscriptions!$B$2:$B$208,"&gt;="&amp;Cutoff!$B$24,Subscriptions!$B$2:$B$208,"&lt;"&amp;Cutoff!$B$25,Subscriptions!$B$2:$B$208,"&lt;="&amp;Cutoff!$B$10),0)</f>
        <v>0</v>
      </c>
    </row>
    <row r="448" customFormat="false" ht="15" hidden="false" customHeight="false" outlineLevel="0" collapsed="false">
      <c r="A448" s="4" t="s">
        <v>1181</v>
      </c>
      <c r="B448" s="4" t="s">
        <v>1089</v>
      </c>
      <c r="C448" s="4" t="s">
        <v>1182</v>
      </c>
      <c r="D448" s="4" t="s">
        <v>52</v>
      </c>
      <c r="E448" s="4" t="n">
        <v>1787331843</v>
      </c>
      <c r="F448" s="4" t="n">
        <v>1787331617</v>
      </c>
      <c r="G448" s="4" t="n">
        <v>1787331618</v>
      </c>
      <c r="H448" s="4" t="n">
        <v>1000000000000000</v>
      </c>
      <c r="I448" s="4" t="n">
        <v>1000000000000000</v>
      </c>
      <c r="J448" s="4" t="n">
        <v>1787332504</v>
      </c>
      <c r="K448" s="4" t="n">
        <v>1000000000000000</v>
      </c>
      <c r="L448" s="12" t="n">
        <f aca="false">IF(AND(B448=Cutoff!$B$12,E448&lt;=Cutoff!$B$10),1,0)</f>
        <v>0</v>
      </c>
      <c r="M448" s="12" t="n">
        <f aca="false">IF(AND(L448=1,F448&lt;1000000000000000,G448&lt;=Cutoff!$B$10),1,0)</f>
        <v>0</v>
      </c>
      <c r="N448" s="12" t="n">
        <f aca="false">IF(AND(M448=1,F448+Cutoff!$B$16&lt;=Cutoff!$B$10),1,0)</f>
        <v>0</v>
      </c>
      <c r="O448" s="12" t="n">
        <f aca="false">IF(N448=1,IF(AND(H448&lt;1000000000000000,H448&gt;=MAX(F448,E448),H448&lt;F448+Cutoff!$B$16,I448&lt;=Cutoff!$B$10),1,0),0)</f>
        <v>0</v>
      </c>
      <c r="P448" s="12" t="n">
        <f aca="false">IF(AND(L448=1,J448&lt;=Cutoff!$B$10),1,0)</f>
        <v>0</v>
      </c>
      <c r="Q448" s="12" t="n">
        <f aca="false">IF(AND(N448=1,E448+Cutoff!$B$17&lt;=Cutoff!$B$10),1,0)</f>
        <v>0</v>
      </c>
      <c r="R448" s="12" t="n">
        <f aca="false">IF(Q448=1,IF(K448&lt;=Cutoff!$B$10,1,0),0)</f>
        <v>0</v>
      </c>
      <c r="S448" s="12" t="n">
        <f aca="false">IF(N448=1,SUMIFS(Subscriptions!$D$2:$D$208,Subscriptions!$A$2:$A$208,C448,Subscriptions!$E$2:$E$208,1,Subscriptions!$B$2:$B$208,"&gt;="&amp;Cutoff!$B$24,Subscriptions!$B$2:$B$208,"&lt;"&amp;Cutoff!$B$25,Subscriptions!$B$2:$B$208,"&lt;="&amp;Cutoff!$B$10),0)</f>
        <v>0</v>
      </c>
    </row>
    <row r="449" customFormat="false" ht="15" hidden="false" customHeight="false" outlineLevel="0" collapsed="false">
      <c r="A449" s="4" t="s">
        <v>1183</v>
      </c>
      <c r="B449" s="4" t="s">
        <v>1089</v>
      </c>
      <c r="C449" s="4" t="s">
        <v>1184</v>
      </c>
      <c r="D449" s="4" t="s">
        <v>51</v>
      </c>
      <c r="E449" s="4" t="n">
        <v>1787423004</v>
      </c>
      <c r="F449" s="4" t="n">
        <v>1787422683</v>
      </c>
      <c r="G449" s="4" t="n">
        <v>1787422686</v>
      </c>
      <c r="H449" s="4" t="n">
        <v>1000000000000000</v>
      </c>
      <c r="I449" s="4" t="n">
        <v>1000000000000000</v>
      </c>
      <c r="J449" s="4" t="n">
        <v>1787423614</v>
      </c>
      <c r="K449" s="4" t="n">
        <v>1000000000000000</v>
      </c>
      <c r="L449" s="12" t="n">
        <f aca="false">IF(AND(B449=Cutoff!$B$12,E449&lt;=Cutoff!$B$10),1,0)</f>
        <v>0</v>
      </c>
      <c r="M449" s="12" t="n">
        <f aca="false">IF(AND(L449=1,F449&lt;1000000000000000,G449&lt;=Cutoff!$B$10),1,0)</f>
        <v>0</v>
      </c>
      <c r="N449" s="12" t="n">
        <f aca="false">IF(AND(M449=1,F449+Cutoff!$B$16&lt;=Cutoff!$B$10),1,0)</f>
        <v>0</v>
      </c>
      <c r="O449" s="12" t="n">
        <f aca="false">IF(N449=1,IF(AND(H449&lt;1000000000000000,H449&gt;=MAX(F449,E449),H449&lt;F449+Cutoff!$B$16,I449&lt;=Cutoff!$B$10),1,0),0)</f>
        <v>0</v>
      </c>
      <c r="P449" s="12" t="n">
        <f aca="false">IF(AND(L449=1,J449&lt;=Cutoff!$B$10),1,0)</f>
        <v>0</v>
      </c>
      <c r="Q449" s="12" t="n">
        <f aca="false">IF(AND(N449=1,E449+Cutoff!$B$17&lt;=Cutoff!$B$10),1,0)</f>
        <v>0</v>
      </c>
      <c r="R449" s="12" t="n">
        <f aca="false">IF(Q449=1,IF(K449&lt;=Cutoff!$B$10,1,0),0)</f>
        <v>0</v>
      </c>
      <c r="S449" s="12" t="n">
        <f aca="false">IF(N449=1,SUMIFS(Subscriptions!$D$2:$D$208,Subscriptions!$A$2:$A$208,C449,Subscriptions!$E$2:$E$208,1,Subscriptions!$B$2:$B$208,"&gt;="&amp;Cutoff!$B$24,Subscriptions!$B$2:$B$208,"&lt;"&amp;Cutoff!$B$25,Subscriptions!$B$2:$B$208,"&lt;="&amp;Cutoff!$B$10),0)</f>
        <v>0</v>
      </c>
    </row>
    <row r="450" customFormat="false" ht="15" hidden="false" customHeight="false" outlineLevel="0" collapsed="false">
      <c r="A450" s="4" t="s">
        <v>1185</v>
      </c>
      <c r="B450" s="4" t="s">
        <v>1089</v>
      </c>
      <c r="C450" s="4" t="s">
        <v>1186</v>
      </c>
      <c r="D450" s="4" t="s">
        <v>51</v>
      </c>
      <c r="E450" s="4" t="n">
        <v>1787501230</v>
      </c>
      <c r="F450" s="4" t="n">
        <v>1787501124</v>
      </c>
      <c r="G450" s="4" t="n">
        <v>1787501149</v>
      </c>
      <c r="H450" s="4" t="n">
        <v>1000000000000000</v>
      </c>
      <c r="I450" s="4" t="n">
        <v>1000000000000000</v>
      </c>
      <c r="J450" s="4" t="n">
        <v>1787501986</v>
      </c>
      <c r="K450" s="4" t="n">
        <v>1000000000000000</v>
      </c>
      <c r="L450" s="12" t="n">
        <f aca="false">IF(AND(B450=Cutoff!$B$12,E450&lt;=Cutoff!$B$10),1,0)</f>
        <v>0</v>
      </c>
      <c r="M450" s="12" t="n">
        <f aca="false">IF(AND(L450=1,F450&lt;1000000000000000,G450&lt;=Cutoff!$B$10),1,0)</f>
        <v>0</v>
      </c>
      <c r="N450" s="12" t="n">
        <f aca="false">IF(AND(M450=1,F450+Cutoff!$B$16&lt;=Cutoff!$B$10),1,0)</f>
        <v>0</v>
      </c>
      <c r="O450" s="12" t="n">
        <f aca="false">IF(N450=1,IF(AND(H450&lt;1000000000000000,H450&gt;=MAX(F450,E450),H450&lt;F450+Cutoff!$B$16,I450&lt;=Cutoff!$B$10),1,0),0)</f>
        <v>0</v>
      </c>
      <c r="P450" s="12" t="n">
        <f aca="false">IF(AND(L450=1,J450&lt;=Cutoff!$B$10),1,0)</f>
        <v>0</v>
      </c>
      <c r="Q450" s="12" t="n">
        <f aca="false">IF(AND(N450=1,E450+Cutoff!$B$17&lt;=Cutoff!$B$10),1,0)</f>
        <v>0</v>
      </c>
      <c r="R450" s="12" t="n">
        <f aca="false">IF(Q450=1,IF(K450&lt;=Cutoff!$B$10,1,0),0)</f>
        <v>0</v>
      </c>
      <c r="S450" s="12" t="n">
        <f aca="false">IF(N450=1,SUMIFS(Subscriptions!$D$2:$D$208,Subscriptions!$A$2:$A$208,C450,Subscriptions!$E$2:$E$208,1,Subscriptions!$B$2:$B$208,"&gt;="&amp;Cutoff!$B$24,Subscriptions!$B$2:$B$208,"&lt;"&amp;Cutoff!$B$25,Subscriptions!$B$2:$B$208,"&lt;="&amp;Cutoff!$B$10),0)</f>
        <v>0</v>
      </c>
    </row>
    <row r="451" customFormat="false" ht="15" hidden="false" customHeight="false" outlineLevel="0" collapsed="false">
      <c r="A451" s="4" t="s">
        <v>1187</v>
      </c>
      <c r="B451" s="4" t="s">
        <v>1089</v>
      </c>
      <c r="C451" s="4" t="s">
        <v>1188</v>
      </c>
      <c r="D451" s="4" t="s">
        <v>52</v>
      </c>
      <c r="E451" s="4" t="n">
        <v>1787528538</v>
      </c>
      <c r="F451" s="4" t="n">
        <v>1787528055</v>
      </c>
      <c r="G451" s="4" t="n">
        <v>1787528062</v>
      </c>
      <c r="H451" s="4" t="n">
        <v>1000000000000000</v>
      </c>
      <c r="I451" s="4" t="n">
        <v>1000000000000000</v>
      </c>
      <c r="J451" s="4" t="n">
        <v>1787529048</v>
      </c>
      <c r="K451" s="4" t="n">
        <v>1787529148</v>
      </c>
      <c r="L451" s="12" t="n">
        <f aca="false">IF(AND(B451=Cutoff!$B$12,E451&lt;=Cutoff!$B$10),1,0)</f>
        <v>0</v>
      </c>
      <c r="M451" s="12" t="n">
        <f aca="false">IF(AND(L451=1,F451&lt;1000000000000000,G451&lt;=Cutoff!$B$10),1,0)</f>
        <v>0</v>
      </c>
      <c r="N451" s="12" t="n">
        <f aca="false">IF(AND(M451=1,F451+Cutoff!$B$16&lt;=Cutoff!$B$10),1,0)</f>
        <v>0</v>
      </c>
      <c r="O451" s="12" t="n">
        <f aca="false">IF(N451=1,IF(AND(H451&lt;1000000000000000,H451&gt;=MAX(F451,E451),H451&lt;F451+Cutoff!$B$16,I451&lt;=Cutoff!$B$10),1,0),0)</f>
        <v>0</v>
      </c>
      <c r="P451" s="12" t="n">
        <f aca="false">IF(AND(L451=1,J451&lt;=Cutoff!$B$10),1,0)</f>
        <v>0</v>
      </c>
      <c r="Q451" s="12" t="n">
        <f aca="false">IF(AND(N451=1,E451+Cutoff!$B$17&lt;=Cutoff!$B$10),1,0)</f>
        <v>0</v>
      </c>
      <c r="R451" s="12" t="n">
        <f aca="false">IF(Q451=1,IF(K451&lt;=Cutoff!$B$10,1,0),0)</f>
        <v>0</v>
      </c>
      <c r="S451" s="12" t="n">
        <f aca="false">IF(N451=1,SUMIFS(Subscriptions!$D$2:$D$208,Subscriptions!$A$2:$A$208,C451,Subscriptions!$E$2:$E$208,1,Subscriptions!$B$2:$B$208,"&gt;="&amp;Cutoff!$B$24,Subscriptions!$B$2:$B$208,"&lt;"&amp;Cutoff!$B$25,Subscriptions!$B$2:$B$208,"&lt;="&amp;Cutoff!$B$10),0)</f>
        <v>0</v>
      </c>
    </row>
    <row r="452" customFormat="false" ht="15" hidden="false" customHeight="false" outlineLevel="0" collapsed="false">
      <c r="A452" s="4" t="s">
        <v>1189</v>
      </c>
      <c r="B452" s="4" t="s">
        <v>1089</v>
      </c>
      <c r="C452" s="4" t="s">
        <v>1190</v>
      </c>
      <c r="D452" s="4" t="s">
        <v>52</v>
      </c>
      <c r="E452" s="4" t="n">
        <v>1787570131</v>
      </c>
      <c r="F452" s="4" t="n">
        <v>1787570000</v>
      </c>
      <c r="G452" s="4" t="n">
        <v>1787570005</v>
      </c>
      <c r="H452" s="4" t="n">
        <v>1787572528</v>
      </c>
      <c r="I452" s="4" t="n">
        <v>1787572532</v>
      </c>
      <c r="J452" s="4" t="n">
        <v>1787571267</v>
      </c>
      <c r="K452" s="4" t="n">
        <v>1000000000000000</v>
      </c>
      <c r="L452" s="12" t="n">
        <f aca="false">IF(AND(B452=Cutoff!$B$12,E452&lt;=Cutoff!$B$10),1,0)</f>
        <v>0</v>
      </c>
      <c r="M452" s="12" t="n">
        <f aca="false">IF(AND(L452=1,F452&lt;1000000000000000,G452&lt;=Cutoff!$B$10),1,0)</f>
        <v>0</v>
      </c>
      <c r="N452" s="12" t="n">
        <f aca="false">IF(AND(M452=1,F452+Cutoff!$B$16&lt;=Cutoff!$B$10),1,0)</f>
        <v>0</v>
      </c>
      <c r="O452" s="12" t="n">
        <f aca="false">IF(N452=1,IF(AND(H452&lt;1000000000000000,H452&gt;=MAX(F452,E452),H452&lt;F452+Cutoff!$B$16,I452&lt;=Cutoff!$B$10),1,0),0)</f>
        <v>0</v>
      </c>
      <c r="P452" s="12" t="n">
        <f aca="false">IF(AND(L452=1,J452&lt;=Cutoff!$B$10),1,0)</f>
        <v>0</v>
      </c>
      <c r="Q452" s="12" t="n">
        <f aca="false">IF(AND(N452=1,E452+Cutoff!$B$17&lt;=Cutoff!$B$10),1,0)</f>
        <v>0</v>
      </c>
      <c r="R452" s="12" t="n">
        <f aca="false">IF(Q452=1,IF(K452&lt;=Cutoff!$B$10,1,0),0)</f>
        <v>0</v>
      </c>
      <c r="S452" s="12" t="n">
        <f aca="false">IF(N452=1,SUMIFS(Subscriptions!$D$2:$D$208,Subscriptions!$A$2:$A$208,C452,Subscriptions!$E$2:$E$208,1,Subscriptions!$B$2:$B$208,"&gt;="&amp;Cutoff!$B$24,Subscriptions!$B$2:$B$208,"&lt;"&amp;Cutoff!$B$25,Subscriptions!$B$2:$B$208,"&lt;="&amp;Cutoff!$B$10),0)</f>
        <v>0</v>
      </c>
    </row>
    <row r="453" customFormat="false" ht="15" hidden="false" customHeight="false" outlineLevel="0" collapsed="false">
      <c r="A453" s="4" t="s">
        <v>1191</v>
      </c>
      <c r="B453" s="4" t="s">
        <v>1089</v>
      </c>
      <c r="C453" s="4" t="s">
        <v>1192</v>
      </c>
      <c r="D453" s="4" t="s">
        <v>52</v>
      </c>
      <c r="E453" s="4" t="n">
        <v>1787571603</v>
      </c>
      <c r="F453" s="4" t="n">
        <v>1787571237</v>
      </c>
      <c r="G453" s="4" t="n">
        <v>1787571252</v>
      </c>
      <c r="H453" s="4" t="n">
        <v>1000000000000000</v>
      </c>
      <c r="I453" s="4" t="n">
        <v>1000000000000000</v>
      </c>
      <c r="J453" s="4" t="n">
        <v>1000000000000000</v>
      </c>
      <c r="K453" s="4" t="n">
        <v>1000000000000000</v>
      </c>
      <c r="L453" s="12" t="n">
        <f aca="false">IF(AND(B453=Cutoff!$B$12,E453&lt;=Cutoff!$B$10),1,0)</f>
        <v>0</v>
      </c>
      <c r="M453" s="12" t="n">
        <f aca="false">IF(AND(L453=1,F453&lt;1000000000000000,G453&lt;=Cutoff!$B$10),1,0)</f>
        <v>0</v>
      </c>
      <c r="N453" s="12" t="n">
        <f aca="false">IF(AND(M453=1,F453+Cutoff!$B$16&lt;=Cutoff!$B$10),1,0)</f>
        <v>0</v>
      </c>
      <c r="O453" s="12" t="n">
        <f aca="false">IF(N453=1,IF(AND(H453&lt;1000000000000000,H453&gt;=MAX(F453,E453),H453&lt;F453+Cutoff!$B$16,I453&lt;=Cutoff!$B$10),1,0),0)</f>
        <v>0</v>
      </c>
      <c r="P453" s="12" t="n">
        <f aca="false">IF(AND(L453=1,J453&lt;=Cutoff!$B$10),1,0)</f>
        <v>0</v>
      </c>
      <c r="Q453" s="12" t="n">
        <f aca="false">IF(AND(N453=1,E453+Cutoff!$B$17&lt;=Cutoff!$B$10),1,0)</f>
        <v>0</v>
      </c>
      <c r="R453" s="12" t="n">
        <f aca="false">IF(Q453=1,IF(K453&lt;=Cutoff!$B$10,1,0),0)</f>
        <v>0</v>
      </c>
      <c r="S453" s="12" t="n">
        <f aca="false">IF(N453=1,SUMIFS(Subscriptions!$D$2:$D$208,Subscriptions!$A$2:$A$208,C453,Subscriptions!$E$2:$E$208,1,Subscriptions!$B$2:$B$208,"&gt;="&amp;Cutoff!$B$24,Subscriptions!$B$2:$B$208,"&lt;"&amp;Cutoff!$B$25,Subscriptions!$B$2:$B$208,"&lt;="&amp;Cutoff!$B$10),0)</f>
        <v>0</v>
      </c>
    </row>
    <row r="454" customFormat="false" ht="15" hidden="false" customHeight="false" outlineLevel="0" collapsed="false">
      <c r="A454" s="4" t="s">
        <v>1193</v>
      </c>
      <c r="B454" s="4" t="s">
        <v>1089</v>
      </c>
      <c r="C454" s="4" t="s">
        <v>1194</v>
      </c>
      <c r="D454" s="4" t="s">
        <v>51</v>
      </c>
      <c r="E454" s="4" t="n">
        <v>1787576597</v>
      </c>
      <c r="F454" s="4" t="n">
        <v>1787576130</v>
      </c>
      <c r="G454" s="4" t="n">
        <v>1787576131</v>
      </c>
      <c r="H454" s="4" t="n">
        <v>1788096327</v>
      </c>
      <c r="I454" s="4" t="n">
        <v>1788096337</v>
      </c>
      <c r="J454" s="4" t="n">
        <v>1787576614</v>
      </c>
      <c r="K454" s="4" t="n">
        <v>1000000000000000</v>
      </c>
      <c r="L454" s="12" t="n">
        <f aca="false">IF(AND(B454=Cutoff!$B$12,E454&lt;=Cutoff!$B$10),1,0)</f>
        <v>0</v>
      </c>
      <c r="M454" s="12" t="n">
        <f aca="false">IF(AND(L454=1,F454&lt;1000000000000000,G454&lt;=Cutoff!$B$10),1,0)</f>
        <v>0</v>
      </c>
      <c r="N454" s="12" t="n">
        <f aca="false">IF(AND(M454=1,F454+Cutoff!$B$16&lt;=Cutoff!$B$10),1,0)</f>
        <v>0</v>
      </c>
      <c r="O454" s="12" t="n">
        <f aca="false">IF(N454=1,IF(AND(H454&lt;1000000000000000,H454&gt;=MAX(F454,E454),H454&lt;F454+Cutoff!$B$16,I454&lt;=Cutoff!$B$10),1,0),0)</f>
        <v>0</v>
      </c>
      <c r="P454" s="12" t="n">
        <f aca="false">IF(AND(L454=1,J454&lt;=Cutoff!$B$10),1,0)</f>
        <v>0</v>
      </c>
      <c r="Q454" s="12" t="n">
        <f aca="false">IF(AND(N454=1,E454+Cutoff!$B$17&lt;=Cutoff!$B$10),1,0)</f>
        <v>0</v>
      </c>
      <c r="R454" s="12" t="n">
        <f aca="false">IF(Q454=1,IF(K454&lt;=Cutoff!$B$10,1,0),0)</f>
        <v>0</v>
      </c>
      <c r="S454" s="12" t="n">
        <f aca="false">IF(N454=1,SUMIFS(Subscriptions!$D$2:$D$208,Subscriptions!$A$2:$A$208,C454,Subscriptions!$E$2:$E$208,1,Subscriptions!$B$2:$B$208,"&gt;="&amp;Cutoff!$B$24,Subscriptions!$B$2:$B$208,"&lt;"&amp;Cutoff!$B$25,Subscriptions!$B$2:$B$208,"&lt;="&amp;Cutoff!$B$10),0)</f>
        <v>0</v>
      </c>
    </row>
    <row r="455" customFormat="false" ht="15" hidden="false" customHeight="false" outlineLevel="0" collapsed="false">
      <c r="A455" s="4" t="s">
        <v>1195</v>
      </c>
      <c r="B455" s="4" t="s">
        <v>1089</v>
      </c>
      <c r="C455" s="4" t="s">
        <v>1196</v>
      </c>
      <c r="D455" s="4" t="s">
        <v>52</v>
      </c>
      <c r="E455" s="4" t="n">
        <v>1787577508</v>
      </c>
      <c r="F455" s="4" t="n">
        <v>1787577192</v>
      </c>
      <c r="G455" s="4" t="n">
        <v>1787577209</v>
      </c>
      <c r="H455" s="4" t="n">
        <v>1000000000000000</v>
      </c>
      <c r="I455" s="4" t="n">
        <v>1000000000000000</v>
      </c>
      <c r="J455" s="4" t="n">
        <v>1787577779</v>
      </c>
      <c r="K455" s="4" t="n">
        <v>1000000000000000</v>
      </c>
      <c r="L455" s="12" t="n">
        <f aca="false">IF(AND(B455=Cutoff!$B$12,E455&lt;=Cutoff!$B$10),1,0)</f>
        <v>0</v>
      </c>
      <c r="M455" s="12" t="n">
        <f aca="false">IF(AND(L455=1,F455&lt;1000000000000000,G455&lt;=Cutoff!$B$10),1,0)</f>
        <v>0</v>
      </c>
      <c r="N455" s="12" t="n">
        <f aca="false">IF(AND(M455=1,F455+Cutoff!$B$16&lt;=Cutoff!$B$10),1,0)</f>
        <v>0</v>
      </c>
      <c r="O455" s="12" t="n">
        <f aca="false">IF(N455=1,IF(AND(H455&lt;1000000000000000,H455&gt;=MAX(F455,E455),H455&lt;F455+Cutoff!$B$16,I455&lt;=Cutoff!$B$10),1,0),0)</f>
        <v>0</v>
      </c>
      <c r="P455" s="12" t="n">
        <f aca="false">IF(AND(L455=1,J455&lt;=Cutoff!$B$10),1,0)</f>
        <v>0</v>
      </c>
      <c r="Q455" s="12" t="n">
        <f aca="false">IF(AND(N455=1,E455+Cutoff!$B$17&lt;=Cutoff!$B$10),1,0)</f>
        <v>0</v>
      </c>
      <c r="R455" s="12" t="n">
        <f aca="false">IF(Q455=1,IF(K455&lt;=Cutoff!$B$10,1,0),0)</f>
        <v>0</v>
      </c>
      <c r="S455" s="12" t="n">
        <f aca="false">IF(N455=1,SUMIFS(Subscriptions!$D$2:$D$208,Subscriptions!$A$2:$A$208,C455,Subscriptions!$E$2:$E$208,1,Subscriptions!$B$2:$B$208,"&gt;="&amp;Cutoff!$B$24,Subscriptions!$B$2:$B$208,"&lt;"&amp;Cutoff!$B$25,Subscriptions!$B$2:$B$208,"&lt;="&amp;Cutoff!$B$10),0)</f>
        <v>0</v>
      </c>
    </row>
    <row r="456" customFormat="false" ht="15" hidden="false" customHeight="false" outlineLevel="0" collapsed="false">
      <c r="A456" s="4" t="s">
        <v>1197</v>
      </c>
      <c r="B456" s="4" t="s">
        <v>1089</v>
      </c>
      <c r="C456" s="4" t="s">
        <v>1198</v>
      </c>
      <c r="D456" s="4" t="s">
        <v>51</v>
      </c>
      <c r="E456" s="4" t="n">
        <v>1787683324</v>
      </c>
      <c r="F456" s="4" t="n">
        <v>1787682944</v>
      </c>
      <c r="G456" s="4" t="n">
        <v>1787682949</v>
      </c>
      <c r="H456" s="4" t="n">
        <v>1787898729</v>
      </c>
      <c r="I456" s="4" t="n">
        <v>1787898752</v>
      </c>
      <c r="J456" s="4" t="n">
        <v>1000000000000000</v>
      </c>
      <c r="K456" s="4" t="n">
        <v>1787926351</v>
      </c>
      <c r="L456" s="12" t="n">
        <f aca="false">IF(AND(B456=Cutoff!$B$12,E456&lt;=Cutoff!$B$10),1,0)</f>
        <v>0</v>
      </c>
      <c r="M456" s="12" t="n">
        <f aca="false">IF(AND(L456=1,F456&lt;1000000000000000,G456&lt;=Cutoff!$B$10),1,0)</f>
        <v>0</v>
      </c>
      <c r="N456" s="12" t="n">
        <f aca="false">IF(AND(M456=1,F456+Cutoff!$B$16&lt;=Cutoff!$B$10),1,0)</f>
        <v>0</v>
      </c>
      <c r="O456" s="12" t="n">
        <f aca="false">IF(N456=1,IF(AND(H456&lt;1000000000000000,H456&gt;=MAX(F456,E456),H456&lt;F456+Cutoff!$B$16,I456&lt;=Cutoff!$B$10),1,0),0)</f>
        <v>0</v>
      </c>
      <c r="P456" s="12" t="n">
        <f aca="false">IF(AND(L456=1,J456&lt;=Cutoff!$B$10),1,0)</f>
        <v>0</v>
      </c>
      <c r="Q456" s="12" t="n">
        <f aca="false">IF(AND(N456=1,E456+Cutoff!$B$17&lt;=Cutoff!$B$10),1,0)</f>
        <v>0</v>
      </c>
      <c r="R456" s="12" t="n">
        <f aca="false">IF(Q456=1,IF(K456&lt;=Cutoff!$B$10,1,0),0)</f>
        <v>0</v>
      </c>
      <c r="S456" s="12" t="n">
        <f aca="false">IF(N456=1,SUMIFS(Subscriptions!$D$2:$D$208,Subscriptions!$A$2:$A$208,C456,Subscriptions!$E$2:$E$208,1,Subscriptions!$B$2:$B$208,"&gt;="&amp;Cutoff!$B$24,Subscriptions!$B$2:$B$208,"&lt;"&amp;Cutoff!$B$25,Subscriptions!$B$2:$B$208,"&lt;="&amp;Cutoff!$B$10),0)</f>
        <v>0</v>
      </c>
    </row>
    <row r="457" customFormat="false" ht="15" hidden="false" customHeight="false" outlineLevel="0" collapsed="false">
      <c r="A457" s="4" t="s">
        <v>1199</v>
      </c>
      <c r="B457" s="4" t="s">
        <v>1089</v>
      </c>
      <c r="C457" s="4" t="s">
        <v>1200</v>
      </c>
      <c r="D457" s="4" t="s">
        <v>52</v>
      </c>
      <c r="E457" s="4" t="n">
        <v>1787688636</v>
      </c>
      <c r="F457" s="4" t="n">
        <v>1787688465</v>
      </c>
      <c r="G457" s="4" t="n">
        <v>1787688479</v>
      </c>
      <c r="H457" s="4" t="n">
        <v>1000000000000000</v>
      </c>
      <c r="I457" s="4" t="n">
        <v>1000000000000000</v>
      </c>
      <c r="J457" s="4" t="n">
        <v>1787689237</v>
      </c>
      <c r="K457" s="4" t="n">
        <v>1000000000000000</v>
      </c>
      <c r="L457" s="12" t="n">
        <f aca="false">IF(AND(B457=Cutoff!$B$12,E457&lt;=Cutoff!$B$10),1,0)</f>
        <v>0</v>
      </c>
      <c r="M457" s="12" t="n">
        <f aca="false">IF(AND(L457=1,F457&lt;1000000000000000,G457&lt;=Cutoff!$B$10),1,0)</f>
        <v>0</v>
      </c>
      <c r="N457" s="12" t="n">
        <f aca="false">IF(AND(M457=1,F457+Cutoff!$B$16&lt;=Cutoff!$B$10),1,0)</f>
        <v>0</v>
      </c>
      <c r="O457" s="12" t="n">
        <f aca="false">IF(N457=1,IF(AND(H457&lt;1000000000000000,H457&gt;=MAX(F457,E457),H457&lt;F457+Cutoff!$B$16,I457&lt;=Cutoff!$B$10),1,0),0)</f>
        <v>0</v>
      </c>
      <c r="P457" s="12" t="n">
        <f aca="false">IF(AND(L457=1,J457&lt;=Cutoff!$B$10),1,0)</f>
        <v>0</v>
      </c>
      <c r="Q457" s="12" t="n">
        <f aca="false">IF(AND(N457=1,E457+Cutoff!$B$17&lt;=Cutoff!$B$10),1,0)</f>
        <v>0</v>
      </c>
      <c r="R457" s="12" t="n">
        <f aca="false">IF(Q457=1,IF(K457&lt;=Cutoff!$B$10,1,0),0)</f>
        <v>0</v>
      </c>
      <c r="S457" s="12" t="n">
        <f aca="false">IF(N457=1,SUMIFS(Subscriptions!$D$2:$D$208,Subscriptions!$A$2:$A$208,C457,Subscriptions!$E$2:$E$208,1,Subscriptions!$B$2:$B$208,"&gt;="&amp;Cutoff!$B$24,Subscriptions!$B$2:$B$208,"&lt;"&amp;Cutoff!$B$25,Subscriptions!$B$2:$B$208,"&lt;="&amp;Cutoff!$B$10),0)</f>
        <v>0</v>
      </c>
    </row>
    <row r="458" customFormat="false" ht="15" hidden="false" customHeight="false" outlineLevel="0" collapsed="false">
      <c r="A458" s="4" t="s">
        <v>1201</v>
      </c>
      <c r="B458" s="4" t="s">
        <v>1089</v>
      </c>
      <c r="C458" s="4" t="s">
        <v>1202</v>
      </c>
      <c r="D458" s="4" t="s">
        <v>51</v>
      </c>
      <c r="E458" s="4" t="n">
        <v>1787697300</v>
      </c>
      <c r="F458" s="4" t="n">
        <v>1787697009</v>
      </c>
      <c r="G458" s="4" t="n">
        <v>1787697035</v>
      </c>
      <c r="H458" s="4" t="n">
        <v>1000000000000000</v>
      </c>
      <c r="I458" s="4" t="n">
        <v>1000000000000000</v>
      </c>
      <c r="J458" s="4" t="n">
        <v>1787698157</v>
      </c>
      <c r="K458" s="4" t="n">
        <v>1000000000000000</v>
      </c>
      <c r="L458" s="12" t="n">
        <f aca="false">IF(AND(B458=Cutoff!$B$12,E458&lt;=Cutoff!$B$10),1,0)</f>
        <v>0</v>
      </c>
      <c r="M458" s="12" t="n">
        <f aca="false">IF(AND(L458=1,F458&lt;1000000000000000,G458&lt;=Cutoff!$B$10),1,0)</f>
        <v>0</v>
      </c>
      <c r="N458" s="12" t="n">
        <f aca="false">IF(AND(M458=1,F458+Cutoff!$B$16&lt;=Cutoff!$B$10),1,0)</f>
        <v>0</v>
      </c>
      <c r="O458" s="12" t="n">
        <f aca="false">IF(N458=1,IF(AND(H458&lt;1000000000000000,H458&gt;=MAX(F458,E458),H458&lt;F458+Cutoff!$B$16,I458&lt;=Cutoff!$B$10),1,0),0)</f>
        <v>0</v>
      </c>
      <c r="P458" s="12" t="n">
        <f aca="false">IF(AND(L458=1,J458&lt;=Cutoff!$B$10),1,0)</f>
        <v>0</v>
      </c>
      <c r="Q458" s="12" t="n">
        <f aca="false">IF(AND(N458=1,E458+Cutoff!$B$17&lt;=Cutoff!$B$10),1,0)</f>
        <v>0</v>
      </c>
      <c r="R458" s="12" t="n">
        <f aca="false">IF(Q458=1,IF(K458&lt;=Cutoff!$B$10,1,0),0)</f>
        <v>0</v>
      </c>
      <c r="S458" s="12" t="n">
        <f aca="false">IF(N458=1,SUMIFS(Subscriptions!$D$2:$D$208,Subscriptions!$A$2:$A$208,C458,Subscriptions!$E$2:$E$208,1,Subscriptions!$B$2:$B$208,"&gt;="&amp;Cutoff!$B$24,Subscriptions!$B$2:$B$208,"&lt;"&amp;Cutoff!$B$25,Subscriptions!$B$2:$B$208,"&lt;="&amp;Cutoff!$B$10),0)</f>
        <v>0</v>
      </c>
    </row>
    <row r="459" customFormat="false" ht="15" hidden="false" customHeight="false" outlineLevel="0" collapsed="false">
      <c r="A459" s="4" t="s">
        <v>1203</v>
      </c>
      <c r="B459" s="4" t="s">
        <v>1089</v>
      </c>
      <c r="C459" s="4" t="s">
        <v>1204</v>
      </c>
      <c r="D459" s="4" t="s">
        <v>52</v>
      </c>
      <c r="E459" s="4" t="n">
        <v>1787697758</v>
      </c>
      <c r="F459" s="4" t="n">
        <v>1787697402</v>
      </c>
      <c r="G459" s="4" t="n">
        <v>1787697422</v>
      </c>
      <c r="H459" s="4" t="n">
        <v>1000000000000000</v>
      </c>
      <c r="I459" s="4" t="n">
        <v>1000000000000000</v>
      </c>
      <c r="J459" s="4" t="n">
        <v>1787697929</v>
      </c>
      <c r="K459" s="4" t="n">
        <v>1000000000000000</v>
      </c>
      <c r="L459" s="12" t="n">
        <f aca="false">IF(AND(B459=Cutoff!$B$12,E459&lt;=Cutoff!$B$10),1,0)</f>
        <v>0</v>
      </c>
      <c r="M459" s="12" t="n">
        <f aca="false">IF(AND(L459=1,F459&lt;1000000000000000,G459&lt;=Cutoff!$B$10),1,0)</f>
        <v>0</v>
      </c>
      <c r="N459" s="12" t="n">
        <f aca="false">IF(AND(M459=1,F459+Cutoff!$B$16&lt;=Cutoff!$B$10),1,0)</f>
        <v>0</v>
      </c>
      <c r="O459" s="12" t="n">
        <f aca="false">IF(N459=1,IF(AND(H459&lt;1000000000000000,H459&gt;=MAX(F459,E459),H459&lt;F459+Cutoff!$B$16,I459&lt;=Cutoff!$B$10),1,0),0)</f>
        <v>0</v>
      </c>
      <c r="P459" s="12" t="n">
        <f aca="false">IF(AND(L459=1,J459&lt;=Cutoff!$B$10),1,0)</f>
        <v>0</v>
      </c>
      <c r="Q459" s="12" t="n">
        <f aca="false">IF(AND(N459=1,E459+Cutoff!$B$17&lt;=Cutoff!$B$10),1,0)</f>
        <v>0</v>
      </c>
      <c r="R459" s="12" t="n">
        <f aca="false">IF(Q459=1,IF(K459&lt;=Cutoff!$B$10,1,0),0)</f>
        <v>0</v>
      </c>
      <c r="S459" s="12" t="n">
        <f aca="false">IF(N459=1,SUMIFS(Subscriptions!$D$2:$D$208,Subscriptions!$A$2:$A$208,C459,Subscriptions!$E$2:$E$208,1,Subscriptions!$B$2:$B$208,"&gt;="&amp;Cutoff!$B$24,Subscriptions!$B$2:$B$208,"&lt;"&amp;Cutoff!$B$25,Subscriptions!$B$2:$B$208,"&lt;="&amp;Cutoff!$B$10),0)</f>
        <v>0</v>
      </c>
    </row>
    <row r="460" customFormat="false" ht="15" hidden="false" customHeight="false" outlineLevel="0" collapsed="false">
      <c r="A460" s="4" t="s">
        <v>1205</v>
      </c>
      <c r="B460" s="4" t="s">
        <v>1089</v>
      </c>
      <c r="C460" s="4" t="s">
        <v>1206</v>
      </c>
      <c r="D460" s="4" t="s">
        <v>51</v>
      </c>
      <c r="E460" s="4" t="n">
        <v>1787701468</v>
      </c>
      <c r="F460" s="4" t="n">
        <v>1787700953</v>
      </c>
      <c r="G460" s="4" t="n">
        <v>1787700964</v>
      </c>
      <c r="H460" s="4" t="n">
        <v>1787711025</v>
      </c>
      <c r="I460" s="4" t="n">
        <v>1787711037</v>
      </c>
      <c r="J460" s="4" t="n">
        <v>1787701674</v>
      </c>
      <c r="K460" s="4" t="n">
        <v>1000000000000000</v>
      </c>
      <c r="L460" s="12" t="n">
        <f aca="false">IF(AND(B460=Cutoff!$B$12,E460&lt;=Cutoff!$B$10),1,0)</f>
        <v>0</v>
      </c>
      <c r="M460" s="12" t="n">
        <f aca="false">IF(AND(L460=1,F460&lt;1000000000000000,G460&lt;=Cutoff!$B$10),1,0)</f>
        <v>0</v>
      </c>
      <c r="N460" s="12" t="n">
        <f aca="false">IF(AND(M460=1,F460+Cutoff!$B$16&lt;=Cutoff!$B$10),1,0)</f>
        <v>0</v>
      </c>
      <c r="O460" s="12" t="n">
        <f aca="false">IF(N460=1,IF(AND(H460&lt;1000000000000000,H460&gt;=MAX(F460,E460),H460&lt;F460+Cutoff!$B$16,I460&lt;=Cutoff!$B$10),1,0),0)</f>
        <v>0</v>
      </c>
      <c r="P460" s="12" t="n">
        <f aca="false">IF(AND(L460=1,J460&lt;=Cutoff!$B$10),1,0)</f>
        <v>0</v>
      </c>
      <c r="Q460" s="12" t="n">
        <f aca="false">IF(AND(N460=1,E460+Cutoff!$B$17&lt;=Cutoff!$B$10),1,0)</f>
        <v>0</v>
      </c>
      <c r="R460" s="12" t="n">
        <f aca="false">IF(Q460=1,IF(K460&lt;=Cutoff!$B$10,1,0),0)</f>
        <v>0</v>
      </c>
      <c r="S460" s="12" t="n">
        <f aca="false">IF(N460=1,SUMIFS(Subscriptions!$D$2:$D$208,Subscriptions!$A$2:$A$208,C460,Subscriptions!$E$2:$E$208,1,Subscriptions!$B$2:$B$208,"&gt;="&amp;Cutoff!$B$24,Subscriptions!$B$2:$B$208,"&lt;"&amp;Cutoff!$B$25,Subscriptions!$B$2:$B$208,"&lt;="&amp;Cutoff!$B$10),0)</f>
        <v>0</v>
      </c>
    </row>
    <row r="461" customFormat="false" ht="15" hidden="false" customHeight="false" outlineLevel="0" collapsed="false">
      <c r="A461" s="4" t="s">
        <v>1207</v>
      </c>
      <c r="B461" s="4" t="s">
        <v>1089</v>
      </c>
      <c r="C461" s="4" t="s">
        <v>1208</v>
      </c>
      <c r="D461" s="4" t="s">
        <v>52</v>
      </c>
      <c r="E461" s="4" t="n">
        <v>1787748951</v>
      </c>
      <c r="F461" s="4" t="n">
        <v>1787748607</v>
      </c>
      <c r="G461" s="4" t="n">
        <v>1787748628</v>
      </c>
      <c r="H461" s="4" t="n">
        <v>1787840112</v>
      </c>
      <c r="I461" s="4" t="n">
        <v>1787840133</v>
      </c>
      <c r="J461" s="4" t="n">
        <v>1787750138</v>
      </c>
      <c r="K461" s="4" t="n">
        <v>1000000000000000</v>
      </c>
      <c r="L461" s="12" t="n">
        <f aca="false">IF(AND(B461=Cutoff!$B$12,E461&lt;=Cutoff!$B$10),1,0)</f>
        <v>0</v>
      </c>
      <c r="M461" s="12" t="n">
        <f aca="false">IF(AND(L461=1,F461&lt;1000000000000000,G461&lt;=Cutoff!$B$10),1,0)</f>
        <v>0</v>
      </c>
      <c r="N461" s="12" t="n">
        <f aca="false">IF(AND(M461=1,F461+Cutoff!$B$16&lt;=Cutoff!$B$10),1,0)</f>
        <v>0</v>
      </c>
      <c r="O461" s="12" t="n">
        <f aca="false">IF(N461=1,IF(AND(H461&lt;1000000000000000,H461&gt;=MAX(F461,E461),H461&lt;F461+Cutoff!$B$16,I461&lt;=Cutoff!$B$10),1,0),0)</f>
        <v>0</v>
      </c>
      <c r="P461" s="12" t="n">
        <f aca="false">IF(AND(L461=1,J461&lt;=Cutoff!$B$10),1,0)</f>
        <v>0</v>
      </c>
      <c r="Q461" s="12" t="n">
        <f aca="false">IF(AND(N461=1,E461+Cutoff!$B$17&lt;=Cutoff!$B$10),1,0)</f>
        <v>0</v>
      </c>
      <c r="R461" s="12" t="n">
        <f aca="false">IF(Q461=1,IF(K461&lt;=Cutoff!$B$10,1,0),0)</f>
        <v>0</v>
      </c>
      <c r="S461" s="12" t="n">
        <f aca="false">IF(N461=1,SUMIFS(Subscriptions!$D$2:$D$208,Subscriptions!$A$2:$A$208,C461,Subscriptions!$E$2:$E$208,1,Subscriptions!$B$2:$B$208,"&gt;="&amp;Cutoff!$B$24,Subscriptions!$B$2:$B$208,"&lt;"&amp;Cutoff!$B$25,Subscriptions!$B$2:$B$208,"&lt;="&amp;Cutoff!$B$10),0)</f>
        <v>0</v>
      </c>
    </row>
    <row r="462" customFormat="false" ht="15" hidden="false" customHeight="false" outlineLevel="0" collapsed="false">
      <c r="A462" s="4" t="s">
        <v>1209</v>
      </c>
      <c r="B462" s="4" t="s">
        <v>1089</v>
      </c>
      <c r="C462" s="4" t="s">
        <v>1210</v>
      </c>
      <c r="D462" s="4" t="s">
        <v>51</v>
      </c>
      <c r="E462" s="4" t="n">
        <v>1787758735</v>
      </c>
      <c r="F462" s="4" t="n">
        <v>1787758224</v>
      </c>
      <c r="G462" s="4" t="n">
        <v>1787758453</v>
      </c>
      <c r="H462" s="4" t="n">
        <v>1000000000000000</v>
      </c>
      <c r="I462" s="4" t="n">
        <v>1000000000000000</v>
      </c>
      <c r="J462" s="4" t="n">
        <v>1000000000000000</v>
      </c>
      <c r="K462" s="4" t="n">
        <v>1000000000000000</v>
      </c>
      <c r="L462" s="12" t="n">
        <f aca="false">IF(AND(B462=Cutoff!$B$12,E462&lt;=Cutoff!$B$10),1,0)</f>
        <v>0</v>
      </c>
      <c r="M462" s="12" t="n">
        <f aca="false">IF(AND(L462=1,F462&lt;1000000000000000,G462&lt;=Cutoff!$B$10),1,0)</f>
        <v>0</v>
      </c>
      <c r="N462" s="12" t="n">
        <f aca="false">IF(AND(M462=1,F462+Cutoff!$B$16&lt;=Cutoff!$B$10),1,0)</f>
        <v>0</v>
      </c>
      <c r="O462" s="12" t="n">
        <f aca="false">IF(N462=1,IF(AND(H462&lt;1000000000000000,H462&gt;=MAX(F462,E462),H462&lt;F462+Cutoff!$B$16,I462&lt;=Cutoff!$B$10),1,0),0)</f>
        <v>0</v>
      </c>
      <c r="P462" s="12" t="n">
        <f aca="false">IF(AND(L462=1,J462&lt;=Cutoff!$B$10),1,0)</f>
        <v>0</v>
      </c>
      <c r="Q462" s="12" t="n">
        <f aca="false">IF(AND(N462=1,E462+Cutoff!$B$17&lt;=Cutoff!$B$10),1,0)</f>
        <v>0</v>
      </c>
      <c r="R462" s="12" t="n">
        <f aca="false">IF(Q462=1,IF(K462&lt;=Cutoff!$B$10,1,0),0)</f>
        <v>0</v>
      </c>
      <c r="S462" s="12" t="n">
        <f aca="false">IF(N462=1,SUMIFS(Subscriptions!$D$2:$D$208,Subscriptions!$A$2:$A$208,C462,Subscriptions!$E$2:$E$208,1,Subscriptions!$B$2:$B$208,"&gt;="&amp;Cutoff!$B$24,Subscriptions!$B$2:$B$208,"&lt;"&amp;Cutoff!$B$25,Subscriptions!$B$2:$B$208,"&lt;="&amp;Cutoff!$B$10),0)</f>
        <v>0</v>
      </c>
    </row>
    <row r="463" customFormat="false" ht="15" hidden="false" customHeight="false" outlineLevel="0" collapsed="false">
      <c r="A463" s="4" t="s">
        <v>1211</v>
      </c>
      <c r="B463" s="4" t="s">
        <v>1089</v>
      </c>
      <c r="C463" s="4" t="s">
        <v>1212</v>
      </c>
      <c r="D463" s="4" t="s">
        <v>51</v>
      </c>
      <c r="E463" s="4" t="n">
        <v>1787850052</v>
      </c>
      <c r="F463" s="4" t="n">
        <v>1787849940</v>
      </c>
      <c r="G463" s="4" t="n">
        <v>1787849955</v>
      </c>
      <c r="H463" s="4" t="n">
        <v>1787853106</v>
      </c>
      <c r="I463" s="4" t="n">
        <v>1787853107</v>
      </c>
      <c r="J463" s="4" t="n">
        <v>1787850290</v>
      </c>
      <c r="K463" s="4" t="n">
        <v>1000000000000000</v>
      </c>
      <c r="L463" s="12" t="n">
        <f aca="false">IF(AND(B463=Cutoff!$B$12,E463&lt;=Cutoff!$B$10),1,0)</f>
        <v>0</v>
      </c>
      <c r="M463" s="12" t="n">
        <f aca="false">IF(AND(L463=1,F463&lt;1000000000000000,G463&lt;=Cutoff!$B$10),1,0)</f>
        <v>0</v>
      </c>
      <c r="N463" s="12" t="n">
        <f aca="false">IF(AND(M463=1,F463+Cutoff!$B$16&lt;=Cutoff!$B$10),1,0)</f>
        <v>0</v>
      </c>
      <c r="O463" s="12" t="n">
        <f aca="false">IF(N463=1,IF(AND(H463&lt;1000000000000000,H463&gt;=MAX(F463,E463),H463&lt;F463+Cutoff!$B$16,I463&lt;=Cutoff!$B$10),1,0),0)</f>
        <v>0</v>
      </c>
      <c r="P463" s="12" t="n">
        <f aca="false">IF(AND(L463=1,J463&lt;=Cutoff!$B$10),1,0)</f>
        <v>0</v>
      </c>
      <c r="Q463" s="12" t="n">
        <f aca="false">IF(AND(N463=1,E463+Cutoff!$B$17&lt;=Cutoff!$B$10),1,0)</f>
        <v>0</v>
      </c>
      <c r="R463" s="12" t="n">
        <f aca="false">IF(Q463=1,IF(K463&lt;=Cutoff!$B$10,1,0),0)</f>
        <v>0</v>
      </c>
      <c r="S463" s="12" t="n">
        <f aca="false">IF(N463=1,SUMIFS(Subscriptions!$D$2:$D$208,Subscriptions!$A$2:$A$208,C463,Subscriptions!$E$2:$E$208,1,Subscriptions!$B$2:$B$208,"&gt;="&amp;Cutoff!$B$24,Subscriptions!$B$2:$B$208,"&lt;"&amp;Cutoff!$B$25,Subscriptions!$B$2:$B$208,"&lt;="&amp;Cutoff!$B$10),0)</f>
        <v>0</v>
      </c>
    </row>
    <row r="464" customFormat="false" ht="15" hidden="false" customHeight="false" outlineLevel="0" collapsed="false">
      <c r="A464" s="4" t="s">
        <v>1213</v>
      </c>
      <c r="B464" s="4" t="s">
        <v>1089</v>
      </c>
      <c r="C464" s="4" t="s">
        <v>1214</v>
      </c>
      <c r="D464" s="4" t="s">
        <v>52</v>
      </c>
      <c r="E464" s="4" t="n">
        <v>1787914610</v>
      </c>
      <c r="F464" s="4" t="n">
        <v>1787914163</v>
      </c>
      <c r="G464" s="4" t="n">
        <v>1787914183</v>
      </c>
      <c r="H464" s="4" t="n">
        <v>1787917514</v>
      </c>
      <c r="I464" s="4" t="n">
        <v>1787917535</v>
      </c>
      <c r="J464" s="4" t="n">
        <v>1000000000000000</v>
      </c>
      <c r="K464" s="4" t="n">
        <v>1000000000000000</v>
      </c>
      <c r="L464" s="12" t="n">
        <f aca="false">IF(AND(B464=Cutoff!$B$12,E464&lt;=Cutoff!$B$10),1,0)</f>
        <v>0</v>
      </c>
      <c r="M464" s="12" t="n">
        <f aca="false">IF(AND(L464=1,F464&lt;1000000000000000,G464&lt;=Cutoff!$B$10),1,0)</f>
        <v>0</v>
      </c>
      <c r="N464" s="12" t="n">
        <f aca="false">IF(AND(M464=1,F464+Cutoff!$B$16&lt;=Cutoff!$B$10),1,0)</f>
        <v>0</v>
      </c>
      <c r="O464" s="12" t="n">
        <f aca="false">IF(N464=1,IF(AND(H464&lt;1000000000000000,H464&gt;=MAX(F464,E464),H464&lt;F464+Cutoff!$B$16,I464&lt;=Cutoff!$B$10),1,0),0)</f>
        <v>0</v>
      </c>
      <c r="P464" s="12" t="n">
        <f aca="false">IF(AND(L464=1,J464&lt;=Cutoff!$B$10),1,0)</f>
        <v>0</v>
      </c>
      <c r="Q464" s="12" t="n">
        <f aca="false">IF(AND(N464=1,E464+Cutoff!$B$17&lt;=Cutoff!$B$10),1,0)</f>
        <v>0</v>
      </c>
      <c r="R464" s="12" t="n">
        <f aca="false">IF(Q464=1,IF(K464&lt;=Cutoff!$B$10,1,0),0)</f>
        <v>0</v>
      </c>
      <c r="S464" s="12" t="n">
        <f aca="false">IF(N464=1,SUMIFS(Subscriptions!$D$2:$D$208,Subscriptions!$A$2:$A$208,C464,Subscriptions!$E$2:$E$208,1,Subscriptions!$B$2:$B$208,"&gt;="&amp;Cutoff!$B$24,Subscriptions!$B$2:$B$208,"&lt;"&amp;Cutoff!$B$25,Subscriptions!$B$2:$B$208,"&lt;="&amp;Cutoff!$B$10),0)</f>
        <v>0</v>
      </c>
    </row>
    <row r="465" customFormat="false" ht="15" hidden="false" customHeight="false" outlineLevel="0" collapsed="false">
      <c r="A465" s="4" t="s">
        <v>1215</v>
      </c>
      <c r="B465" s="4" t="s">
        <v>1089</v>
      </c>
      <c r="C465" s="4" t="s">
        <v>1216</v>
      </c>
      <c r="D465" s="4" t="s">
        <v>52</v>
      </c>
      <c r="E465" s="4" t="n">
        <v>1787926300</v>
      </c>
      <c r="F465" s="4" t="n">
        <v>1787926145</v>
      </c>
      <c r="G465" s="4" t="n">
        <v>1787926148</v>
      </c>
      <c r="H465" s="4" t="n">
        <v>1788039425</v>
      </c>
      <c r="I465" s="4" t="n">
        <v>1788039450</v>
      </c>
      <c r="J465" s="4" t="n">
        <v>1787927128</v>
      </c>
      <c r="K465" s="4" t="n">
        <v>1000000000000000</v>
      </c>
      <c r="L465" s="12" t="n">
        <f aca="false">IF(AND(B465=Cutoff!$B$12,E465&lt;=Cutoff!$B$10),1,0)</f>
        <v>0</v>
      </c>
      <c r="M465" s="12" t="n">
        <f aca="false">IF(AND(L465=1,F465&lt;1000000000000000,G465&lt;=Cutoff!$B$10),1,0)</f>
        <v>0</v>
      </c>
      <c r="N465" s="12" t="n">
        <f aca="false">IF(AND(M465=1,F465+Cutoff!$B$16&lt;=Cutoff!$B$10),1,0)</f>
        <v>0</v>
      </c>
      <c r="O465" s="12" t="n">
        <f aca="false">IF(N465=1,IF(AND(H465&lt;1000000000000000,H465&gt;=MAX(F465,E465),H465&lt;F465+Cutoff!$B$16,I465&lt;=Cutoff!$B$10),1,0),0)</f>
        <v>0</v>
      </c>
      <c r="P465" s="12" t="n">
        <f aca="false">IF(AND(L465=1,J465&lt;=Cutoff!$B$10),1,0)</f>
        <v>0</v>
      </c>
      <c r="Q465" s="12" t="n">
        <f aca="false">IF(AND(N465=1,E465+Cutoff!$B$17&lt;=Cutoff!$B$10),1,0)</f>
        <v>0</v>
      </c>
      <c r="R465" s="12" t="n">
        <f aca="false">IF(Q465=1,IF(K465&lt;=Cutoff!$B$10,1,0),0)</f>
        <v>0</v>
      </c>
      <c r="S465" s="12" t="n">
        <f aca="false">IF(N465=1,SUMIFS(Subscriptions!$D$2:$D$208,Subscriptions!$A$2:$A$208,C465,Subscriptions!$E$2:$E$208,1,Subscriptions!$B$2:$B$208,"&gt;="&amp;Cutoff!$B$24,Subscriptions!$B$2:$B$208,"&lt;"&amp;Cutoff!$B$25,Subscriptions!$B$2:$B$208,"&lt;="&amp;Cutoff!$B$10),0)</f>
        <v>0</v>
      </c>
    </row>
    <row r="466" customFormat="false" ht="15" hidden="false" customHeight="false" outlineLevel="0" collapsed="false">
      <c r="A466" s="4" t="s">
        <v>1217</v>
      </c>
      <c r="B466" s="4" t="s">
        <v>1089</v>
      </c>
      <c r="C466" s="4" t="s">
        <v>1218</v>
      </c>
      <c r="D466" s="4" t="s">
        <v>52</v>
      </c>
      <c r="E466" s="4" t="n">
        <v>1787927694</v>
      </c>
      <c r="F466" s="4" t="n">
        <v>1787927334</v>
      </c>
      <c r="G466" s="4" t="n">
        <v>1787927359</v>
      </c>
      <c r="H466" s="4" t="n">
        <v>1788463571</v>
      </c>
      <c r="I466" s="4" t="n">
        <v>1788463581</v>
      </c>
      <c r="J466" s="4" t="n">
        <v>1787928890</v>
      </c>
      <c r="K466" s="4" t="n">
        <v>1787928360</v>
      </c>
      <c r="L466" s="12" t="n">
        <f aca="false">IF(AND(B466=Cutoff!$B$12,E466&lt;=Cutoff!$B$10),1,0)</f>
        <v>0</v>
      </c>
      <c r="M466" s="12" t="n">
        <f aca="false">IF(AND(L466=1,F466&lt;1000000000000000,G466&lt;=Cutoff!$B$10),1,0)</f>
        <v>0</v>
      </c>
      <c r="N466" s="12" t="n">
        <f aca="false">IF(AND(M466=1,F466+Cutoff!$B$16&lt;=Cutoff!$B$10),1,0)</f>
        <v>0</v>
      </c>
      <c r="O466" s="12" t="n">
        <f aca="false">IF(N466=1,IF(AND(H466&lt;1000000000000000,H466&gt;=MAX(F466,E466),H466&lt;F466+Cutoff!$B$16,I466&lt;=Cutoff!$B$10),1,0),0)</f>
        <v>0</v>
      </c>
      <c r="P466" s="12" t="n">
        <f aca="false">IF(AND(L466=1,J466&lt;=Cutoff!$B$10),1,0)</f>
        <v>0</v>
      </c>
      <c r="Q466" s="12" t="n">
        <f aca="false">IF(AND(N466=1,E466+Cutoff!$B$17&lt;=Cutoff!$B$10),1,0)</f>
        <v>0</v>
      </c>
      <c r="R466" s="12" t="n">
        <f aca="false">IF(Q466=1,IF(K466&lt;=Cutoff!$B$10,1,0),0)</f>
        <v>0</v>
      </c>
      <c r="S466" s="12" t="n">
        <f aca="false">IF(N466=1,SUMIFS(Subscriptions!$D$2:$D$208,Subscriptions!$A$2:$A$208,C466,Subscriptions!$E$2:$E$208,1,Subscriptions!$B$2:$B$208,"&gt;="&amp;Cutoff!$B$24,Subscriptions!$B$2:$B$208,"&lt;"&amp;Cutoff!$B$25,Subscriptions!$B$2:$B$208,"&lt;="&amp;Cutoff!$B$10),0)</f>
        <v>0</v>
      </c>
    </row>
    <row r="467" customFormat="false" ht="15" hidden="false" customHeight="false" outlineLevel="0" collapsed="false">
      <c r="A467" s="4" t="s">
        <v>1219</v>
      </c>
      <c r="B467" s="4" t="s">
        <v>1089</v>
      </c>
      <c r="C467" s="4" t="s">
        <v>1220</v>
      </c>
      <c r="D467" s="4" t="s">
        <v>52</v>
      </c>
      <c r="E467" s="4" t="n">
        <v>1787937971</v>
      </c>
      <c r="F467" s="4" t="n">
        <v>1787937871</v>
      </c>
      <c r="G467" s="4" t="n">
        <v>1787937891</v>
      </c>
      <c r="H467" s="4" t="n">
        <v>1000000000000000</v>
      </c>
      <c r="I467" s="4" t="n">
        <v>1000000000000000</v>
      </c>
      <c r="J467" s="4" t="n">
        <v>1787938967</v>
      </c>
      <c r="K467" s="4" t="n">
        <v>1000000000000000</v>
      </c>
      <c r="L467" s="12" t="n">
        <f aca="false">IF(AND(B467=Cutoff!$B$12,E467&lt;=Cutoff!$B$10),1,0)</f>
        <v>0</v>
      </c>
      <c r="M467" s="12" t="n">
        <f aca="false">IF(AND(L467=1,F467&lt;1000000000000000,G467&lt;=Cutoff!$B$10),1,0)</f>
        <v>0</v>
      </c>
      <c r="N467" s="12" t="n">
        <f aca="false">IF(AND(M467=1,F467+Cutoff!$B$16&lt;=Cutoff!$B$10),1,0)</f>
        <v>0</v>
      </c>
      <c r="O467" s="12" t="n">
        <f aca="false">IF(N467=1,IF(AND(H467&lt;1000000000000000,H467&gt;=MAX(F467,E467),H467&lt;F467+Cutoff!$B$16,I467&lt;=Cutoff!$B$10),1,0),0)</f>
        <v>0</v>
      </c>
      <c r="P467" s="12" t="n">
        <f aca="false">IF(AND(L467=1,J467&lt;=Cutoff!$B$10),1,0)</f>
        <v>0</v>
      </c>
      <c r="Q467" s="12" t="n">
        <f aca="false">IF(AND(N467=1,E467+Cutoff!$B$17&lt;=Cutoff!$B$10),1,0)</f>
        <v>0</v>
      </c>
      <c r="R467" s="12" t="n">
        <f aca="false">IF(Q467=1,IF(K467&lt;=Cutoff!$B$10,1,0),0)</f>
        <v>0</v>
      </c>
      <c r="S467" s="12" t="n">
        <f aca="false">IF(N467=1,SUMIFS(Subscriptions!$D$2:$D$208,Subscriptions!$A$2:$A$208,C467,Subscriptions!$E$2:$E$208,1,Subscriptions!$B$2:$B$208,"&gt;="&amp;Cutoff!$B$24,Subscriptions!$B$2:$B$208,"&lt;"&amp;Cutoff!$B$25,Subscriptions!$B$2:$B$208,"&lt;="&amp;Cutoff!$B$10),0)</f>
        <v>0</v>
      </c>
    </row>
    <row r="468" customFormat="false" ht="15" hidden="false" customHeight="false" outlineLevel="0" collapsed="false">
      <c r="A468" s="4" t="s">
        <v>1221</v>
      </c>
      <c r="B468" s="4" t="s">
        <v>1089</v>
      </c>
      <c r="C468" s="4" t="s">
        <v>1222</v>
      </c>
      <c r="D468" s="4" t="s">
        <v>51</v>
      </c>
      <c r="E468" s="4" t="n">
        <v>1788182264</v>
      </c>
      <c r="F468" s="4" t="n">
        <v>1788181972</v>
      </c>
      <c r="G468" s="4" t="n">
        <v>1788181997</v>
      </c>
      <c r="H468" s="4" t="n">
        <v>1788360574</v>
      </c>
      <c r="I468" s="4" t="n">
        <v>1788360828</v>
      </c>
      <c r="J468" s="4" t="n">
        <v>1788182790</v>
      </c>
      <c r="K468" s="4" t="n">
        <v>1788182285</v>
      </c>
      <c r="L468" s="12" t="n">
        <f aca="false">IF(AND(B468=Cutoff!$B$12,E468&lt;=Cutoff!$B$10),1,0)</f>
        <v>0</v>
      </c>
      <c r="M468" s="12" t="n">
        <f aca="false">IF(AND(L468=1,F468&lt;1000000000000000,G468&lt;=Cutoff!$B$10),1,0)</f>
        <v>0</v>
      </c>
      <c r="N468" s="12" t="n">
        <f aca="false">IF(AND(M468=1,F468+Cutoff!$B$16&lt;=Cutoff!$B$10),1,0)</f>
        <v>0</v>
      </c>
      <c r="O468" s="12" t="n">
        <f aca="false">IF(N468=1,IF(AND(H468&lt;1000000000000000,H468&gt;=MAX(F468,E468),H468&lt;F468+Cutoff!$B$16,I468&lt;=Cutoff!$B$10),1,0),0)</f>
        <v>0</v>
      </c>
      <c r="P468" s="12" t="n">
        <f aca="false">IF(AND(L468=1,J468&lt;=Cutoff!$B$10),1,0)</f>
        <v>0</v>
      </c>
      <c r="Q468" s="12" t="n">
        <f aca="false">IF(AND(N468=1,E468+Cutoff!$B$17&lt;=Cutoff!$B$10),1,0)</f>
        <v>0</v>
      </c>
      <c r="R468" s="12" t="n">
        <f aca="false">IF(Q468=1,IF(K468&lt;=Cutoff!$B$10,1,0),0)</f>
        <v>0</v>
      </c>
      <c r="S468" s="12" t="n">
        <f aca="false">IF(N468=1,SUMIFS(Subscriptions!$D$2:$D$208,Subscriptions!$A$2:$A$208,C468,Subscriptions!$E$2:$E$208,1,Subscriptions!$B$2:$B$208,"&gt;="&amp;Cutoff!$B$24,Subscriptions!$B$2:$B$208,"&lt;"&amp;Cutoff!$B$25,Subscriptions!$B$2:$B$208,"&lt;="&amp;Cutoff!$B$10),0)</f>
        <v>0</v>
      </c>
    </row>
    <row r="469" customFormat="false" ht="15" hidden="false" customHeight="false" outlineLevel="0" collapsed="false">
      <c r="A469" s="4" t="s">
        <v>1223</v>
      </c>
      <c r="B469" s="4" t="s">
        <v>1089</v>
      </c>
      <c r="C469" s="4" t="s">
        <v>1224</v>
      </c>
      <c r="D469" s="4" t="s">
        <v>52</v>
      </c>
      <c r="E469" s="4" t="n">
        <v>1788191414</v>
      </c>
      <c r="F469" s="4" t="n">
        <v>1788191230</v>
      </c>
      <c r="G469" s="4" t="n">
        <v>1788191232</v>
      </c>
      <c r="H469" s="4" t="n">
        <v>1000000000000000</v>
      </c>
      <c r="I469" s="4" t="n">
        <v>1000000000000000</v>
      </c>
      <c r="J469" s="4" t="n">
        <v>1788192482</v>
      </c>
      <c r="K469" s="4" t="n">
        <v>1788360582</v>
      </c>
      <c r="L469" s="12" t="n">
        <f aca="false">IF(AND(B469=Cutoff!$B$12,E469&lt;=Cutoff!$B$10),1,0)</f>
        <v>0</v>
      </c>
      <c r="M469" s="12" t="n">
        <f aca="false">IF(AND(L469=1,F469&lt;1000000000000000,G469&lt;=Cutoff!$B$10),1,0)</f>
        <v>0</v>
      </c>
      <c r="N469" s="12" t="n">
        <f aca="false">IF(AND(M469=1,F469+Cutoff!$B$16&lt;=Cutoff!$B$10),1,0)</f>
        <v>0</v>
      </c>
      <c r="O469" s="12" t="n">
        <f aca="false">IF(N469=1,IF(AND(H469&lt;1000000000000000,H469&gt;=MAX(F469,E469),H469&lt;F469+Cutoff!$B$16,I469&lt;=Cutoff!$B$10),1,0),0)</f>
        <v>0</v>
      </c>
      <c r="P469" s="12" t="n">
        <f aca="false">IF(AND(L469=1,J469&lt;=Cutoff!$B$10),1,0)</f>
        <v>0</v>
      </c>
      <c r="Q469" s="12" t="n">
        <f aca="false">IF(AND(N469=1,E469+Cutoff!$B$17&lt;=Cutoff!$B$10),1,0)</f>
        <v>0</v>
      </c>
      <c r="R469" s="12" t="n">
        <f aca="false">IF(Q469=1,IF(K469&lt;=Cutoff!$B$10,1,0),0)</f>
        <v>0</v>
      </c>
      <c r="S469" s="12" t="n">
        <f aca="false">IF(N469=1,SUMIFS(Subscriptions!$D$2:$D$208,Subscriptions!$A$2:$A$208,C469,Subscriptions!$E$2:$E$208,1,Subscriptions!$B$2:$B$208,"&gt;="&amp;Cutoff!$B$24,Subscriptions!$B$2:$B$208,"&lt;"&amp;Cutoff!$B$25,Subscriptions!$B$2:$B$208,"&lt;="&amp;Cutoff!$B$10),0)</f>
        <v>0</v>
      </c>
    </row>
    <row r="470" customFormat="false" ht="15" hidden="false" customHeight="false" outlineLevel="0" collapsed="false">
      <c r="A470" s="4" t="s">
        <v>1225</v>
      </c>
      <c r="B470" s="4" t="s">
        <v>1089</v>
      </c>
      <c r="C470" s="4" t="s">
        <v>1226</v>
      </c>
      <c r="D470" s="4" t="s">
        <v>51</v>
      </c>
      <c r="E470" s="4" t="n">
        <v>1788191893</v>
      </c>
      <c r="F470" s="4" t="n">
        <v>1788191671</v>
      </c>
      <c r="G470" s="4" t="n">
        <v>1788191688</v>
      </c>
      <c r="H470" s="4" t="n">
        <v>1000000000000000</v>
      </c>
      <c r="I470" s="4" t="n">
        <v>1000000000000000</v>
      </c>
      <c r="J470" s="4" t="n">
        <v>1788192874</v>
      </c>
      <c r="K470" s="4" t="n">
        <v>1000000000000000</v>
      </c>
      <c r="L470" s="12" t="n">
        <f aca="false">IF(AND(B470=Cutoff!$B$12,E470&lt;=Cutoff!$B$10),1,0)</f>
        <v>0</v>
      </c>
      <c r="M470" s="12" t="n">
        <f aca="false">IF(AND(L470=1,F470&lt;1000000000000000,G470&lt;=Cutoff!$B$10),1,0)</f>
        <v>0</v>
      </c>
      <c r="N470" s="12" t="n">
        <f aca="false">IF(AND(M470=1,F470+Cutoff!$B$16&lt;=Cutoff!$B$10),1,0)</f>
        <v>0</v>
      </c>
      <c r="O470" s="12" t="n">
        <f aca="false">IF(N470=1,IF(AND(H470&lt;1000000000000000,H470&gt;=MAX(F470,E470),H470&lt;F470+Cutoff!$B$16,I470&lt;=Cutoff!$B$10),1,0),0)</f>
        <v>0</v>
      </c>
      <c r="P470" s="12" t="n">
        <f aca="false">IF(AND(L470=1,J470&lt;=Cutoff!$B$10),1,0)</f>
        <v>0</v>
      </c>
      <c r="Q470" s="12" t="n">
        <f aca="false">IF(AND(N470=1,E470+Cutoff!$B$17&lt;=Cutoff!$B$10),1,0)</f>
        <v>0</v>
      </c>
      <c r="R470" s="12" t="n">
        <f aca="false">IF(Q470=1,IF(K470&lt;=Cutoff!$B$10,1,0),0)</f>
        <v>0</v>
      </c>
      <c r="S470" s="12" t="n">
        <f aca="false">IF(N470=1,SUMIFS(Subscriptions!$D$2:$D$208,Subscriptions!$A$2:$A$208,C470,Subscriptions!$E$2:$E$208,1,Subscriptions!$B$2:$B$208,"&gt;="&amp;Cutoff!$B$24,Subscriptions!$B$2:$B$208,"&lt;"&amp;Cutoff!$B$25,Subscriptions!$B$2:$B$208,"&lt;="&amp;Cutoff!$B$10),0)</f>
        <v>0</v>
      </c>
    </row>
    <row r="471" customFormat="false" ht="15" hidden="false" customHeight="false" outlineLevel="0" collapsed="false">
      <c r="A471" s="4" t="s">
        <v>1227</v>
      </c>
      <c r="B471" s="4" t="s">
        <v>1089</v>
      </c>
      <c r="C471" s="4" t="s">
        <v>1228</v>
      </c>
      <c r="D471" s="4" t="s">
        <v>52</v>
      </c>
      <c r="E471" s="4" t="n">
        <v>1788203811</v>
      </c>
      <c r="F471" s="4" t="n">
        <v>1788203682</v>
      </c>
      <c r="G471" s="4" t="n">
        <v>1788203689</v>
      </c>
      <c r="H471" s="4" t="n">
        <v>1788237610</v>
      </c>
      <c r="I471" s="4" t="n">
        <v>1788237614</v>
      </c>
      <c r="J471" s="4" t="n">
        <v>1788204300</v>
      </c>
      <c r="K471" s="4" t="n">
        <v>1000000000000000</v>
      </c>
      <c r="L471" s="12" t="n">
        <f aca="false">IF(AND(B471=Cutoff!$B$12,E471&lt;=Cutoff!$B$10),1,0)</f>
        <v>0</v>
      </c>
      <c r="M471" s="12" t="n">
        <f aca="false">IF(AND(L471=1,F471&lt;1000000000000000,G471&lt;=Cutoff!$B$10),1,0)</f>
        <v>0</v>
      </c>
      <c r="N471" s="12" t="n">
        <f aca="false">IF(AND(M471=1,F471+Cutoff!$B$16&lt;=Cutoff!$B$10),1,0)</f>
        <v>0</v>
      </c>
      <c r="O471" s="12" t="n">
        <f aca="false">IF(N471=1,IF(AND(H471&lt;1000000000000000,H471&gt;=MAX(F471,E471),H471&lt;F471+Cutoff!$B$16,I471&lt;=Cutoff!$B$10),1,0),0)</f>
        <v>0</v>
      </c>
      <c r="P471" s="12" t="n">
        <f aca="false">IF(AND(L471=1,J471&lt;=Cutoff!$B$10),1,0)</f>
        <v>0</v>
      </c>
      <c r="Q471" s="12" t="n">
        <f aca="false">IF(AND(N471=1,E471+Cutoff!$B$17&lt;=Cutoff!$B$10),1,0)</f>
        <v>0</v>
      </c>
      <c r="R471" s="12" t="n">
        <f aca="false">IF(Q471=1,IF(K471&lt;=Cutoff!$B$10,1,0),0)</f>
        <v>0</v>
      </c>
      <c r="S471" s="12" t="n">
        <f aca="false">IF(N471=1,SUMIFS(Subscriptions!$D$2:$D$208,Subscriptions!$A$2:$A$208,C471,Subscriptions!$E$2:$E$208,1,Subscriptions!$B$2:$B$208,"&gt;="&amp;Cutoff!$B$24,Subscriptions!$B$2:$B$208,"&lt;"&amp;Cutoff!$B$25,Subscriptions!$B$2:$B$208,"&lt;="&amp;Cutoff!$B$10),0)</f>
        <v>0</v>
      </c>
    </row>
    <row r="472" customFormat="false" ht="15" hidden="false" customHeight="false" outlineLevel="0" collapsed="false">
      <c r="A472" s="4" t="s">
        <v>1229</v>
      </c>
      <c r="B472" s="4" t="s">
        <v>1089</v>
      </c>
      <c r="C472" s="4" t="s">
        <v>1230</v>
      </c>
      <c r="D472" s="4" t="s">
        <v>51</v>
      </c>
      <c r="E472" s="4" t="n">
        <v>1788276104</v>
      </c>
      <c r="F472" s="4" t="n">
        <v>1788276014</v>
      </c>
      <c r="G472" s="4" t="n">
        <v>1788276226</v>
      </c>
      <c r="H472" s="4" t="n">
        <v>1788355868</v>
      </c>
      <c r="I472" s="4" t="n">
        <v>1788355890</v>
      </c>
      <c r="J472" s="4" t="n">
        <v>1788276532</v>
      </c>
      <c r="K472" s="4" t="n">
        <v>1000000000000000</v>
      </c>
      <c r="L472" s="12" t="n">
        <f aca="false">IF(AND(B472=Cutoff!$B$12,E472&lt;=Cutoff!$B$10),1,0)</f>
        <v>0</v>
      </c>
      <c r="M472" s="12" t="n">
        <f aca="false">IF(AND(L472=1,F472&lt;1000000000000000,G472&lt;=Cutoff!$B$10),1,0)</f>
        <v>0</v>
      </c>
      <c r="N472" s="12" t="n">
        <f aca="false">IF(AND(M472=1,F472+Cutoff!$B$16&lt;=Cutoff!$B$10),1,0)</f>
        <v>0</v>
      </c>
      <c r="O472" s="12" t="n">
        <f aca="false">IF(N472=1,IF(AND(H472&lt;1000000000000000,H472&gt;=MAX(F472,E472),H472&lt;F472+Cutoff!$B$16,I472&lt;=Cutoff!$B$10),1,0),0)</f>
        <v>0</v>
      </c>
      <c r="P472" s="12" t="n">
        <f aca="false">IF(AND(L472=1,J472&lt;=Cutoff!$B$10),1,0)</f>
        <v>0</v>
      </c>
      <c r="Q472" s="12" t="n">
        <f aca="false">IF(AND(N472=1,E472+Cutoff!$B$17&lt;=Cutoff!$B$10),1,0)</f>
        <v>0</v>
      </c>
      <c r="R472" s="12" t="n">
        <f aca="false">IF(Q472=1,IF(K472&lt;=Cutoff!$B$10,1,0),0)</f>
        <v>0</v>
      </c>
      <c r="S472" s="12" t="n">
        <f aca="false">IF(N472=1,SUMIFS(Subscriptions!$D$2:$D$208,Subscriptions!$A$2:$A$208,C472,Subscriptions!$E$2:$E$208,1,Subscriptions!$B$2:$B$208,"&gt;="&amp;Cutoff!$B$24,Subscriptions!$B$2:$B$208,"&lt;"&amp;Cutoff!$B$25,Subscriptions!$B$2:$B$208,"&lt;="&amp;Cutoff!$B$10),0)</f>
        <v>0</v>
      </c>
    </row>
    <row r="473" customFormat="false" ht="15" hidden="false" customHeight="false" outlineLevel="0" collapsed="false">
      <c r="A473" s="4" t="s">
        <v>1231</v>
      </c>
      <c r="B473" s="4" t="s">
        <v>1089</v>
      </c>
      <c r="C473" s="4" t="s">
        <v>1232</v>
      </c>
      <c r="D473" s="4" t="s">
        <v>52</v>
      </c>
      <c r="E473" s="4" t="n">
        <v>1788276672</v>
      </c>
      <c r="F473" s="4" t="n">
        <v>1788276189</v>
      </c>
      <c r="G473" s="4" t="n">
        <v>1788276375</v>
      </c>
      <c r="H473" s="4" t="n">
        <v>1000000000000000</v>
      </c>
      <c r="I473" s="4" t="n">
        <v>1000000000000000</v>
      </c>
      <c r="J473" s="4" t="n">
        <v>1788277215</v>
      </c>
      <c r="K473" s="4" t="n">
        <v>1000000000000000</v>
      </c>
      <c r="L473" s="12" t="n">
        <f aca="false">IF(AND(B473=Cutoff!$B$12,E473&lt;=Cutoff!$B$10),1,0)</f>
        <v>0</v>
      </c>
      <c r="M473" s="12" t="n">
        <f aca="false">IF(AND(L473=1,F473&lt;1000000000000000,G473&lt;=Cutoff!$B$10),1,0)</f>
        <v>0</v>
      </c>
      <c r="N473" s="12" t="n">
        <f aca="false">IF(AND(M473=1,F473+Cutoff!$B$16&lt;=Cutoff!$B$10),1,0)</f>
        <v>0</v>
      </c>
      <c r="O473" s="12" t="n">
        <f aca="false">IF(N473=1,IF(AND(H473&lt;1000000000000000,H473&gt;=MAX(F473,E473),H473&lt;F473+Cutoff!$B$16,I473&lt;=Cutoff!$B$10),1,0),0)</f>
        <v>0</v>
      </c>
      <c r="P473" s="12" t="n">
        <f aca="false">IF(AND(L473=1,J473&lt;=Cutoff!$B$10),1,0)</f>
        <v>0</v>
      </c>
      <c r="Q473" s="12" t="n">
        <f aca="false">IF(AND(N473=1,E473+Cutoff!$B$17&lt;=Cutoff!$B$10),1,0)</f>
        <v>0</v>
      </c>
      <c r="R473" s="12" t="n">
        <f aca="false">IF(Q473=1,IF(K473&lt;=Cutoff!$B$10,1,0),0)</f>
        <v>0</v>
      </c>
      <c r="S473" s="12" t="n">
        <f aca="false">IF(N473=1,SUMIFS(Subscriptions!$D$2:$D$208,Subscriptions!$A$2:$A$208,C473,Subscriptions!$E$2:$E$208,1,Subscriptions!$B$2:$B$208,"&gt;="&amp;Cutoff!$B$24,Subscriptions!$B$2:$B$208,"&lt;"&amp;Cutoff!$B$25,Subscriptions!$B$2:$B$208,"&lt;="&amp;Cutoff!$B$10),0)</f>
        <v>0</v>
      </c>
    </row>
    <row r="474" customFormat="false" ht="15" hidden="false" customHeight="false" outlineLevel="0" collapsed="false">
      <c r="A474" s="4" t="s">
        <v>1233</v>
      </c>
      <c r="B474" s="4" t="s">
        <v>1089</v>
      </c>
      <c r="C474" s="4" t="s">
        <v>1234</v>
      </c>
      <c r="D474" s="4" t="s">
        <v>52</v>
      </c>
      <c r="E474" s="4" t="n">
        <v>1788282124</v>
      </c>
      <c r="F474" s="4" t="n">
        <v>1788281986</v>
      </c>
      <c r="G474" s="4" t="n">
        <v>1788282010</v>
      </c>
      <c r="H474" s="4" t="n">
        <v>1788752438</v>
      </c>
      <c r="I474" s="4" t="n">
        <v>1788752446</v>
      </c>
      <c r="J474" s="4" t="n">
        <v>1788282975</v>
      </c>
      <c r="K474" s="4" t="n">
        <v>1000000000000000</v>
      </c>
      <c r="L474" s="12" t="n">
        <f aca="false">IF(AND(B474=Cutoff!$B$12,E474&lt;=Cutoff!$B$10),1,0)</f>
        <v>0</v>
      </c>
      <c r="M474" s="12" t="n">
        <f aca="false">IF(AND(L474=1,F474&lt;1000000000000000,G474&lt;=Cutoff!$B$10),1,0)</f>
        <v>0</v>
      </c>
      <c r="N474" s="12" t="n">
        <f aca="false">IF(AND(M474=1,F474+Cutoff!$B$16&lt;=Cutoff!$B$10),1,0)</f>
        <v>0</v>
      </c>
      <c r="O474" s="12" t="n">
        <f aca="false">IF(N474=1,IF(AND(H474&lt;1000000000000000,H474&gt;=MAX(F474,E474),H474&lt;F474+Cutoff!$B$16,I474&lt;=Cutoff!$B$10),1,0),0)</f>
        <v>0</v>
      </c>
      <c r="P474" s="12" t="n">
        <f aca="false">IF(AND(L474=1,J474&lt;=Cutoff!$B$10),1,0)</f>
        <v>0</v>
      </c>
      <c r="Q474" s="12" t="n">
        <f aca="false">IF(AND(N474=1,E474+Cutoff!$B$17&lt;=Cutoff!$B$10),1,0)</f>
        <v>0</v>
      </c>
      <c r="R474" s="12" t="n">
        <f aca="false">IF(Q474=1,IF(K474&lt;=Cutoff!$B$10,1,0),0)</f>
        <v>0</v>
      </c>
      <c r="S474" s="12" t="n">
        <f aca="false">IF(N474=1,SUMIFS(Subscriptions!$D$2:$D$208,Subscriptions!$A$2:$A$208,C474,Subscriptions!$E$2:$E$208,1,Subscriptions!$B$2:$B$208,"&gt;="&amp;Cutoff!$B$24,Subscriptions!$B$2:$B$208,"&lt;"&amp;Cutoff!$B$25,Subscriptions!$B$2:$B$208,"&lt;="&amp;Cutoff!$B$10),0)</f>
        <v>0</v>
      </c>
    </row>
    <row r="475" customFormat="false" ht="15" hidden="false" customHeight="false" outlineLevel="0" collapsed="false">
      <c r="A475" s="4" t="s">
        <v>1235</v>
      </c>
      <c r="B475" s="4" t="s">
        <v>1089</v>
      </c>
      <c r="C475" s="4" t="s">
        <v>1236</v>
      </c>
      <c r="D475" s="4" t="s">
        <v>51</v>
      </c>
      <c r="E475" s="4" t="n">
        <v>1788286721</v>
      </c>
      <c r="F475" s="4" t="n">
        <v>1788286538</v>
      </c>
      <c r="G475" s="4" t="n">
        <v>1788286556</v>
      </c>
      <c r="H475" s="4" t="n">
        <v>1788346959</v>
      </c>
      <c r="I475" s="4" t="n">
        <v>1788346966</v>
      </c>
      <c r="J475" s="4" t="n">
        <v>1788286814</v>
      </c>
      <c r="K475" s="4" t="n">
        <v>1000000000000000</v>
      </c>
      <c r="L475" s="12" t="n">
        <f aca="false">IF(AND(B475=Cutoff!$B$12,E475&lt;=Cutoff!$B$10),1,0)</f>
        <v>0</v>
      </c>
      <c r="M475" s="12" t="n">
        <f aca="false">IF(AND(L475=1,F475&lt;1000000000000000,G475&lt;=Cutoff!$B$10),1,0)</f>
        <v>0</v>
      </c>
      <c r="N475" s="12" t="n">
        <f aca="false">IF(AND(M475=1,F475+Cutoff!$B$16&lt;=Cutoff!$B$10),1,0)</f>
        <v>0</v>
      </c>
      <c r="O475" s="12" t="n">
        <f aca="false">IF(N475=1,IF(AND(H475&lt;1000000000000000,H475&gt;=MAX(F475,E475),H475&lt;F475+Cutoff!$B$16,I475&lt;=Cutoff!$B$10),1,0),0)</f>
        <v>0</v>
      </c>
      <c r="P475" s="12" t="n">
        <f aca="false">IF(AND(L475=1,J475&lt;=Cutoff!$B$10),1,0)</f>
        <v>0</v>
      </c>
      <c r="Q475" s="12" t="n">
        <f aca="false">IF(AND(N475=1,E475+Cutoff!$B$17&lt;=Cutoff!$B$10),1,0)</f>
        <v>0</v>
      </c>
      <c r="R475" s="12" t="n">
        <f aca="false">IF(Q475=1,IF(K475&lt;=Cutoff!$B$10,1,0),0)</f>
        <v>0</v>
      </c>
      <c r="S475" s="12" t="n">
        <f aca="false">IF(N475=1,SUMIFS(Subscriptions!$D$2:$D$208,Subscriptions!$A$2:$A$208,C475,Subscriptions!$E$2:$E$208,1,Subscriptions!$B$2:$B$208,"&gt;="&amp;Cutoff!$B$24,Subscriptions!$B$2:$B$208,"&lt;"&amp;Cutoff!$B$25,Subscriptions!$B$2:$B$208,"&lt;="&amp;Cutoff!$B$10),0)</f>
        <v>0</v>
      </c>
    </row>
    <row r="476" customFormat="false" ht="15" hidden="false" customHeight="false" outlineLevel="0" collapsed="false">
      <c r="A476" s="4" t="s">
        <v>1237</v>
      </c>
      <c r="B476" s="4" t="s">
        <v>1089</v>
      </c>
      <c r="C476" s="4" t="s">
        <v>1238</v>
      </c>
      <c r="D476" s="4" t="s">
        <v>52</v>
      </c>
      <c r="E476" s="4" t="n">
        <v>1788287605</v>
      </c>
      <c r="F476" s="4" t="n">
        <v>1788287220</v>
      </c>
      <c r="G476" s="4" t="n">
        <v>1788287230</v>
      </c>
      <c r="H476" s="4" t="n">
        <v>1788543664</v>
      </c>
      <c r="I476" s="4" t="n">
        <v>1788543723</v>
      </c>
      <c r="J476" s="4" t="n">
        <v>1788287859</v>
      </c>
      <c r="K476" s="4" t="n">
        <v>1000000000000000</v>
      </c>
      <c r="L476" s="12" t="n">
        <f aca="false">IF(AND(B476=Cutoff!$B$12,E476&lt;=Cutoff!$B$10),1,0)</f>
        <v>0</v>
      </c>
      <c r="M476" s="12" t="n">
        <f aca="false">IF(AND(L476=1,F476&lt;1000000000000000,G476&lt;=Cutoff!$B$10),1,0)</f>
        <v>0</v>
      </c>
      <c r="N476" s="12" t="n">
        <f aca="false">IF(AND(M476=1,F476+Cutoff!$B$16&lt;=Cutoff!$B$10),1,0)</f>
        <v>0</v>
      </c>
      <c r="O476" s="12" t="n">
        <f aca="false">IF(N476=1,IF(AND(H476&lt;1000000000000000,H476&gt;=MAX(F476,E476),H476&lt;F476+Cutoff!$B$16,I476&lt;=Cutoff!$B$10),1,0),0)</f>
        <v>0</v>
      </c>
      <c r="P476" s="12" t="n">
        <f aca="false">IF(AND(L476=1,J476&lt;=Cutoff!$B$10),1,0)</f>
        <v>0</v>
      </c>
      <c r="Q476" s="12" t="n">
        <f aca="false">IF(AND(N476=1,E476+Cutoff!$B$17&lt;=Cutoff!$B$10),1,0)</f>
        <v>0</v>
      </c>
      <c r="R476" s="12" t="n">
        <f aca="false">IF(Q476=1,IF(K476&lt;=Cutoff!$B$10,1,0),0)</f>
        <v>0</v>
      </c>
      <c r="S476" s="12" t="n">
        <f aca="false">IF(N476=1,SUMIFS(Subscriptions!$D$2:$D$208,Subscriptions!$A$2:$A$208,C476,Subscriptions!$E$2:$E$208,1,Subscriptions!$B$2:$B$208,"&gt;="&amp;Cutoff!$B$24,Subscriptions!$B$2:$B$208,"&lt;"&amp;Cutoff!$B$25,Subscriptions!$B$2:$B$208,"&lt;="&amp;Cutoff!$B$10),0)</f>
        <v>0</v>
      </c>
    </row>
    <row r="477" customFormat="false" ht="15" hidden="false" customHeight="false" outlineLevel="0" collapsed="false">
      <c r="A477" s="4" t="s">
        <v>1239</v>
      </c>
      <c r="B477" s="4" t="s">
        <v>1089</v>
      </c>
      <c r="C477" s="4" t="s">
        <v>1240</v>
      </c>
      <c r="D477" s="4" t="s">
        <v>52</v>
      </c>
      <c r="E477" s="4" t="n">
        <v>1788288696</v>
      </c>
      <c r="F477" s="4" t="n">
        <v>1788288582</v>
      </c>
      <c r="G477" s="4" t="n">
        <v>1788288605</v>
      </c>
      <c r="H477" s="4" t="n">
        <v>1788391107</v>
      </c>
      <c r="I477" s="4" t="n">
        <v>1788391129</v>
      </c>
      <c r="J477" s="4" t="n">
        <v>1788289248</v>
      </c>
      <c r="K477" s="4" t="n">
        <v>1000000000000000</v>
      </c>
      <c r="L477" s="12" t="n">
        <f aca="false">IF(AND(B477=Cutoff!$B$12,E477&lt;=Cutoff!$B$10),1,0)</f>
        <v>0</v>
      </c>
      <c r="M477" s="12" t="n">
        <f aca="false">IF(AND(L477=1,F477&lt;1000000000000000,G477&lt;=Cutoff!$B$10),1,0)</f>
        <v>0</v>
      </c>
      <c r="N477" s="12" t="n">
        <f aca="false">IF(AND(M477=1,F477+Cutoff!$B$16&lt;=Cutoff!$B$10),1,0)</f>
        <v>0</v>
      </c>
      <c r="O477" s="12" t="n">
        <f aca="false">IF(N477=1,IF(AND(H477&lt;1000000000000000,H477&gt;=MAX(F477,E477),H477&lt;F477+Cutoff!$B$16,I477&lt;=Cutoff!$B$10),1,0),0)</f>
        <v>0</v>
      </c>
      <c r="P477" s="12" t="n">
        <f aca="false">IF(AND(L477=1,J477&lt;=Cutoff!$B$10),1,0)</f>
        <v>0</v>
      </c>
      <c r="Q477" s="12" t="n">
        <f aca="false">IF(AND(N477=1,E477+Cutoff!$B$17&lt;=Cutoff!$B$10),1,0)</f>
        <v>0</v>
      </c>
      <c r="R477" s="12" t="n">
        <f aca="false">IF(Q477=1,IF(K477&lt;=Cutoff!$B$10,1,0),0)</f>
        <v>0</v>
      </c>
      <c r="S477" s="12" t="n">
        <f aca="false">IF(N477=1,SUMIFS(Subscriptions!$D$2:$D$208,Subscriptions!$A$2:$A$208,C477,Subscriptions!$E$2:$E$208,1,Subscriptions!$B$2:$B$208,"&gt;="&amp;Cutoff!$B$24,Subscriptions!$B$2:$B$208,"&lt;"&amp;Cutoff!$B$25,Subscriptions!$B$2:$B$208,"&lt;="&amp;Cutoff!$B$10),0)</f>
        <v>0</v>
      </c>
    </row>
    <row r="478" customFormat="false" ht="15" hidden="false" customHeight="false" outlineLevel="0" collapsed="false">
      <c r="A478" s="4" t="s">
        <v>1241</v>
      </c>
      <c r="B478" s="4" t="s">
        <v>1089</v>
      </c>
      <c r="C478" s="4" t="s">
        <v>1242</v>
      </c>
      <c r="D478" s="4" t="s">
        <v>51</v>
      </c>
      <c r="E478" s="4" t="n">
        <v>1788358320</v>
      </c>
      <c r="F478" s="4" t="n">
        <v>1788358132</v>
      </c>
      <c r="G478" s="4" t="n">
        <v>1788358327</v>
      </c>
      <c r="H478" s="4" t="n">
        <v>1789870336</v>
      </c>
      <c r="I478" s="4" t="n">
        <v>1789870343</v>
      </c>
      <c r="J478" s="4" t="n">
        <v>1788358418</v>
      </c>
      <c r="K478" s="4" t="n">
        <v>1000000000000000</v>
      </c>
      <c r="L478" s="12" t="n">
        <f aca="false">IF(AND(B478=Cutoff!$B$12,E478&lt;=Cutoff!$B$10),1,0)</f>
        <v>0</v>
      </c>
      <c r="M478" s="12" t="n">
        <f aca="false">IF(AND(L478=1,F478&lt;1000000000000000,G478&lt;=Cutoff!$B$10),1,0)</f>
        <v>0</v>
      </c>
      <c r="N478" s="12" t="n">
        <f aca="false">IF(AND(M478=1,F478+Cutoff!$B$16&lt;=Cutoff!$B$10),1,0)</f>
        <v>0</v>
      </c>
      <c r="O478" s="12" t="n">
        <f aca="false">IF(N478=1,IF(AND(H478&lt;1000000000000000,H478&gt;=MAX(F478,E478),H478&lt;F478+Cutoff!$B$16,I478&lt;=Cutoff!$B$10),1,0),0)</f>
        <v>0</v>
      </c>
      <c r="P478" s="12" t="n">
        <f aca="false">IF(AND(L478=1,J478&lt;=Cutoff!$B$10),1,0)</f>
        <v>0</v>
      </c>
      <c r="Q478" s="12" t="n">
        <f aca="false">IF(AND(N478=1,E478+Cutoff!$B$17&lt;=Cutoff!$B$10),1,0)</f>
        <v>0</v>
      </c>
      <c r="R478" s="12" t="n">
        <f aca="false">IF(Q478=1,IF(K478&lt;=Cutoff!$B$10,1,0),0)</f>
        <v>0</v>
      </c>
      <c r="S478" s="12" t="n">
        <f aca="false">IF(N478=1,SUMIFS(Subscriptions!$D$2:$D$208,Subscriptions!$A$2:$A$208,C478,Subscriptions!$E$2:$E$208,1,Subscriptions!$B$2:$B$208,"&gt;="&amp;Cutoff!$B$24,Subscriptions!$B$2:$B$208,"&lt;"&amp;Cutoff!$B$25,Subscriptions!$B$2:$B$208,"&lt;="&amp;Cutoff!$B$10),0)</f>
        <v>0</v>
      </c>
    </row>
    <row r="479" customFormat="false" ht="15" hidden="false" customHeight="false" outlineLevel="0" collapsed="false">
      <c r="A479" s="4" t="s">
        <v>1243</v>
      </c>
      <c r="B479" s="4" t="s">
        <v>1089</v>
      </c>
      <c r="C479" s="4" t="s">
        <v>1244</v>
      </c>
      <c r="D479" s="4" t="s">
        <v>52</v>
      </c>
      <c r="E479" s="4" t="n">
        <v>1788378261</v>
      </c>
      <c r="F479" s="4" t="n">
        <v>1788377938</v>
      </c>
      <c r="G479" s="4" t="n">
        <v>1788377950</v>
      </c>
      <c r="H479" s="4" t="n">
        <v>1000000000000000</v>
      </c>
      <c r="I479" s="4" t="n">
        <v>1000000000000000</v>
      </c>
      <c r="J479" s="4" t="n">
        <v>1000000000000000</v>
      </c>
      <c r="K479" s="4" t="n">
        <v>1000000000000000</v>
      </c>
      <c r="L479" s="12" t="n">
        <f aca="false">IF(AND(B479=Cutoff!$B$12,E479&lt;=Cutoff!$B$10),1,0)</f>
        <v>0</v>
      </c>
      <c r="M479" s="12" t="n">
        <f aca="false">IF(AND(L479=1,F479&lt;1000000000000000,G479&lt;=Cutoff!$B$10),1,0)</f>
        <v>0</v>
      </c>
      <c r="N479" s="12" t="n">
        <f aca="false">IF(AND(M479=1,F479+Cutoff!$B$16&lt;=Cutoff!$B$10),1,0)</f>
        <v>0</v>
      </c>
      <c r="O479" s="12" t="n">
        <f aca="false">IF(N479=1,IF(AND(H479&lt;1000000000000000,H479&gt;=MAX(F479,E479),H479&lt;F479+Cutoff!$B$16,I479&lt;=Cutoff!$B$10),1,0),0)</f>
        <v>0</v>
      </c>
      <c r="P479" s="12" t="n">
        <f aca="false">IF(AND(L479=1,J479&lt;=Cutoff!$B$10),1,0)</f>
        <v>0</v>
      </c>
      <c r="Q479" s="12" t="n">
        <f aca="false">IF(AND(N479=1,E479+Cutoff!$B$17&lt;=Cutoff!$B$10),1,0)</f>
        <v>0</v>
      </c>
      <c r="R479" s="12" t="n">
        <f aca="false">IF(Q479=1,IF(K479&lt;=Cutoff!$B$10,1,0),0)</f>
        <v>0</v>
      </c>
      <c r="S479" s="12" t="n">
        <f aca="false">IF(N479=1,SUMIFS(Subscriptions!$D$2:$D$208,Subscriptions!$A$2:$A$208,C479,Subscriptions!$E$2:$E$208,1,Subscriptions!$B$2:$B$208,"&gt;="&amp;Cutoff!$B$24,Subscriptions!$B$2:$B$208,"&lt;"&amp;Cutoff!$B$25,Subscriptions!$B$2:$B$208,"&lt;="&amp;Cutoff!$B$10),0)</f>
        <v>0</v>
      </c>
    </row>
    <row r="480" customFormat="false" ht="15" hidden="false" customHeight="false" outlineLevel="0" collapsed="false">
      <c r="A480" s="4" t="s">
        <v>1245</v>
      </c>
      <c r="B480" s="4" t="s">
        <v>1089</v>
      </c>
      <c r="C480" s="4" t="s">
        <v>1246</v>
      </c>
      <c r="D480" s="4" t="s">
        <v>51</v>
      </c>
      <c r="E480" s="4" t="n">
        <v>1788456783</v>
      </c>
      <c r="F480" s="4" t="n">
        <v>1788456282</v>
      </c>
      <c r="G480" s="4" t="n">
        <v>1788456289</v>
      </c>
      <c r="H480" s="4" t="n">
        <v>1000000000000000</v>
      </c>
      <c r="I480" s="4" t="n">
        <v>1000000000000000</v>
      </c>
      <c r="J480" s="4" t="n">
        <v>1788457422</v>
      </c>
      <c r="K480" s="4" t="n">
        <v>1788909213</v>
      </c>
      <c r="L480" s="12" t="n">
        <f aca="false">IF(AND(B480=Cutoff!$B$12,E480&lt;=Cutoff!$B$10),1,0)</f>
        <v>0</v>
      </c>
      <c r="M480" s="12" t="n">
        <f aca="false">IF(AND(L480=1,F480&lt;1000000000000000,G480&lt;=Cutoff!$B$10),1,0)</f>
        <v>0</v>
      </c>
      <c r="N480" s="12" t="n">
        <f aca="false">IF(AND(M480=1,F480+Cutoff!$B$16&lt;=Cutoff!$B$10),1,0)</f>
        <v>0</v>
      </c>
      <c r="O480" s="12" t="n">
        <f aca="false">IF(N480=1,IF(AND(H480&lt;1000000000000000,H480&gt;=MAX(F480,E480),H480&lt;F480+Cutoff!$B$16,I480&lt;=Cutoff!$B$10),1,0),0)</f>
        <v>0</v>
      </c>
      <c r="P480" s="12" t="n">
        <f aca="false">IF(AND(L480=1,J480&lt;=Cutoff!$B$10),1,0)</f>
        <v>0</v>
      </c>
      <c r="Q480" s="12" t="n">
        <f aca="false">IF(AND(N480=1,E480+Cutoff!$B$17&lt;=Cutoff!$B$10),1,0)</f>
        <v>0</v>
      </c>
      <c r="R480" s="12" t="n">
        <f aca="false">IF(Q480=1,IF(K480&lt;=Cutoff!$B$10,1,0),0)</f>
        <v>0</v>
      </c>
      <c r="S480" s="12" t="n">
        <f aca="false">IF(N480=1,SUMIFS(Subscriptions!$D$2:$D$208,Subscriptions!$A$2:$A$208,C480,Subscriptions!$E$2:$E$208,1,Subscriptions!$B$2:$B$208,"&gt;="&amp;Cutoff!$B$24,Subscriptions!$B$2:$B$208,"&lt;"&amp;Cutoff!$B$25,Subscriptions!$B$2:$B$208,"&lt;="&amp;Cutoff!$B$10),0)</f>
        <v>0</v>
      </c>
    </row>
    <row r="481" customFormat="false" ht="15" hidden="false" customHeight="false" outlineLevel="0" collapsed="false">
      <c r="A481" s="4" t="s">
        <v>1247</v>
      </c>
      <c r="B481" s="4" t="s">
        <v>1089</v>
      </c>
      <c r="C481" s="4" t="s">
        <v>1248</v>
      </c>
      <c r="D481" s="4" t="s">
        <v>52</v>
      </c>
      <c r="E481" s="4" t="n">
        <v>1788546179</v>
      </c>
      <c r="F481" s="4" t="n">
        <v>1788545814</v>
      </c>
      <c r="G481" s="4" t="n">
        <v>1788545819</v>
      </c>
      <c r="H481" s="4" t="n">
        <v>1789241511</v>
      </c>
      <c r="I481" s="4" t="n">
        <v>1789241516</v>
      </c>
      <c r="J481" s="4" t="n">
        <v>1788546445</v>
      </c>
      <c r="K481" s="4" t="n">
        <v>1000000000000000</v>
      </c>
      <c r="L481" s="12" t="n">
        <f aca="false">IF(AND(B481=Cutoff!$B$12,E481&lt;=Cutoff!$B$10),1,0)</f>
        <v>0</v>
      </c>
      <c r="M481" s="12" t="n">
        <f aca="false">IF(AND(L481=1,F481&lt;1000000000000000,G481&lt;=Cutoff!$B$10),1,0)</f>
        <v>0</v>
      </c>
      <c r="N481" s="12" t="n">
        <f aca="false">IF(AND(M481=1,F481+Cutoff!$B$16&lt;=Cutoff!$B$10),1,0)</f>
        <v>0</v>
      </c>
      <c r="O481" s="12" t="n">
        <f aca="false">IF(N481=1,IF(AND(H481&lt;1000000000000000,H481&gt;=MAX(F481,E481),H481&lt;F481+Cutoff!$B$16,I481&lt;=Cutoff!$B$10),1,0),0)</f>
        <v>0</v>
      </c>
      <c r="P481" s="12" t="n">
        <f aca="false">IF(AND(L481=1,J481&lt;=Cutoff!$B$10),1,0)</f>
        <v>0</v>
      </c>
      <c r="Q481" s="12" t="n">
        <f aca="false">IF(AND(N481=1,E481+Cutoff!$B$17&lt;=Cutoff!$B$10),1,0)</f>
        <v>0</v>
      </c>
      <c r="R481" s="12" t="n">
        <f aca="false">IF(Q481=1,IF(K481&lt;=Cutoff!$B$10,1,0),0)</f>
        <v>0</v>
      </c>
      <c r="S481" s="12" t="n">
        <f aca="false">IF(N481=1,SUMIFS(Subscriptions!$D$2:$D$208,Subscriptions!$A$2:$A$208,C481,Subscriptions!$E$2:$E$208,1,Subscriptions!$B$2:$B$208,"&gt;="&amp;Cutoff!$B$24,Subscriptions!$B$2:$B$208,"&lt;"&amp;Cutoff!$B$25,Subscriptions!$B$2:$B$208,"&lt;="&amp;Cutoff!$B$10),0)</f>
        <v>0</v>
      </c>
    </row>
    <row r="482" customFormat="false" ht="15" hidden="false" customHeight="false" outlineLevel="0" collapsed="false">
      <c r="A482" s="4" t="s">
        <v>1249</v>
      </c>
      <c r="B482" s="4" t="s">
        <v>1089</v>
      </c>
      <c r="C482" s="4" t="s">
        <v>1250</v>
      </c>
      <c r="D482" s="4" t="s">
        <v>51</v>
      </c>
      <c r="E482" s="4" t="n">
        <v>1788604162</v>
      </c>
      <c r="F482" s="4" t="n">
        <v>1788603735</v>
      </c>
      <c r="G482" s="4" t="n">
        <v>1788603743</v>
      </c>
      <c r="H482" s="4" t="n">
        <v>1788626458</v>
      </c>
      <c r="I482" s="4" t="n">
        <v>1788626466</v>
      </c>
      <c r="J482" s="4" t="n">
        <v>1788605054</v>
      </c>
      <c r="K482" s="4" t="n">
        <v>1788857719</v>
      </c>
      <c r="L482" s="12" t="n">
        <f aca="false">IF(AND(B482=Cutoff!$B$12,E482&lt;=Cutoff!$B$10),1,0)</f>
        <v>0</v>
      </c>
      <c r="M482" s="12" t="n">
        <f aca="false">IF(AND(L482=1,F482&lt;1000000000000000,G482&lt;=Cutoff!$B$10),1,0)</f>
        <v>0</v>
      </c>
      <c r="N482" s="12" t="n">
        <f aca="false">IF(AND(M482=1,F482+Cutoff!$B$16&lt;=Cutoff!$B$10),1,0)</f>
        <v>0</v>
      </c>
      <c r="O482" s="12" t="n">
        <f aca="false">IF(N482=1,IF(AND(H482&lt;1000000000000000,H482&gt;=MAX(F482,E482),H482&lt;F482+Cutoff!$B$16,I482&lt;=Cutoff!$B$10),1,0),0)</f>
        <v>0</v>
      </c>
      <c r="P482" s="12" t="n">
        <f aca="false">IF(AND(L482=1,J482&lt;=Cutoff!$B$10),1,0)</f>
        <v>0</v>
      </c>
      <c r="Q482" s="12" t="n">
        <f aca="false">IF(AND(N482=1,E482+Cutoff!$B$17&lt;=Cutoff!$B$10),1,0)</f>
        <v>0</v>
      </c>
      <c r="R482" s="12" t="n">
        <f aca="false">IF(Q482=1,IF(K482&lt;=Cutoff!$B$10,1,0),0)</f>
        <v>0</v>
      </c>
      <c r="S482" s="12" t="n">
        <f aca="false">IF(N482=1,SUMIFS(Subscriptions!$D$2:$D$208,Subscriptions!$A$2:$A$208,C482,Subscriptions!$E$2:$E$208,1,Subscriptions!$B$2:$B$208,"&gt;="&amp;Cutoff!$B$24,Subscriptions!$B$2:$B$208,"&lt;"&amp;Cutoff!$B$25,Subscriptions!$B$2:$B$208,"&lt;="&amp;Cutoff!$B$10),0)</f>
        <v>0</v>
      </c>
    </row>
    <row r="483" customFormat="false" ht="15" hidden="false" customHeight="false" outlineLevel="0" collapsed="false">
      <c r="A483" s="4" t="s">
        <v>1251</v>
      </c>
      <c r="B483" s="4" t="s">
        <v>1089</v>
      </c>
      <c r="C483" s="4" t="s">
        <v>1252</v>
      </c>
      <c r="D483" s="4" t="s">
        <v>52</v>
      </c>
      <c r="E483" s="4" t="n">
        <v>1788622521</v>
      </c>
      <c r="F483" s="4" t="n">
        <v>1788622237</v>
      </c>
      <c r="G483" s="4" t="n">
        <v>1788622252</v>
      </c>
      <c r="H483" s="4" t="n">
        <v>1788854303</v>
      </c>
      <c r="I483" s="4" t="n">
        <v>1788854582</v>
      </c>
      <c r="J483" s="4" t="n">
        <v>1788623648</v>
      </c>
      <c r="K483" s="4" t="n">
        <v>1000000000000000</v>
      </c>
      <c r="L483" s="12" t="n">
        <f aca="false">IF(AND(B483=Cutoff!$B$12,E483&lt;=Cutoff!$B$10),1,0)</f>
        <v>0</v>
      </c>
      <c r="M483" s="12" t="n">
        <f aca="false">IF(AND(L483=1,F483&lt;1000000000000000,G483&lt;=Cutoff!$B$10),1,0)</f>
        <v>0</v>
      </c>
      <c r="N483" s="12" t="n">
        <f aca="false">IF(AND(M483=1,F483+Cutoff!$B$16&lt;=Cutoff!$B$10),1,0)</f>
        <v>0</v>
      </c>
      <c r="O483" s="12" t="n">
        <f aca="false">IF(N483=1,IF(AND(H483&lt;1000000000000000,H483&gt;=MAX(F483,E483),H483&lt;F483+Cutoff!$B$16,I483&lt;=Cutoff!$B$10),1,0),0)</f>
        <v>0</v>
      </c>
      <c r="P483" s="12" t="n">
        <f aca="false">IF(AND(L483=1,J483&lt;=Cutoff!$B$10),1,0)</f>
        <v>0</v>
      </c>
      <c r="Q483" s="12" t="n">
        <f aca="false">IF(AND(N483=1,E483+Cutoff!$B$17&lt;=Cutoff!$B$10),1,0)</f>
        <v>0</v>
      </c>
      <c r="R483" s="12" t="n">
        <f aca="false">IF(Q483=1,IF(K483&lt;=Cutoff!$B$10,1,0),0)</f>
        <v>0</v>
      </c>
      <c r="S483" s="12" t="n">
        <f aca="false">IF(N483=1,SUMIFS(Subscriptions!$D$2:$D$208,Subscriptions!$A$2:$A$208,C483,Subscriptions!$E$2:$E$208,1,Subscriptions!$B$2:$B$208,"&gt;="&amp;Cutoff!$B$24,Subscriptions!$B$2:$B$208,"&lt;"&amp;Cutoff!$B$25,Subscriptions!$B$2:$B$208,"&lt;="&amp;Cutoff!$B$10),0)</f>
        <v>0</v>
      </c>
    </row>
    <row r="484" customFormat="false" ht="15" hidden="false" customHeight="false" outlineLevel="0" collapsed="false">
      <c r="A484" s="4" t="s">
        <v>1253</v>
      </c>
      <c r="B484" s="4" t="s">
        <v>1089</v>
      </c>
      <c r="C484" s="4" t="s">
        <v>1254</v>
      </c>
      <c r="D484" s="4" t="s">
        <v>51</v>
      </c>
      <c r="E484" s="4" t="n">
        <v>1788636550</v>
      </c>
      <c r="F484" s="4" t="n">
        <v>1788636193</v>
      </c>
      <c r="G484" s="4" t="n">
        <v>1788636199</v>
      </c>
      <c r="H484" s="4" t="n">
        <v>1000000000000000</v>
      </c>
      <c r="I484" s="4" t="n">
        <v>1000000000000000</v>
      </c>
      <c r="J484" s="4" t="n">
        <v>1788637627</v>
      </c>
      <c r="K484" s="4" t="n">
        <v>1000000000000000</v>
      </c>
      <c r="L484" s="12" t="n">
        <f aca="false">IF(AND(B484=Cutoff!$B$12,E484&lt;=Cutoff!$B$10),1,0)</f>
        <v>0</v>
      </c>
      <c r="M484" s="12" t="n">
        <f aca="false">IF(AND(L484=1,F484&lt;1000000000000000,G484&lt;=Cutoff!$B$10),1,0)</f>
        <v>0</v>
      </c>
      <c r="N484" s="12" t="n">
        <f aca="false">IF(AND(M484=1,F484+Cutoff!$B$16&lt;=Cutoff!$B$10),1,0)</f>
        <v>0</v>
      </c>
      <c r="O484" s="12" t="n">
        <f aca="false">IF(N484=1,IF(AND(H484&lt;1000000000000000,H484&gt;=MAX(F484,E484),H484&lt;F484+Cutoff!$B$16,I484&lt;=Cutoff!$B$10),1,0),0)</f>
        <v>0</v>
      </c>
      <c r="P484" s="12" t="n">
        <f aca="false">IF(AND(L484=1,J484&lt;=Cutoff!$B$10),1,0)</f>
        <v>0</v>
      </c>
      <c r="Q484" s="12" t="n">
        <f aca="false">IF(AND(N484=1,E484+Cutoff!$B$17&lt;=Cutoff!$B$10),1,0)</f>
        <v>0</v>
      </c>
      <c r="R484" s="12" t="n">
        <f aca="false">IF(Q484=1,IF(K484&lt;=Cutoff!$B$10,1,0),0)</f>
        <v>0</v>
      </c>
      <c r="S484" s="12" t="n">
        <f aca="false">IF(N484=1,SUMIFS(Subscriptions!$D$2:$D$208,Subscriptions!$A$2:$A$208,C484,Subscriptions!$E$2:$E$208,1,Subscriptions!$B$2:$B$208,"&gt;="&amp;Cutoff!$B$24,Subscriptions!$B$2:$B$208,"&lt;"&amp;Cutoff!$B$25,Subscriptions!$B$2:$B$208,"&lt;="&amp;Cutoff!$B$10),0)</f>
        <v>0</v>
      </c>
    </row>
    <row r="485" customFormat="false" ht="15" hidden="false" customHeight="false" outlineLevel="0" collapsed="false">
      <c r="A485" s="4" t="s">
        <v>1255</v>
      </c>
      <c r="B485" s="4" t="s">
        <v>1089</v>
      </c>
      <c r="C485" s="4" t="s">
        <v>1256</v>
      </c>
      <c r="D485" s="4" t="s">
        <v>52</v>
      </c>
      <c r="E485" s="4" t="n">
        <v>1788641486</v>
      </c>
      <c r="F485" s="4" t="n">
        <v>1788640931</v>
      </c>
      <c r="G485" s="4" t="n">
        <v>1788640933</v>
      </c>
      <c r="H485" s="4" t="n">
        <v>1000000000000000</v>
      </c>
      <c r="I485" s="4" t="n">
        <v>1000000000000000</v>
      </c>
      <c r="J485" s="4" t="n">
        <v>1788642103</v>
      </c>
      <c r="K485" s="4" t="n">
        <v>1000000000000000</v>
      </c>
      <c r="L485" s="12" t="n">
        <f aca="false">IF(AND(B485=Cutoff!$B$12,E485&lt;=Cutoff!$B$10),1,0)</f>
        <v>0</v>
      </c>
      <c r="M485" s="12" t="n">
        <f aca="false">IF(AND(L485=1,F485&lt;1000000000000000,G485&lt;=Cutoff!$B$10),1,0)</f>
        <v>0</v>
      </c>
      <c r="N485" s="12" t="n">
        <f aca="false">IF(AND(M485=1,F485+Cutoff!$B$16&lt;=Cutoff!$B$10),1,0)</f>
        <v>0</v>
      </c>
      <c r="O485" s="12" t="n">
        <f aca="false">IF(N485=1,IF(AND(H485&lt;1000000000000000,H485&gt;=MAX(F485,E485),H485&lt;F485+Cutoff!$B$16,I485&lt;=Cutoff!$B$10),1,0),0)</f>
        <v>0</v>
      </c>
      <c r="P485" s="12" t="n">
        <f aca="false">IF(AND(L485=1,J485&lt;=Cutoff!$B$10),1,0)</f>
        <v>0</v>
      </c>
      <c r="Q485" s="12" t="n">
        <f aca="false">IF(AND(N485=1,E485+Cutoff!$B$17&lt;=Cutoff!$B$10),1,0)</f>
        <v>0</v>
      </c>
      <c r="R485" s="12" t="n">
        <f aca="false">IF(Q485=1,IF(K485&lt;=Cutoff!$B$10,1,0),0)</f>
        <v>0</v>
      </c>
      <c r="S485" s="12" t="n">
        <f aca="false">IF(N485=1,SUMIFS(Subscriptions!$D$2:$D$208,Subscriptions!$A$2:$A$208,C485,Subscriptions!$E$2:$E$208,1,Subscriptions!$B$2:$B$208,"&gt;="&amp;Cutoff!$B$24,Subscriptions!$B$2:$B$208,"&lt;"&amp;Cutoff!$B$25,Subscriptions!$B$2:$B$208,"&lt;="&amp;Cutoff!$B$10),0)</f>
        <v>0</v>
      </c>
    </row>
    <row r="486" customFormat="false" ht="15" hidden="false" customHeight="false" outlineLevel="0" collapsed="false">
      <c r="A486" s="4" t="s">
        <v>1257</v>
      </c>
      <c r="B486" s="4" t="s">
        <v>1089</v>
      </c>
      <c r="C486" s="4" t="s">
        <v>1258</v>
      </c>
      <c r="D486" s="4" t="s">
        <v>52</v>
      </c>
      <c r="E486" s="4" t="n">
        <v>1788690329</v>
      </c>
      <c r="F486" s="4" t="n">
        <v>1788690134</v>
      </c>
      <c r="G486" s="4" t="n">
        <v>1788690135</v>
      </c>
      <c r="H486" s="4" t="n">
        <v>1788694214</v>
      </c>
      <c r="I486" s="4" t="n">
        <v>1788694223</v>
      </c>
      <c r="J486" s="4" t="n">
        <v>1788691349</v>
      </c>
      <c r="K486" s="4" t="n">
        <v>1000000000000000</v>
      </c>
      <c r="L486" s="12" t="n">
        <f aca="false">IF(AND(B486=Cutoff!$B$12,E486&lt;=Cutoff!$B$10),1,0)</f>
        <v>0</v>
      </c>
      <c r="M486" s="12" t="n">
        <f aca="false">IF(AND(L486=1,F486&lt;1000000000000000,G486&lt;=Cutoff!$B$10),1,0)</f>
        <v>0</v>
      </c>
      <c r="N486" s="12" t="n">
        <f aca="false">IF(AND(M486=1,F486+Cutoff!$B$16&lt;=Cutoff!$B$10),1,0)</f>
        <v>0</v>
      </c>
      <c r="O486" s="12" t="n">
        <f aca="false">IF(N486=1,IF(AND(H486&lt;1000000000000000,H486&gt;=MAX(F486,E486),H486&lt;F486+Cutoff!$B$16,I486&lt;=Cutoff!$B$10),1,0),0)</f>
        <v>0</v>
      </c>
      <c r="P486" s="12" t="n">
        <f aca="false">IF(AND(L486=1,J486&lt;=Cutoff!$B$10),1,0)</f>
        <v>0</v>
      </c>
      <c r="Q486" s="12" t="n">
        <f aca="false">IF(AND(N486=1,E486+Cutoff!$B$17&lt;=Cutoff!$B$10),1,0)</f>
        <v>0</v>
      </c>
      <c r="R486" s="12" t="n">
        <f aca="false">IF(Q486=1,IF(K486&lt;=Cutoff!$B$10,1,0),0)</f>
        <v>0</v>
      </c>
      <c r="S486" s="12" t="n">
        <f aca="false">IF(N486=1,SUMIFS(Subscriptions!$D$2:$D$208,Subscriptions!$A$2:$A$208,C486,Subscriptions!$E$2:$E$208,1,Subscriptions!$B$2:$B$208,"&gt;="&amp;Cutoff!$B$24,Subscriptions!$B$2:$B$208,"&lt;"&amp;Cutoff!$B$25,Subscriptions!$B$2:$B$208,"&lt;="&amp;Cutoff!$B$10),0)</f>
        <v>0</v>
      </c>
    </row>
    <row r="487" customFormat="false" ht="15" hidden="false" customHeight="false" outlineLevel="0" collapsed="false">
      <c r="A487" s="4" t="s">
        <v>1259</v>
      </c>
      <c r="B487" s="4" t="s">
        <v>1089</v>
      </c>
      <c r="C487" s="4" t="s">
        <v>1260</v>
      </c>
      <c r="D487" s="4" t="s">
        <v>52</v>
      </c>
      <c r="E487" s="4" t="n">
        <v>1788780027</v>
      </c>
      <c r="F487" s="4" t="n">
        <v>1788779811</v>
      </c>
      <c r="G487" s="4" t="n">
        <v>1788779834</v>
      </c>
      <c r="H487" s="4" t="n">
        <v>1789366077</v>
      </c>
      <c r="I487" s="4" t="n">
        <v>1789366096</v>
      </c>
      <c r="J487" s="4" t="n">
        <v>1788780358</v>
      </c>
      <c r="K487" s="4" t="n">
        <v>1000000000000000</v>
      </c>
      <c r="L487" s="12" t="n">
        <f aca="false">IF(AND(B487=Cutoff!$B$12,E487&lt;=Cutoff!$B$10),1,0)</f>
        <v>0</v>
      </c>
      <c r="M487" s="12" t="n">
        <f aca="false">IF(AND(L487=1,F487&lt;1000000000000000,G487&lt;=Cutoff!$B$10),1,0)</f>
        <v>0</v>
      </c>
      <c r="N487" s="12" t="n">
        <f aca="false">IF(AND(M487=1,F487+Cutoff!$B$16&lt;=Cutoff!$B$10),1,0)</f>
        <v>0</v>
      </c>
      <c r="O487" s="12" t="n">
        <f aca="false">IF(N487=1,IF(AND(H487&lt;1000000000000000,H487&gt;=MAX(F487,E487),H487&lt;F487+Cutoff!$B$16,I487&lt;=Cutoff!$B$10),1,0),0)</f>
        <v>0</v>
      </c>
      <c r="P487" s="12" t="n">
        <f aca="false">IF(AND(L487=1,J487&lt;=Cutoff!$B$10),1,0)</f>
        <v>0</v>
      </c>
      <c r="Q487" s="12" t="n">
        <f aca="false">IF(AND(N487=1,E487+Cutoff!$B$17&lt;=Cutoff!$B$10),1,0)</f>
        <v>0</v>
      </c>
      <c r="R487" s="12" t="n">
        <f aca="false">IF(Q487=1,IF(K487&lt;=Cutoff!$B$10,1,0),0)</f>
        <v>0</v>
      </c>
      <c r="S487" s="12" t="n">
        <f aca="false">IF(N487=1,SUMIFS(Subscriptions!$D$2:$D$208,Subscriptions!$A$2:$A$208,C487,Subscriptions!$E$2:$E$208,1,Subscriptions!$B$2:$B$208,"&gt;="&amp;Cutoff!$B$24,Subscriptions!$B$2:$B$208,"&lt;"&amp;Cutoff!$B$25,Subscriptions!$B$2:$B$208,"&lt;="&amp;Cutoff!$B$10),0)</f>
        <v>0</v>
      </c>
    </row>
    <row r="488" customFormat="false" ht="15" hidden="false" customHeight="false" outlineLevel="0" collapsed="false">
      <c r="A488" s="4" t="s">
        <v>1261</v>
      </c>
      <c r="B488" s="4" t="s">
        <v>1089</v>
      </c>
      <c r="C488" s="4" t="s">
        <v>1262</v>
      </c>
      <c r="D488" s="4" t="s">
        <v>51</v>
      </c>
      <c r="E488" s="4" t="n">
        <v>1788788413</v>
      </c>
      <c r="F488" s="4" t="n">
        <v>1788788352</v>
      </c>
      <c r="G488" s="4" t="n">
        <v>1788788358</v>
      </c>
      <c r="H488" s="4" t="n">
        <v>1000000000000000</v>
      </c>
      <c r="I488" s="4" t="n">
        <v>1000000000000000</v>
      </c>
      <c r="J488" s="4" t="n">
        <v>1788788430</v>
      </c>
      <c r="K488" s="4" t="n">
        <v>1000000000000000</v>
      </c>
      <c r="L488" s="12" t="n">
        <f aca="false">IF(AND(B488=Cutoff!$B$12,E488&lt;=Cutoff!$B$10),1,0)</f>
        <v>0</v>
      </c>
      <c r="M488" s="12" t="n">
        <f aca="false">IF(AND(L488=1,F488&lt;1000000000000000,G488&lt;=Cutoff!$B$10),1,0)</f>
        <v>0</v>
      </c>
      <c r="N488" s="12" t="n">
        <f aca="false">IF(AND(M488=1,F488+Cutoff!$B$16&lt;=Cutoff!$B$10),1,0)</f>
        <v>0</v>
      </c>
      <c r="O488" s="12" t="n">
        <f aca="false">IF(N488=1,IF(AND(H488&lt;1000000000000000,H488&gt;=MAX(F488,E488),H488&lt;F488+Cutoff!$B$16,I488&lt;=Cutoff!$B$10),1,0),0)</f>
        <v>0</v>
      </c>
      <c r="P488" s="12" t="n">
        <f aca="false">IF(AND(L488=1,J488&lt;=Cutoff!$B$10),1,0)</f>
        <v>0</v>
      </c>
      <c r="Q488" s="12" t="n">
        <f aca="false">IF(AND(N488=1,E488+Cutoff!$B$17&lt;=Cutoff!$B$10),1,0)</f>
        <v>0</v>
      </c>
      <c r="R488" s="12" t="n">
        <f aca="false">IF(Q488=1,IF(K488&lt;=Cutoff!$B$10,1,0),0)</f>
        <v>0</v>
      </c>
      <c r="S488" s="12" t="n">
        <f aca="false">IF(N488=1,SUMIFS(Subscriptions!$D$2:$D$208,Subscriptions!$A$2:$A$208,C488,Subscriptions!$E$2:$E$208,1,Subscriptions!$B$2:$B$208,"&gt;="&amp;Cutoff!$B$24,Subscriptions!$B$2:$B$208,"&lt;"&amp;Cutoff!$B$25,Subscriptions!$B$2:$B$208,"&lt;="&amp;Cutoff!$B$10),0)</f>
        <v>0</v>
      </c>
    </row>
    <row r="489" customFormat="false" ht="15" hidden="false" customHeight="false" outlineLevel="0" collapsed="false">
      <c r="A489" s="4" t="s">
        <v>1263</v>
      </c>
      <c r="B489" s="4" t="s">
        <v>1089</v>
      </c>
      <c r="C489" s="4" t="s">
        <v>1264</v>
      </c>
      <c r="D489" s="4" t="s">
        <v>52</v>
      </c>
      <c r="E489" s="4" t="n">
        <v>1788805806</v>
      </c>
      <c r="F489" s="4" t="n">
        <v>1788805241</v>
      </c>
      <c r="G489" s="4" t="n">
        <v>1788805260</v>
      </c>
      <c r="H489" s="4" t="n">
        <v>1000000000000000</v>
      </c>
      <c r="I489" s="4" t="n">
        <v>1000000000000000</v>
      </c>
      <c r="J489" s="4" t="n">
        <v>1788806811</v>
      </c>
      <c r="K489" s="4" t="n">
        <v>1000000000000000</v>
      </c>
      <c r="L489" s="12" t="n">
        <f aca="false">IF(AND(B489=Cutoff!$B$12,E489&lt;=Cutoff!$B$10),1,0)</f>
        <v>0</v>
      </c>
      <c r="M489" s="12" t="n">
        <f aca="false">IF(AND(L489=1,F489&lt;1000000000000000,G489&lt;=Cutoff!$B$10),1,0)</f>
        <v>0</v>
      </c>
      <c r="N489" s="12" t="n">
        <f aca="false">IF(AND(M489=1,F489+Cutoff!$B$16&lt;=Cutoff!$B$10),1,0)</f>
        <v>0</v>
      </c>
      <c r="O489" s="12" t="n">
        <f aca="false">IF(N489=1,IF(AND(H489&lt;1000000000000000,H489&gt;=MAX(F489,E489),H489&lt;F489+Cutoff!$B$16,I489&lt;=Cutoff!$B$10),1,0),0)</f>
        <v>0</v>
      </c>
      <c r="P489" s="12" t="n">
        <f aca="false">IF(AND(L489=1,J489&lt;=Cutoff!$B$10),1,0)</f>
        <v>0</v>
      </c>
      <c r="Q489" s="12" t="n">
        <f aca="false">IF(AND(N489=1,E489+Cutoff!$B$17&lt;=Cutoff!$B$10),1,0)</f>
        <v>0</v>
      </c>
      <c r="R489" s="12" t="n">
        <f aca="false">IF(Q489=1,IF(K489&lt;=Cutoff!$B$10,1,0),0)</f>
        <v>0</v>
      </c>
      <c r="S489" s="12" t="n">
        <f aca="false">IF(N489=1,SUMIFS(Subscriptions!$D$2:$D$208,Subscriptions!$A$2:$A$208,C489,Subscriptions!$E$2:$E$208,1,Subscriptions!$B$2:$B$208,"&gt;="&amp;Cutoff!$B$24,Subscriptions!$B$2:$B$208,"&lt;"&amp;Cutoff!$B$25,Subscriptions!$B$2:$B$208,"&lt;="&amp;Cutoff!$B$10),0)</f>
        <v>0</v>
      </c>
    </row>
    <row r="490" customFormat="false" ht="15" hidden="false" customHeight="false" outlineLevel="0" collapsed="false">
      <c r="A490" s="4" t="s">
        <v>1265</v>
      </c>
      <c r="B490" s="4" t="s">
        <v>1089</v>
      </c>
      <c r="C490" s="4" t="s">
        <v>1266</v>
      </c>
      <c r="D490" s="4" t="s">
        <v>51</v>
      </c>
      <c r="E490" s="4" t="n">
        <v>1788810644</v>
      </c>
      <c r="F490" s="4" t="n">
        <v>1788810394</v>
      </c>
      <c r="G490" s="4" t="n">
        <v>1788810414</v>
      </c>
      <c r="H490" s="4" t="n">
        <v>1000000000000000</v>
      </c>
      <c r="I490" s="4" t="n">
        <v>1000000000000000</v>
      </c>
      <c r="J490" s="4" t="n">
        <v>1788811209</v>
      </c>
      <c r="K490" s="4" t="n">
        <v>1000000000000000</v>
      </c>
      <c r="L490" s="12" t="n">
        <f aca="false">IF(AND(B490=Cutoff!$B$12,E490&lt;=Cutoff!$B$10),1,0)</f>
        <v>0</v>
      </c>
      <c r="M490" s="12" t="n">
        <f aca="false">IF(AND(L490=1,F490&lt;1000000000000000,G490&lt;=Cutoff!$B$10),1,0)</f>
        <v>0</v>
      </c>
      <c r="N490" s="12" t="n">
        <f aca="false">IF(AND(M490=1,F490+Cutoff!$B$16&lt;=Cutoff!$B$10),1,0)</f>
        <v>0</v>
      </c>
      <c r="O490" s="12" t="n">
        <f aca="false">IF(N490=1,IF(AND(H490&lt;1000000000000000,H490&gt;=MAX(F490,E490),H490&lt;F490+Cutoff!$B$16,I490&lt;=Cutoff!$B$10),1,0),0)</f>
        <v>0</v>
      </c>
      <c r="P490" s="12" t="n">
        <f aca="false">IF(AND(L490=1,J490&lt;=Cutoff!$B$10),1,0)</f>
        <v>0</v>
      </c>
      <c r="Q490" s="12" t="n">
        <f aca="false">IF(AND(N490=1,E490+Cutoff!$B$17&lt;=Cutoff!$B$10),1,0)</f>
        <v>0</v>
      </c>
      <c r="R490" s="12" t="n">
        <f aca="false">IF(Q490=1,IF(K490&lt;=Cutoff!$B$10,1,0),0)</f>
        <v>0</v>
      </c>
      <c r="S490" s="12" t="n">
        <f aca="false">IF(N490=1,SUMIFS(Subscriptions!$D$2:$D$208,Subscriptions!$A$2:$A$208,C490,Subscriptions!$E$2:$E$208,1,Subscriptions!$B$2:$B$208,"&gt;="&amp;Cutoff!$B$24,Subscriptions!$B$2:$B$208,"&lt;"&amp;Cutoff!$B$25,Subscriptions!$B$2:$B$208,"&lt;="&amp;Cutoff!$B$10),0)</f>
        <v>0</v>
      </c>
    </row>
    <row r="491" customFormat="false" ht="15" hidden="false" customHeight="false" outlineLevel="0" collapsed="false">
      <c r="A491" s="4" t="s">
        <v>1267</v>
      </c>
      <c r="B491" s="4" t="s">
        <v>1089</v>
      </c>
      <c r="C491" s="4" t="s">
        <v>1268</v>
      </c>
      <c r="D491" s="4" t="s">
        <v>52</v>
      </c>
      <c r="E491" s="4" t="n">
        <v>1788825774</v>
      </c>
      <c r="F491" s="4" t="n">
        <v>1788825207</v>
      </c>
      <c r="G491" s="4" t="n">
        <v>1788825271</v>
      </c>
      <c r="H491" s="4" t="n">
        <v>1788830044</v>
      </c>
      <c r="I491" s="4" t="n">
        <v>1788830066</v>
      </c>
      <c r="J491" s="4" t="n">
        <v>1788826713</v>
      </c>
      <c r="K491" s="4" t="n">
        <v>1000000000000000</v>
      </c>
      <c r="L491" s="12" t="n">
        <f aca="false">IF(AND(B491=Cutoff!$B$12,E491&lt;=Cutoff!$B$10),1,0)</f>
        <v>0</v>
      </c>
      <c r="M491" s="12" t="n">
        <f aca="false">IF(AND(L491=1,F491&lt;1000000000000000,G491&lt;=Cutoff!$B$10),1,0)</f>
        <v>0</v>
      </c>
      <c r="N491" s="12" t="n">
        <f aca="false">IF(AND(M491=1,F491+Cutoff!$B$16&lt;=Cutoff!$B$10),1,0)</f>
        <v>0</v>
      </c>
      <c r="O491" s="12" t="n">
        <f aca="false">IF(N491=1,IF(AND(H491&lt;1000000000000000,H491&gt;=MAX(F491,E491),H491&lt;F491+Cutoff!$B$16,I491&lt;=Cutoff!$B$10),1,0),0)</f>
        <v>0</v>
      </c>
      <c r="P491" s="12" t="n">
        <f aca="false">IF(AND(L491=1,J491&lt;=Cutoff!$B$10),1,0)</f>
        <v>0</v>
      </c>
      <c r="Q491" s="12" t="n">
        <f aca="false">IF(AND(N491=1,E491+Cutoff!$B$17&lt;=Cutoff!$B$10),1,0)</f>
        <v>0</v>
      </c>
      <c r="R491" s="12" t="n">
        <f aca="false">IF(Q491=1,IF(K491&lt;=Cutoff!$B$10,1,0),0)</f>
        <v>0</v>
      </c>
      <c r="S491" s="12" t="n">
        <f aca="false">IF(N491=1,SUMIFS(Subscriptions!$D$2:$D$208,Subscriptions!$A$2:$A$208,C491,Subscriptions!$E$2:$E$208,1,Subscriptions!$B$2:$B$208,"&gt;="&amp;Cutoff!$B$24,Subscriptions!$B$2:$B$208,"&lt;"&amp;Cutoff!$B$25,Subscriptions!$B$2:$B$208,"&lt;="&amp;Cutoff!$B$10),0)</f>
        <v>0</v>
      </c>
    </row>
    <row r="492" customFormat="false" ht="15" hidden="false" customHeight="false" outlineLevel="0" collapsed="false">
      <c r="A492" s="4" t="s">
        <v>1269</v>
      </c>
      <c r="B492" s="4" t="s">
        <v>1089</v>
      </c>
      <c r="C492" s="4" t="s">
        <v>1270</v>
      </c>
      <c r="D492" s="4" t="s">
        <v>51</v>
      </c>
      <c r="E492" s="4" t="n">
        <v>1788832798</v>
      </c>
      <c r="F492" s="4" t="n">
        <v>1788832524</v>
      </c>
      <c r="G492" s="4" t="n">
        <v>1788832549</v>
      </c>
      <c r="H492" s="4" t="n">
        <v>1000000000000000</v>
      </c>
      <c r="I492" s="4" t="n">
        <v>1000000000000000</v>
      </c>
      <c r="J492" s="4" t="n">
        <v>1788833943</v>
      </c>
      <c r="K492" s="4" t="n">
        <v>1788833520</v>
      </c>
      <c r="L492" s="12" t="n">
        <f aca="false">IF(AND(B492=Cutoff!$B$12,E492&lt;=Cutoff!$B$10),1,0)</f>
        <v>0</v>
      </c>
      <c r="M492" s="12" t="n">
        <f aca="false">IF(AND(L492=1,F492&lt;1000000000000000,G492&lt;=Cutoff!$B$10),1,0)</f>
        <v>0</v>
      </c>
      <c r="N492" s="12" t="n">
        <f aca="false">IF(AND(M492=1,F492+Cutoff!$B$16&lt;=Cutoff!$B$10),1,0)</f>
        <v>0</v>
      </c>
      <c r="O492" s="12" t="n">
        <f aca="false">IF(N492=1,IF(AND(H492&lt;1000000000000000,H492&gt;=MAX(F492,E492),H492&lt;F492+Cutoff!$B$16,I492&lt;=Cutoff!$B$10),1,0),0)</f>
        <v>0</v>
      </c>
      <c r="P492" s="12" t="n">
        <f aca="false">IF(AND(L492=1,J492&lt;=Cutoff!$B$10),1,0)</f>
        <v>0</v>
      </c>
      <c r="Q492" s="12" t="n">
        <f aca="false">IF(AND(N492=1,E492+Cutoff!$B$17&lt;=Cutoff!$B$10),1,0)</f>
        <v>0</v>
      </c>
      <c r="R492" s="12" t="n">
        <f aca="false">IF(Q492=1,IF(K492&lt;=Cutoff!$B$10,1,0),0)</f>
        <v>0</v>
      </c>
      <c r="S492" s="12" t="n">
        <f aca="false">IF(N492=1,SUMIFS(Subscriptions!$D$2:$D$208,Subscriptions!$A$2:$A$208,C492,Subscriptions!$E$2:$E$208,1,Subscriptions!$B$2:$B$208,"&gt;="&amp;Cutoff!$B$24,Subscriptions!$B$2:$B$208,"&lt;"&amp;Cutoff!$B$25,Subscriptions!$B$2:$B$208,"&lt;="&amp;Cutoff!$B$10),0)</f>
        <v>0</v>
      </c>
    </row>
    <row r="493" customFormat="false" ht="15" hidden="false" customHeight="false" outlineLevel="0" collapsed="false">
      <c r="A493" s="4" t="s">
        <v>1271</v>
      </c>
      <c r="B493" s="4" t="s">
        <v>1089</v>
      </c>
      <c r="C493" s="4" t="s">
        <v>1272</v>
      </c>
      <c r="D493" s="4" t="s">
        <v>51</v>
      </c>
      <c r="E493" s="4" t="n">
        <v>1788867340</v>
      </c>
      <c r="F493" s="4" t="n">
        <v>1788867200</v>
      </c>
      <c r="G493" s="4" t="n">
        <v>1788867203</v>
      </c>
      <c r="H493" s="4" t="n">
        <v>1000000000000000</v>
      </c>
      <c r="I493" s="4" t="n">
        <v>1000000000000000</v>
      </c>
      <c r="J493" s="4" t="n">
        <v>1788867780</v>
      </c>
      <c r="K493" s="4" t="n">
        <v>1000000000000000</v>
      </c>
      <c r="L493" s="12" t="n">
        <f aca="false">IF(AND(B493=Cutoff!$B$12,E493&lt;=Cutoff!$B$10),1,0)</f>
        <v>0</v>
      </c>
      <c r="M493" s="12" t="n">
        <f aca="false">IF(AND(L493=1,F493&lt;1000000000000000,G493&lt;=Cutoff!$B$10),1,0)</f>
        <v>0</v>
      </c>
      <c r="N493" s="12" t="n">
        <f aca="false">IF(AND(M493=1,F493+Cutoff!$B$16&lt;=Cutoff!$B$10),1,0)</f>
        <v>0</v>
      </c>
      <c r="O493" s="12" t="n">
        <f aca="false">IF(N493=1,IF(AND(H493&lt;1000000000000000,H493&gt;=MAX(F493,E493),H493&lt;F493+Cutoff!$B$16,I493&lt;=Cutoff!$B$10),1,0),0)</f>
        <v>0</v>
      </c>
      <c r="P493" s="12" t="n">
        <f aca="false">IF(AND(L493=1,J493&lt;=Cutoff!$B$10),1,0)</f>
        <v>0</v>
      </c>
      <c r="Q493" s="12" t="n">
        <f aca="false">IF(AND(N493=1,E493+Cutoff!$B$17&lt;=Cutoff!$B$10),1,0)</f>
        <v>0</v>
      </c>
      <c r="R493" s="12" t="n">
        <f aca="false">IF(Q493=1,IF(K493&lt;=Cutoff!$B$10,1,0),0)</f>
        <v>0</v>
      </c>
      <c r="S493" s="12" t="n">
        <f aca="false">IF(N493=1,SUMIFS(Subscriptions!$D$2:$D$208,Subscriptions!$A$2:$A$208,C493,Subscriptions!$E$2:$E$208,1,Subscriptions!$B$2:$B$208,"&gt;="&amp;Cutoff!$B$24,Subscriptions!$B$2:$B$208,"&lt;"&amp;Cutoff!$B$25,Subscriptions!$B$2:$B$208,"&lt;="&amp;Cutoff!$B$10),0)</f>
        <v>0</v>
      </c>
    </row>
    <row r="494" customFormat="false" ht="15" hidden="false" customHeight="false" outlineLevel="0" collapsed="false">
      <c r="A494" s="4" t="s">
        <v>1273</v>
      </c>
      <c r="B494" s="4" t="s">
        <v>1089</v>
      </c>
      <c r="C494" s="4" t="s">
        <v>1274</v>
      </c>
      <c r="D494" s="4" t="s">
        <v>52</v>
      </c>
      <c r="E494" s="4" t="n">
        <v>1788878144</v>
      </c>
      <c r="F494" s="4" t="n">
        <v>1788877584</v>
      </c>
      <c r="G494" s="4" t="n">
        <v>1789349216</v>
      </c>
      <c r="H494" s="4" t="n">
        <v>1789047015</v>
      </c>
      <c r="I494" s="4" t="n">
        <v>1789047035</v>
      </c>
      <c r="J494" s="4" t="n">
        <v>1788879034</v>
      </c>
      <c r="K494" s="4" t="n">
        <v>1000000000000000</v>
      </c>
      <c r="L494" s="12" t="n">
        <f aca="false">IF(AND(B494=Cutoff!$B$12,E494&lt;=Cutoff!$B$10),1,0)</f>
        <v>0</v>
      </c>
      <c r="M494" s="12" t="n">
        <f aca="false">IF(AND(L494=1,F494&lt;1000000000000000,G494&lt;=Cutoff!$B$10),1,0)</f>
        <v>0</v>
      </c>
      <c r="N494" s="12" t="n">
        <f aca="false">IF(AND(M494=1,F494+Cutoff!$B$16&lt;=Cutoff!$B$10),1,0)</f>
        <v>0</v>
      </c>
      <c r="O494" s="12" t="n">
        <f aca="false">IF(N494=1,IF(AND(H494&lt;1000000000000000,H494&gt;=MAX(F494,E494),H494&lt;F494+Cutoff!$B$16,I494&lt;=Cutoff!$B$10),1,0),0)</f>
        <v>0</v>
      </c>
      <c r="P494" s="12" t="n">
        <f aca="false">IF(AND(L494=1,J494&lt;=Cutoff!$B$10),1,0)</f>
        <v>0</v>
      </c>
      <c r="Q494" s="12" t="n">
        <f aca="false">IF(AND(N494=1,E494+Cutoff!$B$17&lt;=Cutoff!$B$10),1,0)</f>
        <v>0</v>
      </c>
      <c r="R494" s="12" t="n">
        <f aca="false">IF(Q494=1,IF(K494&lt;=Cutoff!$B$10,1,0),0)</f>
        <v>0</v>
      </c>
      <c r="S494" s="12" t="n">
        <f aca="false">IF(N494=1,SUMIFS(Subscriptions!$D$2:$D$208,Subscriptions!$A$2:$A$208,C494,Subscriptions!$E$2:$E$208,1,Subscriptions!$B$2:$B$208,"&gt;="&amp;Cutoff!$B$24,Subscriptions!$B$2:$B$208,"&lt;"&amp;Cutoff!$B$25,Subscriptions!$B$2:$B$208,"&lt;="&amp;Cutoff!$B$10),0)</f>
        <v>0</v>
      </c>
    </row>
    <row r="495" customFormat="false" ht="15" hidden="false" customHeight="false" outlineLevel="0" collapsed="false">
      <c r="A495" s="4" t="s">
        <v>1275</v>
      </c>
      <c r="B495" s="4" t="s">
        <v>1089</v>
      </c>
      <c r="C495" s="4" t="s">
        <v>1276</v>
      </c>
      <c r="D495" s="4" t="s">
        <v>52</v>
      </c>
      <c r="E495" s="4" t="n">
        <v>1788891069</v>
      </c>
      <c r="F495" s="4" t="n">
        <v>1788890583</v>
      </c>
      <c r="G495" s="4" t="n">
        <v>1788890584</v>
      </c>
      <c r="H495" s="4" t="n">
        <v>1789565155</v>
      </c>
      <c r="I495" s="4" t="n">
        <v>1789565174</v>
      </c>
      <c r="J495" s="4" t="n">
        <v>1788891189</v>
      </c>
      <c r="K495" s="4" t="n">
        <v>1000000000000000</v>
      </c>
      <c r="L495" s="12" t="n">
        <f aca="false">IF(AND(B495=Cutoff!$B$12,E495&lt;=Cutoff!$B$10),1,0)</f>
        <v>0</v>
      </c>
      <c r="M495" s="12" t="n">
        <f aca="false">IF(AND(L495=1,F495&lt;1000000000000000,G495&lt;=Cutoff!$B$10),1,0)</f>
        <v>0</v>
      </c>
      <c r="N495" s="12" t="n">
        <f aca="false">IF(AND(M495=1,F495+Cutoff!$B$16&lt;=Cutoff!$B$10),1,0)</f>
        <v>0</v>
      </c>
      <c r="O495" s="12" t="n">
        <f aca="false">IF(N495=1,IF(AND(H495&lt;1000000000000000,H495&gt;=MAX(F495,E495),H495&lt;F495+Cutoff!$B$16,I495&lt;=Cutoff!$B$10),1,0),0)</f>
        <v>0</v>
      </c>
      <c r="P495" s="12" t="n">
        <f aca="false">IF(AND(L495=1,J495&lt;=Cutoff!$B$10),1,0)</f>
        <v>0</v>
      </c>
      <c r="Q495" s="12" t="n">
        <f aca="false">IF(AND(N495=1,E495+Cutoff!$B$17&lt;=Cutoff!$B$10),1,0)</f>
        <v>0</v>
      </c>
      <c r="R495" s="12" t="n">
        <f aca="false">IF(Q495=1,IF(K495&lt;=Cutoff!$B$10,1,0),0)</f>
        <v>0</v>
      </c>
      <c r="S495" s="12" t="n">
        <f aca="false">IF(N495=1,SUMIFS(Subscriptions!$D$2:$D$208,Subscriptions!$A$2:$A$208,C495,Subscriptions!$E$2:$E$208,1,Subscriptions!$B$2:$B$208,"&gt;="&amp;Cutoff!$B$24,Subscriptions!$B$2:$B$208,"&lt;"&amp;Cutoff!$B$25,Subscriptions!$B$2:$B$208,"&lt;="&amp;Cutoff!$B$10),0)</f>
        <v>0</v>
      </c>
    </row>
    <row r="496" customFormat="false" ht="15" hidden="false" customHeight="false" outlineLevel="0" collapsed="false">
      <c r="A496" s="4" t="s">
        <v>1277</v>
      </c>
      <c r="B496" s="4" t="s">
        <v>1089</v>
      </c>
      <c r="C496" s="4" t="s">
        <v>1278</v>
      </c>
      <c r="D496" s="4" t="s">
        <v>52</v>
      </c>
      <c r="E496" s="4" t="n">
        <v>1788896277</v>
      </c>
      <c r="F496" s="4" t="n">
        <v>1788896062</v>
      </c>
      <c r="G496" s="4" t="n">
        <v>1788896083</v>
      </c>
      <c r="H496" s="4" t="n">
        <v>1000000000000000</v>
      </c>
      <c r="I496" s="4" t="n">
        <v>1000000000000000</v>
      </c>
      <c r="J496" s="4" t="n">
        <v>1788897472</v>
      </c>
      <c r="K496" s="4" t="n">
        <v>1000000000000000</v>
      </c>
      <c r="L496" s="12" t="n">
        <f aca="false">IF(AND(B496=Cutoff!$B$12,E496&lt;=Cutoff!$B$10),1,0)</f>
        <v>0</v>
      </c>
      <c r="M496" s="12" t="n">
        <f aca="false">IF(AND(L496=1,F496&lt;1000000000000000,G496&lt;=Cutoff!$B$10),1,0)</f>
        <v>0</v>
      </c>
      <c r="N496" s="12" t="n">
        <f aca="false">IF(AND(M496=1,F496+Cutoff!$B$16&lt;=Cutoff!$B$10),1,0)</f>
        <v>0</v>
      </c>
      <c r="O496" s="12" t="n">
        <f aca="false">IF(N496=1,IF(AND(H496&lt;1000000000000000,H496&gt;=MAX(F496,E496),H496&lt;F496+Cutoff!$B$16,I496&lt;=Cutoff!$B$10),1,0),0)</f>
        <v>0</v>
      </c>
      <c r="P496" s="12" t="n">
        <f aca="false">IF(AND(L496=1,J496&lt;=Cutoff!$B$10),1,0)</f>
        <v>0</v>
      </c>
      <c r="Q496" s="12" t="n">
        <f aca="false">IF(AND(N496=1,E496+Cutoff!$B$17&lt;=Cutoff!$B$10),1,0)</f>
        <v>0</v>
      </c>
      <c r="R496" s="12" t="n">
        <f aca="false">IF(Q496=1,IF(K496&lt;=Cutoff!$B$10,1,0),0)</f>
        <v>0</v>
      </c>
      <c r="S496" s="12" t="n">
        <f aca="false">IF(N496=1,SUMIFS(Subscriptions!$D$2:$D$208,Subscriptions!$A$2:$A$208,C496,Subscriptions!$E$2:$E$208,1,Subscriptions!$B$2:$B$208,"&gt;="&amp;Cutoff!$B$24,Subscriptions!$B$2:$B$208,"&lt;"&amp;Cutoff!$B$25,Subscriptions!$B$2:$B$208,"&lt;="&amp;Cutoff!$B$10),0)</f>
        <v>0</v>
      </c>
    </row>
    <row r="497" customFormat="false" ht="15" hidden="false" customHeight="false" outlineLevel="0" collapsed="false">
      <c r="A497" s="4" t="s">
        <v>1279</v>
      </c>
      <c r="B497" s="4" t="s">
        <v>1089</v>
      </c>
      <c r="C497" s="4" t="s">
        <v>1280</v>
      </c>
      <c r="D497" s="4" t="s">
        <v>51</v>
      </c>
      <c r="E497" s="4" t="n">
        <v>1788903794</v>
      </c>
      <c r="F497" s="4" t="n">
        <v>1788903275</v>
      </c>
      <c r="G497" s="4" t="n">
        <v>1788903299</v>
      </c>
      <c r="H497" s="4" t="n">
        <v>1788935034</v>
      </c>
      <c r="I497" s="4" t="n">
        <v>1788935051</v>
      </c>
      <c r="J497" s="4" t="n">
        <v>1788904746</v>
      </c>
      <c r="K497" s="4" t="n">
        <v>1000000000000000</v>
      </c>
      <c r="L497" s="12" t="n">
        <f aca="false">IF(AND(B497=Cutoff!$B$12,E497&lt;=Cutoff!$B$10),1,0)</f>
        <v>0</v>
      </c>
      <c r="M497" s="12" t="n">
        <f aca="false">IF(AND(L497=1,F497&lt;1000000000000000,G497&lt;=Cutoff!$B$10),1,0)</f>
        <v>0</v>
      </c>
      <c r="N497" s="12" t="n">
        <f aca="false">IF(AND(M497=1,F497+Cutoff!$B$16&lt;=Cutoff!$B$10),1,0)</f>
        <v>0</v>
      </c>
      <c r="O497" s="12" t="n">
        <f aca="false">IF(N497=1,IF(AND(H497&lt;1000000000000000,H497&gt;=MAX(F497,E497),H497&lt;F497+Cutoff!$B$16,I497&lt;=Cutoff!$B$10),1,0),0)</f>
        <v>0</v>
      </c>
      <c r="P497" s="12" t="n">
        <f aca="false">IF(AND(L497=1,J497&lt;=Cutoff!$B$10),1,0)</f>
        <v>0</v>
      </c>
      <c r="Q497" s="12" t="n">
        <f aca="false">IF(AND(N497=1,E497+Cutoff!$B$17&lt;=Cutoff!$B$10),1,0)</f>
        <v>0</v>
      </c>
      <c r="R497" s="12" t="n">
        <f aca="false">IF(Q497=1,IF(K497&lt;=Cutoff!$B$10,1,0),0)</f>
        <v>0</v>
      </c>
      <c r="S497" s="12" t="n">
        <f aca="false">IF(N497=1,SUMIFS(Subscriptions!$D$2:$D$208,Subscriptions!$A$2:$A$208,C497,Subscriptions!$E$2:$E$208,1,Subscriptions!$B$2:$B$208,"&gt;="&amp;Cutoff!$B$24,Subscriptions!$B$2:$B$208,"&lt;"&amp;Cutoff!$B$25,Subscriptions!$B$2:$B$208,"&lt;="&amp;Cutoff!$B$10),0)</f>
        <v>0</v>
      </c>
    </row>
    <row r="498" customFormat="false" ht="15" hidden="false" customHeight="false" outlineLevel="0" collapsed="false">
      <c r="A498" s="4" t="s">
        <v>1281</v>
      </c>
      <c r="B498" s="4" t="s">
        <v>1089</v>
      </c>
      <c r="C498" s="4" t="s">
        <v>1282</v>
      </c>
      <c r="D498" s="4" t="s">
        <v>52</v>
      </c>
      <c r="E498" s="4" t="n">
        <v>1788944560</v>
      </c>
      <c r="F498" s="4" t="n">
        <v>1788944439</v>
      </c>
      <c r="G498" s="4" t="n">
        <v>1788944449</v>
      </c>
      <c r="H498" s="4" t="n">
        <v>1788970692</v>
      </c>
      <c r="I498" s="4" t="n">
        <v>1788970776</v>
      </c>
      <c r="J498" s="4" t="n">
        <v>1788945069</v>
      </c>
      <c r="K498" s="4" t="n">
        <v>1788945478</v>
      </c>
      <c r="L498" s="12" t="n">
        <f aca="false">IF(AND(B498=Cutoff!$B$12,E498&lt;=Cutoff!$B$10),1,0)</f>
        <v>0</v>
      </c>
      <c r="M498" s="12" t="n">
        <f aca="false">IF(AND(L498=1,F498&lt;1000000000000000,G498&lt;=Cutoff!$B$10),1,0)</f>
        <v>0</v>
      </c>
      <c r="N498" s="12" t="n">
        <f aca="false">IF(AND(M498=1,F498+Cutoff!$B$16&lt;=Cutoff!$B$10),1,0)</f>
        <v>0</v>
      </c>
      <c r="O498" s="12" t="n">
        <f aca="false">IF(N498=1,IF(AND(H498&lt;1000000000000000,H498&gt;=MAX(F498,E498),H498&lt;F498+Cutoff!$B$16,I498&lt;=Cutoff!$B$10),1,0),0)</f>
        <v>0</v>
      </c>
      <c r="P498" s="12" t="n">
        <f aca="false">IF(AND(L498=1,J498&lt;=Cutoff!$B$10),1,0)</f>
        <v>0</v>
      </c>
      <c r="Q498" s="12" t="n">
        <f aca="false">IF(AND(N498=1,E498+Cutoff!$B$17&lt;=Cutoff!$B$10),1,0)</f>
        <v>0</v>
      </c>
      <c r="R498" s="12" t="n">
        <f aca="false">IF(Q498=1,IF(K498&lt;=Cutoff!$B$10,1,0),0)</f>
        <v>0</v>
      </c>
      <c r="S498" s="12" t="n">
        <f aca="false">IF(N498=1,SUMIFS(Subscriptions!$D$2:$D$208,Subscriptions!$A$2:$A$208,C498,Subscriptions!$E$2:$E$208,1,Subscriptions!$B$2:$B$208,"&gt;="&amp;Cutoff!$B$24,Subscriptions!$B$2:$B$208,"&lt;"&amp;Cutoff!$B$25,Subscriptions!$B$2:$B$208,"&lt;="&amp;Cutoff!$B$10),0)</f>
        <v>0</v>
      </c>
    </row>
    <row r="499" customFormat="false" ht="15" hidden="false" customHeight="false" outlineLevel="0" collapsed="false">
      <c r="A499" s="4" t="s">
        <v>1283</v>
      </c>
      <c r="B499" s="4" t="s">
        <v>1089</v>
      </c>
      <c r="C499" s="4" t="s">
        <v>1284</v>
      </c>
      <c r="D499" s="4" t="s">
        <v>51</v>
      </c>
      <c r="E499" s="4" t="n">
        <v>1788967323</v>
      </c>
      <c r="F499" s="4" t="n">
        <v>1788967101</v>
      </c>
      <c r="G499" s="4" t="n">
        <v>1788967121</v>
      </c>
      <c r="H499" s="4" t="n">
        <v>1000000000000000</v>
      </c>
      <c r="I499" s="4" t="n">
        <v>1000000000000000</v>
      </c>
      <c r="J499" s="4" t="n">
        <v>1788967761</v>
      </c>
      <c r="K499" s="4" t="n">
        <v>1000000000000000</v>
      </c>
      <c r="L499" s="12" t="n">
        <f aca="false">IF(AND(B499=Cutoff!$B$12,E499&lt;=Cutoff!$B$10),1,0)</f>
        <v>0</v>
      </c>
      <c r="M499" s="12" t="n">
        <f aca="false">IF(AND(L499=1,F499&lt;1000000000000000,G499&lt;=Cutoff!$B$10),1,0)</f>
        <v>0</v>
      </c>
      <c r="N499" s="12" t="n">
        <f aca="false">IF(AND(M499=1,F499+Cutoff!$B$16&lt;=Cutoff!$B$10),1,0)</f>
        <v>0</v>
      </c>
      <c r="O499" s="12" t="n">
        <f aca="false">IF(N499=1,IF(AND(H499&lt;1000000000000000,H499&gt;=MAX(F499,E499),H499&lt;F499+Cutoff!$B$16,I499&lt;=Cutoff!$B$10),1,0),0)</f>
        <v>0</v>
      </c>
      <c r="P499" s="12" t="n">
        <f aca="false">IF(AND(L499=1,J499&lt;=Cutoff!$B$10),1,0)</f>
        <v>0</v>
      </c>
      <c r="Q499" s="12" t="n">
        <f aca="false">IF(AND(N499=1,E499+Cutoff!$B$17&lt;=Cutoff!$B$10),1,0)</f>
        <v>0</v>
      </c>
      <c r="R499" s="12" t="n">
        <f aca="false">IF(Q499=1,IF(K499&lt;=Cutoff!$B$10,1,0),0)</f>
        <v>0</v>
      </c>
      <c r="S499" s="12" t="n">
        <f aca="false">IF(N499=1,SUMIFS(Subscriptions!$D$2:$D$208,Subscriptions!$A$2:$A$208,C499,Subscriptions!$E$2:$E$208,1,Subscriptions!$B$2:$B$208,"&gt;="&amp;Cutoff!$B$24,Subscriptions!$B$2:$B$208,"&lt;"&amp;Cutoff!$B$25,Subscriptions!$B$2:$B$208,"&lt;="&amp;Cutoff!$B$10),0)</f>
        <v>0</v>
      </c>
    </row>
    <row r="500" customFormat="false" ht="15" hidden="false" customHeight="false" outlineLevel="0" collapsed="false">
      <c r="A500" s="4" t="s">
        <v>1285</v>
      </c>
      <c r="B500" s="4" t="s">
        <v>1089</v>
      </c>
      <c r="C500" s="4" t="s">
        <v>1286</v>
      </c>
      <c r="D500" s="4" t="s">
        <v>52</v>
      </c>
      <c r="E500" s="4" t="n">
        <v>1789053453</v>
      </c>
      <c r="F500" s="4" t="n">
        <v>1789053324</v>
      </c>
      <c r="G500" s="4" t="n">
        <v>1789053338</v>
      </c>
      <c r="H500" s="4" t="n">
        <v>1000000000000000</v>
      </c>
      <c r="I500" s="4" t="n">
        <v>1000000000000000</v>
      </c>
      <c r="J500" s="4" t="n">
        <v>1789054360</v>
      </c>
      <c r="K500" s="4" t="n">
        <v>1789147426</v>
      </c>
      <c r="L500" s="12" t="n">
        <f aca="false">IF(AND(B500=Cutoff!$B$12,E500&lt;=Cutoff!$B$10),1,0)</f>
        <v>0</v>
      </c>
      <c r="M500" s="12" t="n">
        <f aca="false">IF(AND(L500=1,F500&lt;1000000000000000,G500&lt;=Cutoff!$B$10),1,0)</f>
        <v>0</v>
      </c>
      <c r="N500" s="12" t="n">
        <f aca="false">IF(AND(M500=1,F500+Cutoff!$B$16&lt;=Cutoff!$B$10),1,0)</f>
        <v>0</v>
      </c>
      <c r="O500" s="12" t="n">
        <f aca="false">IF(N500=1,IF(AND(H500&lt;1000000000000000,H500&gt;=MAX(F500,E500),H500&lt;F500+Cutoff!$B$16,I500&lt;=Cutoff!$B$10),1,0),0)</f>
        <v>0</v>
      </c>
      <c r="P500" s="12" t="n">
        <f aca="false">IF(AND(L500=1,J500&lt;=Cutoff!$B$10),1,0)</f>
        <v>0</v>
      </c>
      <c r="Q500" s="12" t="n">
        <f aca="false">IF(AND(N500=1,E500+Cutoff!$B$17&lt;=Cutoff!$B$10),1,0)</f>
        <v>0</v>
      </c>
      <c r="R500" s="12" t="n">
        <f aca="false">IF(Q500=1,IF(K500&lt;=Cutoff!$B$10,1,0),0)</f>
        <v>0</v>
      </c>
      <c r="S500" s="12" t="n">
        <f aca="false">IF(N500=1,SUMIFS(Subscriptions!$D$2:$D$208,Subscriptions!$A$2:$A$208,C500,Subscriptions!$E$2:$E$208,1,Subscriptions!$B$2:$B$208,"&gt;="&amp;Cutoff!$B$24,Subscriptions!$B$2:$B$208,"&lt;"&amp;Cutoff!$B$25,Subscriptions!$B$2:$B$208,"&lt;="&amp;Cutoff!$B$10),0)</f>
        <v>0</v>
      </c>
    </row>
    <row r="501" customFormat="false" ht="15" hidden="false" customHeight="false" outlineLevel="0" collapsed="false">
      <c r="A501" s="4" t="s">
        <v>1287</v>
      </c>
      <c r="B501" s="4" t="s">
        <v>1089</v>
      </c>
      <c r="C501" s="4" t="s">
        <v>1288</v>
      </c>
      <c r="D501" s="4" t="s">
        <v>52</v>
      </c>
      <c r="E501" s="4" t="n">
        <v>1789061601</v>
      </c>
      <c r="F501" s="4" t="n">
        <v>1789061378</v>
      </c>
      <c r="G501" s="4" t="n">
        <v>1789061386</v>
      </c>
      <c r="H501" s="4" t="n">
        <v>1000000000000000</v>
      </c>
      <c r="I501" s="4" t="n">
        <v>1000000000000000</v>
      </c>
      <c r="J501" s="4" t="n">
        <v>1789061856</v>
      </c>
      <c r="K501" s="4" t="n">
        <v>1000000000000000</v>
      </c>
      <c r="L501" s="12" t="n">
        <f aca="false">IF(AND(B501=Cutoff!$B$12,E501&lt;=Cutoff!$B$10),1,0)</f>
        <v>0</v>
      </c>
      <c r="M501" s="12" t="n">
        <f aca="false">IF(AND(L501=1,F501&lt;1000000000000000,G501&lt;=Cutoff!$B$10),1,0)</f>
        <v>0</v>
      </c>
      <c r="N501" s="12" t="n">
        <f aca="false">IF(AND(M501=1,F501+Cutoff!$B$16&lt;=Cutoff!$B$10),1,0)</f>
        <v>0</v>
      </c>
      <c r="O501" s="12" t="n">
        <f aca="false">IF(N501=1,IF(AND(H501&lt;1000000000000000,H501&gt;=MAX(F501,E501),H501&lt;F501+Cutoff!$B$16,I501&lt;=Cutoff!$B$10),1,0),0)</f>
        <v>0</v>
      </c>
      <c r="P501" s="12" t="n">
        <f aca="false">IF(AND(L501=1,J501&lt;=Cutoff!$B$10),1,0)</f>
        <v>0</v>
      </c>
      <c r="Q501" s="12" t="n">
        <f aca="false">IF(AND(N501=1,E501+Cutoff!$B$17&lt;=Cutoff!$B$10),1,0)</f>
        <v>0</v>
      </c>
      <c r="R501" s="12" t="n">
        <f aca="false">IF(Q501=1,IF(K501&lt;=Cutoff!$B$10,1,0),0)</f>
        <v>0</v>
      </c>
      <c r="S501" s="12" t="n">
        <f aca="false">IF(N501=1,SUMIFS(Subscriptions!$D$2:$D$208,Subscriptions!$A$2:$A$208,C501,Subscriptions!$E$2:$E$208,1,Subscriptions!$B$2:$B$208,"&gt;="&amp;Cutoff!$B$24,Subscriptions!$B$2:$B$208,"&lt;"&amp;Cutoff!$B$25,Subscriptions!$B$2:$B$208,"&lt;="&amp;Cutoff!$B$10),0)</f>
        <v>0</v>
      </c>
    </row>
    <row r="502" customFormat="false" ht="15" hidden="false" customHeight="false" outlineLevel="0" collapsed="false">
      <c r="A502" s="4" t="s">
        <v>1289</v>
      </c>
      <c r="B502" s="4" t="s">
        <v>1089</v>
      </c>
      <c r="C502" s="4" t="s">
        <v>1290</v>
      </c>
      <c r="D502" s="4" t="s">
        <v>52</v>
      </c>
      <c r="E502" s="4" t="n">
        <v>1789121502</v>
      </c>
      <c r="F502" s="4" t="n">
        <v>1789121376</v>
      </c>
      <c r="G502" s="4" t="n">
        <v>1789121396</v>
      </c>
      <c r="H502" s="4" t="n">
        <v>1789277488</v>
      </c>
      <c r="I502" s="4" t="n">
        <v>1789277493</v>
      </c>
      <c r="J502" s="4" t="n">
        <v>1789121853</v>
      </c>
      <c r="K502" s="4" t="n">
        <v>1789121844</v>
      </c>
      <c r="L502" s="12" t="n">
        <f aca="false">IF(AND(B502=Cutoff!$B$12,E502&lt;=Cutoff!$B$10),1,0)</f>
        <v>0</v>
      </c>
      <c r="M502" s="12" t="n">
        <f aca="false">IF(AND(L502=1,F502&lt;1000000000000000,G502&lt;=Cutoff!$B$10),1,0)</f>
        <v>0</v>
      </c>
      <c r="N502" s="12" t="n">
        <f aca="false">IF(AND(M502=1,F502+Cutoff!$B$16&lt;=Cutoff!$B$10),1,0)</f>
        <v>0</v>
      </c>
      <c r="O502" s="12" t="n">
        <f aca="false">IF(N502=1,IF(AND(H502&lt;1000000000000000,H502&gt;=MAX(F502,E502),H502&lt;F502+Cutoff!$B$16,I502&lt;=Cutoff!$B$10),1,0),0)</f>
        <v>0</v>
      </c>
      <c r="P502" s="12" t="n">
        <f aca="false">IF(AND(L502=1,J502&lt;=Cutoff!$B$10),1,0)</f>
        <v>0</v>
      </c>
      <c r="Q502" s="12" t="n">
        <f aca="false">IF(AND(N502=1,E502+Cutoff!$B$17&lt;=Cutoff!$B$10),1,0)</f>
        <v>0</v>
      </c>
      <c r="R502" s="12" t="n">
        <f aca="false">IF(Q502=1,IF(K502&lt;=Cutoff!$B$10,1,0),0)</f>
        <v>0</v>
      </c>
      <c r="S502" s="12" t="n">
        <f aca="false">IF(N502=1,SUMIFS(Subscriptions!$D$2:$D$208,Subscriptions!$A$2:$A$208,C502,Subscriptions!$E$2:$E$208,1,Subscriptions!$B$2:$B$208,"&gt;="&amp;Cutoff!$B$24,Subscriptions!$B$2:$B$208,"&lt;"&amp;Cutoff!$B$25,Subscriptions!$B$2:$B$208,"&lt;="&amp;Cutoff!$B$10),0)</f>
        <v>0</v>
      </c>
    </row>
    <row r="503" customFormat="false" ht="15" hidden="false" customHeight="false" outlineLevel="0" collapsed="false">
      <c r="A503" s="4" t="s">
        <v>1291</v>
      </c>
      <c r="B503" s="4" t="s">
        <v>1089</v>
      </c>
      <c r="C503" s="4" t="s">
        <v>1292</v>
      </c>
      <c r="D503" s="4" t="s">
        <v>52</v>
      </c>
      <c r="E503" s="4" t="n">
        <v>1789134823</v>
      </c>
      <c r="F503" s="4" t="n">
        <v>1789134663</v>
      </c>
      <c r="G503" s="4" t="n">
        <v>1789134681</v>
      </c>
      <c r="H503" s="4" t="n">
        <v>1000000000000000</v>
      </c>
      <c r="I503" s="4" t="n">
        <v>1000000000000000</v>
      </c>
      <c r="J503" s="4" t="n">
        <v>1789134979</v>
      </c>
      <c r="K503" s="4" t="n">
        <v>1000000000000000</v>
      </c>
      <c r="L503" s="12" t="n">
        <f aca="false">IF(AND(B503=Cutoff!$B$12,E503&lt;=Cutoff!$B$10),1,0)</f>
        <v>0</v>
      </c>
      <c r="M503" s="12" t="n">
        <f aca="false">IF(AND(L503=1,F503&lt;1000000000000000,G503&lt;=Cutoff!$B$10),1,0)</f>
        <v>0</v>
      </c>
      <c r="N503" s="12" t="n">
        <f aca="false">IF(AND(M503=1,F503+Cutoff!$B$16&lt;=Cutoff!$B$10),1,0)</f>
        <v>0</v>
      </c>
      <c r="O503" s="12" t="n">
        <f aca="false">IF(N503=1,IF(AND(H503&lt;1000000000000000,H503&gt;=MAX(F503,E503),H503&lt;F503+Cutoff!$B$16,I503&lt;=Cutoff!$B$10),1,0),0)</f>
        <v>0</v>
      </c>
      <c r="P503" s="12" t="n">
        <f aca="false">IF(AND(L503=1,J503&lt;=Cutoff!$B$10),1,0)</f>
        <v>0</v>
      </c>
      <c r="Q503" s="12" t="n">
        <f aca="false">IF(AND(N503=1,E503+Cutoff!$B$17&lt;=Cutoff!$B$10),1,0)</f>
        <v>0</v>
      </c>
      <c r="R503" s="12" t="n">
        <f aca="false">IF(Q503=1,IF(K503&lt;=Cutoff!$B$10,1,0),0)</f>
        <v>0</v>
      </c>
      <c r="S503" s="12" t="n">
        <f aca="false">IF(N503=1,SUMIFS(Subscriptions!$D$2:$D$208,Subscriptions!$A$2:$A$208,C503,Subscriptions!$E$2:$E$208,1,Subscriptions!$B$2:$B$208,"&gt;="&amp;Cutoff!$B$24,Subscriptions!$B$2:$B$208,"&lt;"&amp;Cutoff!$B$25,Subscriptions!$B$2:$B$208,"&lt;="&amp;Cutoff!$B$10),0)</f>
        <v>0</v>
      </c>
    </row>
    <row r="504" customFormat="false" ht="15" hidden="false" customHeight="false" outlineLevel="0" collapsed="false">
      <c r="A504" s="4" t="s">
        <v>1293</v>
      </c>
      <c r="B504" s="4" t="s">
        <v>1089</v>
      </c>
      <c r="C504" s="4" t="s">
        <v>1294</v>
      </c>
      <c r="D504" s="4" t="s">
        <v>51</v>
      </c>
      <c r="E504" s="4" t="n">
        <v>1789220816</v>
      </c>
      <c r="F504" s="4" t="n">
        <v>1789220310</v>
      </c>
      <c r="G504" s="4" t="n">
        <v>1789220317</v>
      </c>
      <c r="H504" s="4" t="n">
        <v>1789222881</v>
      </c>
      <c r="I504" s="4" t="n">
        <v>1789222905</v>
      </c>
      <c r="J504" s="4" t="n">
        <v>1789221578</v>
      </c>
      <c r="K504" s="4" t="n">
        <v>1000000000000000</v>
      </c>
      <c r="L504" s="12" t="n">
        <f aca="false">IF(AND(B504=Cutoff!$B$12,E504&lt;=Cutoff!$B$10),1,0)</f>
        <v>0</v>
      </c>
      <c r="M504" s="12" t="n">
        <f aca="false">IF(AND(L504=1,F504&lt;1000000000000000,G504&lt;=Cutoff!$B$10),1,0)</f>
        <v>0</v>
      </c>
      <c r="N504" s="12" t="n">
        <f aca="false">IF(AND(M504=1,F504+Cutoff!$B$16&lt;=Cutoff!$B$10),1,0)</f>
        <v>0</v>
      </c>
      <c r="O504" s="12" t="n">
        <f aca="false">IF(N504=1,IF(AND(H504&lt;1000000000000000,H504&gt;=MAX(F504,E504),H504&lt;F504+Cutoff!$B$16,I504&lt;=Cutoff!$B$10),1,0),0)</f>
        <v>0</v>
      </c>
      <c r="P504" s="12" t="n">
        <f aca="false">IF(AND(L504=1,J504&lt;=Cutoff!$B$10),1,0)</f>
        <v>0</v>
      </c>
      <c r="Q504" s="12" t="n">
        <f aca="false">IF(AND(N504=1,E504+Cutoff!$B$17&lt;=Cutoff!$B$10),1,0)</f>
        <v>0</v>
      </c>
      <c r="R504" s="12" t="n">
        <f aca="false">IF(Q504=1,IF(K504&lt;=Cutoff!$B$10,1,0),0)</f>
        <v>0</v>
      </c>
      <c r="S504" s="12" t="n">
        <f aca="false">IF(N504=1,SUMIFS(Subscriptions!$D$2:$D$208,Subscriptions!$A$2:$A$208,C504,Subscriptions!$E$2:$E$208,1,Subscriptions!$B$2:$B$208,"&gt;="&amp;Cutoff!$B$24,Subscriptions!$B$2:$B$208,"&lt;"&amp;Cutoff!$B$25,Subscriptions!$B$2:$B$208,"&lt;="&amp;Cutoff!$B$10),0)</f>
        <v>0</v>
      </c>
    </row>
    <row r="505" customFormat="false" ht="15" hidden="false" customHeight="false" outlineLevel="0" collapsed="false">
      <c r="A505" s="4" t="s">
        <v>1295</v>
      </c>
      <c r="B505" s="4" t="s">
        <v>1089</v>
      </c>
      <c r="C505" s="4" t="s">
        <v>1296</v>
      </c>
      <c r="D505" s="4" t="s">
        <v>52</v>
      </c>
      <c r="E505" s="4" t="n">
        <v>1789240533</v>
      </c>
      <c r="F505" s="4" t="n">
        <v>1789240393</v>
      </c>
      <c r="G505" s="4" t="n">
        <v>1789240414</v>
      </c>
      <c r="H505" s="4" t="n">
        <v>1789258508</v>
      </c>
      <c r="I505" s="4" t="n">
        <v>1789379443</v>
      </c>
      <c r="J505" s="4" t="n">
        <v>1789241211</v>
      </c>
      <c r="K505" s="4" t="n">
        <v>1000000000000000</v>
      </c>
      <c r="L505" s="12" t="n">
        <f aca="false">IF(AND(B505=Cutoff!$B$12,E505&lt;=Cutoff!$B$10),1,0)</f>
        <v>0</v>
      </c>
      <c r="M505" s="12" t="n">
        <f aca="false">IF(AND(L505=1,F505&lt;1000000000000000,G505&lt;=Cutoff!$B$10),1,0)</f>
        <v>0</v>
      </c>
      <c r="N505" s="12" t="n">
        <f aca="false">IF(AND(M505=1,F505+Cutoff!$B$16&lt;=Cutoff!$B$10),1,0)</f>
        <v>0</v>
      </c>
      <c r="O505" s="12" t="n">
        <f aca="false">IF(N505=1,IF(AND(H505&lt;1000000000000000,H505&gt;=MAX(F505,E505),H505&lt;F505+Cutoff!$B$16,I505&lt;=Cutoff!$B$10),1,0),0)</f>
        <v>0</v>
      </c>
      <c r="P505" s="12" t="n">
        <f aca="false">IF(AND(L505=1,J505&lt;=Cutoff!$B$10),1,0)</f>
        <v>0</v>
      </c>
      <c r="Q505" s="12" t="n">
        <f aca="false">IF(AND(N505=1,E505+Cutoff!$B$17&lt;=Cutoff!$B$10),1,0)</f>
        <v>0</v>
      </c>
      <c r="R505" s="12" t="n">
        <f aca="false">IF(Q505=1,IF(K505&lt;=Cutoff!$B$10,1,0),0)</f>
        <v>0</v>
      </c>
      <c r="S505" s="12" t="n">
        <f aca="false">IF(N505=1,SUMIFS(Subscriptions!$D$2:$D$208,Subscriptions!$A$2:$A$208,C505,Subscriptions!$E$2:$E$208,1,Subscriptions!$B$2:$B$208,"&gt;="&amp;Cutoff!$B$24,Subscriptions!$B$2:$B$208,"&lt;"&amp;Cutoff!$B$25,Subscriptions!$B$2:$B$208,"&lt;="&amp;Cutoff!$B$10),0)</f>
        <v>0</v>
      </c>
    </row>
    <row r="506" customFormat="false" ht="15" hidden="false" customHeight="false" outlineLevel="0" collapsed="false">
      <c r="A506" s="4" t="s">
        <v>1297</v>
      </c>
      <c r="B506" s="4" t="s">
        <v>1089</v>
      </c>
      <c r="C506" s="4" t="s">
        <v>1298</v>
      </c>
      <c r="D506" s="4" t="s">
        <v>51</v>
      </c>
      <c r="E506" s="4" t="n">
        <v>1789309739</v>
      </c>
      <c r="F506" s="4" t="n">
        <v>1789309288</v>
      </c>
      <c r="G506" s="4" t="n">
        <v>1789309289</v>
      </c>
      <c r="H506" s="4" t="n">
        <v>1789564508</v>
      </c>
      <c r="I506" s="4" t="n">
        <v>1789564514</v>
      </c>
      <c r="J506" s="4" t="n">
        <v>1789310811</v>
      </c>
      <c r="K506" s="4" t="n">
        <v>1000000000000000</v>
      </c>
      <c r="L506" s="12" t="n">
        <f aca="false">IF(AND(B506=Cutoff!$B$12,E506&lt;=Cutoff!$B$10),1,0)</f>
        <v>0</v>
      </c>
      <c r="M506" s="12" t="n">
        <f aca="false">IF(AND(L506=1,F506&lt;1000000000000000,G506&lt;=Cutoff!$B$10),1,0)</f>
        <v>0</v>
      </c>
      <c r="N506" s="12" t="n">
        <f aca="false">IF(AND(M506=1,F506+Cutoff!$B$16&lt;=Cutoff!$B$10),1,0)</f>
        <v>0</v>
      </c>
      <c r="O506" s="12" t="n">
        <f aca="false">IF(N506=1,IF(AND(H506&lt;1000000000000000,H506&gt;=MAX(F506,E506),H506&lt;F506+Cutoff!$B$16,I506&lt;=Cutoff!$B$10),1,0),0)</f>
        <v>0</v>
      </c>
      <c r="P506" s="12" t="n">
        <f aca="false">IF(AND(L506=1,J506&lt;=Cutoff!$B$10),1,0)</f>
        <v>0</v>
      </c>
      <c r="Q506" s="12" t="n">
        <f aca="false">IF(AND(N506=1,E506+Cutoff!$B$17&lt;=Cutoff!$B$10),1,0)</f>
        <v>0</v>
      </c>
      <c r="R506" s="12" t="n">
        <f aca="false">IF(Q506=1,IF(K506&lt;=Cutoff!$B$10,1,0),0)</f>
        <v>0</v>
      </c>
      <c r="S506" s="12" t="n">
        <f aca="false">IF(N506=1,SUMIFS(Subscriptions!$D$2:$D$208,Subscriptions!$A$2:$A$208,C506,Subscriptions!$E$2:$E$208,1,Subscriptions!$B$2:$B$208,"&gt;="&amp;Cutoff!$B$24,Subscriptions!$B$2:$B$208,"&lt;"&amp;Cutoff!$B$25,Subscriptions!$B$2:$B$208,"&lt;="&amp;Cutoff!$B$10),0)</f>
        <v>0</v>
      </c>
    </row>
    <row r="507" customFormat="false" ht="15" hidden="false" customHeight="false" outlineLevel="0" collapsed="false">
      <c r="A507" s="4" t="s">
        <v>1299</v>
      </c>
      <c r="B507" s="4" t="s">
        <v>1089</v>
      </c>
      <c r="C507" s="4" t="s">
        <v>1300</v>
      </c>
      <c r="D507" s="4" t="s">
        <v>52</v>
      </c>
      <c r="E507" s="4" t="n">
        <v>1789413925</v>
      </c>
      <c r="F507" s="4" t="n">
        <v>1789413526</v>
      </c>
      <c r="G507" s="4" t="n">
        <v>1789413585</v>
      </c>
      <c r="H507" s="4" t="n">
        <v>1000000000000000</v>
      </c>
      <c r="I507" s="4" t="n">
        <v>1000000000000000</v>
      </c>
      <c r="J507" s="4" t="n">
        <v>1789414093</v>
      </c>
      <c r="K507" s="4" t="n">
        <v>1000000000000000</v>
      </c>
      <c r="L507" s="12" t="n">
        <f aca="false">IF(AND(B507=Cutoff!$B$12,E507&lt;=Cutoff!$B$10),1,0)</f>
        <v>0</v>
      </c>
      <c r="M507" s="12" t="n">
        <f aca="false">IF(AND(L507=1,F507&lt;1000000000000000,G507&lt;=Cutoff!$B$10),1,0)</f>
        <v>0</v>
      </c>
      <c r="N507" s="12" t="n">
        <f aca="false">IF(AND(M507=1,F507+Cutoff!$B$16&lt;=Cutoff!$B$10),1,0)</f>
        <v>0</v>
      </c>
      <c r="O507" s="12" t="n">
        <f aca="false">IF(N507=1,IF(AND(H507&lt;1000000000000000,H507&gt;=MAX(F507,E507),H507&lt;F507+Cutoff!$B$16,I507&lt;=Cutoff!$B$10),1,0),0)</f>
        <v>0</v>
      </c>
      <c r="P507" s="12" t="n">
        <f aca="false">IF(AND(L507=1,J507&lt;=Cutoff!$B$10),1,0)</f>
        <v>0</v>
      </c>
      <c r="Q507" s="12" t="n">
        <f aca="false">IF(AND(N507=1,E507+Cutoff!$B$17&lt;=Cutoff!$B$10),1,0)</f>
        <v>0</v>
      </c>
      <c r="R507" s="12" t="n">
        <f aca="false">IF(Q507=1,IF(K507&lt;=Cutoff!$B$10,1,0),0)</f>
        <v>0</v>
      </c>
      <c r="S507" s="12" t="n">
        <f aca="false">IF(N507=1,SUMIFS(Subscriptions!$D$2:$D$208,Subscriptions!$A$2:$A$208,C507,Subscriptions!$E$2:$E$208,1,Subscriptions!$B$2:$B$208,"&gt;="&amp;Cutoff!$B$24,Subscriptions!$B$2:$B$208,"&lt;"&amp;Cutoff!$B$25,Subscriptions!$B$2:$B$208,"&lt;="&amp;Cutoff!$B$10),0)</f>
        <v>0</v>
      </c>
    </row>
    <row r="508" customFormat="false" ht="15" hidden="false" customHeight="false" outlineLevel="0" collapsed="false">
      <c r="A508" s="4" t="s">
        <v>1301</v>
      </c>
      <c r="B508" s="4" t="s">
        <v>1089</v>
      </c>
      <c r="C508" s="4" t="s">
        <v>1302</v>
      </c>
      <c r="D508" s="4" t="s">
        <v>51</v>
      </c>
      <c r="E508" s="4" t="n">
        <v>1789422794</v>
      </c>
      <c r="F508" s="4" t="n">
        <v>1789422323</v>
      </c>
      <c r="G508" s="4" t="n">
        <v>1789422328</v>
      </c>
      <c r="H508" s="4" t="n">
        <v>1000000000000000</v>
      </c>
      <c r="I508" s="4" t="n">
        <v>1000000000000000</v>
      </c>
      <c r="J508" s="4" t="n">
        <v>1789422812</v>
      </c>
      <c r="K508" s="4" t="n">
        <v>1789423604</v>
      </c>
      <c r="L508" s="12" t="n">
        <f aca="false">IF(AND(B508=Cutoff!$B$12,E508&lt;=Cutoff!$B$10),1,0)</f>
        <v>0</v>
      </c>
      <c r="M508" s="12" t="n">
        <f aca="false">IF(AND(L508=1,F508&lt;1000000000000000,G508&lt;=Cutoff!$B$10),1,0)</f>
        <v>0</v>
      </c>
      <c r="N508" s="12" t="n">
        <f aca="false">IF(AND(M508=1,F508+Cutoff!$B$16&lt;=Cutoff!$B$10),1,0)</f>
        <v>0</v>
      </c>
      <c r="O508" s="12" t="n">
        <f aca="false">IF(N508=1,IF(AND(H508&lt;1000000000000000,H508&gt;=MAX(F508,E508),H508&lt;F508+Cutoff!$B$16,I508&lt;=Cutoff!$B$10),1,0),0)</f>
        <v>0</v>
      </c>
      <c r="P508" s="12" t="n">
        <f aca="false">IF(AND(L508=1,J508&lt;=Cutoff!$B$10),1,0)</f>
        <v>0</v>
      </c>
      <c r="Q508" s="12" t="n">
        <f aca="false">IF(AND(N508=1,E508+Cutoff!$B$17&lt;=Cutoff!$B$10),1,0)</f>
        <v>0</v>
      </c>
      <c r="R508" s="12" t="n">
        <f aca="false">IF(Q508=1,IF(K508&lt;=Cutoff!$B$10,1,0),0)</f>
        <v>0</v>
      </c>
      <c r="S508" s="12" t="n">
        <f aca="false">IF(N508=1,SUMIFS(Subscriptions!$D$2:$D$208,Subscriptions!$A$2:$A$208,C508,Subscriptions!$E$2:$E$208,1,Subscriptions!$B$2:$B$208,"&gt;="&amp;Cutoff!$B$24,Subscriptions!$B$2:$B$208,"&lt;"&amp;Cutoff!$B$25,Subscriptions!$B$2:$B$208,"&lt;="&amp;Cutoff!$B$10),0)</f>
        <v>0</v>
      </c>
    </row>
    <row r="509" customFormat="false" ht="15" hidden="false" customHeight="false" outlineLevel="0" collapsed="false">
      <c r="A509" s="4" t="s">
        <v>1303</v>
      </c>
      <c r="B509" s="4" t="s">
        <v>1089</v>
      </c>
      <c r="C509" s="4" t="s">
        <v>1304</v>
      </c>
      <c r="D509" s="4" t="s">
        <v>52</v>
      </c>
      <c r="E509" s="4" t="n">
        <v>1789467000</v>
      </c>
      <c r="F509" s="4" t="n">
        <v>1789466765</v>
      </c>
      <c r="G509" s="4" t="n">
        <v>1789468050</v>
      </c>
      <c r="H509" s="4" t="n">
        <v>1789900793</v>
      </c>
      <c r="I509" s="4" t="n">
        <v>1789900799</v>
      </c>
      <c r="J509" s="4" t="n">
        <v>1000000000000000</v>
      </c>
      <c r="K509" s="4" t="n">
        <v>1000000000000000</v>
      </c>
      <c r="L509" s="12" t="n">
        <f aca="false">IF(AND(B509=Cutoff!$B$12,E509&lt;=Cutoff!$B$10),1,0)</f>
        <v>0</v>
      </c>
      <c r="M509" s="12" t="n">
        <f aca="false">IF(AND(L509=1,F509&lt;1000000000000000,G509&lt;=Cutoff!$B$10),1,0)</f>
        <v>0</v>
      </c>
      <c r="N509" s="12" t="n">
        <f aca="false">IF(AND(M509=1,F509+Cutoff!$B$16&lt;=Cutoff!$B$10),1,0)</f>
        <v>0</v>
      </c>
      <c r="O509" s="12" t="n">
        <f aca="false">IF(N509=1,IF(AND(H509&lt;1000000000000000,H509&gt;=MAX(F509,E509),H509&lt;F509+Cutoff!$B$16,I509&lt;=Cutoff!$B$10),1,0),0)</f>
        <v>0</v>
      </c>
      <c r="P509" s="12" t="n">
        <f aca="false">IF(AND(L509=1,J509&lt;=Cutoff!$B$10),1,0)</f>
        <v>0</v>
      </c>
      <c r="Q509" s="12" t="n">
        <f aca="false">IF(AND(N509=1,E509+Cutoff!$B$17&lt;=Cutoff!$B$10),1,0)</f>
        <v>0</v>
      </c>
      <c r="R509" s="12" t="n">
        <f aca="false">IF(Q509=1,IF(K509&lt;=Cutoff!$B$10,1,0),0)</f>
        <v>0</v>
      </c>
      <c r="S509" s="12" t="n">
        <f aca="false">IF(N509=1,SUMIFS(Subscriptions!$D$2:$D$208,Subscriptions!$A$2:$A$208,C509,Subscriptions!$E$2:$E$208,1,Subscriptions!$B$2:$B$208,"&gt;="&amp;Cutoff!$B$24,Subscriptions!$B$2:$B$208,"&lt;"&amp;Cutoff!$B$25,Subscriptions!$B$2:$B$208,"&lt;="&amp;Cutoff!$B$10),0)</f>
        <v>0</v>
      </c>
    </row>
    <row r="510" customFormat="false" ht="15" hidden="false" customHeight="false" outlineLevel="0" collapsed="false">
      <c r="A510" s="4" t="s">
        <v>1305</v>
      </c>
      <c r="B510" s="4" t="s">
        <v>1089</v>
      </c>
      <c r="C510" s="4" t="s">
        <v>1306</v>
      </c>
      <c r="D510" s="4" t="s">
        <v>51</v>
      </c>
      <c r="E510" s="4" t="n">
        <v>1789469658</v>
      </c>
      <c r="F510" s="4" t="n">
        <v>1789469345</v>
      </c>
      <c r="G510" s="4" t="n">
        <v>1789469346</v>
      </c>
      <c r="H510" s="4" t="n">
        <v>1000000000000000</v>
      </c>
      <c r="I510" s="4" t="n">
        <v>1000000000000000</v>
      </c>
      <c r="J510" s="4" t="n">
        <v>1789469911</v>
      </c>
      <c r="K510" s="4" t="n">
        <v>1000000000000000</v>
      </c>
      <c r="L510" s="12" t="n">
        <f aca="false">IF(AND(B510=Cutoff!$B$12,E510&lt;=Cutoff!$B$10),1,0)</f>
        <v>0</v>
      </c>
      <c r="M510" s="12" t="n">
        <f aca="false">IF(AND(L510=1,F510&lt;1000000000000000,G510&lt;=Cutoff!$B$10),1,0)</f>
        <v>0</v>
      </c>
      <c r="N510" s="12" t="n">
        <f aca="false">IF(AND(M510=1,F510+Cutoff!$B$16&lt;=Cutoff!$B$10),1,0)</f>
        <v>0</v>
      </c>
      <c r="O510" s="12" t="n">
        <f aca="false">IF(N510=1,IF(AND(H510&lt;1000000000000000,H510&gt;=MAX(F510,E510),H510&lt;F510+Cutoff!$B$16,I510&lt;=Cutoff!$B$10),1,0),0)</f>
        <v>0</v>
      </c>
      <c r="P510" s="12" t="n">
        <f aca="false">IF(AND(L510=1,J510&lt;=Cutoff!$B$10),1,0)</f>
        <v>0</v>
      </c>
      <c r="Q510" s="12" t="n">
        <f aca="false">IF(AND(N510=1,E510+Cutoff!$B$17&lt;=Cutoff!$B$10),1,0)</f>
        <v>0</v>
      </c>
      <c r="R510" s="12" t="n">
        <f aca="false">IF(Q510=1,IF(K510&lt;=Cutoff!$B$10,1,0),0)</f>
        <v>0</v>
      </c>
      <c r="S510" s="12" t="n">
        <f aca="false">IF(N510=1,SUMIFS(Subscriptions!$D$2:$D$208,Subscriptions!$A$2:$A$208,C510,Subscriptions!$E$2:$E$208,1,Subscriptions!$B$2:$B$208,"&gt;="&amp;Cutoff!$B$24,Subscriptions!$B$2:$B$208,"&lt;"&amp;Cutoff!$B$25,Subscriptions!$B$2:$B$208,"&lt;="&amp;Cutoff!$B$10),0)</f>
        <v>0</v>
      </c>
    </row>
    <row r="511" customFormat="false" ht="15" hidden="false" customHeight="false" outlineLevel="0" collapsed="false">
      <c r="A511" s="4" t="s">
        <v>1307</v>
      </c>
      <c r="B511" s="4" t="s">
        <v>1089</v>
      </c>
      <c r="C511" s="4" t="s">
        <v>1308</v>
      </c>
      <c r="D511" s="4" t="s">
        <v>52</v>
      </c>
      <c r="E511" s="4" t="n">
        <v>1789489819</v>
      </c>
      <c r="F511" s="4" t="n">
        <v>1789489738</v>
      </c>
      <c r="G511" s="4" t="n">
        <v>1789489756</v>
      </c>
      <c r="H511" s="4" t="n">
        <v>1789532238</v>
      </c>
      <c r="I511" s="4" t="n">
        <v>1789532260</v>
      </c>
      <c r="J511" s="4" t="n">
        <v>1789490484</v>
      </c>
      <c r="K511" s="4" t="n">
        <v>1000000000000000</v>
      </c>
      <c r="L511" s="12" t="n">
        <f aca="false">IF(AND(B511=Cutoff!$B$12,E511&lt;=Cutoff!$B$10),1,0)</f>
        <v>0</v>
      </c>
      <c r="M511" s="12" t="n">
        <f aca="false">IF(AND(L511=1,F511&lt;1000000000000000,G511&lt;=Cutoff!$B$10),1,0)</f>
        <v>0</v>
      </c>
      <c r="N511" s="12" t="n">
        <f aca="false">IF(AND(M511=1,F511+Cutoff!$B$16&lt;=Cutoff!$B$10),1,0)</f>
        <v>0</v>
      </c>
      <c r="O511" s="12" t="n">
        <f aca="false">IF(N511=1,IF(AND(H511&lt;1000000000000000,H511&gt;=MAX(F511,E511),H511&lt;F511+Cutoff!$B$16,I511&lt;=Cutoff!$B$10),1,0),0)</f>
        <v>0</v>
      </c>
      <c r="P511" s="12" t="n">
        <f aca="false">IF(AND(L511=1,J511&lt;=Cutoff!$B$10),1,0)</f>
        <v>0</v>
      </c>
      <c r="Q511" s="12" t="n">
        <f aca="false">IF(AND(N511=1,E511+Cutoff!$B$17&lt;=Cutoff!$B$10),1,0)</f>
        <v>0</v>
      </c>
      <c r="R511" s="12" t="n">
        <f aca="false">IF(Q511=1,IF(K511&lt;=Cutoff!$B$10,1,0),0)</f>
        <v>0</v>
      </c>
      <c r="S511" s="12" t="n">
        <f aca="false">IF(N511=1,SUMIFS(Subscriptions!$D$2:$D$208,Subscriptions!$A$2:$A$208,C511,Subscriptions!$E$2:$E$208,1,Subscriptions!$B$2:$B$208,"&gt;="&amp;Cutoff!$B$24,Subscriptions!$B$2:$B$208,"&lt;"&amp;Cutoff!$B$25,Subscriptions!$B$2:$B$208,"&lt;="&amp;Cutoff!$B$10),0)</f>
        <v>0</v>
      </c>
    </row>
    <row r="512" customFormat="false" ht="15" hidden="false" customHeight="false" outlineLevel="0" collapsed="false">
      <c r="A512" s="4" t="s">
        <v>1309</v>
      </c>
      <c r="B512" s="4" t="s">
        <v>1089</v>
      </c>
      <c r="C512" s="4" t="s">
        <v>1310</v>
      </c>
      <c r="D512" s="4" t="s">
        <v>51</v>
      </c>
      <c r="E512" s="4" t="n">
        <v>1789491275</v>
      </c>
      <c r="F512" s="4" t="n">
        <v>1789490785</v>
      </c>
      <c r="G512" s="4" t="n">
        <v>1789490786</v>
      </c>
      <c r="H512" s="4" t="n">
        <v>1789555123</v>
      </c>
      <c r="I512" s="4" t="n">
        <v>1789555139</v>
      </c>
      <c r="J512" s="4" t="n">
        <v>1789491452</v>
      </c>
      <c r="K512" s="4" t="n">
        <v>1000000000000000</v>
      </c>
      <c r="L512" s="12" t="n">
        <f aca="false">IF(AND(B512=Cutoff!$B$12,E512&lt;=Cutoff!$B$10),1,0)</f>
        <v>0</v>
      </c>
      <c r="M512" s="12" t="n">
        <f aca="false">IF(AND(L512=1,F512&lt;1000000000000000,G512&lt;=Cutoff!$B$10),1,0)</f>
        <v>0</v>
      </c>
      <c r="N512" s="12" t="n">
        <f aca="false">IF(AND(M512=1,F512+Cutoff!$B$16&lt;=Cutoff!$B$10),1,0)</f>
        <v>0</v>
      </c>
      <c r="O512" s="12" t="n">
        <f aca="false">IF(N512=1,IF(AND(H512&lt;1000000000000000,H512&gt;=MAX(F512,E512),H512&lt;F512+Cutoff!$B$16,I512&lt;=Cutoff!$B$10),1,0),0)</f>
        <v>0</v>
      </c>
      <c r="P512" s="12" t="n">
        <f aca="false">IF(AND(L512=1,J512&lt;=Cutoff!$B$10),1,0)</f>
        <v>0</v>
      </c>
      <c r="Q512" s="12" t="n">
        <f aca="false">IF(AND(N512=1,E512+Cutoff!$B$17&lt;=Cutoff!$B$10),1,0)</f>
        <v>0</v>
      </c>
      <c r="R512" s="12" t="n">
        <f aca="false">IF(Q512=1,IF(K512&lt;=Cutoff!$B$10,1,0),0)</f>
        <v>0</v>
      </c>
      <c r="S512" s="12" t="n">
        <f aca="false">IF(N512=1,SUMIFS(Subscriptions!$D$2:$D$208,Subscriptions!$A$2:$A$208,C512,Subscriptions!$E$2:$E$208,1,Subscriptions!$B$2:$B$208,"&gt;="&amp;Cutoff!$B$24,Subscriptions!$B$2:$B$208,"&lt;"&amp;Cutoff!$B$25,Subscriptions!$B$2:$B$208,"&lt;="&amp;Cutoff!$B$10),0)</f>
        <v>0</v>
      </c>
    </row>
    <row r="513" customFormat="false" ht="15" hidden="false" customHeight="false" outlineLevel="0" collapsed="false">
      <c r="A513" s="4" t="s">
        <v>1311</v>
      </c>
      <c r="B513" s="4" t="s">
        <v>1089</v>
      </c>
      <c r="C513" s="4" t="s">
        <v>1312</v>
      </c>
      <c r="D513" s="4" t="s">
        <v>52</v>
      </c>
      <c r="E513" s="4" t="n">
        <v>1789498040</v>
      </c>
      <c r="F513" s="4" t="n">
        <v>1789497633</v>
      </c>
      <c r="G513" s="4" t="n">
        <v>1789502876</v>
      </c>
      <c r="H513" s="4" t="n">
        <v>1000000000000000</v>
      </c>
      <c r="I513" s="4" t="n">
        <v>1000000000000000</v>
      </c>
      <c r="J513" s="4" t="n">
        <v>1789499041</v>
      </c>
      <c r="K513" s="4" t="n">
        <v>1000000000000000</v>
      </c>
      <c r="L513" s="12" t="n">
        <f aca="false">IF(AND(B513=Cutoff!$B$12,E513&lt;=Cutoff!$B$10),1,0)</f>
        <v>0</v>
      </c>
      <c r="M513" s="12" t="n">
        <f aca="false">IF(AND(L513=1,F513&lt;1000000000000000,G513&lt;=Cutoff!$B$10),1,0)</f>
        <v>0</v>
      </c>
      <c r="N513" s="12" t="n">
        <f aca="false">IF(AND(M513=1,F513+Cutoff!$B$16&lt;=Cutoff!$B$10),1,0)</f>
        <v>0</v>
      </c>
      <c r="O513" s="12" t="n">
        <f aca="false">IF(N513=1,IF(AND(H513&lt;1000000000000000,H513&gt;=MAX(F513,E513),H513&lt;F513+Cutoff!$B$16,I513&lt;=Cutoff!$B$10),1,0),0)</f>
        <v>0</v>
      </c>
      <c r="P513" s="12" t="n">
        <f aca="false">IF(AND(L513=1,J513&lt;=Cutoff!$B$10),1,0)</f>
        <v>0</v>
      </c>
      <c r="Q513" s="12" t="n">
        <f aca="false">IF(AND(N513=1,E513+Cutoff!$B$17&lt;=Cutoff!$B$10),1,0)</f>
        <v>0</v>
      </c>
      <c r="R513" s="12" t="n">
        <f aca="false">IF(Q513=1,IF(K513&lt;=Cutoff!$B$10,1,0),0)</f>
        <v>0</v>
      </c>
      <c r="S513" s="12" t="n">
        <f aca="false">IF(N513=1,SUMIFS(Subscriptions!$D$2:$D$208,Subscriptions!$A$2:$A$208,C513,Subscriptions!$E$2:$E$208,1,Subscriptions!$B$2:$B$208,"&gt;="&amp;Cutoff!$B$24,Subscriptions!$B$2:$B$208,"&lt;"&amp;Cutoff!$B$25,Subscriptions!$B$2:$B$208,"&lt;="&amp;Cutoff!$B$10),0)</f>
        <v>0</v>
      </c>
    </row>
    <row r="514" customFormat="false" ht="15" hidden="false" customHeight="false" outlineLevel="0" collapsed="false">
      <c r="A514" s="4" t="s">
        <v>1313</v>
      </c>
      <c r="B514" s="4" t="s">
        <v>1089</v>
      </c>
      <c r="C514" s="4" t="s">
        <v>1314</v>
      </c>
      <c r="D514" s="4" t="s">
        <v>52</v>
      </c>
      <c r="E514" s="4" t="n">
        <v>1789510340</v>
      </c>
      <c r="F514" s="4" t="n">
        <v>1789509822</v>
      </c>
      <c r="G514" s="4" t="n">
        <v>1789509839</v>
      </c>
      <c r="H514" s="4" t="n">
        <v>1789509991</v>
      </c>
      <c r="I514" s="4" t="n">
        <v>1789510002</v>
      </c>
      <c r="J514" s="4" t="n">
        <v>1789510778</v>
      </c>
      <c r="K514" s="4" t="n">
        <v>1000000000000000</v>
      </c>
      <c r="L514" s="12" t="n">
        <f aca="false">IF(AND(B514=Cutoff!$B$12,E514&lt;=Cutoff!$B$10),1,0)</f>
        <v>0</v>
      </c>
      <c r="M514" s="12" t="n">
        <f aca="false">IF(AND(L514=1,F514&lt;1000000000000000,G514&lt;=Cutoff!$B$10),1,0)</f>
        <v>0</v>
      </c>
      <c r="N514" s="12" t="n">
        <f aca="false">IF(AND(M514=1,F514+Cutoff!$B$16&lt;=Cutoff!$B$10),1,0)</f>
        <v>0</v>
      </c>
      <c r="O514" s="12" t="n">
        <f aca="false">IF(N514=1,IF(AND(H514&lt;1000000000000000,H514&gt;=MAX(F514,E514),H514&lt;F514+Cutoff!$B$16,I514&lt;=Cutoff!$B$10),1,0),0)</f>
        <v>0</v>
      </c>
      <c r="P514" s="12" t="n">
        <f aca="false">IF(AND(L514=1,J514&lt;=Cutoff!$B$10),1,0)</f>
        <v>0</v>
      </c>
      <c r="Q514" s="12" t="n">
        <f aca="false">IF(AND(N514=1,E514+Cutoff!$B$17&lt;=Cutoff!$B$10),1,0)</f>
        <v>0</v>
      </c>
      <c r="R514" s="12" t="n">
        <f aca="false">IF(Q514=1,IF(K514&lt;=Cutoff!$B$10,1,0),0)</f>
        <v>0</v>
      </c>
      <c r="S514" s="12" t="n">
        <f aca="false">IF(N514=1,SUMIFS(Subscriptions!$D$2:$D$208,Subscriptions!$A$2:$A$208,C514,Subscriptions!$E$2:$E$208,1,Subscriptions!$B$2:$B$208,"&gt;="&amp;Cutoff!$B$24,Subscriptions!$B$2:$B$208,"&lt;"&amp;Cutoff!$B$25,Subscriptions!$B$2:$B$208,"&lt;="&amp;Cutoff!$B$10),0)</f>
        <v>0</v>
      </c>
    </row>
    <row r="515" customFormat="false" ht="15" hidden="false" customHeight="false" outlineLevel="0" collapsed="false">
      <c r="A515" s="4" t="s">
        <v>1315</v>
      </c>
      <c r="B515" s="4" t="s">
        <v>1089</v>
      </c>
      <c r="C515" s="4" t="s">
        <v>1316</v>
      </c>
      <c r="D515" s="4" t="s">
        <v>51</v>
      </c>
      <c r="E515" s="4" t="n">
        <v>1789561831</v>
      </c>
      <c r="F515" s="4" t="n">
        <v>1789561734</v>
      </c>
      <c r="G515" s="4" t="n">
        <v>1789561745</v>
      </c>
      <c r="H515" s="4" t="n">
        <v>1000000000000000</v>
      </c>
      <c r="I515" s="4" t="n">
        <v>1000000000000000</v>
      </c>
      <c r="J515" s="4" t="n">
        <v>1789561906</v>
      </c>
      <c r="K515" s="4" t="n">
        <v>1000000000000000</v>
      </c>
      <c r="L515" s="12" t="n">
        <f aca="false">IF(AND(B515=Cutoff!$B$12,E515&lt;=Cutoff!$B$10),1,0)</f>
        <v>0</v>
      </c>
      <c r="M515" s="12" t="n">
        <f aca="false">IF(AND(L515=1,F515&lt;1000000000000000,G515&lt;=Cutoff!$B$10),1,0)</f>
        <v>0</v>
      </c>
      <c r="N515" s="12" t="n">
        <f aca="false">IF(AND(M515=1,F515+Cutoff!$B$16&lt;=Cutoff!$B$10),1,0)</f>
        <v>0</v>
      </c>
      <c r="O515" s="12" t="n">
        <f aca="false">IF(N515=1,IF(AND(H515&lt;1000000000000000,H515&gt;=MAX(F515,E515),H515&lt;F515+Cutoff!$B$16,I515&lt;=Cutoff!$B$10),1,0),0)</f>
        <v>0</v>
      </c>
      <c r="P515" s="12" t="n">
        <f aca="false">IF(AND(L515=1,J515&lt;=Cutoff!$B$10),1,0)</f>
        <v>0</v>
      </c>
      <c r="Q515" s="12" t="n">
        <f aca="false">IF(AND(N515=1,E515+Cutoff!$B$17&lt;=Cutoff!$B$10),1,0)</f>
        <v>0</v>
      </c>
      <c r="R515" s="12" t="n">
        <f aca="false">IF(Q515=1,IF(K515&lt;=Cutoff!$B$10,1,0),0)</f>
        <v>0</v>
      </c>
      <c r="S515" s="12" t="n">
        <f aca="false">IF(N515=1,SUMIFS(Subscriptions!$D$2:$D$208,Subscriptions!$A$2:$A$208,C515,Subscriptions!$E$2:$E$208,1,Subscriptions!$B$2:$B$208,"&gt;="&amp;Cutoff!$B$24,Subscriptions!$B$2:$B$208,"&lt;"&amp;Cutoff!$B$25,Subscriptions!$B$2:$B$208,"&lt;="&amp;Cutoff!$B$10),0)</f>
        <v>0</v>
      </c>
    </row>
    <row r="516" customFormat="false" ht="15" hidden="false" customHeight="false" outlineLevel="0" collapsed="false">
      <c r="A516" s="4" t="s">
        <v>1317</v>
      </c>
      <c r="B516" s="4" t="s">
        <v>1089</v>
      </c>
      <c r="C516" s="4" t="s">
        <v>1318</v>
      </c>
      <c r="D516" s="4" t="s">
        <v>52</v>
      </c>
      <c r="E516" s="4" t="n">
        <v>1789591608</v>
      </c>
      <c r="F516" s="4" t="n">
        <v>1789591073</v>
      </c>
      <c r="G516" s="4" t="n">
        <v>1789591074</v>
      </c>
      <c r="H516" s="4" t="n">
        <v>1000000000000000</v>
      </c>
      <c r="I516" s="4" t="n">
        <v>1000000000000000</v>
      </c>
      <c r="J516" s="4" t="n">
        <v>1789592601</v>
      </c>
      <c r="K516" s="4" t="n">
        <v>1000000000000000</v>
      </c>
      <c r="L516" s="12" t="n">
        <f aca="false">IF(AND(B516=Cutoff!$B$12,E516&lt;=Cutoff!$B$10),1,0)</f>
        <v>0</v>
      </c>
      <c r="M516" s="12" t="n">
        <f aca="false">IF(AND(L516=1,F516&lt;1000000000000000,G516&lt;=Cutoff!$B$10),1,0)</f>
        <v>0</v>
      </c>
      <c r="N516" s="12" t="n">
        <f aca="false">IF(AND(M516=1,F516+Cutoff!$B$16&lt;=Cutoff!$B$10),1,0)</f>
        <v>0</v>
      </c>
      <c r="O516" s="12" t="n">
        <f aca="false">IF(N516=1,IF(AND(H516&lt;1000000000000000,H516&gt;=MAX(F516,E516),H516&lt;F516+Cutoff!$B$16,I516&lt;=Cutoff!$B$10),1,0),0)</f>
        <v>0</v>
      </c>
      <c r="P516" s="12" t="n">
        <f aca="false">IF(AND(L516=1,J516&lt;=Cutoff!$B$10),1,0)</f>
        <v>0</v>
      </c>
      <c r="Q516" s="12" t="n">
        <f aca="false">IF(AND(N516=1,E516+Cutoff!$B$17&lt;=Cutoff!$B$10),1,0)</f>
        <v>0</v>
      </c>
      <c r="R516" s="12" t="n">
        <f aca="false">IF(Q516=1,IF(K516&lt;=Cutoff!$B$10,1,0),0)</f>
        <v>0</v>
      </c>
      <c r="S516" s="12" t="n">
        <f aca="false">IF(N516=1,SUMIFS(Subscriptions!$D$2:$D$208,Subscriptions!$A$2:$A$208,C516,Subscriptions!$E$2:$E$208,1,Subscriptions!$B$2:$B$208,"&gt;="&amp;Cutoff!$B$24,Subscriptions!$B$2:$B$208,"&lt;"&amp;Cutoff!$B$25,Subscriptions!$B$2:$B$208,"&lt;="&amp;Cutoff!$B$10),0)</f>
        <v>0</v>
      </c>
    </row>
    <row r="517" customFormat="false" ht="15" hidden="false" customHeight="false" outlineLevel="0" collapsed="false">
      <c r="A517" s="4" t="s">
        <v>1319</v>
      </c>
      <c r="B517" s="4" t="s">
        <v>1089</v>
      </c>
      <c r="C517" s="4" t="s">
        <v>1320</v>
      </c>
      <c r="D517" s="4" t="s">
        <v>52</v>
      </c>
      <c r="E517" s="4" t="n">
        <v>1789652732</v>
      </c>
      <c r="F517" s="4" t="n">
        <v>1789652159</v>
      </c>
      <c r="G517" s="4" t="n">
        <v>1789652317</v>
      </c>
      <c r="H517" s="4" t="n">
        <v>1789938233</v>
      </c>
      <c r="I517" s="4" t="n">
        <v>1789938263</v>
      </c>
      <c r="J517" s="4" t="n">
        <v>1789652989</v>
      </c>
      <c r="K517" s="4" t="n">
        <v>1000000000000000</v>
      </c>
      <c r="L517" s="12" t="n">
        <f aca="false">IF(AND(B517=Cutoff!$B$12,E517&lt;=Cutoff!$B$10),1,0)</f>
        <v>0</v>
      </c>
      <c r="M517" s="12" t="n">
        <f aca="false">IF(AND(L517=1,F517&lt;1000000000000000,G517&lt;=Cutoff!$B$10),1,0)</f>
        <v>0</v>
      </c>
      <c r="N517" s="12" t="n">
        <f aca="false">IF(AND(M517=1,F517+Cutoff!$B$16&lt;=Cutoff!$B$10),1,0)</f>
        <v>0</v>
      </c>
      <c r="O517" s="12" t="n">
        <f aca="false">IF(N517=1,IF(AND(H517&lt;1000000000000000,H517&gt;=MAX(F517,E517),H517&lt;F517+Cutoff!$B$16,I517&lt;=Cutoff!$B$10),1,0),0)</f>
        <v>0</v>
      </c>
      <c r="P517" s="12" t="n">
        <f aca="false">IF(AND(L517=1,J517&lt;=Cutoff!$B$10),1,0)</f>
        <v>0</v>
      </c>
      <c r="Q517" s="12" t="n">
        <f aca="false">IF(AND(N517=1,E517+Cutoff!$B$17&lt;=Cutoff!$B$10),1,0)</f>
        <v>0</v>
      </c>
      <c r="R517" s="12" t="n">
        <f aca="false">IF(Q517=1,IF(K517&lt;=Cutoff!$B$10,1,0),0)</f>
        <v>0</v>
      </c>
      <c r="S517" s="12" t="n">
        <f aca="false">IF(N517=1,SUMIFS(Subscriptions!$D$2:$D$208,Subscriptions!$A$2:$A$208,C517,Subscriptions!$E$2:$E$208,1,Subscriptions!$B$2:$B$208,"&gt;="&amp;Cutoff!$B$24,Subscriptions!$B$2:$B$208,"&lt;"&amp;Cutoff!$B$25,Subscriptions!$B$2:$B$208,"&lt;="&amp;Cutoff!$B$10),0)</f>
        <v>0</v>
      </c>
    </row>
    <row r="518" customFormat="false" ht="15" hidden="false" customHeight="false" outlineLevel="0" collapsed="false">
      <c r="A518" s="4" t="s">
        <v>1321</v>
      </c>
      <c r="B518" s="4" t="s">
        <v>1089</v>
      </c>
      <c r="C518" s="4" t="s">
        <v>1322</v>
      </c>
      <c r="D518" s="4" t="s">
        <v>51</v>
      </c>
      <c r="E518" s="4" t="n">
        <v>1789658555</v>
      </c>
      <c r="F518" s="4" t="n">
        <v>1789658182</v>
      </c>
      <c r="G518" s="4" t="n">
        <v>1789658184</v>
      </c>
      <c r="H518" s="4" t="n">
        <v>1000000000000000</v>
      </c>
      <c r="I518" s="4" t="n">
        <v>1000000000000000</v>
      </c>
      <c r="J518" s="4" t="n">
        <v>1789658836</v>
      </c>
      <c r="K518" s="4" t="n">
        <v>1000000000000000</v>
      </c>
      <c r="L518" s="12" t="n">
        <f aca="false">IF(AND(B518=Cutoff!$B$12,E518&lt;=Cutoff!$B$10),1,0)</f>
        <v>0</v>
      </c>
      <c r="M518" s="12" t="n">
        <f aca="false">IF(AND(L518=1,F518&lt;1000000000000000,G518&lt;=Cutoff!$B$10),1,0)</f>
        <v>0</v>
      </c>
      <c r="N518" s="12" t="n">
        <f aca="false">IF(AND(M518=1,F518+Cutoff!$B$16&lt;=Cutoff!$B$10),1,0)</f>
        <v>0</v>
      </c>
      <c r="O518" s="12" t="n">
        <f aca="false">IF(N518=1,IF(AND(H518&lt;1000000000000000,H518&gt;=MAX(F518,E518),H518&lt;F518+Cutoff!$B$16,I518&lt;=Cutoff!$B$10),1,0),0)</f>
        <v>0</v>
      </c>
      <c r="P518" s="12" t="n">
        <f aca="false">IF(AND(L518=1,J518&lt;=Cutoff!$B$10),1,0)</f>
        <v>0</v>
      </c>
      <c r="Q518" s="12" t="n">
        <f aca="false">IF(AND(N518=1,E518+Cutoff!$B$17&lt;=Cutoff!$B$10),1,0)</f>
        <v>0</v>
      </c>
      <c r="R518" s="12" t="n">
        <f aca="false">IF(Q518=1,IF(K518&lt;=Cutoff!$B$10,1,0),0)</f>
        <v>0</v>
      </c>
      <c r="S518" s="12" t="n">
        <f aca="false">IF(N518=1,SUMIFS(Subscriptions!$D$2:$D$208,Subscriptions!$A$2:$A$208,C518,Subscriptions!$E$2:$E$208,1,Subscriptions!$B$2:$B$208,"&gt;="&amp;Cutoff!$B$24,Subscriptions!$B$2:$B$208,"&lt;"&amp;Cutoff!$B$25,Subscriptions!$B$2:$B$208,"&lt;="&amp;Cutoff!$B$10),0)</f>
        <v>0</v>
      </c>
    </row>
    <row r="519" customFormat="false" ht="15" hidden="false" customHeight="false" outlineLevel="0" collapsed="false">
      <c r="A519" s="4" t="s">
        <v>1323</v>
      </c>
      <c r="B519" s="4" t="s">
        <v>1089</v>
      </c>
      <c r="C519" s="4" t="s">
        <v>1324</v>
      </c>
      <c r="D519" s="4" t="s">
        <v>51</v>
      </c>
      <c r="E519" s="4" t="n">
        <v>1789662490</v>
      </c>
      <c r="F519" s="4" t="n">
        <v>1789661940</v>
      </c>
      <c r="G519" s="4" t="n">
        <v>1789662516</v>
      </c>
      <c r="H519" s="4" t="n">
        <v>1789747604</v>
      </c>
      <c r="I519" s="4" t="n">
        <v>1789747624</v>
      </c>
      <c r="J519" s="4" t="n">
        <v>1789662525</v>
      </c>
      <c r="K519" s="4" t="n">
        <v>1790081183</v>
      </c>
      <c r="L519" s="12" t="n">
        <f aca="false">IF(AND(B519=Cutoff!$B$12,E519&lt;=Cutoff!$B$10),1,0)</f>
        <v>0</v>
      </c>
      <c r="M519" s="12" t="n">
        <f aca="false">IF(AND(L519=1,F519&lt;1000000000000000,G519&lt;=Cutoff!$B$10),1,0)</f>
        <v>0</v>
      </c>
      <c r="N519" s="12" t="n">
        <f aca="false">IF(AND(M519=1,F519+Cutoff!$B$16&lt;=Cutoff!$B$10),1,0)</f>
        <v>0</v>
      </c>
      <c r="O519" s="12" t="n">
        <f aca="false">IF(N519=1,IF(AND(H519&lt;1000000000000000,H519&gt;=MAX(F519,E519),H519&lt;F519+Cutoff!$B$16,I519&lt;=Cutoff!$B$10),1,0),0)</f>
        <v>0</v>
      </c>
      <c r="P519" s="12" t="n">
        <f aca="false">IF(AND(L519=1,J519&lt;=Cutoff!$B$10),1,0)</f>
        <v>0</v>
      </c>
      <c r="Q519" s="12" t="n">
        <f aca="false">IF(AND(N519=1,E519+Cutoff!$B$17&lt;=Cutoff!$B$10),1,0)</f>
        <v>0</v>
      </c>
      <c r="R519" s="12" t="n">
        <f aca="false">IF(Q519=1,IF(K519&lt;=Cutoff!$B$10,1,0),0)</f>
        <v>0</v>
      </c>
      <c r="S519" s="12" t="n">
        <f aca="false">IF(N519=1,SUMIFS(Subscriptions!$D$2:$D$208,Subscriptions!$A$2:$A$208,C519,Subscriptions!$E$2:$E$208,1,Subscriptions!$B$2:$B$208,"&gt;="&amp;Cutoff!$B$24,Subscriptions!$B$2:$B$208,"&lt;"&amp;Cutoff!$B$25,Subscriptions!$B$2:$B$208,"&lt;="&amp;Cutoff!$B$10),0)</f>
        <v>0</v>
      </c>
    </row>
    <row r="520" customFormat="false" ht="15" hidden="false" customHeight="false" outlineLevel="0" collapsed="false">
      <c r="A520" s="4" t="s">
        <v>1325</v>
      </c>
      <c r="B520" s="4" t="s">
        <v>1089</v>
      </c>
      <c r="C520" s="4" t="s">
        <v>1326</v>
      </c>
      <c r="D520" s="4" t="s">
        <v>52</v>
      </c>
      <c r="E520" s="4" t="n">
        <v>1789742142</v>
      </c>
      <c r="F520" s="4" t="n">
        <v>1789742007</v>
      </c>
      <c r="G520" s="4" t="n">
        <v>1789742010</v>
      </c>
      <c r="H520" s="4" t="n">
        <v>1789761826</v>
      </c>
      <c r="I520" s="4" t="n">
        <v>1789761838</v>
      </c>
      <c r="J520" s="4" t="n">
        <v>1789742764</v>
      </c>
      <c r="K520" s="4" t="n">
        <v>1000000000000000</v>
      </c>
      <c r="L520" s="12" t="n">
        <f aca="false">IF(AND(B520=Cutoff!$B$12,E520&lt;=Cutoff!$B$10),1,0)</f>
        <v>0</v>
      </c>
      <c r="M520" s="12" t="n">
        <f aca="false">IF(AND(L520=1,F520&lt;1000000000000000,G520&lt;=Cutoff!$B$10),1,0)</f>
        <v>0</v>
      </c>
      <c r="N520" s="12" t="n">
        <f aca="false">IF(AND(M520=1,F520+Cutoff!$B$16&lt;=Cutoff!$B$10),1,0)</f>
        <v>0</v>
      </c>
      <c r="O520" s="12" t="n">
        <f aca="false">IF(N520=1,IF(AND(H520&lt;1000000000000000,H520&gt;=MAX(F520,E520),H520&lt;F520+Cutoff!$B$16,I520&lt;=Cutoff!$B$10),1,0),0)</f>
        <v>0</v>
      </c>
      <c r="P520" s="12" t="n">
        <f aca="false">IF(AND(L520=1,J520&lt;=Cutoff!$B$10),1,0)</f>
        <v>0</v>
      </c>
      <c r="Q520" s="12" t="n">
        <f aca="false">IF(AND(N520=1,E520+Cutoff!$B$17&lt;=Cutoff!$B$10),1,0)</f>
        <v>0</v>
      </c>
      <c r="R520" s="12" t="n">
        <f aca="false">IF(Q520=1,IF(K520&lt;=Cutoff!$B$10,1,0),0)</f>
        <v>0</v>
      </c>
      <c r="S520" s="12" t="n">
        <f aca="false">IF(N520=1,SUMIFS(Subscriptions!$D$2:$D$208,Subscriptions!$A$2:$A$208,C520,Subscriptions!$E$2:$E$208,1,Subscriptions!$B$2:$B$208,"&gt;="&amp;Cutoff!$B$24,Subscriptions!$B$2:$B$208,"&lt;"&amp;Cutoff!$B$25,Subscriptions!$B$2:$B$208,"&lt;="&amp;Cutoff!$B$10),0)</f>
        <v>0</v>
      </c>
    </row>
    <row r="521" customFormat="false" ht="15" hidden="false" customHeight="false" outlineLevel="0" collapsed="false">
      <c r="A521" s="4" t="s">
        <v>1327</v>
      </c>
      <c r="B521" s="4" t="s">
        <v>1089</v>
      </c>
      <c r="C521" s="4" t="s">
        <v>1328</v>
      </c>
      <c r="D521" s="4" t="s">
        <v>52</v>
      </c>
      <c r="E521" s="4" t="n">
        <v>1789742802</v>
      </c>
      <c r="F521" s="4" t="n">
        <v>1789742575</v>
      </c>
      <c r="G521" s="4" t="n">
        <v>1789742577</v>
      </c>
      <c r="H521" s="4" t="n">
        <v>1000000000000000</v>
      </c>
      <c r="I521" s="4" t="n">
        <v>1000000000000000</v>
      </c>
      <c r="J521" s="4" t="n">
        <v>1789742859</v>
      </c>
      <c r="K521" s="4" t="n">
        <v>1000000000000000</v>
      </c>
      <c r="L521" s="12" t="n">
        <f aca="false">IF(AND(B521=Cutoff!$B$12,E521&lt;=Cutoff!$B$10),1,0)</f>
        <v>0</v>
      </c>
      <c r="M521" s="12" t="n">
        <f aca="false">IF(AND(L521=1,F521&lt;1000000000000000,G521&lt;=Cutoff!$B$10),1,0)</f>
        <v>0</v>
      </c>
      <c r="N521" s="12" t="n">
        <f aca="false">IF(AND(M521=1,F521+Cutoff!$B$16&lt;=Cutoff!$B$10),1,0)</f>
        <v>0</v>
      </c>
      <c r="O521" s="12" t="n">
        <f aca="false">IF(N521=1,IF(AND(H521&lt;1000000000000000,H521&gt;=MAX(F521,E521),H521&lt;F521+Cutoff!$B$16,I521&lt;=Cutoff!$B$10),1,0),0)</f>
        <v>0</v>
      </c>
      <c r="P521" s="12" t="n">
        <f aca="false">IF(AND(L521=1,J521&lt;=Cutoff!$B$10),1,0)</f>
        <v>0</v>
      </c>
      <c r="Q521" s="12" t="n">
        <f aca="false">IF(AND(N521=1,E521+Cutoff!$B$17&lt;=Cutoff!$B$10),1,0)</f>
        <v>0</v>
      </c>
      <c r="R521" s="12" t="n">
        <f aca="false">IF(Q521=1,IF(K521&lt;=Cutoff!$B$10,1,0),0)</f>
        <v>0</v>
      </c>
      <c r="S521" s="12" t="n">
        <f aca="false">IF(N521=1,SUMIFS(Subscriptions!$D$2:$D$208,Subscriptions!$A$2:$A$208,C521,Subscriptions!$E$2:$E$208,1,Subscriptions!$B$2:$B$208,"&gt;="&amp;Cutoff!$B$24,Subscriptions!$B$2:$B$208,"&lt;"&amp;Cutoff!$B$25,Subscriptions!$B$2:$B$208,"&lt;="&amp;Cutoff!$B$10),0)</f>
        <v>0</v>
      </c>
    </row>
    <row r="522" customFormat="false" ht="15" hidden="false" customHeight="false" outlineLevel="0" collapsed="false">
      <c r="A522" s="4" t="s">
        <v>1329</v>
      </c>
      <c r="B522" s="4" t="s">
        <v>1089</v>
      </c>
      <c r="C522" s="4" t="s">
        <v>1330</v>
      </c>
      <c r="D522" s="4" t="s">
        <v>52</v>
      </c>
      <c r="E522" s="4" t="n">
        <v>1789747784</v>
      </c>
      <c r="F522" s="4" t="n">
        <v>1789747289</v>
      </c>
      <c r="G522" s="4" t="n">
        <v>1789747301</v>
      </c>
      <c r="H522" s="4" t="n">
        <v>1000000000000000</v>
      </c>
      <c r="I522" s="4" t="n">
        <v>1000000000000000</v>
      </c>
      <c r="J522" s="4" t="n">
        <v>1789748550</v>
      </c>
      <c r="K522" s="4" t="n">
        <v>1000000000000000</v>
      </c>
      <c r="L522" s="12" t="n">
        <f aca="false">IF(AND(B522=Cutoff!$B$12,E522&lt;=Cutoff!$B$10),1,0)</f>
        <v>0</v>
      </c>
      <c r="M522" s="12" t="n">
        <f aca="false">IF(AND(L522=1,F522&lt;1000000000000000,G522&lt;=Cutoff!$B$10),1,0)</f>
        <v>0</v>
      </c>
      <c r="N522" s="12" t="n">
        <f aca="false">IF(AND(M522=1,F522+Cutoff!$B$16&lt;=Cutoff!$B$10),1,0)</f>
        <v>0</v>
      </c>
      <c r="O522" s="12" t="n">
        <f aca="false">IF(N522=1,IF(AND(H522&lt;1000000000000000,H522&gt;=MAX(F522,E522),H522&lt;F522+Cutoff!$B$16,I522&lt;=Cutoff!$B$10),1,0),0)</f>
        <v>0</v>
      </c>
      <c r="P522" s="12" t="n">
        <f aca="false">IF(AND(L522=1,J522&lt;=Cutoff!$B$10),1,0)</f>
        <v>0</v>
      </c>
      <c r="Q522" s="12" t="n">
        <f aca="false">IF(AND(N522=1,E522+Cutoff!$B$17&lt;=Cutoff!$B$10),1,0)</f>
        <v>0</v>
      </c>
      <c r="R522" s="12" t="n">
        <f aca="false">IF(Q522=1,IF(K522&lt;=Cutoff!$B$10,1,0),0)</f>
        <v>0</v>
      </c>
      <c r="S522" s="12" t="n">
        <f aca="false">IF(N522=1,SUMIFS(Subscriptions!$D$2:$D$208,Subscriptions!$A$2:$A$208,C522,Subscriptions!$E$2:$E$208,1,Subscriptions!$B$2:$B$208,"&gt;="&amp;Cutoff!$B$24,Subscriptions!$B$2:$B$208,"&lt;"&amp;Cutoff!$B$25,Subscriptions!$B$2:$B$208,"&lt;="&amp;Cutoff!$B$10),0)</f>
        <v>0</v>
      </c>
    </row>
    <row r="523" customFormat="false" ht="15" hidden="false" customHeight="false" outlineLevel="0" collapsed="false">
      <c r="A523" s="4" t="s">
        <v>1331</v>
      </c>
      <c r="B523" s="4" t="s">
        <v>1089</v>
      </c>
      <c r="C523" s="4" t="s">
        <v>1332</v>
      </c>
      <c r="D523" s="4" t="s">
        <v>52</v>
      </c>
      <c r="E523" s="4" t="n">
        <v>1789930133</v>
      </c>
      <c r="F523" s="4" t="n">
        <v>1789929661</v>
      </c>
      <c r="G523" s="4" t="n">
        <v>1789929671</v>
      </c>
      <c r="H523" s="4" t="n">
        <v>1000000000000000</v>
      </c>
      <c r="I523" s="4" t="n">
        <v>1000000000000000</v>
      </c>
      <c r="J523" s="4" t="n">
        <v>1789930858</v>
      </c>
      <c r="K523" s="4" t="n">
        <v>1790275383</v>
      </c>
      <c r="L523" s="12" t="n">
        <f aca="false">IF(AND(B523=Cutoff!$B$12,E523&lt;=Cutoff!$B$10),1,0)</f>
        <v>0</v>
      </c>
      <c r="M523" s="12" t="n">
        <f aca="false">IF(AND(L523=1,F523&lt;1000000000000000,G523&lt;=Cutoff!$B$10),1,0)</f>
        <v>0</v>
      </c>
      <c r="N523" s="12" t="n">
        <f aca="false">IF(AND(M523=1,F523+Cutoff!$B$16&lt;=Cutoff!$B$10),1,0)</f>
        <v>0</v>
      </c>
      <c r="O523" s="12" t="n">
        <f aca="false">IF(N523=1,IF(AND(H523&lt;1000000000000000,H523&gt;=MAX(F523,E523),H523&lt;F523+Cutoff!$B$16,I523&lt;=Cutoff!$B$10),1,0),0)</f>
        <v>0</v>
      </c>
      <c r="P523" s="12" t="n">
        <f aca="false">IF(AND(L523=1,J523&lt;=Cutoff!$B$10),1,0)</f>
        <v>0</v>
      </c>
      <c r="Q523" s="12" t="n">
        <f aca="false">IF(AND(N523=1,E523+Cutoff!$B$17&lt;=Cutoff!$B$10),1,0)</f>
        <v>0</v>
      </c>
      <c r="R523" s="12" t="n">
        <f aca="false">IF(Q523=1,IF(K523&lt;=Cutoff!$B$10,1,0),0)</f>
        <v>0</v>
      </c>
      <c r="S523" s="12" t="n">
        <f aca="false">IF(N523=1,SUMIFS(Subscriptions!$D$2:$D$208,Subscriptions!$A$2:$A$208,C523,Subscriptions!$E$2:$E$208,1,Subscriptions!$B$2:$B$208,"&gt;="&amp;Cutoff!$B$24,Subscriptions!$B$2:$B$208,"&lt;"&amp;Cutoff!$B$25,Subscriptions!$B$2:$B$208,"&lt;="&amp;Cutoff!$B$10),0)</f>
        <v>0</v>
      </c>
    </row>
    <row r="524" customFormat="false" ht="15" hidden="false" customHeight="false" outlineLevel="0" collapsed="false">
      <c r="A524" s="4" t="s">
        <v>1333</v>
      </c>
      <c r="B524" s="4" t="s">
        <v>1089</v>
      </c>
      <c r="C524" s="4" t="s">
        <v>1334</v>
      </c>
      <c r="D524" s="4" t="s">
        <v>51</v>
      </c>
      <c r="E524" s="4" t="n">
        <v>1789999005</v>
      </c>
      <c r="F524" s="4" t="n">
        <v>1789998413</v>
      </c>
      <c r="G524" s="4" t="n">
        <v>1789998424</v>
      </c>
      <c r="H524" s="4" t="n">
        <v>1000000000000000</v>
      </c>
      <c r="I524" s="4" t="n">
        <v>1000000000000000</v>
      </c>
      <c r="J524" s="4" t="n">
        <v>1789999243</v>
      </c>
      <c r="K524" s="4" t="n">
        <v>1789999148</v>
      </c>
      <c r="L524" s="12" t="n">
        <f aca="false">IF(AND(B524=Cutoff!$B$12,E524&lt;=Cutoff!$B$10),1,0)</f>
        <v>0</v>
      </c>
      <c r="M524" s="12" t="n">
        <f aca="false">IF(AND(L524=1,F524&lt;1000000000000000,G524&lt;=Cutoff!$B$10),1,0)</f>
        <v>0</v>
      </c>
      <c r="N524" s="12" t="n">
        <f aca="false">IF(AND(M524=1,F524+Cutoff!$B$16&lt;=Cutoff!$B$10),1,0)</f>
        <v>0</v>
      </c>
      <c r="O524" s="12" t="n">
        <f aca="false">IF(N524=1,IF(AND(H524&lt;1000000000000000,H524&gt;=MAX(F524,E524),H524&lt;F524+Cutoff!$B$16,I524&lt;=Cutoff!$B$10),1,0),0)</f>
        <v>0</v>
      </c>
      <c r="P524" s="12" t="n">
        <f aca="false">IF(AND(L524=1,J524&lt;=Cutoff!$B$10),1,0)</f>
        <v>0</v>
      </c>
      <c r="Q524" s="12" t="n">
        <f aca="false">IF(AND(N524=1,E524+Cutoff!$B$17&lt;=Cutoff!$B$10),1,0)</f>
        <v>0</v>
      </c>
      <c r="R524" s="12" t="n">
        <f aca="false">IF(Q524=1,IF(K524&lt;=Cutoff!$B$10,1,0),0)</f>
        <v>0</v>
      </c>
      <c r="S524" s="12" t="n">
        <f aca="false">IF(N524=1,SUMIFS(Subscriptions!$D$2:$D$208,Subscriptions!$A$2:$A$208,C524,Subscriptions!$E$2:$E$208,1,Subscriptions!$B$2:$B$208,"&gt;="&amp;Cutoff!$B$24,Subscriptions!$B$2:$B$208,"&lt;"&amp;Cutoff!$B$25,Subscriptions!$B$2:$B$208,"&lt;="&amp;Cutoff!$B$10),0)</f>
        <v>0</v>
      </c>
    </row>
    <row r="525" customFormat="false" ht="15" hidden="false" customHeight="false" outlineLevel="0" collapsed="false">
      <c r="A525" s="4" t="s">
        <v>1335</v>
      </c>
      <c r="B525" s="4" t="s">
        <v>1089</v>
      </c>
      <c r="C525" s="4" t="s">
        <v>1336</v>
      </c>
      <c r="D525" s="4" t="s">
        <v>52</v>
      </c>
      <c r="E525" s="4" t="n">
        <v>1789999299</v>
      </c>
      <c r="F525" s="4" t="n">
        <v>1789999199</v>
      </c>
      <c r="G525" s="4" t="n">
        <v>1789999224</v>
      </c>
      <c r="H525" s="4" t="n">
        <v>1000000000000000</v>
      </c>
      <c r="I525" s="4" t="n">
        <v>1000000000000000</v>
      </c>
      <c r="J525" s="4" t="n">
        <v>1789999388</v>
      </c>
      <c r="K525" s="4" t="n">
        <v>1000000000000000</v>
      </c>
      <c r="L525" s="12" t="n">
        <f aca="false">IF(AND(B525=Cutoff!$B$12,E525&lt;=Cutoff!$B$10),1,0)</f>
        <v>0</v>
      </c>
      <c r="M525" s="12" t="n">
        <f aca="false">IF(AND(L525=1,F525&lt;1000000000000000,G525&lt;=Cutoff!$B$10),1,0)</f>
        <v>0</v>
      </c>
      <c r="N525" s="12" t="n">
        <f aca="false">IF(AND(M525=1,F525+Cutoff!$B$16&lt;=Cutoff!$B$10),1,0)</f>
        <v>0</v>
      </c>
      <c r="O525" s="12" t="n">
        <f aca="false">IF(N525=1,IF(AND(H525&lt;1000000000000000,H525&gt;=MAX(F525,E525),H525&lt;F525+Cutoff!$B$16,I525&lt;=Cutoff!$B$10),1,0),0)</f>
        <v>0</v>
      </c>
      <c r="P525" s="12" t="n">
        <f aca="false">IF(AND(L525=1,J525&lt;=Cutoff!$B$10),1,0)</f>
        <v>0</v>
      </c>
      <c r="Q525" s="12" t="n">
        <f aca="false">IF(AND(N525=1,E525+Cutoff!$B$17&lt;=Cutoff!$B$10),1,0)</f>
        <v>0</v>
      </c>
      <c r="R525" s="12" t="n">
        <f aca="false">IF(Q525=1,IF(K525&lt;=Cutoff!$B$10,1,0),0)</f>
        <v>0</v>
      </c>
      <c r="S525" s="12" t="n">
        <f aca="false">IF(N525=1,SUMIFS(Subscriptions!$D$2:$D$208,Subscriptions!$A$2:$A$208,C525,Subscriptions!$E$2:$E$208,1,Subscriptions!$B$2:$B$208,"&gt;="&amp;Cutoff!$B$24,Subscriptions!$B$2:$B$208,"&lt;"&amp;Cutoff!$B$25,Subscriptions!$B$2:$B$208,"&lt;="&amp;Cutoff!$B$10),0)</f>
        <v>0</v>
      </c>
    </row>
    <row r="526" customFormat="false" ht="15" hidden="false" customHeight="false" outlineLevel="0" collapsed="false">
      <c r="A526" s="4" t="s">
        <v>1337</v>
      </c>
      <c r="B526" s="4" t="s">
        <v>1089</v>
      </c>
      <c r="C526" s="4" t="s">
        <v>1338</v>
      </c>
      <c r="D526" s="4" t="s">
        <v>51</v>
      </c>
      <c r="E526" s="4" t="n">
        <v>1790019303</v>
      </c>
      <c r="F526" s="4" t="n">
        <v>1790019076</v>
      </c>
      <c r="G526" s="4" t="n">
        <v>1790019081</v>
      </c>
      <c r="H526" s="4" t="n">
        <v>1000000000000000</v>
      </c>
      <c r="I526" s="4" t="n">
        <v>1000000000000000</v>
      </c>
      <c r="J526" s="4" t="n">
        <v>1790019691</v>
      </c>
      <c r="K526" s="4" t="n">
        <v>1000000000000000</v>
      </c>
      <c r="L526" s="12" t="n">
        <f aca="false">IF(AND(B526=Cutoff!$B$12,E526&lt;=Cutoff!$B$10),1,0)</f>
        <v>0</v>
      </c>
      <c r="M526" s="12" t="n">
        <f aca="false">IF(AND(L526=1,F526&lt;1000000000000000,G526&lt;=Cutoff!$B$10),1,0)</f>
        <v>0</v>
      </c>
      <c r="N526" s="12" t="n">
        <f aca="false">IF(AND(M526=1,F526+Cutoff!$B$16&lt;=Cutoff!$B$10),1,0)</f>
        <v>0</v>
      </c>
      <c r="O526" s="12" t="n">
        <f aca="false">IF(N526=1,IF(AND(H526&lt;1000000000000000,H526&gt;=MAX(F526,E526),H526&lt;F526+Cutoff!$B$16,I526&lt;=Cutoff!$B$10),1,0),0)</f>
        <v>0</v>
      </c>
      <c r="P526" s="12" t="n">
        <f aca="false">IF(AND(L526=1,J526&lt;=Cutoff!$B$10),1,0)</f>
        <v>0</v>
      </c>
      <c r="Q526" s="12" t="n">
        <f aca="false">IF(AND(N526=1,E526+Cutoff!$B$17&lt;=Cutoff!$B$10),1,0)</f>
        <v>0</v>
      </c>
      <c r="R526" s="12" t="n">
        <f aca="false">IF(Q526=1,IF(K526&lt;=Cutoff!$B$10,1,0),0)</f>
        <v>0</v>
      </c>
      <c r="S526" s="12" t="n">
        <f aca="false">IF(N526=1,SUMIFS(Subscriptions!$D$2:$D$208,Subscriptions!$A$2:$A$208,C526,Subscriptions!$E$2:$E$208,1,Subscriptions!$B$2:$B$208,"&gt;="&amp;Cutoff!$B$24,Subscriptions!$B$2:$B$208,"&lt;"&amp;Cutoff!$B$25,Subscriptions!$B$2:$B$208,"&lt;="&amp;Cutoff!$B$10),0)</f>
        <v>0</v>
      </c>
    </row>
    <row r="527" customFormat="false" ht="15" hidden="false" customHeight="false" outlineLevel="0" collapsed="false">
      <c r="A527" s="4" t="s">
        <v>1339</v>
      </c>
      <c r="B527" s="4" t="s">
        <v>1089</v>
      </c>
      <c r="C527" s="4" t="s">
        <v>1340</v>
      </c>
      <c r="D527" s="4" t="s">
        <v>52</v>
      </c>
      <c r="E527" s="4" t="n">
        <v>1790096813</v>
      </c>
      <c r="F527" s="4" t="n">
        <v>1790096456</v>
      </c>
      <c r="G527" s="4" t="n">
        <v>1790096704</v>
      </c>
      <c r="H527" s="4" t="n">
        <v>1000000000000000</v>
      </c>
      <c r="I527" s="4" t="n">
        <v>1000000000000000</v>
      </c>
      <c r="J527" s="4" t="n">
        <v>1790097654</v>
      </c>
      <c r="K527" s="4" t="n">
        <v>1000000000000000</v>
      </c>
      <c r="L527" s="12" t="n">
        <f aca="false">IF(AND(B527=Cutoff!$B$12,E527&lt;=Cutoff!$B$10),1,0)</f>
        <v>0</v>
      </c>
      <c r="M527" s="12" t="n">
        <f aca="false">IF(AND(L527=1,F527&lt;1000000000000000,G527&lt;=Cutoff!$B$10),1,0)</f>
        <v>0</v>
      </c>
      <c r="N527" s="12" t="n">
        <f aca="false">IF(AND(M527=1,F527+Cutoff!$B$16&lt;=Cutoff!$B$10),1,0)</f>
        <v>0</v>
      </c>
      <c r="O527" s="12" t="n">
        <f aca="false">IF(N527=1,IF(AND(H527&lt;1000000000000000,H527&gt;=MAX(F527,E527),H527&lt;F527+Cutoff!$B$16,I527&lt;=Cutoff!$B$10),1,0),0)</f>
        <v>0</v>
      </c>
      <c r="P527" s="12" t="n">
        <f aca="false">IF(AND(L527=1,J527&lt;=Cutoff!$B$10),1,0)</f>
        <v>0</v>
      </c>
      <c r="Q527" s="12" t="n">
        <f aca="false">IF(AND(N527=1,E527+Cutoff!$B$17&lt;=Cutoff!$B$10),1,0)</f>
        <v>0</v>
      </c>
      <c r="R527" s="12" t="n">
        <f aca="false">IF(Q527=1,IF(K527&lt;=Cutoff!$B$10,1,0),0)</f>
        <v>0</v>
      </c>
      <c r="S527" s="12" t="n">
        <f aca="false">IF(N527=1,SUMIFS(Subscriptions!$D$2:$D$208,Subscriptions!$A$2:$A$208,C527,Subscriptions!$E$2:$E$208,1,Subscriptions!$B$2:$B$208,"&gt;="&amp;Cutoff!$B$24,Subscriptions!$B$2:$B$208,"&lt;"&amp;Cutoff!$B$25,Subscriptions!$B$2:$B$208,"&lt;="&amp;Cutoff!$B$10),0)</f>
        <v>0</v>
      </c>
    </row>
    <row r="528" customFormat="false" ht="15" hidden="false" customHeight="false" outlineLevel="0" collapsed="false">
      <c r="A528" s="4" t="s">
        <v>1341</v>
      </c>
      <c r="B528" s="4" t="s">
        <v>1089</v>
      </c>
      <c r="C528" s="4" t="s">
        <v>1342</v>
      </c>
      <c r="D528" s="4" t="s">
        <v>51</v>
      </c>
      <c r="E528" s="4" t="n">
        <v>1790099919</v>
      </c>
      <c r="F528" s="4" t="n">
        <v>1790099492</v>
      </c>
      <c r="G528" s="4" t="n">
        <v>1790099503</v>
      </c>
      <c r="H528" s="4" t="n">
        <v>1000000000000000</v>
      </c>
      <c r="I528" s="4" t="n">
        <v>1000000000000000</v>
      </c>
      <c r="J528" s="4" t="n">
        <v>1790100910</v>
      </c>
      <c r="K528" s="4" t="n">
        <v>1000000000000000</v>
      </c>
      <c r="L528" s="12" t="n">
        <f aca="false">IF(AND(B528=Cutoff!$B$12,E528&lt;=Cutoff!$B$10),1,0)</f>
        <v>0</v>
      </c>
      <c r="M528" s="12" t="n">
        <f aca="false">IF(AND(L528=1,F528&lt;1000000000000000,G528&lt;=Cutoff!$B$10),1,0)</f>
        <v>0</v>
      </c>
      <c r="N528" s="12" t="n">
        <f aca="false">IF(AND(M528=1,F528+Cutoff!$B$16&lt;=Cutoff!$B$10),1,0)</f>
        <v>0</v>
      </c>
      <c r="O528" s="12" t="n">
        <f aca="false">IF(N528=1,IF(AND(H528&lt;1000000000000000,H528&gt;=MAX(F528,E528),H528&lt;F528+Cutoff!$B$16,I528&lt;=Cutoff!$B$10),1,0),0)</f>
        <v>0</v>
      </c>
      <c r="P528" s="12" t="n">
        <f aca="false">IF(AND(L528=1,J528&lt;=Cutoff!$B$10),1,0)</f>
        <v>0</v>
      </c>
      <c r="Q528" s="12" t="n">
        <f aca="false">IF(AND(N528=1,E528+Cutoff!$B$17&lt;=Cutoff!$B$10),1,0)</f>
        <v>0</v>
      </c>
      <c r="R528" s="12" t="n">
        <f aca="false">IF(Q528=1,IF(K528&lt;=Cutoff!$B$10,1,0),0)</f>
        <v>0</v>
      </c>
      <c r="S528" s="12" t="n">
        <f aca="false">IF(N528=1,SUMIFS(Subscriptions!$D$2:$D$208,Subscriptions!$A$2:$A$208,C528,Subscriptions!$E$2:$E$208,1,Subscriptions!$B$2:$B$208,"&gt;="&amp;Cutoff!$B$24,Subscriptions!$B$2:$B$208,"&lt;"&amp;Cutoff!$B$25,Subscriptions!$B$2:$B$208,"&lt;="&amp;Cutoff!$B$10),0)</f>
        <v>0</v>
      </c>
    </row>
    <row r="529" customFormat="false" ht="15" hidden="false" customHeight="false" outlineLevel="0" collapsed="false">
      <c r="A529" s="4" t="s">
        <v>1343</v>
      </c>
      <c r="B529" s="4" t="s">
        <v>1089</v>
      </c>
      <c r="C529" s="4" t="s">
        <v>1344</v>
      </c>
      <c r="D529" s="4" t="s">
        <v>51</v>
      </c>
      <c r="E529" s="4" t="n">
        <v>1790111523</v>
      </c>
      <c r="F529" s="4" t="n">
        <v>1790111126</v>
      </c>
      <c r="G529" s="4" t="n">
        <v>1790111151</v>
      </c>
      <c r="H529" s="4" t="n">
        <v>1000000000000000</v>
      </c>
      <c r="I529" s="4" t="n">
        <v>1000000000000000</v>
      </c>
      <c r="J529" s="4" t="n">
        <v>1790112026</v>
      </c>
      <c r="K529" s="4" t="n">
        <v>1790111663</v>
      </c>
      <c r="L529" s="12" t="n">
        <f aca="false">IF(AND(B529=Cutoff!$B$12,E529&lt;=Cutoff!$B$10),1,0)</f>
        <v>0</v>
      </c>
      <c r="M529" s="12" t="n">
        <f aca="false">IF(AND(L529=1,F529&lt;1000000000000000,G529&lt;=Cutoff!$B$10),1,0)</f>
        <v>0</v>
      </c>
      <c r="N529" s="12" t="n">
        <f aca="false">IF(AND(M529=1,F529+Cutoff!$B$16&lt;=Cutoff!$B$10),1,0)</f>
        <v>0</v>
      </c>
      <c r="O529" s="12" t="n">
        <f aca="false">IF(N529=1,IF(AND(H529&lt;1000000000000000,H529&gt;=MAX(F529,E529),H529&lt;F529+Cutoff!$B$16,I529&lt;=Cutoff!$B$10),1,0),0)</f>
        <v>0</v>
      </c>
      <c r="P529" s="12" t="n">
        <f aca="false">IF(AND(L529=1,J529&lt;=Cutoff!$B$10),1,0)</f>
        <v>0</v>
      </c>
      <c r="Q529" s="12" t="n">
        <f aca="false">IF(AND(N529=1,E529+Cutoff!$B$17&lt;=Cutoff!$B$10),1,0)</f>
        <v>0</v>
      </c>
      <c r="R529" s="12" t="n">
        <f aca="false">IF(Q529=1,IF(K529&lt;=Cutoff!$B$10,1,0),0)</f>
        <v>0</v>
      </c>
      <c r="S529" s="12" t="n">
        <f aca="false">IF(N529=1,SUMIFS(Subscriptions!$D$2:$D$208,Subscriptions!$A$2:$A$208,C529,Subscriptions!$E$2:$E$208,1,Subscriptions!$B$2:$B$208,"&gt;="&amp;Cutoff!$B$24,Subscriptions!$B$2:$B$208,"&lt;"&amp;Cutoff!$B$25,Subscriptions!$B$2:$B$208,"&lt;="&amp;Cutoff!$B$10),0)</f>
        <v>0</v>
      </c>
    </row>
    <row r="530" customFormat="false" ht="15" hidden="false" customHeight="false" outlineLevel="0" collapsed="false">
      <c r="A530" s="4" t="s">
        <v>1345</v>
      </c>
      <c r="B530" s="4" t="s">
        <v>1089</v>
      </c>
      <c r="C530" s="4" t="s">
        <v>1346</v>
      </c>
      <c r="D530" s="4" t="s">
        <v>52</v>
      </c>
      <c r="E530" s="4" t="n">
        <v>1790116428</v>
      </c>
      <c r="F530" s="4" t="n">
        <v>1790116326</v>
      </c>
      <c r="G530" s="4" t="n">
        <v>1790116339</v>
      </c>
      <c r="H530" s="4" t="n">
        <v>1000000000000000</v>
      </c>
      <c r="I530" s="4" t="n">
        <v>1000000000000000</v>
      </c>
      <c r="J530" s="4" t="n">
        <v>1000000000000000</v>
      </c>
      <c r="K530" s="4" t="n">
        <v>1000000000000000</v>
      </c>
      <c r="L530" s="12" t="n">
        <f aca="false">IF(AND(B530=Cutoff!$B$12,E530&lt;=Cutoff!$B$10),1,0)</f>
        <v>0</v>
      </c>
      <c r="M530" s="12" t="n">
        <f aca="false">IF(AND(L530=1,F530&lt;1000000000000000,G530&lt;=Cutoff!$B$10),1,0)</f>
        <v>0</v>
      </c>
      <c r="N530" s="12" t="n">
        <f aca="false">IF(AND(M530=1,F530+Cutoff!$B$16&lt;=Cutoff!$B$10),1,0)</f>
        <v>0</v>
      </c>
      <c r="O530" s="12" t="n">
        <f aca="false">IF(N530=1,IF(AND(H530&lt;1000000000000000,H530&gt;=MAX(F530,E530),H530&lt;F530+Cutoff!$B$16,I530&lt;=Cutoff!$B$10),1,0),0)</f>
        <v>0</v>
      </c>
      <c r="P530" s="12" t="n">
        <f aca="false">IF(AND(L530=1,J530&lt;=Cutoff!$B$10),1,0)</f>
        <v>0</v>
      </c>
      <c r="Q530" s="12" t="n">
        <f aca="false">IF(AND(N530=1,E530+Cutoff!$B$17&lt;=Cutoff!$B$10),1,0)</f>
        <v>0</v>
      </c>
      <c r="R530" s="12" t="n">
        <f aca="false">IF(Q530=1,IF(K530&lt;=Cutoff!$B$10,1,0),0)</f>
        <v>0</v>
      </c>
      <c r="S530" s="12" t="n">
        <f aca="false">IF(N530=1,SUMIFS(Subscriptions!$D$2:$D$208,Subscriptions!$A$2:$A$208,C530,Subscriptions!$E$2:$E$208,1,Subscriptions!$B$2:$B$208,"&gt;="&amp;Cutoff!$B$24,Subscriptions!$B$2:$B$208,"&lt;"&amp;Cutoff!$B$25,Subscriptions!$B$2:$B$208,"&lt;="&amp;Cutoff!$B$10),0)</f>
        <v>0</v>
      </c>
    </row>
    <row r="531" customFormat="false" ht="15" hidden="false" customHeight="false" outlineLevel="0" collapsed="false">
      <c r="A531" s="4" t="s">
        <v>1347</v>
      </c>
      <c r="B531" s="4" t="s">
        <v>1089</v>
      </c>
      <c r="C531" s="4" t="s">
        <v>1348</v>
      </c>
      <c r="D531" s="4" t="s">
        <v>52</v>
      </c>
      <c r="E531" s="4" t="n">
        <v>1790121813</v>
      </c>
      <c r="F531" s="4" t="n">
        <v>1790121598</v>
      </c>
      <c r="G531" s="4" t="n">
        <v>1790121723</v>
      </c>
      <c r="H531" s="4" t="n">
        <v>1790230516</v>
      </c>
      <c r="I531" s="4" t="n">
        <v>1790230535</v>
      </c>
      <c r="J531" s="4" t="n">
        <v>1790123006</v>
      </c>
      <c r="K531" s="4" t="n">
        <v>1000000000000000</v>
      </c>
      <c r="L531" s="12" t="n">
        <f aca="false">IF(AND(B531=Cutoff!$B$12,E531&lt;=Cutoff!$B$10),1,0)</f>
        <v>0</v>
      </c>
      <c r="M531" s="12" t="n">
        <f aca="false">IF(AND(L531=1,F531&lt;1000000000000000,G531&lt;=Cutoff!$B$10),1,0)</f>
        <v>0</v>
      </c>
      <c r="N531" s="12" t="n">
        <f aca="false">IF(AND(M531=1,F531+Cutoff!$B$16&lt;=Cutoff!$B$10),1,0)</f>
        <v>0</v>
      </c>
      <c r="O531" s="12" t="n">
        <f aca="false">IF(N531=1,IF(AND(H531&lt;1000000000000000,H531&gt;=MAX(F531,E531),H531&lt;F531+Cutoff!$B$16,I531&lt;=Cutoff!$B$10),1,0),0)</f>
        <v>0</v>
      </c>
      <c r="P531" s="12" t="n">
        <f aca="false">IF(AND(L531=1,J531&lt;=Cutoff!$B$10),1,0)</f>
        <v>0</v>
      </c>
      <c r="Q531" s="12" t="n">
        <f aca="false">IF(AND(N531=1,E531+Cutoff!$B$17&lt;=Cutoff!$B$10),1,0)</f>
        <v>0</v>
      </c>
      <c r="R531" s="12" t="n">
        <f aca="false">IF(Q531=1,IF(K531&lt;=Cutoff!$B$10,1,0),0)</f>
        <v>0</v>
      </c>
      <c r="S531" s="12" t="n">
        <f aca="false">IF(N531=1,SUMIFS(Subscriptions!$D$2:$D$208,Subscriptions!$A$2:$A$208,C531,Subscriptions!$E$2:$E$208,1,Subscriptions!$B$2:$B$208,"&gt;="&amp;Cutoff!$B$24,Subscriptions!$B$2:$B$208,"&lt;"&amp;Cutoff!$B$25,Subscriptions!$B$2:$B$208,"&lt;="&amp;Cutoff!$B$10),0)</f>
        <v>0</v>
      </c>
    </row>
    <row r="532" customFormat="false" ht="15" hidden="false" customHeight="false" outlineLevel="0" collapsed="false">
      <c r="A532" s="4" t="s">
        <v>1349</v>
      </c>
      <c r="B532" s="4" t="s">
        <v>1089</v>
      </c>
      <c r="C532" s="4" t="s">
        <v>1350</v>
      </c>
      <c r="D532" s="4" t="s">
        <v>52</v>
      </c>
      <c r="E532" s="4" t="n">
        <v>1790128538</v>
      </c>
      <c r="F532" s="4" t="n">
        <v>1790128241</v>
      </c>
      <c r="G532" s="4" t="n">
        <v>1790128246</v>
      </c>
      <c r="H532" s="4" t="n">
        <v>1000000000000000</v>
      </c>
      <c r="I532" s="4" t="n">
        <v>1000000000000000</v>
      </c>
      <c r="J532" s="4" t="n">
        <v>1790128567</v>
      </c>
      <c r="K532" s="4" t="n">
        <v>1000000000000000</v>
      </c>
      <c r="L532" s="12" t="n">
        <f aca="false">IF(AND(B532=Cutoff!$B$12,E532&lt;=Cutoff!$B$10),1,0)</f>
        <v>0</v>
      </c>
      <c r="M532" s="12" t="n">
        <f aca="false">IF(AND(L532=1,F532&lt;1000000000000000,G532&lt;=Cutoff!$B$10),1,0)</f>
        <v>0</v>
      </c>
      <c r="N532" s="12" t="n">
        <f aca="false">IF(AND(M532=1,F532+Cutoff!$B$16&lt;=Cutoff!$B$10),1,0)</f>
        <v>0</v>
      </c>
      <c r="O532" s="12" t="n">
        <f aca="false">IF(N532=1,IF(AND(H532&lt;1000000000000000,H532&gt;=MAX(F532,E532),H532&lt;F532+Cutoff!$B$16,I532&lt;=Cutoff!$B$10),1,0),0)</f>
        <v>0</v>
      </c>
      <c r="P532" s="12" t="n">
        <f aca="false">IF(AND(L532=1,J532&lt;=Cutoff!$B$10),1,0)</f>
        <v>0</v>
      </c>
      <c r="Q532" s="12" t="n">
        <f aca="false">IF(AND(N532=1,E532+Cutoff!$B$17&lt;=Cutoff!$B$10),1,0)</f>
        <v>0</v>
      </c>
      <c r="R532" s="12" t="n">
        <f aca="false">IF(Q532=1,IF(K532&lt;=Cutoff!$B$10,1,0),0)</f>
        <v>0</v>
      </c>
      <c r="S532" s="12" t="n">
        <f aca="false">IF(N532=1,SUMIFS(Subscriptions!$D$2:$D$208,Subscriptions!$A$2:$A$208,C532,Subscriptions!$E$2:$E$208,1,Subscriptions!$B$2:$B$208,"&gt;="&amp;Cutoff!$B$24,Subscriptions!$B$2:$B$208,"&lt;"&amp;Cutoff!$B$25,Subscriptions!$B$2:$B$208,"&lt;="&amp;Cutoff!$B$10),0)</f>
        <v>0</v>
      </c>
    </row>
    <row r="533" customFormat="false" ht="15" hidden="false" customHeight="false" outlineLevel="0" collapsed="false">
      <c r="A533" s="4" t="s">
        <v>1351</v>
      </c>
      <c r="B533" s="4" t="s">
        <v>1089</v>
      </c>
      <c r="C533" s="4" t="s">
        <v>1352</v>
      </c>
      <c r="D533" s="4" t="s">
        <v>51</v>
      </c>
      <c r="E533" s="4" t="n">
        <v>1790184395</v>
      </c>
      <c r="F533" s="4" t="n">
        <v>1790184329</v>
      </c>
      <c r="G533" s="4" t="n">
        <v>1790184586</v>
      </c>
      <c r="H533" s="4" t="n">
        <v>1000000000000000</v>
      </c>
      <c r="I533" s="4" t="n">
        <v>1000000000000000</v>
      </c>
      <c r="J533" s="4" t="n">
        <v>1790184499</v>
      </c>
      <c r="K533" s="4" t="n">
        <v>1000000000000000</v>
      </c>
      <c r="L533" s="12" t="n">
        <f aca="false">IF(AND(B533=Cutoff!$B$12,E533&lt;=Cutoff!$B$10),1,0)</f>
        <v>0</v>
      </c>
      <c r="M533" s="12" t="n">
        <f aca="false">IF(AND(L533=1,F533&lt;1000000000000000,G533&lt;=Cutoff!$B$10),1,0)</f>
        <v>0</v>
      </c>
      <c r="N533" s="12" t="n">
        <f aca="false">IF(AND(M533=1,F533+Cutoff!$B$16&lt;=Cutoff!$B$10),1,0)</f>
        <v>0</v>
      </c>
      <c r="O533" s="12" t="n">
        <f aca="false">IF(N533=1,IF(AND(H533&lt;1000000000000000,H533&gt;=MAX(F533,E533),H533&lt;F533+Cutoff!$B$16,I533&lt;=Cutoff!$B$10),1,0),0)</f>
        <v>0</v>
      </c>
      <c r="P533" s="12" t="n">
        <f aca="false">IF(AND(L533=1,J533&lt;=Cutoff!$B$10),1,0)</f>
        <v>0</v>
      </c>
      <c r="Q533" s="12" t="n">
        <f aca="false">IF(AND(N533=1,E533+Cutoff!$B$17&lt;=Cutoff!$B$10),1,0)</f>
        <v>0</v>
      </c>
      <c r="R533" s="12" t="n">
        <f aca="false">IF(Q533=1,IF(K533&lt;=Cutoff!$B$10,1,0),0)</f>
        <v>0</v>
      </c>
      <c r="S533" s="12" t="n">
        <f aca="false">IF(N533=1,SUMIFS(Subscriptions!$D$2:$D$208,Subscriptions!$A$2:$A$208,C533,Subscriptions!$E$2:$E$208,1,Subscriptions!$B$2:$B$208,"&gt;="&amp;Cutoff!$B$24,Subscriptions!$B$2:$B$208,"&lt;"&amp;Cutoff!$B$25,Subscriptions!$B$2:$B$208,"&lt;="&amp;Cutoff!$B$10),0)</f>
        <v>0</v>
      </c>
    </row>
    <row r="534" customFormat="false" ht="15" hidden="false" customHeight="false" outlineLevel="0" collapsed="false">
      <c r="A534" s="4" t="s">
        <v>1353</v>
      </c>
      <c r="B534" s="4" t="s">
        <v>1089</v>
      </c>
      <c r="C534" s="4" t="s">
        <v>1354</v>
      </c>
      <c r="D534" s="4" t="s">
        <v>52</v>
      </c>
      <c r="E534" s="4" t="n">
        <v>1790191361</v>
      </c>
      <c r="F534" s="4" t="n">
        <v>1790190964</v>
      </c>
      <c r="G534" s="4" t="n">
        <v>1790190978</v>
      </c>
      <c r="H534" s="4" t="n">
        <v>1790739119</v>
      </c>
      <c r="I534" s="4" t="n">
        <v>1790739418</v>
      </c>
      <c r="J534" s="4" t="n">
        <v>1790191941</v>
      </c>
      <c r="K534" s="4" t="n">
        <v>1000000000000000</v>
      </c>
      <c r="L534" s="12" t="n">
        <f aca="false">IF(AND(B534=Cutoff!$B$12,E534&lt;=Cutoff!$B$10),1,0)</f>
        <v>0</v>
      </c>
      <c r="M534" s="12" t="n">
        <f aca="false">IF(AND(L534=1,F534&lt;1000000000000000,G534&lt;=Cutoff!$B$10),1,0)</f>
        <v>0</v>
      </c>
      <c r="N534" s="12" t="n">
        <f aca="false">IF(AND(M534=1,F534+Cutoff!$B$16&lt;=Cutoff!$B$10),1,0)</f>
        <v>0</v>
      </c>
      <c r="O534" s="12" t="n">
        <f aca="false">IF(N534=1,IF(AND(H534&lt;1000000000000000,H534&gt;=MAX(F534,E534),H534&lt;F534+Cutoff!$B$16,I534&lt;=Cutoff!$B$10),1,0),0)</f>
        <v>0</v>
      </c>
      <c r="P534" s="12" t="n">
        <f aca="false">IF(AND(L534=1,J534&lt;=Cutoff!$B$10),1,0)</f>
        <v>0</v>
      </c>
      <c r="Q534" s="12" t="n">
        <f aca="false">IF(AND(N534=1,E534+Cutoff!$B$17&lt;=Cutoff!$B$10),1,0)</f>
        <v>0</v>
      </c>
      <c r="R534" s="12" t="n">
        <f aca="false">IF(Q534=1,IF(K534&lt;=Cutoff!$B$10,1,0),0)</f>
        <v>0</v>
      </c>
      <c r="S534" s="12" t="n">
        <f aca="false">IF(N534=1,SUMIFS(Subscriptions!$D$2:$D$208,Subscriptions!$A$2:$A$208,C534,Subscriptions!$E$2:$E$208,1,Subscriptions!$B$2:$B$208,"&gt;="&amp;Cutoff!$B$24,Subscriptions!$B$2:$B$208,"&lt;"&amp;Cutoff!$B$25,Subscriptions!$B$2:$B$208,"&lt;="&amp;Cutoff!$B$10),0)</f>
        <v>0</v>
      </c>
    </row>
    <row r="535" customFormat="false" ht="15" hidden="false" customHeight="false" outlineLevel="0" collapsed="false">
      <c r="A535" s="4" t="s">
        <v>1355</v>
      </c>
      <c r="B535" s="4" t="s">
        <v>1089</v>
      </c>
      <c r="C535" s="4" t="s">
        <v>1356</v>
      </c>
      <c r="D535" s="4" t="s">
        <v>51</v>
      </c>
      <c r="E535" s="4" t="n">
        <v>1790200381</v>
      </c>
      <c r="F535" s="4" t="n">
        <v>1790199939</v>
      </c>
      <c r="G535" s="4" t="n">
        <v>1790200008</v>
      </c>
      <c r="H535" s="4" t="n">
        <v>1000000000000000</v>
      </c>
      <c r="I535" s="4" t="n">
        <v>1000000000000000</v>
      </c>
      <c r="J535" s="4" t="n">
        <v>1790200591</v>
      </c>
      <c r="K535" s="4" t="n">
        <v>1790298360</v>
      </c>
      <c r="L535" s="12" t="n">
        <f aca="false">IF(AND(B535=Cutoff!$B$12,E535&lt;=Cutoff!$B$10),1,0)</f>
        <v>0</v>
      </c>
      <c r="M535" s="12" t="n">
        <f aca="false">IF(AND(L535=1,F535&lt;1000000000000000,G535&lt;=Cutoff!$B$10),1,0)</f>
        <v>0</v>
      </c>
      <c r="N535" s="12" t="n">
        <f aca="false">IF(AND(M535=1,F535+Cutoff!$B$16&lt;=Cutoff!$B$10),1,0)</f>
        <v>0</v>
      </c>
      <c r="O535" s="12" t="n">
        <f aca="false">IF(N535=1,IF(AND(H535&lt;1000000000000000,H535&gt;=MAX(F535,E535),H535&lt;F535+Cutoff!$B$16,I535&lt;=Cutoff!$B$10),1,0),0)</f>
        <v>0</v>
      </c>
      <c r="P535" s="12" t="n">
        <f aca="false">IF(AND(L535=1,J535&lt;=Cutoff!$B$10),1,0)</f>
        <v>0</v>
      </c>
      <c r="Q535" s="12" t="n">
        <f aca="false">IF(AND(N535=1,E535+Cutoff!$B$17&lt;=Cutoff!$B$10),1,0)</f>
        <v>0</v>
      </c>
      <c r="R535" s="12" t="n">
        <f aca="false">IF(Q535=1,IF(K535&lt;=Cutoff!$B$10,1,0),0)</f>
        <v>0</v>
      </c>
      <c r="S535" s="12" t="n">
        <f aca="false">IF(N535=1,SUMIFS(Subscriptions!$D$2:$D$208,Subscriptions!$A$2:$A$208,C535,Subscriptions!$E$2:$E$208,1,Subscriptions!$B$2:$B$208,"&gt;="&amp;Cutoff!$B$24,Subscriptions!$B$2:$B$208,"&lt;"&amp;Cutoff!$B$25,Subscriptions!$B$2:$B$208,"&lt;="&amp;Cutoff!$B$10),0)</f>
        <v>0</v>
      </c>
    </row>
    <row r="536" customFormat="false" ht="15" hidden="false" customHeight="false" outlineLevel="0" collapsed="false">
      <c r="A536" s="4" t="s">
        <v>1357</v>
      </c>
      <c r="B536" s="4" t="s">
        <v>1089</v>
      </c>
      <c r="C536" s="4" t="s">
        <v>1358</v>
      </c>
      <c r="D536" s="4" t="s">
        <v>52</v>
      </c>
      <c r="E536" s="4" t="n">
        <v>1790204047</v>
      </c>
      <c r="F536" s="4" t="n">
        <v>1790203584</v>
      </c>
      <c r="G536" s="4" t="n">
        <v>1790203593</v>
      </c>
      <c r="H536" s="4" t="n">
        <v>1790232370</v>
      </c>
      <c r="I536" s="4" t="n">
        <v>1790232501</v>
      </c>
      <c r="J536" s="4" t="n">
        <v>1790204600</v>
      </c>
      <c r="K536" s="4" t="n">
        <v>1000000000000000</v>
      </c>
      <c r="L536" s="12" t="n">
        <f aca="false">IF(AND(B536=Cutoff!$B$12,E536&lt;=Cutoff!$B$10),1,0)</f>
        <v>0</v>
      </c>
      <c r="M536" s="12" t="n">
        <f aca="false">IF(AND(L536=1,F536&lt;1000000000000000,G536&lt;=Cutoff!$B$10),1,0)</f>
        <v>0</v>
      </c>
      <c r="N536" s="12" t="n">
        <f aca="false">IF(AND(M536=1,F536+Cutoff!$B$16&lt;=Cutoff!$B$10),1,0)</f>
        <v>0</v>
      </c>
      <c r="O536" s="12" t="n">
        <f aca="false">IF(N536=1,IF(AND(H536&lt;1000000000000000,H536&gt;=MAX(F536,E536),H536&lt;F536+Cutoff!$B$16,I536&lt;=Cutoff!$B$10),1,0),0)</f>
        <v>0</v>
      </c>
      <c r="P536" s="12" t="n">
        <f aca="false">IF(AND(L536=1,J536&lt;=Cutoff!$B$10),1,0)</f>
        <v>0</v>
      </c>
      <c r="Q536" s="12" t="n">
        <f aca="false">IF(AND(N536=1,E536+Cutoff!$B$17&lt;=Cutoff!$B$10),1,0)</f>
        <v>0</v>
      </c>
      <c r="R536" s="12" t="n">
        <f aca="false">IF(Q536=1,IF(K536&lt;=Cutoff!$B$10,1,0),0)</f>
        <v>0</v>
      </c>
      <c r="S536" s="12" t="n">
        <f aca="false">IF(N536=1,SUMIFS(Subscriptions!$D$2:$D$208,Subscriptions!$A$2:$A$208,C536,Subscriptions!$E$2:$E$208,1,Subscriptions!$B$2:$B$208,"&gt;="&amp;Cutoff!$B$24,Subscriptions!$B$2:$B$208,"&lt;"&amp;Cutoff!$B$25,Subscriptions!$B$2:$B$208,"&lt;="&amp;Cutoff!$B$10),0)</f>
        <v>0</v>
      </c>
    </row>
    <row r="537" customFormat="false" ht="15" hidden="false" customHeight="false" outlineLevel="0" collapsed="false">
      <c r="A537" s="4" t="s">
        <v>1359</v>
      </c>
      <c r="B537" s="4" t="s">
        <v>1089</v>
      </c>
      <c r="C537" s="4" t="s">
        <v>1360</v>
      </c>
      <c r="D537" s="4" t="s">
        <v>51</v>
      </c>
      <c r="E537" s="4" t="n">
        <v>1790284485</v>
      </c>
      <c r="F537" s="4" t="n">
        <v>1790283953</v>
      </c>
      <c r="G537" s="4" t="n">
        <v>1790283954</v>
      </c>
      <c r="H537" s="4" t="n">
        <v>1000000000000000</v>
      </c>
      <c r="I537" s="4" t="n">
        <v>1000000000000000</v>
      </c>
      <c r="J537" s="4" t="n">
        <v>1790284710</v>
      </c>
      <c r="K537" s="4" t="n">
        <v>1000000000000000</v>
      </c>
      <c r="L537" s="12" t="n">
        <f aca="false">IF(AND(B537=Cutoff!$B$12,E537&lt;=Cutoff!$B$10),1,0)</f>
        <v>0</v>
      </c>
      <c r="M537" s="12" t="n">
        <f aca="false">IF(AND(L537=1,F537&lt;1000000000000000,G537&lt;=Cutoff!$B$10),1,0)</f>
        <v>0</v>
      </c>
      <c r="N537" s="12" t="n">
        <f aca="false">IF(AND(M537=1,F537+Cutoff!$B$16&lt;=Cutoff!$B$10),1,0)</f>
        <v>0</v>
      </c>
      <c r="O537" s="12" t="n">
        <f aca="false">IF(N537=1,IF(AND(H537&lt;1000000000000000,H537&gt;=MAX(F537,E537),H537&lt;F537+Cutoff!$B$16,I537&lt;=Cutoff!$B$10),1,0),0)</f>
        <v>0</v>
      </c>
      <c r="P537" s="12" t="n">
        <f aca="false">IF(AND(L537=1,J537&lt;=Cutoff!$B$10),1,0)</f>
        <v>0</v>
      </c>
      <c r="Q537" s="12" t="n">
        <f aca="false">IF(AND(N537=1,E537+Cutoff!$B$17&lt;=Cutoff!$B$10),1,0)</f>
        <v>0</v>
      </c>
      <c r="R537" s="12" t="n">
        <f aca="false">IF(Q537=1,IF(K537&lt;=Cutoff!$B$10,1,0),0)</f>
        <v>0</v>
      </c>
      <c r="S537" s="12" t="n">
        <f aca="false">IF(N537=1,SUMIFS(Subscriptions!$D$2:$D$208,Subscriptions!$A$2:$A$208,C537,Subscriptions!$E$2:$E$208,1,Subscriptions!$B$2:$B$208,"&gt;="&amp;Cutoff!$B$24,Subscriptions!$B$2:$B$208,"&lt;"&amp;Cutoff!$B$25,Subscriptions!$B$2:$B$208,"&lt;="&amp;Cutoff!$B$10),0)</f>
        <v>0</v>
      </c>
    </row>
    <row r="538" customFormat="false" ht="15" hidden="false" customHeight="false" outlineLevel="0" collapsed="false">
      <c r="A538" s="4" t="s">
        <v>1361</v>
      </c>
      <c r="B538" s="4" t="s">
        <v>1089</v>
      </c>
      <c r="C538" s="4" t="s">
        <v>1362</v>
      </c>
      <c r="D538" s="4" t="s">
        <v>51</v>
      </c>
      <c r="E538" s="4" t="n">
        <v>1790284704</v>
      </c>
      <c r="F538" s="4" t="n">
        <v>1790284606</v>
      </c>
      <c r="G538" s="4" t="n">
        <v>1790284612</v>
      </c>
      <c r="H538" s="4" t="n">
        <v>1000000000000000</v>
      </c>
      <c r="I538" s="4" t="n">
        <v>1000000000000000</v>
      </c>
      <c r="J538" s="4" t="n">
        <v>1000000000000000</v>
      </c>
      <c r="K538" s="4" t="n">
        <v>1000000000000000</v>
      </c>
      <c r="L538" s="12" t="n">
        <f aca="false">IF(AND(B538=Cutoff!$B$12,E538&lt;=Cutoff!$B$10),1,0)</f>
        <v>0</v>
      </c>
      <c r="M538" s="12" t="n">
        <f aca="false">IF(AND(L538=1,F538&lt;1000000000000000,G538&lt;=Cutoff!$B$10),1,0)</f>
        <v>0</v>
      </c>
      <c r="N538" s="12" t="n">
        <f aca="false">IF(AND(M538=1,F538+Cutoff!$B$16&lt;=Cutoff!$B$10),1,0)</f>
        <v>0</v>
      </c>
      <c r="O538" s="12" t="n">
        <f aca="false">IF(N538=1,IF(AND(H538&lt;1000000000000000,H538&gt;=MAX(F538,E538),H538&lt;F538+Cutoff!$B$16,I538&lt;=Cutoff!$B$10),1,0),0)</f>
        <v>0</v>
      </c>
      <c r="P538" s="12" t="n">
        <f aca="false">IF(AND(L538=1,J538&lt;=Cutoff!$B$10),1,0)</f>
        <v>0</v>
      </c>
      <c r="Q538" s="12" t="n">
        <f aca="false">IF(AND(N538=1,E538+Cutoff!$B$17&lt;=Cutoff!$B$10),1,0)</f>
        <v>0</v>
      </c>
      <c r="R538" s="12" t="n">
        <f aca="false">IF(Q538=1,IF(K538&lt;=Cutoff!$B$10,1,0),0)</f>
        <v>0</v>
      </c>
      <c r="S538" s="12" t="n">
        <f aca="false">IF(N538=1,SUMIFS(Subscriptions!$D$2:$D$208,Subscriptions!$A$2:$A$208,C538,Subscriptions!$E$2:$E$208,1,Subscriptions!$B$2:$B$208,"&gt;="&amp;Cutoff!$B$24,Subscriptions!$B$2:$B$208,"&lt;"&amp;Cutoff!$B$25,Subscriptions!$B$2:$B$208,"&lt;="&amp;Cutoff!$B$10),0)</f>
        <v>0</v>
      </c>
    </row>
    <row r="539" customFormat="false" ht="15" hidden="false" customHeight="false" outlineLevel="0" collapsed="false">
      <c r="A539" s="4" t="s">
        <v>1363</v>
      </c>
      <c r="B539" s="4" t="s">
        <v>1089</v>
      </c>
      <c r="C539" s="4" t="s">
        <v>1364</v>
      </c>
      <c r="D539" s="4" t="s">
        <v>52</v>
      </c>
      <c r="E539" s="4" t="n">
        <v>1790322013</v>
      </c>
      <c r="F539" s="4" t="n">
        <v>1790321526</v>
      </c>
      <c r="G539" s="4" t="n">
        <v>1790321548</v>
      </c>
      <c r="H539" s="4" t="n">
        <v>1000000000000000</v>
      </c>
      <c r="I539" s="4" t="n">
        <v>1000000000000000</v>
      </c>
      <c r="J539" s="4" t="n">
        <v>1000000000000000</v>
      </c>
      <c r="K539" s="4" t="n">
        <v>1000000000000000</v>
      </c>
      <c r="L539" s="12" t="n">
        <f aca="false">IF(AND(B539=Cutoff!$B$12,E539&lt;=Cutoff!$B$10),1,0)</f>
        <v>0</v>
      </c>
      <c r="M539" s="12" t="n">
        <f aca="false">IF(AND(L539=1,F539&lt;1000000000000000,G539&lt;=Cutoff!$B$10),1,0)</f>
        <v>0</v>
      </c>
      <c r="N539" s="12" t="n">
        <f aca="false">IF(AND(M539=1,F539+Cutoff!$B$16&lt;=Cutoff!$B$10),1,0)</f>
        <v>0</v>
      </c>
      <c r="O539" s="12" t="n">
        <f aca="false">IF(N539=1,IF(AND(H539&lt;1000000000000000,H539&gt;=MAX(F539,E539),H539&lt;F539+Cutoff!$B$16,I539&lt;=Cutoff!$B$10),1,0),0)</f>
        <v>0</v>
      </c>
      <c r="P539" s="12" t="n">
        <f aca="false">IF(AND(L539=1,J539&lt;=Cutoff!$B$10),1,0)</f>
        <v>0</v>
      </c>
      <c r="Q539" s="12" t="n">
        <f aca="false">IF(AND(N539=1,E539+Cutoff!$B$17&lt;=Cutoff!$B$10),1,0)</f>
        <v>0</v>
      </c>
      <c r="R539" s="12" t="n">
        <f aca="false">IF(Q539=1,IF(K539&lt;=Cutoff!$B$10,1,0),0)</f>
        <v>0</v>
      </c>
      <c r="S539" s="12" t="n">
        <f aca="false">IF(N539=1,SUMIFS(Subscriptions!$D$2:$D$208,Subscriptions!$A$2:$A$208,C539,Subscriptions!$E$2:$E$208,1,Subscriptions!$B$2:$B$208,"&gt;="&amp;Cutoff!$B$24,Subscriptions!$B$2:$B$208,"&lt;"&amp;Cutoff!$B$25,Subscriptions!$B$2:$B$208,"&lt;="&amp;Cutoff!$B$10),0)</f>
        <v>0</v>
      </c>
    </row>
    <row r="540" customFormat="false" ht="15" hidden="false" customHeight="false" outlineLevel="0" collapsed="false">
      <c r="A540" s="4" t="s">
        <v>1365</v>
      </c>
      <c r="B540" s="4" t="s">
        <v>1089</v>
      </c>
      <c r="C540" s="4" t="s">
        <v>1366</v>
      </c>
      <c r="D540" s="4" t="s">
        <v>52</v>
      </c>
      <c r="E540" s="4" t="n">
        <v>1790346296</v>
      </c>
      <c r="F540" s="4" t="n">
        <v>1790345773</v>
      </c>
      <c r="G540" s="4" t="n">
        <v>1790345785</v>
      </c>
      <c r="H540" s="4" t="n">
        <v>1000000000000000</v>
      </c>
      <c r="I540" s="4" t="n">
        <v>1000000000000000</v>
      </c>
      <c r="J540" s="4" t="n">
        <v>1790346753</v>
      </c>
      <c r="K540" s="4" t="n">
        <v>1000000000000000</v>
      </c>
      <c r="L540" s="12" t="n">
        <f aca="false">IF(AND(B540=Cutoff!$B$12,E540&lt;=Cutoff!$B$10),1,0)</f>
        <v>0</v>
      </c>
      <c r="M540" s="12" t="n">
        <f aca="false">IF(AND(L540=1,F540&lt;1000000000000000,G540&lt;=Cutoff!$B$10),1,0)</f>
        <v>0</v>
      </c>
      <c r="N540" s="12" t="n">
        <f aca="false">IF(AND(M540=1,F540+Cutoff!$B$16&lt;=Cutoff!$B$10),1,0)</f>
        <v>0</v>
      </c>
      <c r="O540" s="12" t="n">
        <f aca="false">IF(N540=1,IF(AND(H540&lt;1000000000000000,H540&gt;=MAX(F540,E540),H540&lt;F540+Cutoff!$B$16,I540&lt;=Cutoff!$B$10),1,0),0)</f>
        <v>0</v>
      </c>
      <c r="P540" s="12" t="n">
        <f aca="false">IF(AND(L540=1,J540&lt;=Cutoff!$B$10),1,0)</f>
        <v>0</v>
      </c>
      <c r="Q540" s="12" t="n">
        <f aca="false">IF(AND(N540=1,E540+Cutoff!$B$17&lt;=Cutoff!$B$10),1,0)</f>
        <v>0</v>
      </c>
      <c r="R540" s="12" t="n">
        <f aca="false">IF(Q540=1,IF(K540&lt;=Cutoff!$B$10,1,0),0)</f>
        <v>0</v>
      </c>
      <c r="S540" s="12" t="n">
        <f aca="false">IF(N540=1,SUMIFS(Subscriptions!$D$2:$D$208,Subscriptions!$A$2:$A$208,C540,Subscriptions!$E$2:$E$208,1,Subscriptions!$B$2:$B$208,"&gt;="&amp;Cutoff!$B$24,Subscriptions!$B$2:$B$208,"&lt;"&amp;Cutoff!$B$25,Subscriptions!$B$2:$B$208,"&lt;="&amp;Cutoff!$B$10),0)</f>
        <v>0</v>
      </c>
    </row>
    <row r="541" customFormat="false" ht="15" hidden="false" customHeight="false" outlineLevel="0" collapsed="false">
      <c r="A541" s="4" t="s">
        <v>1367</v>
      </c>
      <c r="B541" s="4" t="s">
        <v>1089</v>
      </c>
      <c r="C541" s="4" t="s">
        <v>1368</v>
      </c>
      <c r="D541" s="4" t="s">
        <v>52</v>
      </c>
      <c r="E541" s="4" t="n">
        <v>1790362351</v>
      </c>
      <c r="F541" s="4" t="n">
        <v>1790362119</v>
      </c>
      <c r="G541" s="4" t="n">
        <v>1790362481</v>
      </c>
      <c r="H541" s="4" t="n">
        <v>1790362652</v>
      </c>
      <c r="I541" s="4" t="n">
        <v>1790362668</v>
      </c>
      <c r="J541" s="4" t="n">
        <v>1790363084</v>
      </c>
      <c r="K541" s="4" t="n">
        <v>1000000000000000</v>
      </c>
      <c r="L541" s="12" t="n">
        <f aca="false">IF(AND(B541=Cutoff!$B$12,E541&lt;=Cutoff!$B$10),1,0)</f>
        <v>0</v>
      </c>
      <c r="M541" s="12" t="n">
        <f aca="false">IF(AND(L541=1,F541&lt;1000000000000000,G541&lt;=Cutoff!$B$10),1,0)</f>
        <v>0</v>
      </c>
      <c r="N541" s="12" t="n">
        <f aca="false">IF(AND(M541=1,F541+Cutoff!$B$16&lt;=Cutoff!$B$10),1,0)</f>
        <v>0</v>
      </c>
      <c r="O541" s="12" t="n">
        <f aca="false">IF(N541=1,IF(AND(H541&lt;1000000000000000,H541&gt;=MAX(F541,E541),H541&lt;F541+Cutoff!$B$16,I541&lt;=Cutoff!$B$10),1,0),0)</f>
        <v>0</v>
      </c>
      <c r="P541" s="12" t="n">
        <f aca="false">IF(AND(L541=1,J541&lt;=Cutoff!$B$10),1,0)</f>
        <v>0</v>
      </c>
      <c r="Q541" s="12" t="n">
        <f aca="false">IF(AND(N541=1,E541+Cutoff!$B$17&lt;=Cutoff!$B$10),1,0)</f>
        <v>0</v>
      </c>
      <c r="R541" s="12" t="n">
        <f aca="false">IF(Q541=1,IF(K541&lt;=Cutoff!$B$10,1,0),0)</f>
        <v>0</v>
      </c>
      <c r="S541" s="12" t="n">
        <f aca="false">IF(N541=1,SUMIFS(Subscriptions!$D$2:$D$208,Subscriptions!$A$2:$A$208,C541,Subscriptions!$E$2:$E$208,1,Subscriptions!$B$2:$B$208,"&gt;="&amp;Cutoff!$B$24,Subscriptions!$B$2:$B$208,"&lt;"&amp;Cutoff!$B$25,Subscriptions!$B$2:$B$208,"&lt;="&amp;Cutoff!$B$10),0)</f>
        <v>0</v>
      </c>
    </row>
    <row r="542" customFormat="false" ht="15" hidden="false" customHeight="false" outlineLevel="0" collapsed="false">
      <c r="A542" s="4" t="s">
        <v>1369</v>
      </c>
      <c r="B542" s="4" t="s">
        <v>1089</v>
      </c>
      <c r="C542" s="4" t="s">
        <v>1370</v>
      </c>
      <c r="D542" s="4" t="s">
        <v>52</v>
      </c>
      <c r="E542" s="4" t="n">
        <v>1790378345</v>
      </c>
      <c r="F542" s="4" t="n">
        <v>1790377753</v>
      </c>
      <c r="G542" s="4" t="n">
        <v>1790377774</v>
      </c>
      <c r="H542" s="4" t="n">
        <v>1000000000000000</v>
      </c>
      <c r="I542" s="4" t="n">
        <v>1000000000000000</v>
      </c>
      <c r="J542" s="4" t="n">
        <v>1790379150</v>
      </c>
      <c r="K542" s="4" t="n">
        <v>1000000000000000</v>
      </c>
      <c r="L542" s="12" t="n">
        <f aca="false">IF(AND(B542=Cutoff!$B$12,E542&lt;=Cutoff!$B$10),1,0)</f>
        <v>0</v>
      </c>
      <c r="M542" s="12" t="n">
        <f aca="false">IF(AND(L542=1,F542&lt;1000000000000000,G542&lt;=Cutoff!$B$10),1,0)</f>
        <v>0</v>
      </c>
      <c r="N542" s="12" t="n">
        <f aca="false">IF(AND(M542=1,F542+Cutoff!$B$16&lt;=Cutoff!$B$10),1,0)</f>
        <v>0</v>
      </c>
      <c r="O542" s="12" t="n">
        <f aca="false">IF(N542=1,IF(AND(H542&lt;1000000000000000,H542&gt;=MAX(F542,E542),H542&lt;F542+Cutoff!$B$16,I542&lt;=Cutoff!$B$10),1,0),0)</f>
        <v>0</v>
      </c>
      <c r="P542" s="12" t="n">
        <f aca="false">IF(AND(L542=1,J542&lt;=Cutoff!$B$10),1,0)</f>
        <v>0</v>
      </c>
      <c r="Q542" s="12" t="n">
        <f aca="false">IF(AND(N542=1,E542+Cutoff!$B$17&lt;=Cutoff!$B$10),1,0)</f>
        <v>0</v>
      </c>
      <c r="R542" s="12" t="n">
        <f aca="false">IF(Q542=1,IF(K542&lt;=Cutoff!$B$10,1,0),0)</f>
        <v>0</v>
      </c>
      <c r="S542" s="12" t="n">
        <f aca="false">IF(N542=1,SUMIFS(Subscriptions!$D$2:$D$208,Subscriptions!$A$2:$A$208,C542,Subscriptions!$E$2:$E$208,1,Subscriptions!$B$2:$B$208,"&gt;="&amp;Cutoff!$B$24,Subscriptions!$B$2:$B$208,"&lt;"&amp;Cutoff!$B$25,Subscriptions!$B$2:$B$208,"&lt;="&amp;Cutoff!$B$10),0)</f>
        <v>0</v>
      </c>
    </row>
    <row r="543" customFormat="false" ht="15" hidden="false" customHeight="false" outlineLevel="0" collapsed="false">
      <c r="A543" s="4" t="s">
        <v>1371</v>
      </c>
      <c r="B543" s="4" t="s">
        <v>1089</v>
      </c>
      <c r="C543" s="4" t="s">
        <v>1372</v>
      </c>
      <c r="D543" s="4" t="s">
        <v>52</v>
      </c>
      <c r="E543" s="4" t="n">
        <v>1790421486</v>
      </c>
      <c r="F543" s="4" t="n">
        <v>1790421410</v>
      </c>
      <c r="G543" s="4" t="n">
        <v>1790421428</v>
      </c>
      <c r="H543" s="4" t="n">
        <v>1000000000000000</v>
      </c>
      <c r="I543" s="4" t="n">
        <v>1000000000000000</v>
      </c>
      <c r="J543" s="4" t="n">
        <v>1790422019</v>
      </c>
      <c r="K543" s="4" t="n">
        <v>1000000000000000</v>
      </c>
      <c r="L543" s="12" t="n">
        <f aca="false">IF(AND(B543=Cutoff!$B$12,E543&lt;=Cutoff!$B$10),1,0)</f>
        <v>0</v>
      </c>
      <c r="M543" s="12" t="n">
        <f aca="false">IF(AND(L543=1,F543&lt;1000000000000000,G543&lt;=Cutoff!$B$10),1,0)</f>
        <v>0</v>
      </c>
      <c r="N543" s="12" t="n">
        <f aca="false">IF(AND(M543=1,F543+Cutoff!$B$16&lt;=Cutoff!$B$10),1,0)</f>
        <v>0</v>
      </c>
      <c r="O543" s="12" t="n">
        <f aca="false">IF(N543=1,IF(AND(H543&lt;1000000000000000,H543&gt;=MAX(F543,E543),H543&lt;F543+Cutoff!$B$16,I543&lt;=Cutoff!$B$10),1,0),0)</f>
        <v>0</v>
      </c>
      <c r="P543" s="12" t="n">
        <f aca="false">IF(AND(L543=1,J543&lt;=Cutoff!$B$10),1,0)</f>
        <v>0</v>
      </c>
      <c r="Q543" s="12" t="n">
        <f aca="false">IF(AND(N543=1,E543+Cutoff!$B$17&lt;=Cutoff!$B$10),1,0)</f>
        <v>0</v>
      </c>
      <c r="R543" s="12" t="n">
        <f aca="false">IF(Q543=1,IF(K543&lt;=Cutoff!$B$10,1,0),0)</f>
        <v>0</v>
      </c>
      <c r="S543" s="12" t="n">
        <f aca="false">IF(N543=1,SUMIFS(Subscriptions!$D$2:$D$208,Subscriptions!$A$2:$A$208,C543,Subscriptions!$E$2:$E$208,1,Subscriptions!$B$2:$B$208,"&gt;="&amp;Cutoff!$B$24,Subscriptions!$B$2:$B$208,"&lt;"&amp;Cutoff!$B$25,Subscriptions!$B$2:$B$208,"&lt;="&amp;Cutoff!$B$10),0)</f>
        <v>0</v>
      </c>
    </row>
    <row r="544" customFormat="false" ht="15" hidden="false" customHeight="false" outlineLevel="0" collapsed="false">
      <c r="A544" s="4" t="s">
        <v>1373</v>
      </c>
      <c r="B544" s="4" t="s">
        <v>1089</v>
      </c>
      <c r="C544" s="4" t="s">
        <v>1374</v>
      </c>
      <c r="D544" s="4" t="s">
        <v>52</v>
      </c>
      <c r="E544" s="4" t="n">
        <v>1790445717</v>
      </c>
      <c r="F544" s="4" t="n">
        <v>1790445425</v>
      </c>
      <c r="G544" s="4" t="n">
        <v>1790445436</v>
      </c>
      <c r="H544" s="4" t="n">
        <v>1790470584</v>
      </c>
      <c r="I544" s="4" t="n">
        <v>1790470596</v>
      </c>
      <c r="J544" s="4" t="n">
        <v>1790446364</v>
      </c>
      <c r="K544" s="4" t="n">
        <v>1790588667</v>
      </c>
      <c r="L544" s="12" t="n">
        <f aca="false">IF(AND(B544=Cutoff!$B$12,E544&lt;=Cutoff!$B$10),1,0)</f>
        <v>0</v>
      </c>
      <c r="M544" s="12" t="n">
        <f aca="false">IF(AND(L544=1,F544&lt;1000000000000000,G544&lt;=Cutoff!$B$10),1,0)</f>
        <v>0</v>
      </c>
      <c r="N544" s="12" t="n">
        <f aca="false">IF(AND(M544=1,F544+Cutoff!$B$16&lt;=Cutoff!$B$10),1,0)</f>
        <v>0</v>
      </c>
      <c r="O544" s="12" t="n">
        <f aca="false">IF(N544=1,IF(AND(H544&lt;1000000000000000,H544&gt;=MAX(F544,E544),H544&lt;F544+Cutoff!$B$16,I544&lt;=Cutoff!$B$10),1,0),0)</f>
        <v>0</v>
      </c>
      <c r="P544" s="12" t="n">
        <f aca="false">IF(AND(L544=1,J544&lt;=Cutoff!$B$10),1,0)</f>
        <v>0</v>
      </c>
      <c r="Q544" s="12" t="n">
        <f aca="false">IF(AND(N544=1,E544+Cutoff!$B$17&lt;=Cutoff!$B$10),1,0)</f>
        <v>0</v>
      </c>
      <c r="R544" s="12" t="n">
        <f aca="false">IF(Q544=1,IF(K544&lt;=Cutoff!$B$10,1,0),0)</f>
        <v>0</v>
      </c>
      <c r="S544" s="12" t="n">
        <f aca="false">IF(N544=1,SUMIFS(Subscriptions!$D$2:$D$208,Subscriptions!$A$2:$A$208,C544,Subscriptions!$E$2:$E$208,1,Subscriptions!$B$2:$B$208,"&gt;="&amp;Cutoff!$B$24,Subscriptions!$B$2:$B$208,"&lt;"&amp;Cutoff!$B$25,Subscriptions!$B$2:$B$208,"&lt;="&amp;Cutoff!$B$10),0)</f>
        <v>0</v>
      </c>
    </row>
    <row r="545" customFormat="false" ht="15" hidden="false" customHeight="false" outlineLevel="0" collapsed="false">
      <c r="A545" s="4" t="s">
        <v>1375</v>
      </c>
      <c r="B545" s="4" t="s">
        <v>1089</v>
      </c>
      <c r="C545" s="4" t="s">
        <v>1376</v>
      </c>
      <c r="D545" s="4" t="s">
        <v>51</v>
      </c>
      <c r="E545" s="4" t="n">
        <v>1790506603</v>
      </c>
      <c r="F545" s="4" t="n">
        <v>1790506188</v>
      </c>
      <c r="G545" s="4" t="n">
        <v>1790506209</v>
      </c>
      <c r="H545" s="4" t="n">
        <v>1000000000000000</v>
      </c>
      <c r="I545" s="4" t="n">
        <v>1000000000000000</v>
      </c>
      <c r="J545" s="4" t="n">
        <v>1790507073</v>
      </c>
      <c r="K545" s="4" t="n">
        <v>1000000000000000</v>
      </c>
      <c r="L545" s="12" t="n">
        <f aca="false">IF(AND(B545=Cutoff!$B$12,E545&lt;=Cutoff!$B$10),1,0)</f>
        <v>0</v>
      </c>
      <c r="M545" s="12" t="n">
        <f aca="false">IF(AND(L545=1,F545&lt;1000000000000000,G545&lt;=Cutoff!$B$10),1,0)</f>
        <v>0</v>
      </c>
      <c r="N545" s="12" t="n">
        <f aca="false">IF(AND(M545=1,F545+Cutoff!$B$16&lt;=Cutoff!$B$10),1,0)</f>
        <v>0</v>
      </c>
      <c r="O545" s="12" t="n">
        <f aca="false">IF(N545=1,IF(AND(H545&lt;1000000000000000,H545&gt;=MAX(F545,E545),H545&lt;F545+Cutoff!$B$16,I545&lt;=Cutoff!$B$10),1,0),0)</f>
        <v>0</v>
      </c>
      <c r="P545" s="12" t="n">
        <f aca="false">IF(AND(L545=1,J545&lt;=Cutoff!$B$10),1,0)</f>
        <v>0</v>
      </c>
      <c r="Q545" s="12" t="n">
        <f aca="false">IF(AND(N545=1,E545+Cutoff!$B$17&lt;=Cutoff!$B$10),1,0)</f>
        <v>0</v>
      </c>
      <c r="R545" s="12" t="n">
        <f aca="false">IF(Q545=1,IF(K545&lt;=Cutoff!$B$10,1,0),0)</f>
        <v>0</v>
      </c>
      <c r="S545" s="12" t="n">
        <f aca="false">IF(N545=1,SUMIFS(Subscriptions!$D$2:$D$208,Subscriptions!$A$2:$A$208,C545,Subscriptions!$E$2:$E$208,1,Subscriptions!$B$2:$B$208,"&gt;="&amp;Cutoff!$B$24,Subscriptions!$B$2:$B$208,"&lt;"&amp;Cutoff!$B$25,Subscriptions!$B$2:$B$208,"&lt;="&amp;Cutoff!$B$10),0)</f>
        <v>0</v>
      </c>
    </row>
    <row r="546" customFormat="false" ht="15" hidden="false" customHeight="false" outlineLevel="0" collapsed="false">
      <c r="A546" s="4" t="s">
        <v>1377</v>
      </c>
      <c r="B546" s="4" t="s">
        <v>1089</v>
      </c>
      <c r="C546" s="4" t="s">
        <v>1378</v>
      </c>
      <c r="D546" s="4" t="s">
        <v>52</v>
      </c>
      <c r="E546" s="4" t="n">
        <v>1790604479</v>
      </c>
      <c r="F546" s="4" t="n">
        <v>1790604333</v>
      </c>
      <c r="G546" s="4" t="n">
        <v>1790604353</v>
      </c>
      <c r="H546" s="4" t="n">
        <v>1790631358</v>
      </c>
      <c r="I546" s="4" t="n">
        <v>1790631379</v>
      </c>
      <c r="J546" s="4" t="n">
        <v>1000000000000000</v>
      </c>
      <c r="K546" s="4" t="n">
        <v>1000000000000000</v>
      </c>
      <c r="L546" s="12" t="n">
        <f aca="false">IF(AND(B546=Cutoff!$B$12,E546&lt;=Cutoff!$B$10),1,0)</f>
        <v>0</v>
      </c>
      <c r="M546" s="12" t="n">
        <f aca="false">IF(AND(L546=1,F546&lt;1000000000000000,G546&lt;=Cutoff!$B$10),1,0)</f>
        <v>0</v>
      </c>
      <c r="N546" s="12" t="n">
        <f aca="false">IF(AND(M546=1,F546+Cutoff!$B$16&lt;=Cutoff!$B$10),1,0)</f>
        <v>0</v>
      </c>
      <c r="O546" s="12" t="n">
        <f aca="false">IF(N546=1,IF(AND(H546&lt;1000000000000000,H546&gt;=MAX(F546,E546),H546&lt;F546+Cutoff!$B$16,I546&lt;=Cutoff!$B$10),1,0),0)</f>
        <v>0</v>
      </c>
      <c r="P546" s="12" t="n">
        <f aca="false">IF(AND(L546=1,J546&lt;=Cutoff!$B$10),1,0)</f>
        <v>0</v>
      </c>
      <c r="Q546" s="12" t="n">
        <f aca="false">IF(AND(N546=1,E546+Cutoff!$B$17&lt;=Cutoff!$B$10),1,0)</f>
        <v>0</v>
      </c>
      <c r="R546" s="12" t="n">
        <f aca="false">IF(Q546=1,IF(K546&lt;=Cutoff!$B$10,1,0),0)</f>
        <v>0</v>
      </c>
      <c r="S546" s="12" t="n">
        <f aca="false">IF(N546=1,SUMIFS(Subscriptions!$D$2:$D$208,Subscriptions!$A$2:$A$208,C546,Subscriptions!$E$2:$E$208,1,Subscriptions!$B$2:$B$208,"&gt;="&amp;Cutoff!$B$24,Subscriptions!$B$2:$B$208,"&lt;"&amp;Cutoff!$B$25,Subscriptions!$B$2:$B$208,"&lt;="&amp;Cutoff!$B$10),0)</f>
        <v>0</v>
      </c>
    </row>
    <row r="547" customFormat="false" ht="15" hidden="false" customHeight="false" outlineLevel="0" collapsed="false">
      <c r="A547" s="4" t="s">
        <v>1379</v>
      </c>
      <c r="B547" s="4" t="s">
        <v>1089</v>
      </c>
      <c r="C547" s="4" t="s">
        <v>1380</v>
      </c>
      <c r="D547" s="4" t="s">
        <v>51</v>
      </c>
      <c r="E547" s="4" t="n">
        <v>1790604754</v>
      </c>
      <c r="F547" s="4" t="n">
        <v>1790604177</v>
      </c>
      <c r="G547" s="4" t="n">
        <v>1790604178</v>
      </c>
      <c r="H547" s="4" t="n">
        <v>1791092459</v>
      </c>
      <c r="I547" s="4" t="n">
        <v>1791092473</v>
      </c>
      <c r="J547" s="4" t="n">
        <v>1790605423</v>
      </c>
      <c r="K547" s="4" t="n">
        <v>1000000000000000</v>
      </c>
      <c r="L547" s="12" t="n">
        <f aca="false">IF(AND(B547=Cutoff!$B$12,E547&lt;=Cutoff!$B$10),1,0)</f>
        <v>0</v>
      </c>
      <c r="M547" s="12" t="n">
        <f aca="false">IF(AND(L547=1,F547&lt;1000000000000000,G547&lt;=Cutoff!$B$10),1,0)</f>
        <v>0</v>
      </c>
      <c r="N547" s="12" t="n">
        <f aca="false">IF(AND(M547=1,F547+Cutoff!$B$16&lt;=Cutoff!$B$10),1,0)</f>
        <v>0</v>
      </c>
      <c r="O547" s="12" t="n">
        <f aca="false">IF(N547=1,IF(AND(H547&lt;1000000000000000,H547&gt;=MAX(F547,E547),H547&lt;F547+Cutoff!$B$16,I547&lt;=Cutoff!$B$10),1,0),0)</f>
        <v>0</v>
      </c>
      <c r="P547" s="12" t="n">
        <f aca="false">IF(AND(L547=1,J547&lt;=Cutoff!$B$10),1,0)</f>
        <v>0</v>
      </c>
      <c r="Q547" s="12" t="n">
        <f aca="false">IF(AND(N547=1,E547+Cutoff!$B$17&lt;=Cutoff!$B$10),1,0)</f>
        <v>0</v>
      </c>
      <c r="R547" s="12" t="n">
        <f aca="false">IF(Q547=1,IF(K547&lt;=Cutoff!$B$10,1,0),0)</f>
        <v>0</v>
      </c>
      <c r="S547" s="12" t="n">
        <f aca="false">IF(N547=1,SUMIFS(Subscriptions!$D$2:$D$208,Subscriptions!$A$2:$A$208,C547,Subscriptions!$E$2:$E$208,1,Subscriptions!$B$2:$B$208,"&gt;="&amp;Cutoff!$B$24,Subscriptions!$B$2:$B$208,"&lt;"&amp;Cutoff!$B$25,Subscriptions!$B$2:$B$208,"&lt;="&amp;Cutoff!$B$10),0)</f>
        <v>0</v>
      </c>
    </row>
    <row r="548" customFormat="false" ht="15" hidden="false" customHeight="false" outlineLevel="0" collapsed="false">
      <c r="A548" s="4" t="s">
        <v>1381</v>
      </c>
      <c r="B548" s="4" t="s">
        <v>1089</v>
      </c>
      <c r="C548" s="4" t="s">
        <v>1382</v>
      </c>
      <c r="D548" s="4" t="s">
        <v>51</v>
      </c>
      <c r="E548" s="4" t="n">
        <v>1790614431</v>
      </c>
      <c r="F548" s="4" t="n">
        <v>1790614340</v>
      </c>
      <c r="G548" s="4" t="n">
        <v>1790614343</v>
      </c>
      <c r="H548" s="4" t="n">
        <v>1790676349</v>
      </c>
      <c r="I548" s="4" t="n">
        <v>1790676366</v>
      </c>
      <c r="J548" s="4" t="n">
        <v>1790614881</v>
      </c>
      <c r="K548" s="4" t="n">
        <v>1000000000000000</v>
      </c>
      <c r="L548" s="12" t="n">
        <f aca="false">IF(AND(B548=Cutoff!$B$12,E548&lt;=Cutoff!$B$10),1,0)</f>
        <v>0</v>
      </c>
      <c r="M548" s="12" t="n">
        <f aca="false">IF(AND(L548=1,F548&lt;1000000000000000,G548&lt;=Cutoff!$B$10),1,0)</f>
        <v>0</v>
      </c>
      <c r="N548" s="12" t="n">
        <f aca="false">IF(AND(M548=1,F548+Cutoff!$B$16&lt;=Cutoff!$B$10),1,0)</f>
        <v>0</v>
      </c>
      <c r="O548" s="12" t="n">
        <f aca="false">IF(N548=1,IF(AND(H548&lt;1000000000000000,H548&gt;=MAX(F548,E548),H548&lt;F548+Cutoff!$B$16,I548&lt;=Cutoff!$B$10),1,0),0)</f>
        <v>0</v>
      </c>
      <c r="P548" s="12" t="n">
        <f aca="false">IF(AND(L548=1,J548&lt;=Cutoff!$B$10),1,0)</f>
        <v>0</v>
      </c>
      <c r="Q548" s="12" t="n">
        <f aca="false">IF(AND(N548=1,E548+Cutoff!$B$17&lt;=Cutoff!$B$10),1,0)</f>
        <v>0</v>
      </c>
      <c r="R548" s="12" t="n">
        <f aca="false">IF(Q548=1,IF(K548&lt;=Cutoff!$B$10,1,0),0)</f>
        <v>0</v>
      </c>
      <c r="S548" s="12" t="n">
        <f aca="false">IF(N548=1,SUMIFS(Subscriptions!$D$2:$D$208,Subscriptions!$A$2:$A$208,C548,Subscriptions!$E$2:$E$208,1,Subscriptions!$B$2:$B$208,"&gt;="&amp;Cutoff!$B$24,Subscriptions!$B$2:$B$208,"&lt;"&amp;Cutoff!$B$25,Subscriptions!$B$2:$B$208,"&lt;="&amp;Cutoff!$B$10),0)</f>
        <v>0</v>
      </c>
    </row>
    <row r="549" customFormat="false" ht="15" hidden="false" customHeight="false" outlineLevel="0" collapsed="false">
      <c r="A549" s="4" t="s">
        <v>1383</v>
      </c>
      <c r="B549" s="4" t="s">
        <v>1089</v>
      </c>
      <c r="C549" s="4" t="s">
        <v>1384</v>
      </c>
      <c r="D549" s="4" t="s">
        <v>51</v>
      </c>
      <c r="E549" s="4" t="n">
        <v>1790676506</v>
      </c>
      <c r="F549" s="4" t="n">
        <v>1790676354</v>
      </c>
      <c r="G549" s="4" t="n">
        <v>1790676364</v>
      </c>
      <c r="H549" s="4" t="n">
        <v>1790699938</v>
      </c>
      <c r="I549" s="4" t="n">
        <v>1790699958</v>
      </c>
      <c r="J549" s="4" t="n">
        <v>1000000000000000</v>
      </c>
      <c r="K549" s="4" t="n">
        <v>1000000000000000</v>
      </c>
      <c r="L549" s="12" t="n">
        <f aca="false">IF(AND(B549=Cutoff!$B$12,E549&lt;=Cutoff!$B$10),1,0)</f>
        <v>0</v>
      </c>
      <c r="M549" s="12" t="n">
        <f aca="false">IF(AND(L549=1,F549&lt;1000000000000000,G549&lt;=Cutoff!$B$10),1,0)</f>
        <v>0</v>
      </c>
      <c r="N549" s="12" t="n">
        <f aca="false">IF(AND(M549=1,F549+Cutoff!$B$16&lt;=Cutoff!$B$10),1,0)</f>
        <v>0</v>
      </c>
      <c r="O549" s="12" t="n">
        <f aca="false">IF(N549=1,IF(AND(H549&lt;1000000000000000,H549&gt;=MAX(F549,E549),H549&lt;F549+Cutoff!$B$16,I549&lt;=Cutoff!$B$10),1,0),0)</f>
        <v>0</v>
      </c>
      <c r="P549" s="12" t="n">
        <f aca="false">IF(AND(L549=1,J549&lt;=Cutoff!$B$10),1,0)</f>
        <v>0</v>
      </c>
      <c r="Q549" s="12" t="n">
        <f aca="false">IF(AND(N549=1,E549+Cutoff!$B$17&lt;=Cutoff!$B$10),1,0)</f>
        <v>0</v>
      </c>
      <c r="R549" s="12" t="n">
        <f aca="false">IF(Q549=1,IF(K549&lt;=Cutoff!$B$10,1,0),0)</f>
        <v>0</v>
      </c>
      <c r="S549" s="12" t="n">
        <f aca="false">IF(N549=1,SUMIFS(Subscriptions!$D$2:$D$208,Subscriptions!$A$2:$A$208,C549,Subscriptions!$E$2:$E$208,1,Subscriptions!$B$2:$B$208,"&gt;="&amp;Cutoff!$B$24,Subscriptions!$B$2:$B$208,"&lt;"&amp;Cutoff!$B$25,Subscriptions!$B$2:$B$208,"&lt;="&amp;Cutoff!$B$10),0)</f>
        <v>0</v>
      </c>
    </row>
    <row r="550" customFormat="false" ht="15" hidden="false" customHeight="false" outlineLevel="0" collapsed="false">
      <c r="A550" s="4" t="s">
        <v>1385</v>
      </c>
      <c r="B550" s="4" t="s">
        <v>1089</v>
      </c>
      <c r="C550" s="4" t="s">
        <v>1386</v>
      </c>
      <c r="D550" s="4" t="s">
        <v>52</v>
      </c>
      <c r="E550" s="4" t="n">
        <v>1790704986</v>
      </c>
      <c r="F550" s="4" t="n">
        <v>1790704686</v>
      </c>
      <c r="G550" s="4" t="n">
        <v>1790704700</v>
      </c>
      <c r="H550" s="4" t="n">
        <v>1000000000000000</v>
      </c>
      <c r="I550" s="4" t="n">
        <v>1000000000000000</v>
      </c>
      <c r="J550" s="4" t="n">
        <v>1000000000000000</v>
      </c>
      <c r="K550" s="4" t="n">
        <v>1000000000000000</v>
      </c>
      <c r="L550" s="12" t="n">
        <f aca="false">IF(AND(B550=Cutoff!$B$12,E550&lt;=Cutoff!$B$10),1,0)</f>
        <v>0</v>
      </c>
      <c r="M550" s="12" t="n">
        <f aca="false">IF(AND(L550=1,F550&lt;1000000000000000,G550&lt;=Cutoff!$B$10),1,0)</f>
        <v>0</v>
      </c>
      <c r="N550" s="12" t="n">
        <f aca="false">IF(AND(M550=1,F550+Cutoff!$B$16&lt;=Cutoff!$B$10),1,0)</f>
        <v>0</v>
      </c>
      <c r="O550" s="12" t="n">
        <f aca="false">IF(N550=1,IF(AND(H550&lt;1000000000000000,H550&gt;=MAX(F550,E550),H550&lt;F550+Cutoff!$B$16,I550&lt;=Cutoff!$B$10),1,0),0)</f>
        <v>0</v>
      </c>
      <c r="P550" s="12" t="n">
        <f aca="false">IF(AND(L550=1,J550&lt;=Cutoff!$B$10),1,0)</f>
        <v>0</v>
      </c>
      <c r="Q550" s="12" t="n">
        <f aca="false">IF(AND(N550=1,E550+Cutoff!$B$17&lt;=Cutoff!$B$10),1,0)</f>
        <v>0</v>
      </c>
      <c r="R550" s="12" t="n">
        <f aca="false">IF(Q550=1,IF(K550&lt;=Cutoff!$B$10,1,0),0)</f>
        <v>0</v>
      </c>
      <c r="S550" s="12" t="n">
        <f aca="false">IF(N550=1,SUMIFS(Subscriptions!$D$2:$D$208,Subscriptions!$A$2:$A$208,C550,Subscriptions!$E$2:$E$208,1,Subscriptions!$B$2:$B$208,"&gt;="&amp;Cutoff!$B$24,Subscriptions!$B$2:$B$208,"&lt;"&amp;Cutoff!$B$25,Subscriptions!$B$2:$B$208,"&lt;="&amp;Cutoff!$B$10),0)</f>
        <v>0</v>
      </c>
    </row>
    <row r="551" customFormat="false" ht="15" hidden="false" customHeight="false" outlineLevel="0" collapsed="false">
      <c r="A551" s="4" t="s">
        <v>1387</v>
      </c>
      <c r="B551" s="4" t="s">
        <v>1089</v>
      </c>
      <c r="C551" s="4" t="s">
        <v>1388</v>
      </c>
      <c r="D551" s="4" t="s">
        <v>52</v>
      </c>
      <c r="E551" s="4" t="n">
        <v>1790715333</v>
      </c>
      <c r="F551" s="4" t="n">
        <v>1790715124</v>
      </c>
      <c r="G551" s="4" t="n">
        <v>1790715131</v>
      </c>
      <c r="H551" s="4" t="n">
        <v>1790771286</v>
      </c>
      <c r="I551" s="4" t="n">
        <v>1790771287</v>
      </c>
      <c r="J551" s="4" t="n">
        <v>1790715843</v>
      </c>
      <c r="K551" s="4" t="n">
        <v>1000000000000000</v>
      </c>
      <c r="L551" s="12" t="n">
        <f aca="false">IF(AND(B551=Cutoff!$B$12,E551&lt;=Cutoff!$B$10),1,0)</f>
        <v>0</v>
      </c>
      <c r="M551" s="12" t="n">
        <f aca="false">IF(AND(L551=1,F551&lt;1000000000000000,G551&lt;=Cutoff!$B$10),1,0)</f>
        <v>0</v>
      </c>
      <c r="N551" s="12" t="n">
        <f aca="false">IF(AND(M551=1,F551+Cutoff!$B$16&lt;=Cutoff!$B$10),1,0)</f>
        <v>0</v>
      </c>
      <c r="O551" s="12" t="n">
        <f aca="false">IF(N551=1,IF(AND(H551&lt;1000000000000000,H551&gt;=MAX(F551,E551),H551&lt;F551+Cutoff!$B$16,I551&lt;=Cutoff!$B$10),1,0),0)</f>
        <v>0</v>
      </c>
      <c r="P551" s="12" t="n">
        <f aca="false">IF(AND(L551=1,J551&lt;=Cutoff!$B$10),1,0)</f>
        <v>0</v>
      </c>
      <c r="Q551" s="12" t="n">
        <f aca="false">IF(AND(N551=1,E551+Cutoff!$B$17&lt;=Cutoff!$B$10),1,0)</f>
        <v>0</v>
      </c>
      <c r="R551" s="12" t="n">
        <f aca="false">IF(Q551=1,IF(K551&lt;=Cutoff!$B$10,1,0),0)</f>
        <v>0</v>
      </c>
      <c r="S551" s="12" t="n">
        <f aca="false">IF(N551=1,SUMIFS(Subscriptions!$D$2:$D$208,Subscriptions!$A$2:$A$208,C551,Subscriptions!$E$2:$E$208,1,Subscriptions!$B$2:$B$208,"&gt;="&amp;Cutoff!$B$24,Subscriptions!$B$2:$B$208,"&lt;"&amp;Cutoff!$B$25,Subscriptions!$B$2:$B$208,"&lt;="&amp;Cutoff!$B$10),0)</f>
        <v>0</v>
      </c>
    </row>
    <row r="552" customFormat="false" ht="15" hidden="false" customHeight="false" outlineLevel="0" collapsed="false">
      <c r="A552" s="4" t="s">
        <v>1389</v>
      </c>
      <c r="B552" s="4" t="s">
        <v>1089</v>
      </c>
      <c r="C552" s="4" t="s">
        <v>1390</v>
      </c>
      <c r="D552" s="4" t="s">
        <v>52</v>
      </c>
      <c r="E552" s="4" t="n">
        <v>1790721350</v>
      </c>
      <c r="F552" s="4" t="n">
        <v>1790721022</v>
      </c>
      <c r="G552" s="4" t="n">
        <v>1790721030</v>
      </c>
      <c r="H552" s="4" t="n">
        <v>1000000000000000</v>
      </c>
      <c r="I552" s="4" t="n">
        <v>1000000000000000</v>
      </c>
      <c r="J552" s="4" t="n">
        <v>1790721468</v>
      </c>
      <c r="K552" s="4" t="n">
        <v>1000000000000000</v>
      </c>
      <c r="L552" s="12" t="n">
        <f aca="false">IF(AND(B552=Cutoff!$B$12,E552&lt;=Cutoff!$B$10),1,0)</f>
        <v>0</v>
      </c>
      <c r="M552" s="12" t="n">
        <f aca="false">IF(AND(L552=1,F552&lt;1000000000000000,G552&lt;=Cutoff!$B$10),1,0)</f>
        <v>0</v>
      </c>
      <c r="N552" s="12" t="n">
        <f aca="false">IF(AND(M552=1,F552+Cutoff!$B$16&lt;=Cutoff!$B$10),1,0)</f>
        <v>0</v>
      </c>
      <c r="O552" s="12" t="n">
        <f aca="false">IF(N552=1,IF(AND(H552&lt;1000000000000000,H552&gt;=MAX(F552,E552),H552&lt;F552+Cutoff!$B$16,I552&lt;=Cutoff!$B$10),1,0),0)</f>
        <v>0</v>
      </c>
      <c r="P552" s="12" t="n">
        <f aca="false">IF(AND(L552=1,J552&lt;=Cutoff!$B$10),1,0)</f>
        <v>0</v>
      </c>
      <c r="Q552" s="12" t="n">
        <f aca="false">IF(AND(N552=1,E552+Cutoff!$B$17&lt;=Cutoff!$B$10),1,0)</f>
        <v>0</v>
      </c>
      <c r="R552" s="12" t="n">
        <f aca="false">IF(Q552=1,IF(K552&lt;=Cutoff!$B$10,1,0),0)</f>
        <v>0</v>
      </c>
      <c r="S552" s="12" t="n">
        <f aca="false">IF(N552=1,SUMIFS(Subscriptions!$D$2:$D$208,Subscriptions!$A$2:$A$208,C552,Subscriptions!$E$2:$E$208,1,Subscriptions!$B$2:$B$208,"&gt;="&amp;Cutoff!$B$24,Subscriptions!$B$2:$B$208,"&lt;"&amp;Cutoff!$B$25,Subscriptions!$B$2:$B$208,"&lt;="&amp;Cutoff!$B$10),0)</f>
        <v>0</v>
      </c>
    </row>
    <row r="553" customFormat="false" ht="15" hidden="false" customHeight="false" outlineLevel="0" collapsed="false">
      <c r="A553" s="4" t="s">
        <v>1391</v>
      </c>
      <c r="B553" s="4" t="s">
        <v>1089</v>
      </c>
      <c r="C553" s="4" t="s">
        <v>1392</v>
      </c>
      <c r="D553" s="4" t="s">
        <v>51</v>
      </c>
      <c r="E553" s="4" t="n">
        <v>1790759345</v>
      </c>
      <c r="F553" s="4" t="n">
        <v>1790758980</v>
      </c>
      <c r="G553" s="4" t="n">
        <v>1790758982</v>
      </c>
      <c r="H553" s="4" t="n">
        <v>1000000000000000</v>
      </c>
      <c r="I553" s="4" t="n">
        <v>1000000000000000</v>
      </c>
      <c r="J553" s="4" t="n">
        <v>1790760445</v>
      </c>
      <c r="K553" s="4" t="n">
        <v>1000000000000000</v>
      </c>
      <c r="L553" s="12" t="n">
        <f aca="false">IF(AND(B553=Cutoff!$B$12,E553&lt;=Cutoff!$B$10),1,0)</f>
        <v>0</v>
      </c>
      <c r="M553" s="12" t="n">
        <f aca="false">IF(AND(L553=1,F553&lt;1000000000000000,G553&lt;=Cutoff!$B$10),1,0)</f>
        <v>0</v>
      </c>
      <c r="N553" s="12" t="n">
        <f aca="false">IF(AND(M553=1,F553+Cutoff!$B$16&lt;=Cutoff!$B$10),1,0)</f>
        <v>0</v>
      </c>
      <c r="O553" s="12" t="n">
        <f aca="false">IF(N553=1,IF(AND(H553&lt;1000000000000000,H553&gt;=MAX(F553,E553),H553&lt;F553+Cutoff!$B$16,I553&lt;=Cutoff!$B$10),1,0),0)</f>
        <v>0</v>
      </c>
      <c r="P553" s="12" t="n">
        <f aca="false">IF(AND(L553=1,J553&lt;=Cutoff!$B$10),1,0)</f>
        <v>0</v>
      </c>
      <c r="Q553" s="12" t="n">
        <f aca="false">IF(AND(N553=1,E553+Cutoff!$B$17&lt;=Cutoff!$B$10),1,0)</f>
        <v>0</v>
      </c>
      <c r="R553" s="12" t="n">
        <f aca="false">IF(Q553=1,IF(K553&lt;=Cutoff!$B$10,1,0),0)</f>
        <v>0</v>
      </c>
      <c r="S553" s="12" t="n">
        <f aca="false">IF(N553=1,SUMIFS(Subscriptions!$D$2:$D$208,Subscriptions!$A$2:$A$208,C553,Subscriptions!$E$2:$E$208,1,Subscriptions!$B$2:$B$208,"&gt;="&amp;Cutoff!$B$24,Subscriptions!$B$2:$B$208,"&lt;"&amp;Cutoff!$B$25,Subscriptions!$B$2:$B$208,"&lt;="&amp;Cutoff!$B$10),0)</f>
        <v>0</v>
      </c>
    </row>
    <row r="554" customFormat="false" ht="15" hidden="false" customHeight="false" outlineLevel="0" collapsed="false">
      <c r="A554" s="4" t="s">
        <v>1393</v>
      </c>
      <c r="B554" s="4" t="s">
        <v>1089</v>
      </c>
      <c r="C554" s="4" t="s">
        <v>1394</v>
      </c>
      <c r="D554" s="4" t="s">
        <v>51</v>
      </c>
      <c r="E554" s="4" t="n">
        <v>1790775726</v>
      </c>
      <c r="F554" s="4" t="n">
        <v>1790775221</v>
      </c>
      <c r="G554" s="4" t="n">
        <v>1790775341</v>
      </c>
      <c r="H554" s="4" t="n">
        <v>1000000000000000</v>
      </c>
      <c r="I554" s="4" t="n">
        <v>1000000000000000</v>
      </c>
      <c r="J554" s="4" t="n">
        <v>1790776609</v>
      </c>
      <c r="K554" s="4" t="n">
        <v>1000000000000000</v>
      </c>
      <c r="L554" s="12" t="n">
        <f aca="false">IF(AND(B554=Cutoff!$B$12,E554&lt;=Cutoff!$B$10),1,0)</f>
        <v>0</v>
      </c>
      <c r="M554" s="12" t="n">
        <f aca="false">IF(AND(L554=1,F554&lt;1000000000000000,G554&lt;=Cutoff!$B$10),1,0)</f>
        <v>0</v>
      </c>
      <c r="N554" s="12" t="n">
        <f aca="false">IF(AND(M554=1,F554+Cutoff!$B$16&lt;=Cutoff!$B$10),1,0)</f>
        <v>0</v>
      </c>
      <c r="O554" s="12" t="n">
        <f aca="false">IF(N554=1,IF(AND(H554&lt;1000000000000000,H554&gt;=MAX(F554,E554),H554&lt;F554+Cutoff!$B$16,I554&lt;=Cutoff!$B$10),1,0),0)</f>
        <v>0</v>
      </c>
      <c r="P554" s="12" t="n">
        <f aca="false">IF(AND(L554=1,J554&lt;=Cutoff!$B$10),1,0)</f>
        <v>0</v>
      </c>
      <c r="Q554" s="12" t="n">
        <f aca="false">IF(AND(N554=1,E554+Cutoff!$B$17&lt;=Cutoff!$B$10),1,0)</f>
        <v>0</v>
      </c>
      <c r="R554" s="12" t="n">
        <f aca="false">IF(Q554=1,IF(K554&lt;=Cutoff!$B$10,1,0),0)</f>
        <v>0</v>
      </c>
      <c r="S554" s="12" t="n">
        <f aca="false">IF(N554=1,SUMIFS(Subscriptions!$D$2:$D$208,Subscriptions!$A$2:$A$208,C554,Subscriptions!$E$2:$E$208,1,Subscriptions!$B$2:$B$208,"&gt;="&amp;Cutoff!$B$24,Subscriptions!$B$2:$B$208,"&lt;"&amp;Cutoff!$B$25,Subscriptions!$B$2:$B$208,"&lt;="&amp;Cutoff!$B$10),0)</f>
        <v>0</v>
      </c>
    </row>
    <row r="555" customFormat="false" ht="15" hidden="false" customHeight="false" outlineLevel="0" collapsed="false">
      <c r="A555" s="4" t="s">
        <v>1395</v>
      </c>
      <c r="B555" s="4" t="s">
        <v>1089</v>
      </c>
      <c r="C555" s="4" t="s">
        <v>1396</v>
      </c>
      <c r="D555" s="4" t="s">
        <v>52</v>
      </c>
      <c r="E555" s="4" t="n">
        <v>1790805658</v>
      </c>
      <c r="F555" s="4" t="n">
        <v>1790805549</v>
      </c>
      <c r="G555" s="4" t="n">
        <v>1790805555</v>
      </c>
      <c r="H555" s="4" t="n">
        <v>1000000000000000</v>
      </c>
      <c r="I555" s="4" t="n">
        <v>1000000000000000</v>
      </c>
      <c r="J555" s="4" t="n">
        <v>1000000000000000</v>
      </c>
      <c r="K555" s="4" t="n">
        <v>1000000000000000</v>
      </c>
      <c r="L555" s="12" t="n">
        <f aca="false">IF(AND(B555=Cutoff!$B$12,E555&lt;=Cutoff!$B$10),1,0)</f>
        <v>0</v>
      </c>
      <c r="M555" s="12" t="n">
        <f aca="false">IF(AND(L555=1,F555&lt;1000000000000000,G555&lt;=Cutoff!$B$10),1,0)</f>
        <v>0</v>
      </c>
      <c r="N555" s="12" t="n">
        <f aca="false">IF(AND(M555=1,F555+Cutoff!$B$16&lt;=Cutoff!$B$10),1,0)</f>
        <v>0</v>
      </c>
      <c r="O555" s="12" t="n">
        <f aca="false">IF(N555=1,IF(AND(H555&lt;1000000000000000,H555&gt;=MAX(F555,E555),H555&lt;F555+Cutoff!$B$16,I555&lt;=Cutoff!$B$10),1,0),0)</f>
        <v>0</v>
      </c>
      <c r="P555" s="12" t="n">
        <f aca="false">IF(AND(L555=1,J555&lt;=Cutoff!$B$10),1,0)</f>
        <v>0</v>
      </c>
      <c r="Q555" s="12" t="n">
        <f aca="false">IF(AND(N555=1,E555+Cutoff!$B$17&lt;=Cutoff!$B$10),1,0)</f>
        <v>0</v>
      </c>
      <c r="R555" s="12" t="n">
        <f aca="false">IF(Q555=1,IF(K555&lt;=Cutoff!$B$10,1,0),0)</f>
        <v>0</v>
      </c>
      <c r="S555" s="12" t="n">
        <f aca="false">IF(N555=1,SUMIFS(Subscriptions!$D$2:$D$208,Subscriptions!$A$2:$A$208,C555,Subscriptions!$E$2:$E$208,1,Subscriptions!$B$2:$B$208,"&gt;="&amp;Cutoff!$B$24,Subscriptions!$B$2:$B$208,"&lt;"&amp;Cutoff!$B$25,Subscriptions!$B$2:$B$208,"&lt;="&amp;Cutoff!$B$10),0)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0"/>
    <col collapsed="false" customWidth="true" hidden="false" outlineLevel="0" max="4" min="4" style="0" width="12"/>
    <col collapsed="false" customWidth="true" hidden="false" outlineLevel="0" max="5" min="5" style="0" width="20"/>
    <col collapsed="false" customWidth="true" hidden="false" outlineLevel="0" max="6" min="6" style="0" width="16"/>
  </cols>
  <sheetData>
    <row r="1" customFormat="false" ht="28.35" hidden="false" customHeight="false" outlineLevel="0" collapsed="false">
      <c r="A1" s="7" t="s">
        <v>1397</v>
      </c>
      <c r="B1" s="7" t="s">
        <v>1398</v>
      </c>
      <c r="C1" s="7" t="s">
        <v>1399</v>
      </c>
      <c r="D1" s="7" t="s">
        <v>1400</v>
      </c>
      <c r="E1" s="7" t="s">
        <v>1401</v>
      </c>
      <c r="F1" s="7" t="s">
        <v>1402</v>
      </c>
    </row>
    <row r="2" customFormat="false" ht="15" hidden="false" customHeight="false" outlineLevel="0" collapsed="false">
      <c r="A2" s="4" t="s">
        <v>289</v>
      </c>
      <c r="B2" s="4" t="n">
        <v>1775495540</v>
      </c>
      <c r="C2" s="4" t="s">
        <v>1403</v>
      </c>
      <c r="D2" s="4" t="n">
        <v>132</v>
      </c>
      <c r="E2" s="12" t="n">
        <f aca="false">IF(OR(C2="active",C2="ended"),1,0)</f>
        <v>1</v>
      </c>
      <c r="F2" s="4" t="s">
        <v>1404</v>
      </c>
    </row>
    <row r="3" customFormat="false" ht="15" hidden="false" customHeight="false" outlineLevel="0" collapsed="false">
      <c r="A3" s="4" t="s">
        <v>309</v>
      </c>
      <c r="B3" s="4" t="n">
        <v>1775604377</v>
      </c>
      <c r="C3" s="4" t="s">
        <v>1405</v>
      </c>
      <c r="D3" s="4" t="n">
        <v>132</v>
      </c>
      <c r="E3" s="12" t="n">
        <f aca="false">IF(OR(C3="active",C3="ended"),1,0)</f>
        <v>1</v>
      </c>
      <c r="F3" s="4" t="s">
        <v>1406</v>
      </c>
    </row>
    <row r="4" customFormat="false" ht="15" hidden="false" customHeight="false" outlineLevel="0" collapsed="false">
      <c r="A4" s="4" t="s">
        <v>307</v>
      </c>
      <c r="B4" s="4" t="n">
        <v>1775727798</v>
      </c>
      <c r="C4" s="4" t="s">
        <v>1403</v>
      </c>
      <c r="D4" s="4" t="n">
        <v>1053</v>
      </c>
      <c r="E4" s="12" t="n">
        <f aca="false">IF(OR(C4="active",C4="ended"),1,0)</f>
        <v>1</v>
      </c>
      <c r="F4" s="4" t="s">
        <v>1407</v>
      </c>
    </row>
    <row r="5" customFormat="false" ht="15" hidden="false" customHeight="false" outlineLevel="0" collapsed="false">
      <c r="A5" s="4" t="s">
        <v>325</v>
      </c>
      <c r="B5" s="4" t="n">
        <v>1775743640</v>
      </c>
      <c r="C5" s="4" t="s">
        <v>1405</v>
      </c>
      <c r="D5" s="4" t="n">
        <v>108</v>
      </c>
      <c r="E5" s="12" t="n">
        <f aca="false">IF(OR(C5="active",C5="ended"),1,0)</f>
        <v>1</v>
      </c>
      <c r="F5" s="4" t="s">
        <v>1408</v>
      </c>
    </row>
    <row r="6" customFormat="false" ht="15" hidden="false" customHeight="false" outlineLevel="0" collapsed="false">
      <c r="A6" s="4" t="s">
        <v>327</v>
      </c>
      <c r="B6" s="4" t="n">
        <v>1775768661</v>
      </c>
      <c r="C6" s="4" t="s">
        <v>1403</v>
      </c>
      <c r="D6" s="4" t="n">
        <v>1014</v>
      </c>
      <c r="E6" s="12" t="n">
        <f aca="false">IF(OR(C6="active",C6="ended"),1,0)</f>
        <v>1</v>
      </c>
      <c r="F6" s="4" t="s">
        <v>1409</v>
      </c>
    </row>
    <row r="7" customFormat="false" ht="15" hidden="false" customHeight="false" outlineLevel="0" collapsed="false">
      <c r="A7" s="4" t="s">
        <v>331</v>
      </c>
      <c r="B7" s="4" t="n">
        <v>1775810052</v>
      </c>
      <c r="C7" s="4" t="s">
        <v>1405</v>
      </c>
      <c r="D7" s="4" t="n">
        <v>84</v>
      </c>
      <c r="E7" s="12" t="n">
        <f aca="false">IF(OR(C7="active",C7="ended"),1,0)</f>
        <v>1</v>
      </c>
      <c r="F7" s="4" t="s">
        <v>1410</v>
      </c>
    </row>
    <row r="8" customFormat="false" ht="15" hidden="false" customHeight="false" outlineLevel="0" collapsed="false">
      <c r="A8" s="4" t="s">
        <v>365</v>
      </c>
      <c r="B8" s="4" t="n">
        <v>1776267304</v>
      </c>
      <c r="C8" s="4" t="s">
        <v>1403</v>
      </c>
      <c r="D8" s="4" t="n">
        <v>36</v>
      </c>
      <c r="E8" s="12" t="n">
        <f aca="false">IF(OR(C8="active",C8="ended"),1,0)</f>
        <v>1</v>
      </c>
      <c r="F8" s="4" t="s">
        <v>1411</v>
      </c>
    </row>
    <row r="9" customFormat="false" ht="15" hidden="false" customHeight="false" outlineLevel="0" collapsed="false">
      <c r="A9" s="4" t="s">
        <v>361</v>
      </c>
      <c r="B9" s="4" t="n">
        <v>1776268091</v>
      </c>
      <c r="C9" s="4" t="s">
        <v>1403</v>
      </c>
      <c r="D9" s="4" t="n">
        <v>663</v>
      </c>
      <c r="E9" s="12" t="n">
        <f aca="false">IF(OR(C9="active",C9="ended"),1,0)</f>
        <v>1</v>
      </c>
      <c r="F9" s="4" t="s">
        <v>1412</v>
      </c>
    </row>
    <row r="10" customFormat="false" ht="15" hidden="false" customHeight="false" outlineLevel="0" collapsed="false">
      <c r="A10" s="4" t="s">
        <v>371</v>
      </c>
      <c r="B10" s="4" t="n">
        <v>1776335643</v>
      </c>
      <c r="C10" s="4" t="s">
        <v>1403</v>
      </c>
      <c r="D10" s="4" t="n">
        <v>168</v>
      </c>
      <c r="E10" s="12" t="n">
        <f aca="false">IF(OR(C10="active",C10="ended"),1,0)</f>
        <v>1</v>
      </c>
      <c r="F10" s="4" t="s">
        <v>1413</v>
      </c>
    </row>
    <row r="11" customFormat="false" ht="15" hidden="false" customHeight="false" outlineLevel="0" collapsed="false">
      <c r="A11" s="4" t="s">
        <v>381</v>
      </c>
      <c r="B11" s="4" t="n">
        <v>1776548832</v>
      </c>
      <c r="C11" s="4" t="s">
        <v>1403</v>
      </c>
      <c r="D11" s="4" t="n">
        <v>60</v>
      </c>
      <c r="E11" s="12" t="n">
        <f aca="false">IF(OR(C11="active",C11="ended"),1,0)</f>
        <v>1</v>
      </c>
      <c r="F11" s="4" t="s">
        <v>1414</v>
      </c>
    </row>
    <row r="12" customFormat="false" ht="15" hidden="false" customHeight="false" outlineLevel="0" collapsed="false">
      <c r="A12" s="4" t="s">
        <v>1415</v>
      </c>
      <c r="B12" s="4" t="n">
        <v>1776780747</v>
      </c>
      <c r="C12" s="4" t="s">
        <v>1416</v>
      </c>
      <c r="D12" s="4" t="n">
        <v>36</v>
      </c>
      <c r="E12" s="12" t="n">
        <f aca="false">IF(OR(C12="active",C12="ended"),1,0)</f>
        <v>0</v>
      </c>
      <c r="F12" s="4" t="s">
        <v>1417</v>
      </c>
    </row>
    <row r="13" customFormat="false" ht="15" hidden="false" customHeight="false" outlineLevel="0" collapsed="false">
      <c r="A13" s="4" t="s">
        <v>405</v>
      </c>
      <c r="B13" s="4" t="n">
        <v>1776815990</v>
      </c>
      <c r="C13" s="4" t="s">
        <v>1405</v>
      </c>
      <c r="D13" s="4" t="n">
        <v>120</v>
      </c>
      <c r="E13" s="12" t="n">
        <f aca="false">IF(OR(C13="active",C13="ended"),1,0)</f>
        <v>1</v>
      </c>
      <c r="F13" s="4" t="s">
        <v>1418</v>
      </c>
    </row>
    <row r="14" customFormat="false" ht="15" hidden="false" customHeight="false" outlineLevel="0" collapsed="false">
      <c r="A14" s="4" t="s">
        <v>335</v>
      </c>
      <c r="B14" s="4" t="n">
        <v>1776879774</v>
      </c>
      <c r="C14" s="4" t="s">
        <v>1403</v>
      </c>
      <c r="D14" s="4" t="n">
        <v>96</v>
      </c>
      <c r="E14" s="12" t="n">
        <f aca="false">IF(OR(C14="active",C14="ended"),1,0)</f>
        <v>1</v>
      </c>
      <c r="F14" s="4" t="s">
        <v>1419</v>
      </c>
    </row>
    <row r="15" customFormat="false" ht="15" hidden="false" customHeight="false" outlineLevel="0" collapsed="false">
      <c r="A15" s="4" t="s">
        <v>419</v>
      </c>
      <c r="B15" s="4" t="n">
        <v>1776897856</v>
      </c>
      <c r="C15" s="4" t="s">
        <v>1403</v>
      </c>
      <c r="D15" s="4" t="n">
        <v>144</v>
      </c>
      <c r="E15" s="12" t="n">
        <f aca="false">IF(OR(C15="active",C15="ended"),1,0)</f>
        <v>1</v>
      </c>
      <c r="F15" s="4" t="s">
        <v>1420</v>
      </c>
    </row>
    <row r="16" customFormat="false" ht="15" hidden="false" customHeight="false" outlineLevel="0" collapsed="false">
      <c r="A16" s="4" t="s">
        <v>421</v>
      </c>
      <c r="B16" s="4" t="n">
        <v>1776916971</v>
      </c>
      <c r="C16" s="4" t="s">
        <v>1405</v>
      </c>
      <c r="D16" s="4" t="n">
        <v>585</v>
      </c>
      <c r="E16" s="12" t="n">
        <f aca="false">IF(OR(C16="active",C16="ended"),1,0)</f>
        <v>1</v>
      </c>
      <c r="F16" s="4" t="s">
        <v>1421</v>
      </c>
    </row>
    <row r="17" customFormat="false" ht="15" hidden="false" customHeight="false" outlineLevel="0" collapsed="false">
      <c r="A17" s="4" t="s">
        <v>411</v>
      </c>
      <c r="B17" s="4" t="n">
        <v>1776965948</v>
      </c>
      <c r="C17" s="4" t="s">
        <v>1403</v>
      </c>
      <c r="D17" s="4" t="n">
        <v>144</v>
      </c>
      <c r="E17" s="12" t="n">
        <f aca="false">IF(OR(C17="active",C17="ended"),1,0)</f>
        <v>1</v>
      </c>
      <c r="F17" s="4" t="s">
        <v>1422</v>
      </c>
    </row>
    <row r="18" customFormat="false" ht="15" hidden="false" customHeight="false" outlineLevel="0" collapsed="false">
      <c r="A18" s="4" t="s">
        <v>439</v>
      </c>
      <c r="B18" s="4" t="n">
        <v>1777199819</v>
      </c>
      <c r="C18" s="4" t="s">
        <v>1405</v>
      </c>
      <c r="D18" s="4" t="n">
        <v>858</v>
      </c>
      <c r="E18" s="12" t="n">
        <f aca="false">IF(OR(C18="active",C18="ended"),1,0)</f>
        <v>1</v>
      </c>
      <c r="F18" s="4" t="s">
        <v>1423</v>
      </c>
    </row>
    <row r="19" customFormat="false" ht="15" hidden="false" customHeight="false" outlineLevel="0" collapsed="false">
      <c r="A19" s="4" t="s">
        <v>415</v>
      </c>
      <c r="B19" s="4" t="n">
        <v>1777200269</v>
      </c>
      <c r="C19" s="4" t="s">
        <v>1403</v>
      </c>
      <c r="D19" s="4" t="n">
        <v>84</v>
      </c>
      <c r="E19" s="12" t="n">
        <f aca="false">IF(OR(C19="active",C19="ended"),1,0)</f>
        <v>1</v>
      </c>
      <c r="F19" s="4" t="s">
        <v>1424</v>
      </c>
    </row>
    <row r="20" customFormat="false" ht="15" hidden="false" customHeight="false" outlineLevel="0" collapsed="false">
      <c r="A20" s="4" t="s">
        <v>375</v>
      </c>
      <c r="B20" s="4" t="n">
        <v>1777227713</v>
      </c>
      <c r="C20" s="4" t="s">
        <v>1403</v>
      </c>
      <c r="D20" s="4" t="n">
        <v>819</v>
      </c>
      <c r="E20" s="12" t="n">
        <f aca="false">IF(OR(C20="active",C20="ended"),1,0)</f>
        <v>1</v>
      </c>
      <c r="F20" s="4" t="s">
        <v>1425</v>
      </c>
    </row>
    <row r="21" customFormat="false" ht="15" hidden="false" customHeight="false" outlineLevel="0" collapsed="false">
      <c r="A21" s="4" t="s">
        <v>413</v>
      </c>
      <c r="B21" s="4" t="n">
        <v>1777304337</v>
      </c>
      <c r="C21" s="4" t="s">
        <v>1403</v>
      </c>
      <c r="D21" s="4" t="n">
        <v>168</v>
      </c>
      <c r="E21" s="12" t="n">
        <f aca="false">IF(OR(C21="active",C21="ended"),1,0)</f>
        <v>1</v>
      </c>
      <c r="F21" s="4" t="s">
        <v>1426</v>
      </c>
    </row>
    <row r="22" customFormat="false" ht="15" hidden="false" customHeight="false" outlineLevel="0" collapsed="false">
      <c r="A22" s="4" t="s">
        <v>453</v>
      </c>
      <c r="B22" s="4" t="n">
        <v>1777509494</v>
      </c>
      <c r="C22" s="4" t="s">
        <v>1405</v>
      </c>
      <c r="D22" s="4" t="n">
        <v>36</v>
      </c>
      <c r="E22" s="12" t="n">
        <f aca="false">IF(OR(C22="active",C22="ended"),1,0)</f>
        <v>1</v>
      </c>
      <c r="F22" s="4" t="s">
        <v>1427</v>
      </c>
    </row>
    <row r="23" customFormat="false" ht="15" hidden="false" customHeight="false" outlineLevel="0" collapsed="false">
      <c r="A23" s="4" t="s">
        <v>481</v>
      </c>
      <c r="B23" s="4" t="n">
        <v>1777649536</v>
      </c>
      <c r="C23" s="4" t="s">
        <v>1403</v>
      </c>
      <c r="D23" s="4" t="n">
        <v>741</v>
      </c>
      <c r="E23" s="12" t="n">
        <f aca="false">IF(OR(C23="active",C23="ended"),1,0)</f>
        <v>1</v>
      </c>
      <c r="F23" s="4" t="s">
        <v>1428</v>
      </c>
    </row>
    <row r="24" customFormat="false" ht="15" hidden="false" customHeight="false" outlineLevel="0" collapsed="false">
      <c r="A24" s="4" t="s">
        <v>493</v>
      </c>
      <c r="B24" s="4" t="n">
        <v>1777765640</v>
      </c>
      <c r="C24" s="4" t="s">
        <v>1403</v>
      </c>
      <c r="D24" s="4" t="n">
        <v>48</v>
      </c>
      <c r="E24" s="12" t="n">
        <f aca="false">IF(OR(C24="active",C24="ended"),1,0)</f>
        <v>1</v>
      </c>
      <c r="F24" s="4" t="s">
        <v>1429</v>
      </c>
    </row>
    <row r="25" customFormat="false" ht="15" hidden="false" customHeight="false" outlineLevel="0" collapsed="false">
      <c r="A25" s="4" t="s">
        <v>495</v>
      </c>
      <c r="B25" s="4" t="n">
        <v>1777893884</v>
      </c>
      <c r="C25" s="4" t="s">
        <v>1403</v>
      </c>
      <c r="D25" s="4" t="n">
        <v>120</v>
      </c>
      <c r="E25" s="12" t="n">
        <f aca="false">IF(OR(C25="active",C25="ended"),1,0)</f>
        <v>1</v>
      </c>
      <c r="F25" s="4" t="s">
        <v>1430</v>
      </c>
    </row>
    <row r="26" customFormat="false" ht="15" hidden="false" customHeight="false" outlineLevel="0" collapsed="false">
      <c r="A26" s="4" t="s">
        <v>517</v>
      </c>
      <c r="B26" s="4" t="n">
        <v>1778067962</v>
      </c>
      <c r="C26" s="4" t="s">
        <v>1403</v>
      </c>
      <c r="D26" s="4" t="n">
        <v>120</v>
      </c>
      <c r="E26" s="12" t="n">
        <f aca="false">IF(OR(C26="active",C26="ended"),1,0)</f>
        <v>1</v>
      </c>
      <c r="F26" s="4" t="s">
        <v>1431</v>
      </c>
    </row>
    <row r="27" customFormat="false" ht="15" hidden="false" customHeight="false" outlineLevel="0" collapsed="false">
      <c r="A27" s="4" t="s">
        <v>527</v>
      </c>
      <c r="B27" s="4" t="n">
        <v>1778238794</v>
      </c>
      <c r="C27" s="4" t="s">
        <v>1403</v>
      </c>
      <c r="D27" s="4" t="n">
        <v>168</v>
      </c>
      <c r="E27" s="12" t="n">
        <f aca="false">IF(OR(C27="active",C27="ended"),1,0)</f>
        <v>1</v>
      </c>
      <c r="F27" s="4" t="s">
        <v>1432</v>
      </c>
    </row>
    <row r="28" customFormat="false" ht="15" hidden="false" customHeight="false" outlineLevel="0" collapsed="false">
      <c r="A28" s="4" t="s">
        <v>499</v>
      </c>
      <c r="B28" s="4" t="n">
        <v>1778240075</v>
      </c>
      <c r="C28" s="4" t="s">
        <v>1405</v>
      </c>
      <c r="D28" s="4" t="n">
        <v>96</v>
      </c>
      <c r="E28" s="12" t="n">
        <f aca="false">IF(OR(C28="active",C28="ended"),1,0)</f>
        <v>1</v>
      </c>
      <c r="F28" s="4" t="s">
        <v>1433</v>
      </c>
    </row>
    <row r="29" customFormat="false" ht="15" hidden="false" customHeight="false" outlineLevel="0" collapsed="false">
      <c r="A29" s="4" t="s">
        <v>511</v>
      </c>
      <c r="B29" s="4" t="n">
        <v>1778325951</v>
      </c>
      <c r="C29" s="4" t="s">
        <v>1403</v>
      </c>
      <c r="D29" s="4" t="n">
        <v>144</v>
      </c>
      <c r="E29" s="12" t="n">
        <f aca="false">IF(OR(C29="active",C29="ended"),1,0)</f>
        <v>1</v>
      </c>
      <c r="F29" s="4" t="s">
        <v>1434</v>
      </c>
    </row>
    <row r="30" customFormat="false" ht="15" hidden="false" customHeight="false" outlineLevel="0" collapsed="false">
      <c r="A30" s="4" t="s">
        <v>541</v>
      </c>
      <c r="B30" s="4" t="n">
        <v>1778328126</v>
      </c>
      <c r="C30" s="4" t="s">
        <v>1403</v>
      </c>
      <c r="D30" s="4" t="n">
        <v>1404</v>
      </c>
      <c r="E30" s="12" t="n">
        <f aca="false">IF(OR(C30="active",C30="ended"),1,0)</f>
        <v>1</v>
      </c>
      <c r="F30" s="4" t="s">
        <v>1435</v>
      </c>
    </row>
    <row r="31" customFormat="false" ht="15" hidden="false" customHeight="false" outlineLevel="0" collapsed="false">
      <c r="A31" s="4" t="s">
        <v>523</v>
      </c>
      <c r="B31" s="4" t="n">
        <v>1778394235</v>
      </c>
      <c r="C31" s="4" t="s">
        <v>1403</v>
      </c>
      <c r="D31" s="4" t="n">
        <v>156</v>
      </c>
      <c r="E31" s="12" t="n">
        <f aca="false">IF(OR(C31="active",C31="ended"),1,0)</f>
        <v>1</v>
      </c>
      <c r="F31" s="4" t="s">
        <v>1436</v>
      </c>
    </row>
    <row r="32" customFormat="false" ht="15" hidden="false" customHeight="false" outlineLevel="0" collapsed="false">
      <c r="A32" s="4" t="s">
        <v>545</v>
      </c>
      <c r="B32" s="4" t="n">
        <v>1778419070</v>
      </c>
      <c r="C32" s="4" t="s">
        <v>1403</v>
      </c>
      <c r="D32" s="4" t="n">
        <v>168</v>
      </c>
      <c r="E32" s="12" t="n">
        <f aca="false">IF(OR(C32="active",C32="ended"),1,0)</f>
        <v>1</v>
      </c>
      <c r="F32" s="4" t="s">
        <v>1437</v>
      </c>
    </row>
    <row r="33" customFormat="false" ht="15" hidden="false" customHeight="false" outlineLevel="0" collapsed="false">
      <c r="A33" s="4" t="s">
        <v>509</v>
      </c>
      <c r="B33" s="4" t="n">
        <v>1778466711</v>
      </c>
      <c r="C33" s="4" t="s">
        <v>1403</v>
      </c>
      <c r="D33" s="4" t="n">
        <v>1014</v>
      </c>
      <c r="E33" s="12" t="n">
        <f aca="false">IF(OR(C33="active",C33="ended"),1,0)</f>
        <v>1</v>
      </c>
      <c r="F33" s="4" t="s">
        <v>1438</v>
      </c>
    </row>
    <row r="34" customFormat="false" ht="15" hidden="false" customHeight="false" outlineLevel="0" collapsed="false">
      <c r="A34" s="4" t="s">
        <v>555</v>
      </c>
      <c r="B34" s="4" t="n">
        <v>1778558672</v>
      </c>
      <c r="C34" s="4" t="s">
        <v>1403</v>
      </c>
      <c r="D34" s="4" t="n">
        <v>96</v>
      </c>
      <c r="E34" s="12" t="n">
        <f aca="false">IF(OR(C34="active",C34="ended"),1,0)</f>
        <v>1</v>
      </c>
      <c r="F34" s="4" t="s">
        <v>1439</v>
      </c>
    </row>
    <row r="35" customFormat="false" ht="15" hidden="false" customHeight="false" outlineLevel="0" collapsed="false">
      <c r="A35" s="4" t="s">
        <v>457</v>
      </c>
      <c r="B35" s="4" t="n">
        <v>1778594959</v>
      </c>
      <c r="C35" s="4" t="s">
        <v>1403</v>
      </c>
      <c r="D35" s="4" t="n">
        <v>120</v>
      </c>
      <c r="E35" s="12" t="n">
        <f aca="false">IF(OR(C35="active",C35="ended"),1,0)</f>
        <v>1</v>
      </c>
      <c r="F35" s="4" t="s">
        <v>1440</v>
      </c>
    </row>
    <row r="36" customFormat="false" ht="15" hidden="false" customHeight="false" outlineLevel="0" collapsed="false">
      <c r="A36" s="4" t="s">
        <v>569</v>
      </c>
      <c r="B36" s="4" t="n">
        <v>1778757873</v>
      </c>
      <c r="C36" s="4" t="s">
        <v>1403</v>
      </c>
      <c r="D36" s="4" t="n">
        <v>96</v>
      </c>
      <c r="E36" s="12" t="n">
        <f aca="false">IF(OR(C36="active",C36="ended"),1,0)</f>
        <v>1</v>
      </c>
      <c r="F36" s="4" t="s">
        <v>1441</v>
      </c>
    </row>
    <row r="37" customFormat="false" ht="15" hidden="false" customHeight="false" outlineLevel="0" collapsed="false">
      <c r="A37" s="4" t="s">
        <v>563</v>
      </c>
      <c r="B37" s="4" t="n">
        <v>1778791101</v>
      </c>
      <c r="C37" s="4" t="s">
        <v>1403</v>
      </c>
      <c r="D37" s="4" t="n">
        <v>96</v>
      </c>
      <c r="E37" s="12" t="n">
        <f aca="false">IF(OR(C37="active",C37="ended"),1,0)</f>
        <v>1</v>
      </c>
      <c r="F37" s="4" t="s">
        <v>1442</v>
      </c>
    </row>
    <row r="38" customFormat="false" ht="15" hidden="false" customHeight="false" outlineLevel="0" collapsed="false">
      <c r="A38" s="4" t="s">
        <v>591</v>
      </c>
      <c r="B38" s="4" t="n">
        <v>1778922337</v>
      </c>
      <c r="C38" s="4" t="s">
        <v>1405</v>
      </c>
      <c r="D38" s="4" t="n">
        <v>60</v>
      </c>
      <c r="E38" s="12" t="n">
        <f aca="false">IF(OR(C38="active",C38="ended"),1,0)</f>
        <v>1</v>
      </c>
      <c r="F38" s="4" t="s">
        <v>1443</v>
      </c>
    </row>
    <row r="39" customFormat="false" ht="15" hidden="false" customHeight="false" outlineLevel="0" collapsed="false">
      <c r="A39" s="4" t="s">
        <v>595</v>
      </c>
      <c r="B39" s="4" t="n">
        <v>1778935743</v>
      </c>
      <c r="C39" s="4" t="s">
        <v>1403</v>
      </c>
      <c r="D39" s="4" t="n">
        <v>1014</v>
      </c>
      <c r="E39" s="12" t="n">
        <f aca="false">IF(OR(C39="active",C39="ended"),1,0)</f>
        <v>1</v>
      </c>
      <c r="F39" s="4" t="s">
        <v>1444</v>
      </c>
    </row>
    <row r="40" customFormat="false" ht="15" hidden="false" customHeight="false" outlineLevel="0" collapsed="false">
      <c r="A40" s="4" t="s">
        <v>597</v>
      </c>
      <c r="B40" s="4" t="n">
        <v>1778957548</v>
      </c>
      <c r="C40" s="4" t="s">
        <v>1403</v>
      </c>
      <c r="D40" s="4" t="n">
        <v>1092</v>
      </c>
      <c r="E40" s="12" t="n">
        <f aca="false">IF(OR(C40="active",C40="ended"),1,0)</f>
        <v>1</v>
      </c>
      <c r="F40" s="4" t="s">
        <v>1445</v>
      </c>
    </row>
    <row r="41" customFormat="false" ht="15" hidden="false" customHeight="false" outlineLevel="0" collapsed="false">
      <c r="A41" s="4" t="s">
        <v>603</v>
      </c>
      <c r="B41" s="4" t="n">
        <v>1779199798</v>
      </c>
      <c r="C41" s="4" t="s">
        <v>1403</v>
      </c>
      <c r="D41" s="4" t="n">
        <v>975</v>
      </c>
      <c r="E41" s="12" t="n">
        <f aca="false">IF(OR(C41="active",C41="ended"),1,0)</f>
        <v>1</v>
      </c>
      <c r="F41" s="4" t="s">
        <v>1446</v>
      </c>
    </row>
    <row r="42" customFormat="false" ht="15" hidden="false" customHeight="false" outlineLevel="0" collapsed="false">
      <c r="A42" s="4" t="s">
        <v>407</v>
      </c>
      <c r="B42" s="4" t="n">
        <v>1779211921</v>
      </c>
      <c r="C42" s="4" t="s">
        <v>1405</v>
      </c>
      <c r="D42" s="4" t="n">
        <v>936</v>
      </c>
      <c r="E42" s="12" t="n">
        <f aca="false">IF(OR(C42="active",C42="ended"),1,0)</f>
        <v>1</v>
      </c>
      <c r="F42" s="4" t="s">
        <v>1447</v>
      </c>
    </row>
    <row r="43" customFormat="false" ht="15" hidden="false" customHeight="false" outlineLevel="0" collapsed="false">
      <c r="A43" s="4" t="s">
        <v>575</v>
      </c>
      <c r="B43" s="4" t="n">
        <v>1779216702</v>
      </c>
      <c r="C43" s="4" t="s">
        <v>1403</v>
      </c>
      <c r="D43" s="4" t="n">
        <v>84</v>
      </c>
      <c r="E43" s="12" t="n">
        <f aca="false">IF(OR(C43="active",C43="ended"),1,0)</f>
        <v>1</v>
      </c>
      <c r="F43" s="4" t="s">
        <v>1448</v>
      </c>
    </row>
    <row r="44" customFormat="false" ht="15" hidden="false" customHeight="false" outlineLevel="0" collapsed="false">
      <c r="A44" s="4" t="s">
        <v>627</v>
      </c>
      <c r="B44" s="4" t="n">
        <v>1779463402</v>
      </c>
      <c r="C44" s="4" t="s">
        <v>1405</v>
      </c>
      <c r="D44" s="4" t="n">
        <v>144</v>
      </c>
      <c r="E44" s="12" t="n">
        <f aca="false">IF(OR(C44="active",C44="ended"),1,0)</f>
        <v>1</v>
      </c>
      <c r="F44" s="4" t="s">
        <v>1449</v>
      </c>
    </row>
    <row r="45" customFormat="false" ht="15" hidden="false" customHeight="false" outlineLevel="0" collapsed="false">
      <c r="A45" s="4" t="s">
        <v>629</v>
      </c>
      <c r="B45" s="4" t="n">
        <v>1779477820</v>
      </c>
      <c r="C45" s="4" t="s">
        <v>1405</v>
      </c>
      <c r="D45" s="4" t="n">
        <v>120</v>
      </c>
      <c r="E45" s="12" t="n">
        <f aca="false">IF(OR(C45="active",C45="ended"),1,0)</f>
        <v>1</v>
      </c>
      <c r="F45" s="4" t="s">
        <v>1450</v>
      </c>
    </row>
    <row r="46" customFormat="false" ht="15" hidden="false" customHeight="false" outlineLevel="0" collapsed="false">
      <c r="A46" s="4" t="s">
        <v>631</v>
      </c>
      <c r="B46" s="4" t="n">
        <v>1779499160</v>
      </c>
      <c r="C46" s="4" t="s">
        <v>1403</v>
      </c>
      <c r="D46" s="4" t="n">
        <v>168</v>
      </c>
      <c r="E46" s="12" t="n">
        <f aca="false">IF(OR(C46="active",C46="ended"),1,0)</f>
        <v>1</v>
      </c>
      <c r="F46" s="4" t="s">
        <v>1451</v>
      </c>
    </row>
    <row r="47" customFormat="false" ht="15" hidden="false" customHeight="false" outlineLevel="0" collapsed="false">
      <c r="A47" s="4" t="s">
        <v>619</v>
      </c>
      <c r="B47" s="4" t="n">
        <v>1779532637</v>
      </c>
      <c r="C47" s="4" t="s">
        <v>1403</v>
      </c>
      <c r="D47" s="4" t="n">
        <v>84</v>
      </c>
      <c r="E47" s="12" t="n">
        <f aca="false">IF(OR(C47="active",C47="ended"),1,0)</f>
        <v>1</v>
      </c>
      <c r="F47" s="4" t="s">
        <v>1452</v>
      </c>
    </row>
    <row r="48" customFormat="false" ht="15" hidden="false" customHeight="false" outlineLevel="0" collapsed="false">
      <c r="A48" s="4" t="s">
        <v>615</v>
      </c>
      <c r="B48" s="4" t="n">
        <v>1779574328</v>
      </c>
      <c r="C48" s="4" t="s">
        <v>1416</v>
      </c>
      <c r="D48" s="4" t="n">
        <v>144</v>
      </c>
      <c r="E48" s="12" t="n">
        <f aca="false">IF(OR(C48="active",C48="ended"),1,0)</f>
        <v>0</v>
      </c>
      <c r="F48" s="4" t="s">
        <v>1453</v>
      </c>
    </row>
    <row r="49" customFormat="false" ht="15" hidden="false" customHeight="false" outlineLevel="0" collapsed="false">
      <c r="A49" s="4" t="s">
        <v>647</v>
      </c>
      <c r="B49" s="4" t="n">
        <v>1779718136</v>
      </c>
      <c r="C49" s="4" t="s">
        <v>1403</v>
      </c>
      <c r="D49" s="4" t="n">
        <v>168</v>
      </c>
      <c r="E49" s="12" t="n">
        <f aca="false">IF(OR(C49="active",C49="ended"),1,0)</f>
        <v>1</v>
      </c>
      <c r="F49" s="4" t="s">
        <v>1454</v>
      </c>
    </row>
    <row r="50" customFormat="false" ht="15" hidden="false" customHeight="false" outlineLevel="0" collapsed="false">
      <c r="A50" s="4" t="s">
        <v>635</v>
      </c>
      <c r="B50" s="4" t="n">
        <v>1779921080</v>
      </c>
      <c r="C50" s="4" t="s">
        <v>1405</v>
      </c>
      <c r="D50" s="4" t="n">
        <v>132</v>
      </c>
      <c r="E50" s="12" t="n">
        <f aca="false">IF(OR(C50="active",C50="ended"),1,0)</f>
        <v>1</v>
      </c>
      <c r="F50" s="4" t="s">
        <v>1455</v>
      </c>
    </row>
    <row r="51" customFormat="false" ht="15" hidden="false" customHeight="false" outlineLevel="0" collapsed="false">
      <c r="A51" s="4" t="s">
        <v>679</v>
      </c>
      <c r="B51" s="4" t="n">
        <v>1780099169</v>
      </c>
      <c r="C51" s="4" t="s">
        <v>1416</v>
      </c>
      <c r="D51" s="4" t="n">
        <v>975</v>
      </c>
      <c r="E51" s="12" t="n">
        <f aca="false">IF(OR(C51="active",C51="ended"),1,0)</f>
        <v>0</v>
      </c>
      <c r="F51" s="4" t="s">
        <v>1456</v>
      </c>
    </row>
    <row r="52" customFormat="false" ht="15" hidden="false" customHeight="false" outlineLevel="0" collapsed="false">
      <c r="A52" s="4" t="s">
        <v>689</v>
      </c>
      <c r="B52" s="4" t="n">
        <v>1780148371</v>
      </c>
      <c r="C52" s="4" t="s">
        <v>1403</v>
      </c>
      <c r="D52" s="4" t="n">
        <v>132</v>
      </c>
      <c r="E52" s="12" t="n">
        <f aca="false">IF(OR(C52="active",C52="ended"),1,0)</f>
        <v>1</v>
      </c>
      <c r="F52" s="4" t="s">
        <v>1457</v>
      </c>
    </row>
    <row r="53" customFormat="false" ht="15" hidden="false" customHeight="false" outlineLevel="0" collapsed="false">
      <c r="A53" s="4" t="s">
        <v>685</v>
      </c>
      <c r="B53" s="4" t="n">
        <v>1780157745</v>
      </c>
      <c r="C53" s="4" t="s">
        <v>1403</v>
      </c>
      <c r="D53" s="4" t="n">
        <v>1521</v>
      </c>
      <c r="E53" s="12" t="n">
        <f aca="false">IF(OR(C53="active",C53="ended"),1,0)</f>
        <v>1</v>
      </c>
      <c r="F53" s="4" t="s">
        <v>1458</v>
      </c>
    </row>
    <row r="54" customFormat="false" ht="15" hidden="false" customHeight="false" outlineLevel="0" collapsed="false">
      <c r="A54" s="4" t="s">
        <v>521</v>
      </c>
      <c r="B54" s="4" t="n">
        <v>1780199450</v>
      </c>
      <c r="C54" s="4" t="s">
        <v>1403</v>
      </c>
      <c r="D54" s="4" t="n">
        <v>234</v>
      </c>
      <c r="E54" s="12" t="n">
        <f aca="false">IF(OR(C54="active",C54="ended"),1,0)</f>
        <v>1</v>
      </c>
      <c r="F54" s="4" t="s">
        <v>1459</v>
      </c>
    </row>
    <row r="55" customFormat="false" ht="15" hidden="false" customHeight="false" outlineLevel="0" collapsed="false">
      <c r="A55" s="4" t="s">
        <v>501</v>
      </c>
      <c r="B55" s="4" t="n">
        <v>1780317279</v>
      </c>
      <c r="C55" s="4" t="s">
        <v>1403</v>
      </c>
      <c r="D55" s="4" t="n">
        <v>858</v>
      </c>
      <c r="E55" s="12" t="n">
        <f aca="false">IF(OR(C55="active",C55="ended"),1,0)</f>
        <v>1</v>
      </c>
      <c r="F55" s="4" t="s">
        <v>1460</v>
      </c>
    </row>
    <row r="56" customFormat="false" ht="15" hidden="false" customHeight="false" outlineLevel="0" collapsed="false">
      <c r="A56" s="4" t="s">
        <v>699</v>
      </c>
      <c r="B56" s="4" t="n">
        <v>1780340592</v>
      </c>
      <c r="C56" s="4" t="s">
        <v>1403</v>
      </c>
      <c r="D56" s="4" t="n">
        <v>60</v>
      </c>
      <c r="E56" s="12" t="n">
        <f aca="false">IF(OR(C56="active",C56="ended"),1,0)</f>
        <v>1</v>
      </c>
      <c r="F56" s="4" t="s">
        <v>1461</v>
      </c>
    </row>
    <row r="57" customFormat="false" ht="15" hidden="false" customHeight="false" outlineLevel="0" collapsed="false">
      <c r="A57" s="4" t="s">
        <v>683</v>
      </c>
      <c r="B57" s="4" t="n">
        <v>1780557480</v>
      </c>
      <c r="C57" s="4" t="s">
        <v>1405</v>
      </c>
      <c r="D57" s="4" t="n">
        <v>1521</v>
      </c>
      <c r="E57" s="12" t="n">
        <f aca="false">IF(OR(C57="active",C57="ended"),1,0)</f>
        <v>1</v>
      </c>
      <c r="F57" s="4" t="s">
        <v>1462</v>
      </c>
    </row>
    <row r="58" customFormat="false" ht="15" hidden="false" customHeight="false" outlineLevel="0" collapsed="false">
      <c r="A58" s="4" t="s">
        <v>725</v>
      </c>
      <c r="B58" s="4" t="n">
        <v>1780561897</v>
      </c>
      <c r="C58" s="4" t="s">
        <v>1416</v>
      </c>
      <c r="D58" s="4" t="n">
        <v>60</v>
      </c>
      <c r="E58" s="12" t="n">
        <f aca="false">IF(OR(C58="active",C58="ended"),1,0)</f>
        <v>0</v>
      </c>
      <c r="F58" s="4" t="s">
        <v>1463</v>
      </c>
    </row>
    <row r="59" customFormat="false" ht="15" hidden="false" customHeight="false" outlineLevel="0" collapsed="false">
      <c r="A59" s="4" t="s">
        <v>709</v>
      </c>
      <c r="B59" s="4" t="n">
        <v>1780637172</v>
      </c>
      <c r="C59" s="4" t="s">
        <v>1405</v>
      </c>
      <c r="D59" s="4" t="n">
        <v>48</v>
      </c>
      <c r="E59" s="12" t="n">
        <f aca="false">IF(OR(C59="active",C59="ended"),1,0)</f>
        <v>1</v>
      </c>
      <c r="F59" s="4" t="s">
        <v>1464</v>
      </c>
    </row>
    <row r="60" customFormat="false" ht="15" hidden="false" customHeight="false" outlineLevel="0" collapsed="false">
      <c r="A60" s="4" t="s">
        <v>581</v>
      </c>
      <c r="B60" s="4" t="n">
        <v>1780684384</v>
      </c>
      <c r="C60" s="4" t="s">
        <v>1403</v>
      </c>
      <c r="D60" s="4" t="n">
        <v>936</v>
      </c>
      <c r="E60" s="12" t="n">
        <f aca="false">IF(OR(C60="active",C60="ended"),1,0)</f>
        <v>1</v>
      </c>
      <c r="F60" s="4" t="s">
        <v>1465</v>
      </c>
    </row>
    <row r="61" customFormat="false" ht="15" hidden="false" customHeight="false" outlineLevel="0" collapsed="false">
      <c r="A61" s="4" t="s">
        <v>713</v>
      </c>
      <c r="B61" s="4" t="n">
        <v>1780896427</v>
      </c>
      <c r="C61" s="4" t="s">
        <v>1403</v>
      </c>
      <c r="D61" s="4" t="n">
        <v>36</v>
      </c>
      <c r="E61" s="12" t="n">
        <f aca="false">IF(OR(C61="active",C61="ended"),1,0)</f>
        <v>1</v>
      </c>
      <c r="F61" s="4" t="s">
        <v>1466</v>
      </c>
    </row>
    <row r="62" customFormat="false" ht="15" hidden="false" customHeight="false" outlineLevel="0" collapsed="false">
      <c r="A62" s="4" t="s">
        <v>703</v>
      </c>
      <c r="B62" s="4" t="n">
        <v>1780897221</v>
      </c>
      <c r="C62" s="4" t="s">
        <v>1405</v>
      </c>
      <c r="D62" s="4" t="n">
        <v>48</v>
      </c>
      <c r="E62" s="12" t="n">
        <f aca="false">IF(OR(C62="active",C62="ended"),1,0)</f>
        <v>1</v>
      </c>
      <c r="F62" s="4" t="s">
        <v>1467</v>
      </c>
    </row>
    <row r="63" customFormat="false" ht="15" hidden="false" customHeight="false" outlineLevel="0" collapsed="false">
      <c r="A63" s="4" t="s">
        <v>669</v>
      </c>
      <c r="B63" s="4" t="n">
        <v>1780968860</v>
      </c>
      <c r="C63" s="4" t="s">
        <v>1405</v>
      </c>
      <c r="D63" s="4" t="n">
        <v>96</v>
      </c>
      <c r="E63" s="12" t="n">
        <f aca="false">IF(OR(C63="active",C63="ended"),1,0)</f>
        <v>1</v>
      </c>
      <c r="F63" s="4" t="s">
        <v>1468</v>
      </c>
    </row>
    <row r="64" customFormat="false" ht="15" hidden="false" customHeight="false" outlineLevel="0" collapsed="false">
      <c r="A64" s="4" t="s">
        <v>661</v>
      </c>
      <c r="B64" s="4" t="n">
        <v>1781015355</v>
      </c>
      <c r="C64" s="4" t="s">
        <v>1403</v>
      </c>
      <c r="D64" s="4" t="n">
        <v>897</v>
      </c>
      <c r="E64" s="12" t="n">
        <f aca="false">IF(OR(C64="active",C64="ended"),1,0)</f>
        <v>1</v>
      </c>
      <c r="F64" s="4" t="s">
        <v>1469</v>
      </c>
    </row>
    <row r="65" customFormat="false" ht="15" hidden="false" customHeight="false" outlineLevel="0" collapsed="false">
      <c r="A65" s="4" t="s">
        <v>757</v>
      </c>
      <c r="B65" s="4" t="n">
        <v>1781068347</v>
      </c>
      <c r="C65" s="4" t="s">
        <v>1405</v>
      </c>
      <c r="D65" s="4" t="n">
        <v>48</v>
      </c>
      <c r="E65" s="12" t="n">
        <f aca="false">IF(OR(C65="active",C65="ended"),1,0)</f>
        <v>1</v>
      </c>
      <c r="F65" s="4" t="s">
        <v>1470</v>
      </c>
    </row>
    <row r="66" customFormat="false" ht="15" hidden="false" customHeight="false" outlineLevel="0" collapsed="false">
      <c r="A66" s="4" t="s">
        <v>749</v>
      </c>
      <c r="B66" s="4" t="n">
        <v>1781075458</v>
      </c>
      <c r="C66" s="4" t="s">
        <v>1405</v>
      </c>
      <c r="D66" s="4" t="n">
        <v>507</v>
      </c>
      <c r="E66" s="12" t="n">
        <f aca="false">IF(OR(C66="active",C66="ended"),1,0)</f>
        <v>1</v>
      </c>
      <c r="F66" s="4" t="s">
        <v>1471</v>
      </c>
    </row>
    <row r="67" customFormat="false" ht="15" hidden="false" customHeight="false" outlineLevel="0" collapsed="false">
      <c r="A67" s="4" t="s">
        <v>761</v>
      </c>
      <c r="B67" s="4" t="n">
        <v>1781086629</v>
      </c>
      <c r="C67" s="4" t="s">
        <v>1403</v>
      </c>
      <c r="D67" s="4" t="n">
        <v>144</v>
      </c>
      <c r="E67" s="12" t="n">
        <f aca="false">IF(OR(C67="active",C67="ended"),1,0)</f>
        <v>1</v>
      </c>
      <c r="F67" s="4" t="s">
        <v>1472</v>
      </c>
    </row>
    <row r="68" customFormat="false" ht="15" hidden="false" customHeight="false" outlineLevel="0" collapsed="false">
      <c r="A68" s="4" t="s">
        <v>573</v>
      </c>
      <c r="B68" s="4" t="n">
        <v>1781156044</v>
      </c>
      <c r="C68" s="4" t="s">
        <v>1405</v>
      </c>
      <c r="D68" s="4" t="n">
        <v>72</v>
      </c>
      <c r="E68" s="12" t="n">
        <f aca="false">IF(OR(C68="active",C68="ended"),1,0)</f>
        <v>1</v>
      </c>
      <c r="F68" s="4" t="s">
        <v>1473</v>
      </c>
    </row>
    <row r="69" customFormat="false" ht="15" hidden="false" customHeight="false" outlineLevel="0" collapsed="false">
      <c r="A69" s="4" t="s">
        <v>1474</v>
      </c>
      <c r="B69" s="4" t="n">
        <v>1781157701</v>
      </c>
      <c r="C69" s="4" t="s">
        <v>1403</v>
      </c>
      <c r="D69" s="4" t="n">
        <v>858</v>
      </c>
      <c r="E69" s="12" t="n">
        <f aca="false">IF(OR(C69="active",C69="ended"),1,0)</f>
        <v>1</v>
      </c>
      <c r="F69" s="4" t="s">
        <v>1475</v>
      </c>
    </row>
    <row r="70" customFormat="false" ht="15" hidden="false" customHeight="false" outlineLevel="0" collapsed="false">
      <c r="A70" s="4" t="s">
        <v>775</v>
      </c>
      <c r="B70" s="4" t="n">
        <v>1781180586</v>
      </c>
      <c r="C70" s="4" t="s">
        <v>1403</v>
      </c>
      <c r="D70" s="4" t="n">
        <v>72</v>
      </c>
      <c r="E70" s="12" t="n">
        <f aca="false">IF(OR(C70="active",C70="ended"),1,0)</f>
        <v>1</v>
      </c>
      <c r="F70" s="4" t="s">
        <v>1476</v>
      </c>
    </row>
    <row r="71" customFormat="false" ht="15" hidden="false" customHeight="false" outlineLevel="0" collapsed="false">
      <c r="A71" s="4" t="s">
        <v>745</v>
      </c>
      <c r="B71" s="4" t="n">
        <v>1781259753</v>
      </c>
      <c r="C71" s="4" t="s">
        <v>1403</v>
      </c>
      <c r="D71" s="4" t="n">
        <v>60</v>
      </c>
      <c r="E71" s="12" t="n">
        <f aca="false">IF(OR(C71="active",C71="ended"),1,0)</f>
        <v>1</v>
      </c>
      <c r="F71" s="4" t="s">
        <v>1477</v>
      </c>
    </row>
    <row r="72" customFormat="false" ht="15" hidden="false" customHeight="false" outlineLevel="0" collapsed="false">
      <c r="A72" s="4" t="s">
        <v>453</v>
      </c>
      <c r="B72" s="4" t="n">
        <v>1781318526</v>
      </c>
      <c r="C72" s="4" t="s">
        <v>1403</v>
      </c>
      <c r="D72" s="4" t="n">
        <v>48</v>
      </c>
      <c r="E72" s="12" t="n">
        <f aca="false">IF(OR(C72="active",C72="ended"),1,0)</f>
        <v>1</v>
      </c>
      <c r="F72" s="4" t="s">
        <v>1478</v>
      </c>
    </row>
    <row r="73" customFormat="false" ht="15" hidden="false" customHeight="false" outlineLevel="0" collapsed="false">
      <c r="A73" s="4" t="s">
        <v>759</v>
      </c>
      <c r="B73" s="4" t="n">
        <v>1781512408</v>
      </c>
      <c r="C73" s="4" t="s">
        <v>1405</v>
      </c>
      <c r="D73" s="4" t="n">
        <v>1287</v>
      </c>
      <c r="E73" s="12" t="n">
        <f aca="false">IF(OR(C73="active",C73="ended"),1,0)</f>
        <v>1</v>
      </c>
      <c r="F73" s="4" t="s">
        <v>1479</v>
      </c>
    </row>
    <row r="74" customFormat="false" ht="15" hidden="false" customHeight="false" outlineLevel="0" collapsed="false">
      <c r="A74" s="4" t="s">
        <v>753</v>
      </c>
      <c r="B74" s="4" t="n">
        <v>1781537704</v>
      </c>
      <c r="C74" s="4" t="s">
        <v>1403</v>
      </c>
      <c r="D74" s="4" t="n">
        <v>132</v>
      </c>
      <c r="E74" s="12" t="n">
        <f aca="false">IF(OR(C74="active",C74="ended"),1,0)</f>
        <v>1</v>
      </c>
      <c r="F74" s="4" t="s">
        <v>1480</v>
      </c>
    </row>
    <row r="75" customFormat="false" ht="15" hidden="false" customHeight="false" outlineLevel="0" collapsed="false">
      <c r="A75" s="4" t="s">
        <v>803</v>
      </c>
      <c r="B75" s="4" t="n">
        <v>1781582771</v>
      </c>
      <c r="C75" s="4" t="s">
        <v>1405</v>
      </c>
      <c r="D75" s="4" t="n">
        <v>36</v>
      </c>
      <c r="E75" s="12" t="n">
        <f aca="false">IF(OR(C75="active",C75="ended"),1,0)</f>
        <v>1</v>
      </c>
      <c r="F75" s="4" t="s">
        <v>1481</v>
      </c>
    </row>
    <row r="76" customFormat="false" ht="15" hidden="false" customHeight="false" outlineLevel="0" collapsed="false">
      <c r="A76" s="4" t="s">
        <v>815</v>
      </c>
      <c r="B76" s="4" t="n">
        <v>1781722089</v>
      </c>
      <c r="C76" s="4" t="s">
        <v>1403</v>
      </c>
      <c r="D76" s="4" t="n">
        <v>60</v>
      </c>
      <c r="E76" s="12" t="n">
        <f aca="false">IF(OR(C76="active",C76="ended"),1,0)</f>
        <v>1</v>
      </c>
      <c r="F76" s="4" t="s">
        <v>1482</v>
      </c>
    </row>
    <row r="77" customFormat="false" ht="15" hidden="false" customHeight="false" outlineLevel="0" collapsed="false">
      <c r="A77" s="4" t="s">
        <v>693</v>
      </c>
      <c r="B77" s="4" t="n">
        <v>1781788383</v>
      </c>
      <c r="C77" s="4" t="s">
        <v>1403</v>
      </c>
      <c r="D77" s="4" t="n">
        <v>108</v>
      </c>
      <c r="E77" s="12" t="n">
        <f aca="false">IF(OR(C77="active",C77="ended"),1,0)</f>
        <v>1</v>
      </c>
      <c r="F77" s="4" t="s">
        <v>1483</v>
      </c>
    </row>
    <row r="78" customFormat="false" ht="15" hidden="false" customHeight="false" outlineLevel="0" collapsed="false">
      <c r="A78" s="4" t="s">
        <v>589</v>
      </c>
      <c r="B78" s="4" t="n">
        <v>1781836860</v>
      </c>
      <c r="C78" s="4" t="s">
        <v>1403</v>
      </c>
      <c r="D78" s="4" t="n">
        <v>1443</v>
      </c>
      <c r="E78" s="12" t="n">
        <f aca="false">IF(OR(C78="active",C78="ended"),1,0)</f>
        <v>1</v>
      </c>
      <c r="F78" s="4" t="s">
        <v>1484</v>
      </c>
    </row>
    <row r="79" customFormat="false" ht="15" hidden="false" customHeight="false" outlineLevel="0" collapsed="false">
      <c r="A79" s="4" t="s">
        <v>829</v>
      </c>
      <c r="B79" s="4" t="n">
        <v>1781924508</v>
      </c>
      <c r="C79" s="4" t="s">
        <v>1403</v>
      </c>
      <c r="D79" s="4" t="n">
        <v>1287</v>
      </c>
      <c r="E79" s="12" t="n">
        <f aca="false">IF(OR(C79="active",C79="ended"),1,0)</f>
        <v>1</v>
      </c>
      <c r="F79" s="4" t="s">
        <v>1485</v>
      </c>
    </row>
    <row r="80" customFormat="false" ht="15" hidden="false" customHeight="false" outlineLevel="0" collapsed="false">
      <c r="A80" s="4" t="s">
        <v>827</v>
      </c>
      <c r="B80" s="4" t="n">
        <v>1781925432</v>
      </c>
      <c r="C80" s="4" t="s">
        <v>1403</v>
      </c>
      <c r="D80" s="4" t="n">
        <v>120</v>
      </c>
      <c r="E80" s="12" t="n">
        <f aca="false">IF(OR(C80="active",C80="ended"),1,0)</f>
        <v>1</v>
      </c>
      <c r="F80" s="4" t="s">
        <v>1486</v>
      </c>
    </row>
    <row r="81" customFormat="false" ht="15" hidden="false" customHeight="false" outlineLevel="0" collapsed="false">
      <c r="A81" s="4" t="s">
        <v>799</v>
      </c>
      <c r="B81" s="4" t="n">
        <v>1781952299</v>
      </c>
      <c r="C81" s="4" t="s">
        <v>1403</v>
      </c>
      <c r="D81" s="4" t="n">
        <v>144</v>
      </c>
      <c r="E81" s="12" t="n">
        <f aca="false">IF(OR(C81="active",C81="ended"),1,0)</f>
        <v>1</v>
      </c>
      <c r="F81" s="4" t="s">
        <v>1487</v>
      </c>
    </row>
    <row r="82" customFormat="false" ht="15" hidden="false" customHeight="false" outlineLevel="0" collapsed="false">
      <c r="A82" s="4" t="s">
        <v>807</v>
      </c>
      <c r="B82" s="4" t="n">
        <v>1782031096</v>
      </c>
      <c r="C82" s="4" t="s">
        <v>1403</v>
      </c>
      <c r="D82" s="4" t="n">
        <v>144</v>
      </c>
      <c r="E82" s="12" t="n">
        <f aca="false">IF(OR(C82="active",C82="ended"),1,0)</f>
        <v>1</v>
      </c>
      <c r="F82" s="4" t="s">
        <v>1488</v>
      </c>
    </row>
    <row r="83" customFormat="false" ht="15" hidden="false" customHeight="false" outlineLevel="0" collapsed="false">
      <c r="A83" s="4" t="s">
        <v>841</v>
      </c>
      <c r="B83" s="4" t="n">
        <v>1782139133</v>
      </c>
      <c r="C83" s="4" t="s">
        <v>1405</v>
      </c>
      <c r="D83" s="4" t="n">
        <v>96</v>
      </c>
      <c r="E83" s="12" t="n">
        <f aca="false">IF(OR(C83="active",C83="ended"),1,0)</f>
        <v>1</v>
      </c>
      <c r="F83" s="4" t="s">
        <v>1489</v>
      </c>
    </row>
    <row r="84" customFormat="false" ht="15" hidden="false" customHeight="false" outlineLevel="0" collapsed="false">
      <c r="A84" s="4" t="s">
        <v>823</v>
      </c>
      <c r="B84" s="4" t="n">
        <v>1782166591</v>
      </c>
      <c r="C84" s="4" t="s">
        <v>1405</v>
      </c>
      <c r="D84" s="4" t="n">
        <v>144</v>
      </c>
      <c r="E84" s="12" t="n">
        <f aca="false">IF(OR(C84="active",C84="ended"),1,0)</f>
        <v>1</v>
      </c>
      <c r="F84" s="4" t="s">
        <v>1490</v>
      </c>
    </row>
    <row r="85" customFormat="false" ht="15" hidden="false" customHeight="false" outlineLevel="0" collapsed="false">
      <c r="A85" s="4" t="s">
        <v>811</v>
      </c>
      <c r="B85" s="4" t="n">
        <v>1782203884</v>
      </c>
      <c r="C85" s="4" t="s">
        <v>1405</v>
      </c>
      <c r="D85" s="4" t="n">
        <v>144</v>
      </c>
      <c r="E85" s="12" t="n">
        <f aca="false">IF(OR(C85="active",C85="ended"),1,0)</f>
        <v>1</v>
      </c>
      <c r="F85" s="4" t="s">
        <v>1491</v>
      </c>
    </row>
    <row r="86" customFormat="false" ht="15" hidden="false" customHeight="false" outlineLevel="0" collapsed="false">
      <c r="A86" s="4" t="s">
        <v>843</v>
      </c>
      <c r="B86" s="4" t="n">
        <v>1782309310</v>
      </c>
      <c r="C86" s="4" t="s">
        <v>1403</v>
      </c>
      <c r="D86" s="4" t="n">
        <v>168</v>
      </c>
      <c r="E86" s="12" t="n">
        <f aca="false">IF(OR(C86="active",C86="ended"),1,0)</f>
        <v>1</v>
      </c>
      <c r="F86" s="4" t="s">
        <v>1492</v>
      </c>
    </row>
    <row r="87" customFormat="false" ht="15" hidden="false" customHeight="false" outlineLevel="0" collapsed="false">
      <c r="A87" s="4" t="s">
        <v>781</v>
      </c>
      <c r="B87" s="4" t="n">
        <v>1782372885</v>
      </c>
      <c r="C87" s="4" t="s">
        <v>1403</v>
      </c>
      <c r="D87" s="4" t="n">
        <v>702</v>
      </c>
      <c r="E87" s="12" t="n">
        <f aca="false">IF(OR(C87="active",C87="ended"),1,0)</f>
        <v>1</v>
      </c>
      <c r="F87" s="4" t="s">
        <v>1493</v>
      </c>
    </row>
    <row r="88" customFormat="false" ht="15" hidden="false" customHeight="false" outlineLevel="0" collapsed="false">
      <c r="A88" s="4" t="s">
        <v>587</v>
      </c>
      <c r="B88" s="4" t="n">
        <v>1782469111</v>
      </c>
      <c r="C88" s="4" t="s">
        <v>1403</v>
      </c>
      <c r="D88" s="4" t="n">
        <v>1482</v>
      </c>
      <c r="E88" s="12" t="n">
        <f aca="false">IF(OR(C88="active",C88="ended"),1,0)</f>
        <v>1</v>
      </c>
      <c r="F88" s="4" t="s">
        <v>1494</v>
      </c>
    </row>
    <row r="89" customFormat="false" ht="15" hidden="false" customHeight="false" outlineLevel="0" collapsed="false">
      <c r="A89" s="4" t="s">
        <v>887</v>
      </c>
      <c r="B89" s="4" t="n">
        <v>1782534643</v>
      </c>
      <c r="C89" s="4" t="s">
        <v>1403</v>
      </c>
      <c r="D89" s="4" t="n">
        <v>1131</v>
      </c>
      <c r="E89" s="12" t="n">
        <f aca="false">IF(OR(C89="active",C89="ended"),1,0)</f>
        <v>1</v>
      </c>
      <c r="F89" s="4" t="s">
        <v>1495</v>
      </c>
    </row>
    <row r="90" customFormat="false" ht="15" hidden="false" customHeight="false" outlineLevel="0" collapsed="false">
      <c r="A90" s="4" t="s">
        <v>763</v>
      </c>
      <c r="B90" s="4" t="n">
        <v>1782598182</v>
      </c>
      <c r="C90" s="4" t="s">
        <v>1403</v>
      </c>
      <c r="D90" s="4" t="n">
        <v>108</v>
      </c>
      <c r="E90" s="12" t="n">
        <f aca="false">IF(OR(C90="active",C90="ended"),1,0)</f>
        <v>1</v>
      </c>
      <c r="F90" s="4" t="s">
        <v>1496</v>
      </c>
    </row>
    <row r="91" customFormat="false" ht="15" hidden="false" customHeight="false" outlineLevel="0" collapsed="false">
      <c r="A91" s="4" t="s">
        <v>893</v>
      </c>
      <c r="B91" s="4" t="n">
        <v>1782622495</v>
      </c>
      <c r="C91" s="4" t="s">
        <v>1403</v>
      </c>
      <c r="D91" s="4" t="n">
        <v>60</v>
      </c>
      <c r="E91" s="12" t="n">
        <f aca="false">IF(OR(C91="active",C91="ended"),1,0)</f>
        <v>1</v>
      </c>
      <c r="F91" s="4" t="s">
        <v>1497</v>
      </c>
    </row>
    <row r="92" customFormat="false" ht="15" hidden="false" customHeight="false" outlineLevel="0" collapsed="false">
      <c r="A92" s="4" t="s">
        <v>847</v>
      </c>
      <c r="B92" s="4" t="n">
        <v>1782648386</v>
      </c>
      <c r="C92" s="4" t="s">
        <v>1403</v>
      </c>
      <c r="D92" s="4" t="n">
        <v>132</v>
      </c>
      <c r="E92" s="12" t="n">
        <f aca="false">IF(OR(C92="active",C92="ended"),1,0)</f>
        <v>1</v>
      </c>
      <c r="F92" s="4" t="s">
        <v>1498</v>
      </c>
    </row>
    <row r="93" customFormat="false" ht="15" hidden="false" customHeight="false" outlineLevel="0" collapsed="false">
      <c r="A93" s="4" t="s">
        <v>801</v>
      </c>
      <c r="B93" s="4" t="n">
        <v>1782697709</v>
      </c>
      <c r="C93" s="4" t="s">
        <v>1403</v>
      </c>
      <c r="D93" s="4" t="n">
        <v>96</v>
      </c>
      <c r="E93" s="12" t="n">
        <f aca="false">IF(OR(C93="active",C93="ended"),1,0)</f>
        <v>1</v>
      </c>
      <c r="F93" s="4" t="s">
        <v>1499</v>
      </c>
    </row>
    <row r="94" customFormat="false" ht="15" hidden="false" customHeight="false" outlineLevel="0" collapsed="false">
      <c r="A94" s="4" t="s">
        <v>627</v>
      </c>
      <c r="B94" s="4" t="n">
        <v>1782801243</v>
      </c>
      <c r="C94" s="4" t="s">
        <v>1403</v>
      </c>
      <c r="D94" s="4" t="n">
        <v>168</v>
      </c>
      <c r="E94" s="12" t="n">
        <f aca="false">IF(OR(C94="active",C94="ended"),1,0)</f>
        <v>1</v>
      </c>
      <c r="F94" s="4" t="s">
        <v>1500</v>
      </c>
    </row>
    <row r="95" customFormat="false" ht="15" hidden="false" customHeight="false" outlineLevel="0" collapsed="false">
      <c r="A95" s="4" t="s">
        <v>903</v>
      </c>
      <c r="B95" s="4" t="n">
        <v>1782910474</v>
      </c>
      <c r="C95" s="4" t="s">
        <v>1416</v>
      </c>
      <c r="D95" s="4" t="n">
        <v>1209</v>
      </c>
      <c r="E95" s="12" t="n">
        <f aca="false">IF(OR(C95="active",C95="ended"),1,0)</f>
        <v>0</v>
      </c>
      <c r="F95" s="4" t="s">
        <v>1501</v>
      </c>
    </row>
    <row r="96" customFormat="false" ht="15" hidden="false" customHeight="false" outlineLevel="0" collapsed="false">
      <c r="A96" s="4" t="s">
        <v>831</v>
      </c>
      <c r="B96" s="4" t="n">
        <v>1783022518</v>
      </c>
      <c r="C96" s="4" t="s">
        <v>1405</v>
      </c>
      <c r="D96" s="4" t="n">
        <v>663</v>
      </c>
      <c r="E96" s="12" t="n">
        <f aca="false">IF(OR(C96="active",C96="ended"),1,0)</f>
        <v>1</v>
      </c>
      <c r="F96" s="4" t="s">
        <v>1502</v>
      </c>
    </row>
    <row r="97" customFormat="false" ht="15" hidden="false" customHeight="false" outlineLevel="0" collapsed="false">
      <c r="A97" s="4" t="s">
        <v>395</v>
      </c>
      <c r="B97" s="4" t="n">
        <v>1783030802</v>
      </c>
      <c r="C97" s="4" t="s">
        <v>1403</v>
      </c>
      <c r="D97" s="4" t="n">
        <v>156</v>
      </c>
      <c r="E97" s="12" t="n">
        <f aca="false">IF(OR(C97="active",C97="ended"),1,0)</f>
        <v>1</v>
      </c>
      <c r="F97" s="4" t="s">
        <v>1503</v>
      </c>
    </row>
    <row r="98" customFormat="false" ht="15" hidden="false" customHeight="false" outlineLevel="0" collapsed="false">
      <c r="A98" s="4" t="s">
        <v>741</v>
      </c>
      <c r="B98" s="4" t="n">
        <v>1783050034</v>
      </c>
      <c r="C98" s="4" t="s">
        <v>1403</v>
      </c>
      <c r="D98" s="4" t="n">
        <v>96</v>
      </c>
      <c r="E98" s="12" t="n">
        <f aca="false">IF(OR(C98="active",C98="ended"),1,0)</f>
        <v>1</v>
      </c>
      <c r="F98" s="4" t="s">
        <v>1504</v>
      </c>
    </row>
    <row r="99" customFormat="false" ht="15" hidden="false" customHeight="false" outlineLevel="0" collapsed="false">
      <c r="A99" s="4" t="s">
        <v>929</v>
      </c>
      <c r="B99" s="4" t="n">
        <v>1783141475</v>
      </c>
      <c r="C99" s="4" t="s">
        <v>1416</v>
      </c>
      <c r="D99" s="4" t="n">
        <v>156</v>
      </c>
      <c r="E99" s="12" t="n">
        <f aca="false">IF(OR(C99="active",C99="ended"),1,0)</f>
        <v>0</v>
      </c>
      <c r="F99" s="4" t="s">
        <v>1505</v>
      </c>
    </row>
    <row r="100" customFormat="false" ht="15" hidden="false" customHeight="false" outlineLevel="0" collapsed="false">
      <c r="A100" s="4" t="s">
        <v>927</v>
      </c>
      <c r="B100" s="4" t="n">
        <v>1783208150</v>
      </c>
      <c r="C100" s="4" t="s">
        <v>1405</v>
      </c>
      <c r="D100" s="4" t="n">
        <v>60</v>
      </c>
      <c r="E100" s="12" t="n">
        <f aca="false">IF(OR(C100="active",C100="ended"),1,0)</f>
        <v>1</v>
      </c>
      <c r="F100" s="4" t="s">
        <v>1506</v>
      </c>
    </row>
    <row r="101" customFormat="false" ht="15" hidden="false" customHeight="false" outlineLevel="0" collapsed="false">
      <c r="A101" s="4" t="s">
        <v>885</v>
      </c>
      <c r="B101" s="4" t="n">
        <v>1783231591</v>
      </c>
      <c r="C101" s="4" t="s">
        <v>1403</v>
      </c>
      <c r="D101" s="4" t="n">
        <v>72</v>
      </c>
      <c r="E101" s="12" t="n">
        <f aca="false">IF(OR(C101="active",C101="ended"),1,0)</f>
        <v>1</v>
      </c>
      <c r="F101" s="4" t="s">
        <v>1507</v>
      </c>
    </row>
    <row r="102" customFormat="false" ht="15" hidden="false" customHeight="false" outlineLevel="0" collapsed="false">
      <c r="A102" s="4" t="s">
        <v>565</v>
      </c>
      <c r="B102" s="4" t="n">
        <v>1783296086</v>
      </c>
      <c r="C102" s="4" t="s">
        <v>1403</v>
      </c>
      <c r="D102" s="4" t="n">
        <v>858</v>
      </c>
      <c r="E102" s="12" t="n">
        <f aca="false">IF(OR(C102="active",C102="ended"),1,0)</f>
        <v>1</v>
      </c>
      <c r="F102" s="4" t="s">
        <v>1508</v>
      </c>
    </row>
    <row r="103" customFormat="false" ht="15" hidden="false" customHeight="false" outlineLevel="0" collapsed="false">
      <c r="A103" s="4" t="s">
        <v>889</v>
      </c>
      <c r="B103" s="4" t="n">
        <v>1783427920</v>
      </c>
      <c r="C103" s="4" t="s">
        <v>1405</v>
      </c>
      <c r="D103" s="4" t="n">
        <v>72</v>
      </c>
      <c r="E103" s="12" t="n">
        <f aca="false">IF(OR(C103="active",C103="ended"),1,0)</f>
        <v>1</v>
      </c>
      <c r="F103" s="4" t="s">
        <v>1509</v>
      </c>
    </row>
    <row r="104" customFormat="false" ht="15" hidden="false" customHeight="false" outlineLevel="0" collapsed="false">
      <c r="A104" s="4" t="s">
        <v>943</v>
      </c>
      <c r="B104" s="4" t="n">
        <v>1783440701</v>
      </c>
      <c r="C104" s="4" t="s">
        <v>1403</v>
      </c>
      <c r="D104" s="4" t="n">
        <v>48</v>
      </c>
      <c r="E104" s="12" t="n">
        <f aca="false">IF(OR(C104="active",C104="ended"),1,0)</f>
        <v>1</v>
      </c>
      <c r="F104" s="4" t="s">
        <v>1510</v>
      </c>
    </row>
    <row r="105" customFormat="false" ht="15" hidden="false" customHeight="false" outlineLevel="0" collapsed="false">
      <c r="A105" s="4" t="s">
        <v>967</v>
      </c>
      <c r="B105" s="4" t="n">
        <v>1783457993</v>
      </c>
      <c r="C105" s="4" t="s">
        <v>1403</v>
      </c>
      <c r="D105" s="4" t="n">
        <v>84</v>
      </c>
      <c r="E105" s="12" t="n">
        <f aca="false">IF(OR(C105="active",C105="ended"),1,0)</f>
        <v>1</v>
      </c>
      <c r="F105" s="4" t="s">
        <v>1511</v>
      </c>
    </row>
    <row r="106" customFormat="false" ht="15" hidden="false" customHeight="false" outlineLevel="0" collapsed="false">
      <c r="A106" s="4" t="s">
        <v>877</v>
      </c>
      <c r="B106" s="4" t="n">
        <v>1783481383</v>
      </c>
      <c r="C106" s="4" t="s">
        <v>1403</v>
      </c>
      <c r="D106" s="4" t="n">
        <v>234</v>
      </c>
      <c r="E106" s="12" t="n">
        <f aca="false">IF(OR(C106="active",C106="ended"),1,0)</f>
        <v>1</v>
      </c>
      <c r="F106" s="4" t="s">
        <v>1512</v>
      </c>
    </row>
    <row r="107" customFormat="false" ht="15" hidden="false" customHeight="false" outlineLevel="0" collapsed="false">
      <c r="A107" s="4" t="s">
        <v>957</v>
      </c>
      <c r="B107" s="4" t="n">
        <v>1783504409</v>
      </c>
      <c r="C107" s="4" t="s">
        <v>1403</v>
      </c>
      <c r="D107" s="4" t="n">
        <v>60</v>
      </c>
      <c r="E107" s="12" t="n">
        <f aca="false">IF(OR(C107="active",C107="ended"),1,0)</f>
        <v>1</v>
      </c>
      <c r="F107" s="4" t="s">
        <v>1513</v>
      </c>
    </row>
    <row r="108" customFormat="false" ht="15" hidden="false" customHeight="false" outlineLevel="0" collapsed="false">
      <c r="A108" s="4" t="s">
        <v>341</v>
      </c>
      <c r="B108" s="4" t="n">
        <v>1783534907</v>
      </c>
      <c r="C108" s="4" t="s">
        <v>1405</v>
      </c>
      <c r="D108" s="4" t="n">
        <v>1248</v>
      </c>
      <c r="E108" s="12" t="n">
        <f aca="false">IF(OR(C108="active",C108="ended"),1,0)</f>
        <v>1</v>
      </c>
      <c r="F108" s="4" t="s">
        <v>1514</v>
      </c>
    </row>
    <row r="109" customFormat="false" ht="15" hidden="false" customHeight="false" outlineLevel="0" collapsed="false">
      <c r="A109" s="4" t="s">
        <v>873</v>
      </c>
      <c r="B109" s="4" t="n">
        <v>1783538015</v>
      </c>
      <c r="C109" s="4" t="s">
        <v>1403</v>
      </c>
      <c r="D109" s="4" t="n">
        <v>546</v>
      </c>
      <c r="E109" s="12" t="n">
        <f aca="false">IF(OR(C109="active",C109="ended"),1,0)</f>
        <v>1</v>
      </c>
      <c r="F109" s="4" t="s">
        <v>1515</v>
      </c>
    </row>
    <row r="110" customFormat="false" ht="15" hidden="false" customHeight="false" outlineLevel="0" collapsed="false">
      <c r="A110" s="4" t="s">
        <v>861</v>
      </c>
      <c r="B110" s="4" t="n">
        <v>1783546212</v>
      </c>
      <c r="C110" s="4" t="s">
        <v>1403</v>
      </c>
      <c r="D110" s="4" t="n">
        <v>1170</v>
      </c>
      <c r="E110" s="12" t="n">
        <f aca="false">IF(OR(C110="active",C110="ended"),1,0)</f>
        <v>1</v>
      </c>
      <c r="F110" s="4" t="s">
        <v>1516</v>
      </c>
    </row>
    <row r="111" customFormat="false" ht="15" hidden="false" customHeight="false" outlineLevel="0" collapsed="false">
      <c r="A111" s="4" t="s">
        <v>969</v>
      </c>
      <c r="B111" s="4" t="n">
        <v>1783651032</v>
      </c>
      <c r="C111" s="4" t="s">
        <v>1405</v>
      </c>
      <c r="D111" s="4" t="n">
        <v>156</v>
      </c>
      <c r="E111" s="12" t="n">
        <f aca="false">IF(OR(C111="active",C111="ended"),1,0)</f>
        <v>1</v>
      </c>
      <c r="F111" s="4" t="s">
        <v>1517</v>
      </c>
    </row>
    <row r="112" customFormat="false" ht="15" hidden="false" customHeight="false" outlineLevel="0" collapsed="false">
      <c r="A112" s="4" t="s">
        <v>997</v>
      </c>
      <c r="B112" s="4" t="n">
        <v>1783964600</v>
      </c>
      <c r="C112" s="4" t="s">
        <v>1403</v>
      </c>
      <c r="D112" s="4" t="n">
        <v>975</v>
      </c>
      <c r="E112" s="12" t="n">
        <f aca="false">IF(OR(C112="active",C112="ended"),1,0)</f>
        <v>1</v>
      </c>
      <c r="F112" s="4" t="s">
        <v>1518</v>
      </c>
    </row>
    <row r="113" customFormat="false" ht="15" hidden="false" customHeight="false" outlineLevel="0" collapsed="false">
      <c r="A113" s="4" t="s">
        <v>981</v>
      </c>
      <c r="B113" s="4" t="n">
        <v>1783965532</v>
      </c>
      <c r="C113" s="4" t="s">
        <v>1403</v>
      </c>
      <c r="D113" s="4" t="n">
        <v>96</v>
      </c>
      <c r="E113" s="12" t="n">
        <f aca="false">IF(OR(C113="active",C113="ended"),1,0)</f>
        <v>1</v>
      </c>
      <c r="F113" s="4" t="s">
        <v>1519</v>
      </c>
    </row>
    <row r="114" customFormat="false" ht="15" hidden="false" customHeight="false" outlineLevel="0" collapsed="false">
      <c r="A114" s="4" t="s">
        <v>1011</v>
      </c>
      <c r="B114" s="4" t="n">
        <v>1784047298</v>
      </c>
      <c r="C114" s="4" t="s">
        <v>1416</v>
      </c>
      <c r="D114" s="4" t="n">
        <v>741</v>
      </c>
      <c r="E114" s="12" t="n">
        <f aca="false">IF(OR(C114="active",C114="ended"),1,0)</f>
        <v>0</v>
      </c>
      <c r="F114" s="4" t="s">
        <v>1520</v>
      </c>
    </row>
    <row r="115" customFormat="false" ht="15" hidden="false" customHeight="false" outlineLevel="0" collapsed="false">
      <c r="A115" s="4" t="s">
        <v>1013</v>
      </c>
      <c r="B115" s="4" t="n">
        <v>1784065034</v>
      </c>
      <c r="C115" s="4" t="s">
        <v>1403</v>
      </c>
      <c r="D115" s="4" t="n">
        <v>96</v>
      </c>
      <c r="E115" s="12" t="n">
        <f aca="false">IF(OR(C115="active",C115="ended"),1,0)</f>
        <v>1</v>
      </c>
      <c r="F115" s="4" t="s">
        <v>1521</v>
      </c>
    </row>
    <row r="116" customFormat="false" ht="15" hidden="false" customHeight="false" outlineLevel="0" collapsed="false">
      <c r="A116" s="4" t="s">
        <v>995</v>
      </c>
      <c r="B116" s="4" t="n">
        <v>1784093189</v>
      </c>
      <c r="C116" s="4" t="s">
        <v>1403</v>
      </c>
      <c r="D116" s="4" t="n">
        <v>60</v>
      </c>
      <c r="E116" s="12" t="n">
        <f aca="false">IF(OR(C116="active",C116="ended"),1,0)</f>
        <v>1</v>
      </c>
      <c r="F116" s="4" t="s">
        <v>1522</v>
      </c>
    </row>
    <row r="117" customFormat="false" ht="15" hidden="false" customHeight="false" outlineLevel="0" collapsed="false">
      <c r="A117" s="4" t="s">
        <v>1001</v>
      </c>
      <c r="B117" s="4" t="n">
        <v>1784243366</v>
      </c>
      <c r="C117" s="4" t="s">
        <v>1403</v>
      </c>
      <c r="D117" s="4" t="n">
        <v>144</v>
      </c>
      <c r="E117" s="12" t="n">
        <f aca="false">IF(OR(C117="active",C117="ended"),1,0)</f>
        <v>1</v>
      </c>
      <c r="F117" s="4" t="s">
        <v>1523</v>
      </c>
    </row>
    <row r="118" customFormat="false" ht="15" hidden="false" customHeight="false" outlineLevel="0" collapsed="false">
      <c r="A118" s="4" t="s">
        <v>1003</v>
      </c>
      <c r="B118" s="4" t="n">
        <v>1784260614</v>
      </c>
      <c r="C118" s="4" t="s">
        <v>1403</v>
      </c>
      <c r="D118" s="4" t="n">
        <v>144</v>
      </c>
      <c r="E118" s="12" t="n">
        <f aca="false">IF(OR(C118="active",C118="ended"),1,0)</f>
        <v>1</v>
      </c>
      <c r="F118" s="4" t="s">
        <v>1524</v>
      </c>
    </row>
    <row r="119" customFormat="false" ht="15" hidden="false" customHeight="false" outlineLevel="0" collapsed="false">
      <c r="A119" s="4" t="s">
        <v>669</v>
      </c>
      <c r="B119" s="4" t="n">
        <v>1784280110</v>
      </c>
      <c r="C119" s="4" t="s">
        <v>1403</v>
      </c>
      <c r="D119" s="4" t="n">
        <v>120</v>
      </c>
      <c r="E119" s="12" t="n">
        <f aca="false">IF(OR(C119="active",C119="ended"),1,0)</f>
        <v>1</v>
      </c>
      <c r="F119" s="4" t="s">
        <v>1525</v>
      </c>
    </row>
    <row r="120" customFormat="false" ht="15" hidden="false" customHeight="false" outlineLevel="0" collapsed="false">
      <c r="A120" s="4" t="s">
        <v>989</v>
      </c>
      <c r="B120" s="4" t="n">
        <v>1784326872</v>
      </c>
      <c r="C120" s="4" t="s">
        <v>1403</v>
      </c>
      <c r="D120" s="4" t="n">
        <v>1326</v>
      </c>
      <c r="E120" s="12" t="n">
        <f aca="false">IF(OR(C120="active",C120="ended"),1,0)</f>
        <v>1</v>
      </c>
      <c r="F120" s="4" t="s">
        <v>1526</v>
      </c>
    </row>
    <row r="121" customFormat="false" ht="15" hidden="false" customHeight="false" outlineLevel="0" collapsed="false">
      <c r="A121" s="4" t="s">
        <v>567</v>
      </c>
      <c r="B121" s="4" t="n">
        <v>1784336891</v>
      </c>
      <c r="C121" s="4" t="s">
        <v>1403</v>
      </c>
      <c r="D121" s="4" t="n">
        <v>168</v>
      </c>
      <c r="E121" s="12" t="n">
        <f aca="false">IF(OR(C121="active",C121="ended"),1,0)</f>
        <v>1</v>
      </c>
      <c r="F121" s="4" t="s">
        <v>1527</v>
      </c>
    </row>
    <row r="122" customFormat="false" ht="15" hidden="false" customHeight="false" outlineLevel="0" collapsed="false">
      <c r="A122" s="4" t="s">
        <v>803</v>
      </c>
      <c r="B122" s="4" t="n">
        <v>1784388464</v>
      </c>
      <c r="C122" s="4" t="s">
        <v>1403</v>
      </c>
      <c r="D122" s="4" t="n">
        <v>48</v>
      </c>
      <c r="E122" s="12" t="n">
        <f aca="false">IF(OR(C122="active",C122="ended"),1,0)</f>
        <v>1</v>
      </c>
      <c r="F122" s="4" t="s">
        <v>1528</v>
      </c>
    </row>
    <row r="123" customFormat="false" ht="15" hidden="false" customHeight="false" outlineLevel="0" collapsed="false">
      <c r="A123" s="4" t="s">
        <v>1019</v>
      </c>
      <c r="B123" s="4" t="n">
        <v>1784441454</v>
      </c>
      <c r="C123" s="4" t="s">
        <v>1403</v>
      </c>
      <c r="D123" s="4" t="n">
        <v>36</v>
      </c>
      <c r="E123" s="12" t="n">
        <f aca="false">IF(OR(C123="active",C123="ended"),1,0)</f>
        <v>1</v>
      </c>
      <c r="F123" s="4" t="s">
        <v>1529</v>
      </c>
    </row>
    <row r="124" customFormat="false" ht="15" hidden="false" customHeight="false" outlineLevel="0" collapsed="false">
      <c r="A124" s="4" t="s">
        <v>1021</v>
      </c>
      <c r="B124" s="4" t="n">
        <v>1784444744</v>
      </c>
      <c r="C124" s="4" t="s">
        <v>1403</v>
      </c>
      <c r="D124" s="4" t="n">
        <v>468</v>
      </c>
      <c r="E124" s="12" t="n">
        <f aca="false">IF(OR(C124="active",C124="ended"),1,0)</f>
        <v>1</v>
      </c>
      <c r="F124" s="4" t="s">
        <v>1530</v>
      </c>
    </row>
    <row r="125" customFormat="false" ht="15" hidden="false" customHeight="false" outlineLevel="0" collapsed="false">
      <c r="A125" s="4" t="s">
        <v>1059</v>
      </c>
      <c r="B125" s="4" t="n">
        <v>1784696293</v>
      </c>
      <c r="C125" s="4" t="s">
        <v>1405</v>
      </c>
      <c r="D125" s="4" t="n">
        <v>108</v>
      </c>
      <c r="E125" s="12" t="n">
        <f aca="false">IF(OR(C125="active",C125="ended"),1,0)</f>
        <v>1</v>
      </c>
      <c r="F125" s="4" t="s">
        <v>1531</v>
      </c>
    </row>
    <row r="126" customFormat="false" ht="15" hidden="false" customHeight="false" outlineLevel="0" collapsed="false">
      <c r="A126" s="4" t="s">
        <v>765</v>
      </c>
      <c r="B126" s="4" t="n">
        <v>1784784742</v>
      </c>
      <c r="C126" s="4" t="s">
        <v>1403</v>
      </c>
      <c r="D126" s="4" t="n">
        <v>48</v>
      </c>
      <c r="E126" s="12" t="n">
        <f aca="false">IF(OR(C126="active",C126="ended"),1,0)</f>
        <v>1</v>
      </c>
      <c r="F126" s="4" t="s">
        <v>1532</v>
      </c>
    </row>
    <row r="127" customFormat="false" ht="15" hidden="false" customHeight="false" outlineLevel="0" collapsed="false">
      <c r="A127" s="4" t="s">
        <v>1065</v>
      </c>
      <c r="B127" s="4" t="n">
        <v>1784847233</v>
      </c>
      <c r="C127" s="4" t="s">
        <v>1403</v>
      </c>
      <c r="D127" s="4" t="n">
        <v>72</v>
      </c>
      <c r="E127" s="12" t="n">
        <f aca="false">IF(OR(C127="active",C127="ended"),1,0)</f>
        <v>1</v>
      </c>
      <c r="F127" s="4" t="s">
        <v>1533</v>
      </c>
    </row>
    <row r="128" customFormat="false" ht="15" hidden="false" customHeight="false" outlineLevel="0" collapsed="false">
      <c r="A128" s="4" t="s">
        <v>1061</v>
      </c>
      <c r="B128" s="4" t="n">
        <v>1784876574</v>
      </c>
      <c r="C128" s="4" t="s">
        <v>1403</v>
      </c>
      <c r="D128" s="4" t="n">
        <v>351</v>
      </c>
      <c r="E128" s="12" t="n">
        <f aca="false">IF(OR(C128="active",C128="ended"),1,0)</f>
        <v>1</v>
      </c>
      <c r="F128" s="4" t="s">
        <v>1534</v>
      </c>
    </row>
    <row r="129" customFormat="false" ht="15" hidden="false" customHeight="false" outlineLevel="0" collapsed="false">
      <c r="A129" s="4" t="s">
        <v>931</v>
      </c>
      <c r="B129" s="4" t="n">
        <v>1784914995</v>
      </c>
      <c r="C129" s="4" t="s">
        <v>1403</v>
      </c>
      <c r="D129" s="4" t="n">
        <v>60</v>
      </c>
      <c r="E129" s="12" t="n">
        <f aca="false">IF(OR(C129="active",C129="ended"),1,0)</f>
        <v>1</v>
      </c>
      <c r="F129" s="4" t="s">
        <v>1535</v>
      </c>
    </row>
    <row r="130" customFormat="false" ht="15" hidden="false" customHeight="false" outlineLevel="0" collapsed="false">
      <c r="A130" s="4" t="s">
        <v>1049</v>
      </c>
      <c r="B130" s="4" t="n">
        <v>1784959516</v>
      </c>
      <c r="C130" s="4" t="s">
        <v>1403</v>
      </c>
      <c r="D130" s="4" t="n">
        <v>1014</v>
      </c>
      <c r="E130" s="12" t="n">
        <f aca="false">IF(OR(C130="active",C130="ended"),1,0)</f>
        <v>1</v>
      </c>
      <c r="F130" s="4" t="s">
        <v>1536</v>
      </c>
    </row>
    <row r="131" customFormat="false" ht="15" hidden="false" customHeight="false" outlineLevel="0" collapsed="false">
      <c r="A131" s="4" t="s">
        <v>1079</v>
      </c>
      <c r="B131" s="4" t="n">
        <v>1784970924</v>
      </c>
      <c r="C131" s="4" t="s">
        <v>1403</v>
      </c>
      <c r="D131" s="4" t="n">
        <v>60</v>
      </c>
      <c r="E131" s="12" t="n">
        <f aca="false">IF(OR(C131="active",C131="ended"),1,0)</f>
        <v>1</v>
      </c>
      <c r="F131" s="4" t="s">
        <v>1537</v>
      </c>
    </row>
    <row r="132" customFormat="false" ht="15" hidden="false" customHeight="false" outlineLevel="0" collapsed="false">
      <c r="A132" s="4" t="s">
        <v>1087</v>
      </c>
      <c r="B132" s="4" t="n">
        <v>1785017737</v>
      </c>
      <c r="C132" s="4" t="s">
        <v>1403</v>
      </c>
      <c r="D132" s="4" t="n">
        <v>312</v>
      </c>
      <c r="E132" s="12" t="n">
        <f aca="false">IF(OR(C132="active",C132="ended"),1,0)</f>
        <v>1</v>
      </c>
      <c r="F132" s="4" t="s">
        <v>1538</v>
      </c>
    </row>
    <row r="133" customFormat="false" ht="15" hidden="false" customHeight="false" outlineLevel="0" collapsed="false">
      <c r="A133" s="4" t="s">
        <v>1081</v>
      </c>
      <c r="B133" s="4" t="n">
        <v>1785084737</v>
      </c>
      <c r="C133" s="4" t="s">
        <v>1403</v>
      </c>
      <c r="D133" s="4" t="n">
        <v>60</v>
      </c>
      <c r="E133" s="12" t="n">
        <f aca="false">IF(OR(C133="active",C133="ended"),1,0)</f>
        <v>1</v>
      </c>
      <c r="F133" s="4" t="s">
        <v>1539</v>
      </c>
    </row>
    <row r="134" customFormat="false" ht="15" hidden="false" customHeight="false" outlineLevel="0" collapsed="false">
      <c r="A134" s="4" t="s">
        <v>1540</v>
      </c>
      <c r="B134" s="4" t="n">
        <v>1785211418</v>
      </c>
      <c r="C134" s="4" t="s">
        <v>1403</v>
      </c>
      <c r="D134" s="4" t="n">
        <v>48</v>
      </c>
      <c r="E134" s="12" t="n">
        <f aca="false">IF(OR(C134="active",C134="ended"),1,0)</f>
        <v>1</v>
      </c>
      <c r="F134" s="4" t="s">
        <v>1541</v>
      </c>
    </row>
    <row r="135" customFormat="false" ht="15" hidden="false" customHeight="false" outlineLevel="0" collapsed="false">
      <c r="A135" s="4" t="s">
        <v>915</v>
      </c>
      <c r="B135" s="4" t="n">
        <v>1785235623</v>
      </c>
      <c r="C135" s="4" t="s">
        <v>1403</v>
      </c>
      <c r="D135" s="4" t="n">
        <v>36</v>
      </c>
      <c r="E135" s="12" t="n">
        <f aca="false">IF(OR(C135="active",C135="ended"),1,0)</f>
        <v>1</v>
      </c>
      <c r="F135" s="4" t="s">
        <v>1542</v>
      </c>
    </row>
    <row r="136" customFormat="false" ht="15" hidden="false" customHeight="false" outlineLevel="0" collapsed="false">
      <c r="A136" s="4" t="s">
        <v>1543</v>
      </c>
      <c r="B136" s="4" t="n">
        <v>1785278491</v>
      </c>
      <c r="C136" s="4" t="s">
        <v>1405</v>
      </c>
      <c r="D136" s="4" t="n">
        <v>144</v>
      </c>
      <c r="E136" s="12" t="n">
        <f aca="false">IF(OR(C136="active",C136="ended"),1,0)</f>
        <v>1</v>
      </c>
      <c r="F136" s="4" t="s">
        <v>1544</v>
      </c>
    </row>
    <row r="137" customFormat="false" ht="15" hidden="false" customHeight="false" outlineLevel="0" collapsed="false">
      <c r="A137" s="4" t="s">
        <v>979</v>
      </c>
      <c r="B137" s="4" t="n">
        <v>1785287713</v>
      </c>
      <c r="C137" s="4" t="s">
        <v>1416</v>
      </c>
      <c r="D137" s="4" t="n">
        <v>72</v>
      </c>
      <c r="E137" s="12" t="n">
        <f aca="false">IF(OR(C137="active",C137="ended"),1,0)</f>
        <v>0</v>
      </c>
      <c r="F137" s="4" t="s">
        <v>1545</v>
      </c>
    </row>
    <row r="138" customFormat="false" ht="15" hidden="false" customHeight="false" outlineLevel="0" collapsed="false">
      <c r="A138" s="4" t="s">
        <v>811</v>
      </c>
      <c r="B138" s="4" t="n">
        <v>1785385482</v>
      </c>
      <c r="C138" s="4" t="s">
        <v>1403</v>
      </c>
      <c r="D138" s="4" t="n">
        <v>180</v>
      </c>
      <c r="E138" s="12" t="n">
        <f aca="false">IF(OR(C138="active",C138="ended"),1,0)</f>
        <v>1</v>
      </c>
      <c r="F138" s="4" t="s">
        <v>1546</v>
      </c>
    </row>
    <row r="139" customFormat="false" ht="15" hidden="false" customHeight="false" outlineLevel="0" collapsed="false">
      <c r="A139" s="4" t="s">
        <v>1547</v>
      </c>
      <c r="B139" s="4" t="n">
        <v>1785439852</v>
      </c>
      <c r="C139" s="4" t="s">
        <v>1403</v>
      </c>
      <c r="D139" s="4" t="n">
        <v>975</v>
      </c>
      <c r="E139" s="12" t="n">
        <f aca="false">IF(OR(C139="active",C139="ended"),1,0)</f>
        <v>1</v>
      </c>
      <c r="F139" s="4" t="s">
        <v>1548</v>
      </c>
    </row>
    <row r="140" customFormat="false" ht="15" hidden="false" customHeight="false" outlineLevel="0" collapsed="false">
      <c r="A140" s="4" t="s">
        <v>841</v>
      </c>
      <c r="B140" s="4" t="n">
        <v>1785545432</v>
      </c>
      <c r="C140" s="4" t="s">
        <v>1403</v>
      </c>
      <c r="D140" s="4" t="n">
        <v>132</v>
      </c>
      <c r="E140" s="12" t="n">
        <f aca="false">IF(OR(C140="active",C140="ended"),1,0)</f>
        <v>1</v>
      </c>
      <c r="F140" s="4" t="s">
        <v>1549</v>
      </c>
    </row>
    <row r="141" customFormat="false" ht="15" hidden="false" customHeight="false" outlineLevel="0" collapsed="false">
      <c r="A141" s="4" t="s">
        <v>819</v>
      </c>
      <c r="B141" s="4" t="n">
        <v>1785605677</v>
      </c>
      <c r="C141" s="4" t="s">
        <v>1405</v>
      </c>
      <c r="D141" s="4" t="n">
        <v>1521</v>
      </c>
      <c r="E141" s="12" t="n">
        <f aca="false">IF(OR(C141="active",C141="ended"),1,0)</f>
        <v>1</v>
      </c>
      <c r="F141" s="4" t="s">
        <v>1550</v>
      </c>
    </row>
    <row r="142" customFormat="false" ht="15" hidden="false" customHeight="false" outlineLevel="0" collapsed="false">
      <c r="A142" s="4" t="s">
        <v>831</v>
      </c>
      <c r="B142" s="4" t="n">
        <v>1785647050</v>
      </c>
      <c r="C142" s="4" t="s">
        <v>1403</v>
      </c>
      <c r="D142" s="4" t="n">
        <v>711</v>
      </c>
      <c r="E142" s="12" t="n">
        <f aca="false">IF(OR(C142="active",C142="ended"),1,0)</f>
        <v>1</v>
      </c>
      <c r="F142" s="4" t="s">
        <v>1551</v>
      </c>
    </row>
    <row r="143" customFormat="false" ht="15" hidden="false" customHeight="false" outlineLevel="0" collapsed="false">
      <c r="A143" s="4" t="s">
        <v>1552</v>
      </c>
      <c r="B143" s="4" t="n">
        <v>1785885108</v>
      </c>
      <c r="C143" s="4" t="s">
        <v>1403</v>
      </c>
      <c r="D143" s="4" t="n">
        <v>1131</v>
      </c>
      <c r="E143" s="12" t="n">
        <f aca="false">IF(OR(C143="active",C143="ended"),1,0)</f>
        <v>1</v>
      </c>
      <c r="F143" s="4" t="s">
        <v>1553</v>
      </c>
    </row>
    <row r="144" customFormat="false" ht="15" hidden="false" customHeight="false" outlineLevel="0" collapsed="false">
      <c r="A144" s="4" t="s">
        <v>973</v>
      </c>
      <c r="B144" s="4" t="n">
        <v>1785885988</v>
      </c>
      <c r="C144" s="4" t="s">
        <v>1403</v>
      </c>
      <c r="D144" s="4" t="n">
        <v>390</v>
      </c>
      <c r="E144" s="12" t="n">
        <f aca="false">IF(OR(C144="active",C144="ended"),1,0)</f>
        <v>1</v>
      </c>
      <c r="F144" s="4" t="s">
        <v>1554</v>
      </c>
    </row>
    <row r="145" customFormat="false" ht="15" hidden="false" customHeight="false" outlineLevel="0" collapsed="false">
      <c r="A145" s="4" t="s">
        <v>1555</v>
      </c>
      <c r="B145" s="4" t="n">
        <v>1785898743</v>
      </c>
      <c r="C145" s="4" t="s">
        <v>1403</v>
      </c>
      <c r="D145" s="4" t="n">
        <v>96</v>
      </c>
      <c r="E145" s="12" t="n">
        <f aca="false">IF(OR(C145="active",C145="ended"),1,0)</f>
        <v>1</v>
      </c>
      <c r="F145" s="4" t="s">
        <v>1556</v>
      </c>
    </row>
    <row r="146" customFormat="false" ht="15" hidden="false" customHeight="false" outlineLevel="0" collapsed="false">
      <c r="A146" s="4" t="s">
        <v>1557</v>
      </c>
      <c r="B146" s="4" t="n">
        <v>1785931674</v>
      </c>
      <c r="C146" s="4" t="s">
        <v>1403</v>
      </c>
      <c r="D146" s="4" t="n">
        <v>48</v>
      </c>
      <c r="E146" s="12" t="n">
        <f aca="false">IF(OR(C146="active",C146="ended"),1,0)</f>
        <v>1</v>
      </c>
      <c r="F146" s="4" t="s">
        <v>1558</v>
      </c>
    </row>
    <row r="147" customFormat="false" ht="15" hidden="false" customHeight="false" outlineLevel="0" collapsed="false">
      <c r="A147" s="4" t="s">
        <v>907</v>
      </c>
      <c r="B147" s="4" t="n">
        <v>1785944445</v>
      </c>
      <c r="C147" s="4" t="s">
        <v>1403</v>
      </c>
      <c r="D147" s="4" t="n">
        <v>168</v>
      </c>
      <c r="E147" s="12" t="n">
        <f aca="false">IF(OR(C147="active",C147="ended"),1,0)</f>
        <v>1</v>
      </c>
      <c r="F147" s="4" t="s">
        <v>1559</v>
      </c>
    </row>
    <row r="148" customFormat="false" ht="15" hidden="false" customHeight="false" outlineLevel="0" collapsed="false">
      <c r="A148" s="4" t="s">
        <v>1560</v>
      </c>
      <c r="B148" s="4" t="n">
        <v>1785972091</v>
      </c>
      <c r="C148" s="4" t="s">
        <v>1403</v>
      </c>
      <c r="D148" s="4" t="n">
        <v>168</v>
      </c>
      <c r="E148" s="12" t="n">
        <f aca="false">IF(OR(C148="active",C148="ended"),1,0)</f>
        <v>1</v>
      </c>
      <c r="F148" s="4" t="s">
        <v>1561</v>
      </c>
    </row>
    <row r="149" customFormat="false" ht="15" hidden="false" customHeight="false" outlineLevel="0" collapsed="false">
      <c r="A149" s="4" t="s">
        <v>1092</v>
      </c>
      <c r="B149" s="4" t="n">
        <v>1786047235</v>
      </c>
      <c r="C149" s="4" t="s">
        <v>1403</v>
      </c>
      <c r="D149" s="4" t="n">
        <v>585</v>
      </c>
      <c r="E149" s="12" t="n">
        <f aca="false">IF(OR(C149="active",C149="ended"),1,0)</f>
        <v>1</v>
      </c>
      <c r="F149" s="4" t="s">
        <v>1562</v>
      </c>
    </row>
    <row r="150" customFormat="false" ht="15" hidden="false" customHeight="false" outlineLevel="0" collapsed="false">
      <c r="A150" s="4" t="s">
        <v>927</v>
      </c>
      <c r="B150" s="4" t="n">
        <v>1786059164</v>
      </c>
      <c r="C150" s="4" t="s">
        <v>1403</v>
      </c>
      <c r="D150" s="4" t="n">
        <v>96</v>
      </c>
      <c r="E150" s="12" t="n">
        <f aca="false">IF(OR(C150="active",C150="ended"),1,0)</f>
        <v>1</v>
      </c>
      <c r="F150" s="4" t="s">
        <v>1563</v>
      </c>
    </row>
    <row r="151" customFormat="false" ht="15" hidden="false" customHeight="false" outlineLevel="0" collapsed="false">
      <c r="A151" s="4" t="s">
        <v>1102</v>
      </c>
      <c r="B151" s="4" t="n">
        <v>1786159751</v>
      </c>
      <c r="C151" s="4" t="s">
        <v>1403</v>
      </c>
      <c r="D151" s="4" t="n">
        <v>468</v>
      </c>
      <c r="E151" s="12" t="n">
        <f aca="false">IF(OR(C151="active",C151="ended"),1,0)</f>
        <v>1</v>
      </c>
      <c r="F151" s="4" t="s">
        <v>1564</v>
      </c>
    </row>
    <row r="152" customFormat="false" ht="15" hidden="false" customHeight="false" outlineLevel="0" collapsed="false">
      <c r="A152" s="4" t="s">
        <v>1108</v>
      </c>
      <c r="B152" s="4" t="n">
        <v>1786200847</v>
      </c>
      <c r="C152" s="4" t="s">
        <v>1416</v>
      </c>
      <c r="D152" s="4" t="n">
        <v>1092</v>
      </c>
      <c r="E152" s="12" t="n">
        <f aca="false">IF(OR(C152="active",C152="ended"),1,0)</f>
        <v>0</v>
      </c>
      <c r="F152" s="4" t="s">
        <v>1565</v>
      </c>
    </row>
    <row r="153" customFormat="false" ht="15" hidden="false" customHeight="false" outlineLevel="0" collapsed="false">
      <c r="A153" s="4" t="s">
        <v>1096</v>
      </c>
      <c r="B153" s="4" t="n">
        <v>1786307178</v>
      </c>
      <c r="C153" s="4" t="s">
        <v>1403</v>
      </c>
      <c r="D153" s="4" t="n">
        <v>585</v>
      </c>
      <c r="E153" s="12" t="n">
        <f aca="false">IF(OR(C153="active",C153="ended"),1,0)</f>
        <v>1</v>
      </c>
      <c r="F153" s="4" t="s">
        <v>1566</v>
      </c>
    </row>
    <row r="154" customFormat="false" ht="15" hidden="false" customHeight="false" outlineLevel="0" collapsed="false">
      <c r="A154" s="4" t="s">
        <v>1567</v>
      </c>
      <c r="B154" s="4" t="n">
        <v>1786327566</v>
      </c>
      <c r="C154" s="4" t="s">
        <v>1403</v>
      </c>
      <c r="D154" s="4" t="n">
        <v>48</v>
      </c>
      <c r="E154" s="12" t="n">
        <f aca="false">IF(OR(C154="active",C154="ended"),1,0)</f>
        <v>1</v>
      </c>
      <c r="F154" s="4" t="s">
        <v>1568</v>
      </c>
    </row>
    <row r="155" customFormat="false" ht="15" hidden="false" customHeight="false" outlineLevel="0" collapsed="false">
      <c r="A155" s="4" t="s">
        <v>637</v>
      </c>
      <c r="B155" s="4" t="n">
        <v>1786374565</v>
      </c>
      <c r="C155" s="4" t="s">
        <v>1403</v>
      </c>
      <c r="D155" s="4" t="n">
        <v>780</v>
      </c>
      <c r="E155" s="12" t="n">
        <f aca="false">IF(OR(C155="active",C155="ended"),1,0)</f>
        <v>1</v>
      </c>
      <c r="F155" s="4" t="s">
        <v>1569</v>
      </c>
    </row>
    <row r="156" customFormat="false" ht="15" hidden="false" customHeight="false" outlineLevel="0" collapsed="false">
      <c r="A156" s="4" t="s">
        <v>1116</v>
      </c>
      <c r="B156" s="4" t="n">
        <v>1786406613</v>
      </c>
      <c r="C156" s="4" t="s">
        <v>1403</v>
      </c>
      <c r="D156" s="4" t="n">
        <v>132</v>
      </c>
      <c r="E156" s="12" t="n">
        <f aca="false">IF(OR(C156="active",C156="ended"),1,0)</f>
        <v>1</v>
      </c>
      <c r="F156" s="4" t="s">
        <v>1570</v>
      </c>
    </row>
    <row r="157" customFormat="false" ht="15" hidden="false" customHeight="false" outlineLevel="0" collapsed="false">
      <c r="A157" s="4" t="s">
        <v>1142</v>
      </c>
      <c r="B157" s="4" t="n">
        <v>1786655021</v>
      </c>
      <c r="C157" s="4" t="s">
        <v>1403</v>
      </c>
      <c r="D157" s="4" t="n">
        <v>144</v>
      </c>
      <c r="E157" s="12" t="n">
        <f aca="false">IF(OR(C157="active",C157="ended"),1,0)</f>
        <v>1</v>
      </c>
      <c r="F157" s="4" t="s">
        <v>1571</v>
      </c>
    </row>
    <row r="158" customFormat="false" ht="15" hidden="false" customHeight="false" outlineLevel="0" collapsed="false">
      <c r="A158" s="4" t="s">
        <v>1146</v>
      </c>
      <c r="B158" s="4" t="n">
        <v>1786790533</v>
      </c>
      <c r="C158" s="4" t="s">
        <v>1403</v>
      </c>
      <c r="D158" s="4" t="n">
        <v>120</v>
      </c>
      <c r="E158" s="12" t="n">
        <f aca="false">IF(OR(C158="active",C158="ended"),1,0)</f>
        <v>1</v>
      </c>
      <c r="F158" s="4" t="s">
        <v>1572</v>
      </c>
    </row>
    <row r="159" customFormat="false" ht="15" hidden="false" customHeight="false" outlineLevel="0" collapsed="false">
      <c r="A159" s="4" t="s">
        <v>1132</v>
      </c>
      <c r="B159" s="4" t="n">
        <v>1786892004</v>
      </c>
      <c r="C159" s="4" t="s">
        <v>1405</v>
      </c>
      <c r="D159" s="4" t="n">
        <v>48</v>
      </c>
      <c r="E159" s="12" t="n">
        <f aca="false">IF(OR(C159="active",C159="ended"),1,0)</f>
        <v>1</v>
      </c>
      <c r="F159" s="4" t="s">
        <v>1573</v>
      </c>
    </row>
    <row r="160" customFormat="false" ht="15" hidden="false" customHeight="false" outlineLevel="0" collapsed="false">
      <c r="A160" s="4" t="s">
        <v>1112</v>
      </c>
      <c r="B160" s="4" t="n">
        <v>1786910112</v>
      </c>
      <c r="C160" s="4" t="s">
        <v>1403</v>
      </c>
      <c r="D160" s="4" t="n">
        <v>1170</v>
      </c>
      <c r="E160" s="12" t="n">
        <f aca="false">IF(OR(C160="active",C160="ended"),1,0)</f>
        <v>1</v>
      </c>
      <c r="F160" s="4" t="s">
        <v>1574</v>
      </c>
    </row>
    <row r="161" customFormat="false" ht="15" hidden="false" customHeight="false" outlineLevel="0" collapsed="false">
      <c r="A161" s="4" t="s">
        <v>1138</v>
      </c>
      <c r="B161" s="4" t="n">
        <v>1786953387</v>
      </c>
      <c r="C161" s="4" t="s">
        <v>1403</v>
      </c>
      <c r="D161" s="4" t="n">
        <v>84</v>
      </c>
      <c r="E161" s="12" t="n">
        <f aca="false">IF(OR(C161="active",C161="ended"),1,0)</f>
        <v>1</v>
      </c>
      <c r="F161" s="4" t="s">
        <v>1575</v>
      </c>
    </row>
    <row r="162" customFormat="false" ht="15" hidden="false" customHeight="false" outlineLevel="0" collapsed="false">
      <c r="A162" s="4" t="s">
        <v>1162</v>
      </c>
      <c r="B162" s="4" t="n">
        <v>1787146399</v>
      </c>
      <c r="C162" s="4" t="s">
        <v>1403</v>
      </c>
      <c r="D162" s="4" t="n">
        <v>975</v>
      </c>
      <c r="E162" s="12" t="n">
        <f aca="false">IF(OR(C162="active",C162="ended"),1,0)</f>
        <v>1</v>
      </c>
      <c r="F162" s="4" t="s">
        <v>1576</v>
      </c>
    </row>
    <row r="163" customFormat="false" ht="15" hidden="false" customHeight="false" outlineLevel="0" collapsed="false">
      <c r="A163" s="4" t="s">
        <v>1083</v>
      </c>
      <c r="B163" s="4" t="n">
        <v>1787233719</v>
      </c>
      <c r="C163" s="4" t="s">
        <v>1403</v>
      </c>
      <c r="D163" s="4" t="n">
        <v>120</v>
      </c>
      <c r="E163" s="12" t="n">
        <f aca="false">IF(OR(C163="active",C163="ended"),1,0)</f>
        <v>1</v>
      </c>
      <c r="F163" s="4" t="s">
        <v>1577</v>
      </c>
    </row>
    <row r="164" customFormat="false" ht="15" hidden="false" customHeight="false" outlineLevel="0" collapsed="false">
      <c r="A164" s="4" t="s">
        <v>1174</v>
      </c>
      <c r="B164" s="4" t="n">
        <v>1787242070</v>
      </c>
      <c r="C164" s="4" t="s">
        <v>1403</v>
      </c>
      <c r="D164" s="4" t="n">
        <v>132</v>
      </c>
      <c r="E164" s="12" t="n">
        <f aca="false">IF(OR(C164="active",C164="ended"),1,0)</f>
        <v>1</v>
      </c>
      <c r="F164" s="4" t="s">
        <v>1578</v>
      </c>
    </row>
    <row r="165" customFormat="false" ht="15" hidden="false" customHeight="false" outlineLevel="0" collapsed="false">
      <c r="A165" s="4" t="s">
        <v>1150</v>
      </c>
      <c r="B165" s="4" t="n">
        <v>1787335048</v>
      </c>
      <c r="C165" s="4" t="s">
        <v>1403</v>
      </c>
      <c r="D165" s="4" t="n">
        <v>1287</v>
      </c>
      <c r="E165" s="12" t="n">
        <f aca="false">IF(OR(C165="active",C165="ended"),1,0)</f>
        <v>1</v>
      </c>
      <c r="F165" s="4" t="s">
        <v>1579</v>
      </c>
    </row>
    <row r="166" customFormat="false" ht="15" hidden="false" customHeight="false" outlineLevel="0" collapsed="false">
      <c r="A166" s="4" t="s">
        <v>1156</v>
      </c>
      <c r="B166" s="4" t="n">
        <v>1787360007</v>
      </c>
      <c r="C166" s="4" t="s">
        <v>1403</v>
      </c>
      <c r="D166" s="4" t="n">
        <v>468</v>
      </c>
      <c r="E166" s="12" t="n">
        <f aca="false">IF(OR(C166="active",C166="ended"),1,0)</f>
        <v>1</v>
      </c>
      <c r="F166" s="4" t="s">
        <v>1580</v>
      </c>
    </row>
    <row r="167" customFormat="false" ht="15" hidden="false" customHeight="false" outlineLevel="0" collapsed="false">
      <c r="A167" s="4" t="s">
        <v>767</v>
      </c>
      <c r="B167" s="4" t="n">
        <v>1787589771</v>
      </c>
      <c r="C167" s="4" t="s">
        <v>1403</v>
      </c>
      <c r="D167" s="4" t="n">
        <v>36</v>
      </c>
      <c r="E167" s="12" t="n">
        <f aca="false">IF(OR(C167="active",C167="ended"),1,0)</f>
        <v>1</v>
      </c>
      <c r="F167" s="4" t="s">
        <v>1581</v>
      </c>
    </row>
    <row r="168" customFormat="false" ht="15" hidden="false" customHeight="false" outlineLevel="0" collapsed="false">
      <c r="A168" s="4" t="s">
        <v>1582</v>
      </c>
      <c r="B168" s="4" t="n">
        <v>1787628341</v>
      </c>
      <c r="C168" s="4" t="s">
        <v>1403</v>
      </c>
      <c r="D168" s="4" t="n">
        <v>1248</v>
      </c>
      <c r="E168" s="12" t="n">
        <f aca="false">IF(OR(C168="active",C168="ended"),1,0)</f>
        <v>1</v>
      </c>
      <c r="F168" s="4" t="s">
        <v>1583</v>
      </c>
    </row>
    <row r="169" customFormat="false" ht="15" hidden="false" customHeight="false" outlineLevel="0" collapsed="false">
      <c r="A169" s="4" t="s">
        <v>1184</v>
      </c>
      <c r="B169" s="4" t="n">
        <v>1787725597</v>
      </c>
      <c r="C169" s="4" t="s">
        <v>1405</v>
      </c>
      <c r="D169" s="4" t="n">
        <v>663</v>
      </c>
      <c r="E169" s="12" t="n">
        <f aca="false">IF(OR(C169="active",C169="ended"),1,0)</f>
        <v>1</v>
      </c>
      <c r="F169" s="4" t="s">
        <v>1584</v>
      </c>
    </row>
    <row r="170" customFormat="false" ht="15" hidden="false" customHeight="false" outlineLevel="0" collapsed="false">
      <c r="A170" s="4" t="s">
        <v>1182</v>
      </c>
      <c r="B170" s="4" t="n">
        <v>1787796926</v>
      </c>
      <c r="C170" s="4" t="s">
        <v>1403</v>
      </c>
      <c r="D170" s="4" t="n">
        <v>168</v>
      </c>
      <c r="E170" s="12" t="n">
        <f aca="false">IF(OR(C170="active",C170="ended"),1,0)</f>
        <v>1</v>
      </c>
      <c r="F170" s="4" t="s">
        <v>1585</v>
      </c>
    </row>
    <row r="171" customFormat="false" ht="15" hidden="false" customHeight="false" outlineLevel="0" collapsed="false">
      <c r="A171" s="4" t="s">
        <v>1192</v>
      </c>
      <c r="B171" s="4" t="n">
        <v>1788120528</v>
      </c>
      <c r="C171" s="4" t="s">
        <v>1403</v>
      </c>
      <c r="D171" s="4" t="n">
        <v>1170</v>
      </c>
      <c r="E171" s="12" t="n">
        <f aca="false">IF(OR(C171="active",C171="ended"),1,0)</f>
        <v>1</v>
      </c>
      <c r="F171" s="4" t="s">
        <v>1586</v>
      </c>
    </row>
    <row r="172" customFormat="false" ht="15" hidden="false" customHeight="false" outlineLevel="0" collapsed="false">
      <c r="A172" s="4" t="s">
        <v>789</v>
      </c>
      <c r="B172" s="4" t="n">
        <v>1788165682</v>
      </c>
      <c r="C172" s="4" t="s">
        <v>1403</v>
      </c>
      <c r="D172" s="4" t="n">
        <v>120</v>
      </c>
      <c r="E172" s="12" t="n">
        <f aca="false">IF(OR(C172="active",C172="ended"),1,0)</f>
        <v>1</v>
      </c>
      <c r="F172" s="4" t="s">
        <v>1587</v>
      </c>
    </row>
    <row r="173" customFormat="false" ht="15" hidden="false" customHeight="false" outlineLevel="0" collapsed="false">
      <c r="A173" s="4" t="s">
        <v>977</v>
      </c>
      <c r="B173" s="4" t="n">
        <v>1788190393</v>
      </c>
      <c r="C173" s="4" t="s">
        <v>1403</v>
      </c>
      <c r="D173" s="4" t="n">
        <v>36</v>
      </c>
      <c r="E173" s="12" t="n">
        <f aca="false">IF(OR(C173="active",C173="ended"),1,0)</f>
        <v>1</v>
      </c>
      <c r="F173" s="4" t="s">
        <v>1588</v>
      </c>
    </row>
    <row r="174" customFormat="false" ht="15" hidden="false" customHeight="false" outlineLevel="0" collapsed="false">
      <c r="A174" s="4" t="s">
        <v>1206</v>
      </c>
      <c r="B174" s="4" t="n">
        <v>1788216702</v>
      </c>
      <c r="C174" s="4" t="s">
        <v>1403</v>
      </c>
      <c r="D174" s="4" t="n">
        <v>84</v>
      </c>
      <c r="E174" s="12" t="n">
        <f aca="false">IF(OR(C174="active",C174="ended"),1,0)</f>
        <v>1</v>
      </c>
      <c r="F174" s="4" t="s">
        <v>1589</v>
      </c>
    </row>
    <row r="175" customFormat="false" ht="15" hidden="false" customHeight="false" outlineLevel="0" collapsed="false">
      <c r="A175" s="4" t="s">
        <v>1216</v>
      </c>
      <c r="B175" s="4" t="n">
        <v>1788307204</v>
      </c>
      <c r="C175" s="4" t="s">
        <v>1403</v>
      </c>
      <c r="D175" s="4" t="n">
        <v>168</v>
      </c>
      <c r="E175" s="12" t="n">
        <f aca="false">IF(OR(C175="active",C175="ended"),1,0)</f>
        <v>1</v>
      </c>
      <c r="F175" s="4" t="s">
        <v>1590</v>
      </c>
    </row>
    <row r="176" customFormat="false" ht="15" hidden="false" customHeight="false" outlineLevel="0" collapsed="false">
      <c r="A176" s="4" t="s">
        <v>1226</v>
      </c>
      <c r="B176" s="4" t="n">
        <v>1788384493</v>
      </c>
      <c r="C176" s="4" t="s">
        <v>1403</v>
      </c>
      <c r="D176" s="4" t="n">
        <v>96</v>
      </c>
      <c r="E176" s="12" t="n">
        <f aca="false">IF(OR(C176="active",C176="ended"),1,0)</f>
        <v>1</v>
      </c>
      <c r="F176" s="4" t="s">
        <v>1591</v>
      </c>
    </row>
    <row r="177" customFormat="false" ht="15" hidden="false" customHeight="false" outlineLevel="0" collapsed="false">
      <c r="A177" s="4" t="s">
        <v>1110</v>
      </c>
      <c r="B177" s="4" t="n">
        <v>1788433119</v>
      </c>
      <c r="C177" s="4" t="s">
        <v>1403</v>
      </c>
      <c r="D177" s="4" t="n">
        <v>156</v>
      </c>
      <c r="E177" s="12" t="n">
        <f aca="false">IF(OR(C177="active",C177="ended"),1,0)</f>
        <v>1</v>
      </c>
      <c r="F177" s="4" t="s">
        <v>1592</v>
      </c>
    </row>
    <row r="178" customFormat="false" ht="15" hidden="false" customHeight="false" outlineLevel="0" collapsed="false">
      <c r="A178" s="4" t="s">
        <v>819</v>
      </c>
      <c r="B178" s="4" t="n">
        <v>1788439532</v>
      </c>
      <c r="C178" s="4" t="s">
        <v>1403</v>
      </c>
      <c r="D178" s="4" t="n">
        <v>1569</v>
      </c>
      <c r="E178" s="12" t="n">
        <f aca="false">IF(OR(C178="active",C178="ended"),1,0)</f>
        <v>1</v>
      </c>
      <c r="F178" s="4" t="s">
        <v>1593</v>
      </c>
    </row>
    <row r="179" customFormat="false" ht="15" hidden="false" customHeight="false" outlineLevel="0" collapsed="false">
      <c r="A179" s="4" t="s">
        <v>1222</v>
      </c>
      <c r="B179" s="4" t="n">
        <v>1788578376</v>
      </c>
      <c r="C179" s="4" t="s">
        <v>1403</v>
      </c>
      <c r="D179" s="4" t="n">
        <v>48</v>
      </c>
      <c r="E179" s="12" t="n">
        <f aca="false">IF(OR(C179="active",C179="ended"),1,0)</f>
        <v>1</v>
      </c>
      <c r="F179" s="4" t="s">
        <v>1594</v>
      </c>
    </row>
    <row r="180" customFormat="false" ht="15" hidden="false" customHeight="false" outlineLevel="0" collapsed="false">
      <c r="A180" s="4" t="s">
        <v>1236</v>
      </c>
      <c r="B180" s="4" t="n">
        <v>1788655285</v>
      </c>
      <c r="C180" s="4" t="s">
        <v>1403</v>
      </c>
      <c r="D180" s="4" t="n">
        <v>156</v>
      </c>
      <c r="E180" s="12" t="n">
        <f aca="false">IF(OR(C180="active",C180="ended"),1,0)</f>
        <v>1</v>
      </c>
      <c r="F180" s="4" t="s">
        <v>1595</v>
      </c>
    </row>
    <row r="181" customFormat="false" ht="15" hidden="false" customHeight="false" outlineLevel="0" collapsed="false">
      <c r="A181" s="4" t="s">
        <v>1224</v>
      </c>
      <c r="B181" s="4" t="n">
        <v>1788776493</v>
      </c>
      <c r="C181" s="4" t="s">
        <v>1403</v>
      </c>
      <c r="D181" s="4" t="n">
        <v>120</v>
      </c>
      <c r="E181" s="12" t="n">
        <f aca="false">IF(OR(C181="active",C181="ended"),1,0)</f>
        <v>1</v>
      </c>
      <c r="F181" s="4" t="s">
        <v>1596</v>
      </c>
    </row>
    <row r="182" customFormat="false" ht="15" hidden="false" customHeight="false" outlineLevel="0" collapsed="false">
      <c r="A182" s="4" t="s">
        <v>1230</v>
      </c>
      <c r="B182" s="4" t="n">
        <v>1788789607</v>
      </c>
      <c r="C182" s="4" t="s">
        <v>1403</v>
      </c>
      <c r="D182" s="4" t="n">
        <v>108</v>
      </c>
      <c r="E182" s="12" t="n">
        <f aca="false">IF(OR(C182="active",C182="ended"),1,0)</f>
        <v>1</v>
      </c>
      <c r="F182" s="4" t="s">
        <v>1597</v>
      </c>
    </row>
    <row r="183" customFormat="false" ht="15" hidden="false" customHeight="false" outlineLevel="0" collapsed="false">
      <c r="A183" s="4" t="s">
        <v>1252</v>
      </c>
      <c r="B183" s="4" t="n">
        <v>1788794728</v>
      </c>
      <c r="C183" s="4" t="s">
        <v>1403</v>
      </c>
      <c r="D183" s="4" t="n">
        <v>72</v>
      </c>
      <c r="E183" s="12" t="n">
        <f aca="false">IF(OR(C183="active",C183="ended"),1,0)</f>
        <v>1</v>
      </c>
      <c r="F183" s="4" t="s">
        <v>1598</v>
      </c>
    </row>
    <row r="184" customFormat="false" ht="15" hidden="false" customHeight="false" outlineLevel="0" collapsed="false">
      <c r="A184" s="4" t="s">
        <v>1242</v>
      </c>
      <c r="B184" s="4" t="n">
        <v>1788825319</v>
      </c>
      <c r="C184" s="4" t="s">
        <v>1403</v>
      </c>
      <c r="D184" s="4" t="n">
        <v>72</v>
      </c>
      <c r="E184" s="12" t="n">
        <f aca="false">IF(OR(C184="active",C184="ended"),1,0)</f>
        <v>1</v>
      </c>
      <c r="F184" s="4" t="s">
        <v>1599</v>
      </c>
    </row>
    <row r="185" customFormat="false" ht="15" hidden="false" customHeight="false" outlineLevel="0" collapsed="false">
      <c r="A185" s="4" t="s">
        <v>1244</v>
      </c>
      <c r="B185" s="4" t="n">
        <v>1788952568</v>
      </c>
      <c r="C185" s="4" t="s">
        <v>1403</v>
      </c>
      <c r="D185" s="4" t="n">
        <v>741</v>
      </c>
      <c r="E185" s="12" t="n">
        <f aca="false">IF(OR(C185="active",C185="ended"),1,0)</f>
        <v>1</v>
      </c>
      <c r="F185" s="4" t="s">
        <v>1600</v>
      </c>
    </row>
    <row r="186" customFormat="false" ht="15" hidden="false" customHeight="false" outlineLevel="0" collapsed="false">
      <c r="A186" s="4" t="s">
        <v>1282</v>
      </c>
      <c r="B186" s="4" t="n">
        <v>1788963277</v>
      </c>
      <c r="C186" s="4" t="s">
        <v>1403</v>
      </c>
      <c r="D186" s="4" t="n">
        <v>1287</v>
      </c>
      <c r="E186" s="12" t="n">
        <f aca="false">IF(OR(C186="active",C186="ended"),1,0)</f>
        <v>1</v>
      </c>
      <c r="F186" s="4" t="s">
        <v>1601</v>
      </c>
    </row>
    <row r="187" customFormat="false" ht="15" hidden="false" customHeight="false" outlineLevel="0" collapsed="false">
      <c r="A187" s="4" t="s">
        <v>1190</v>
      </c>
      <c r="B187" s="4" t="n">
        <v>1788969017</v>
      </c>
      <c r="C187" s="4" t="s">
        <v>1403</v>
      </c>
      <c r="D187" s="4" t="n">
        <v>1326</v>
      </c>
      <c r="E187" s="12" t="n">
        <f aca="false">IF(OR(C187="active",C187="ended"),1,0)</f>
        <v>1</v>
      </c>
      <c r="F187" s="4" t="s">
        <v>1602</v>
      </c>
    </row>
    <row r="188" customFormat="false" ht="15" hidden="false" customHeight="false" outlineLevel="0" collapsed="false">
      <c r="A188" s="4" t="s">
        <v>1166</v>
      </c>
      <c r="B188" s="4" t="n">
        <v>1789052241</v>
      </c>
      <c r="C188" s="4" t="s">
        <v>1403</v>
      </c>
      <c r="D188" s="4" t="n">
        <v>702</v>
      </c>
      <c r="E188" s="12" t="n">
        <f aca="false">IF(OR(C188="active",C188="ended"),1,0)</f>
        <v>1</v>
      </c>
      <c r="F188" s="4" t="s">
        <v>1603</v>
      </c>
    </row>
    <row r="189" customFormat="false" ht="15" hidden="false" customHeight="false" outlineLevel="0" collapsed="false">
      <c r="A189" s="4" t="s">
        <v>1254</v>
      </c>
      <c r="B189" s="4" t="n">
        <v>1789109627</v>
      </c>
      <c r="C189" s="4" t="s">
        <v>1416</v>
      </c>
      <c r="D189" s="4" t="n">
        <v>156</v>
      </c>
      <c r="E189" s="12" t="n">
        <f aca="false">IF(OR(C189="active",C189="ended"),1,0)</f>
        <v>0</v>
      </c>
      <c r="F189" s="4" t="s">
        <v>1604</v>
      </c>
    </row>
    <row r="190" customFormat="false" ht="15" hidden="false" customHeight="false" outlineLevel="0" collapsed="false">
      <c r="A190" s="4" t="s">
        <v>1284</v>
      </c>
      <c r="B190" s="4" t="n">
        <v>1789185904</v>
      </c>
      <c r="C190" s="4" t="s">
        <v>1403</v>
      </c>
      <c r="D190" s="4" t="n">
        <v>108</v>
      </c>
      <c r="E190" s="12" t="n">
        <f aca="false">IF(OR(C190="active",C190="ended"),1,0)</f>
        <v>1</v>
      </c>
      <c r="F190" s="4" t="s">
        <v>1605</v>
      </c>
    </row>
    <row r="191" customFormat="false" ht="15" hidden="false" customHeight="false" outlineLevel="0" collapsed="false">
      <c r="A191" s="4" t="s">
        <v>1276</v>
      </c>
      <c r="B191" s="4" t="n">
        <v>1789260709</v>
      </c>
      <c r="C191" s="4" t="s">
        <v>1403</v>
      </c>
      <c r="D191" s="4" t="n">
        <v>132</v>
      </c>
      <c r="E191" s="12" t="n">
        <f aca="false">IF(OR(C191="active",C191="ended"),1,0)</f>
        <v>1</v>
      </c>
      <c r="F191" s="4" t="s">
        <v>1606</v>
      </c>
    </row>
    <row r="192" customFormat="false" ht="15" hidden="false" customHeight="false" outlineLevel="0" collapsed="false">
      <c r="A192" s="4" t="s">
        <v>809</v>
      </c>
      <c r="B192" s="4" t="n">
        <v>1789312637</v>
      </c>
      <c r="C192" s="4" t="s">
        <v>1403</v>
      </c>
      <c r="D192" s="4" t="n">
        <v>663</v>
      </c>
      <c r="E192" s="12" t="n">
        <f aca="false">IF(OR(C192="active",C192="ended"),1,0)</f>
        <v>1</v>
      </c>
      <c r="F192" s="4" t="s">
        <v>1607</v>
      </c>
    </row>
    <row r="193" customFormat="false" ht="15" hidden="false" customHeight="false" outlineLevel="0" collapsed="false">
      <c r="A193" s="4" t="s">
        <v>1286</v>
      </c>
      <c r="B193" s="4" t="n">
        <v>1789342942</v>
      </c>
      <c r="C193" s="4" t="s">
        <v>1403</v>
      </c>
      <c r="D193" s="4" t="n">
        <v>48</v>
      </c>
      <c r="E193" s="12" t="n">
        <f aca="false">IF(OR(C193="active",C193="ended"),1,0)</f>
        <v>1</v>
      </c>
      <c r="F193" s="4" t="s">
        <v>1608</v>
      </c>
    </row>
    <row r="194" customFormat="false" ht="15" hidden="false" customHeight="false" outlineLevel="0" collapsed="false">
      <c r="A194" s="4" t="s">
        <v>1294</v>
      </c>
      <c r="B194" s="4" t="n">
        <v>1789410442</v>
      </c>
      <c r="C194" s="4" t="s">
        <v>1403</v>
      </c>
      <c r="D194" s="4" t="n">
        <v>108</v>
      </c>
      <c r="E194" s="12" t="n">
        <f aca="false">IF(OR(C194="active",C194="ended"),1,0)</f>
        <v>1</v>
      </c>
      <c r="F194" s="4" t="s">
        <v>1609</v>
      </c>
    </row>
    <row r="195" customFormat="false" ht="15" hidden="false" customHeight="false" outlineLevel="0" collapsed="false">
      <c r="A195" s="4" t="s">
        <v>1272</v>
      </c>
      <c r="B195" s="4" t="n">
        <v>1789434719</v>
      </c>
      <c r="C195" s="4" t="s">
        <v>1416</v>
      </c>
      <c r="D195" s="4" t="n">
        <v>144</v>
      </c>
      <c r="E195" s="12" t="n">
        <f aca="false">IF(OR(C195="active",C195="ended"),1,0)</f>
        <v>0</v>
      </c>
      <c r="F195" s="4" t="s">
        <v>1610</v>
      </c>
    </row>
    <row r="196" customFormat="false" ht="15" hidden="false" customHeight="false" outlineLevel="0" collapsed="false">
      <c r="A196" s="4" t="s">
        <v>1320</v>
      </c>
      <c r="B196" s="4" t="n">
        <v>1789722504</v>
      </c>
      <c r="C196" s="4" t="s">
        <v>1403</v>
      </c>
      <c r="D196" s="4" t="n">
        <v>1521</v>
      </c>
      <c r="E196" s="12" t="n">
        <f aca="false">IF(OR(C196="active",C196="ended"),1,0)</f>
        <v>1</v>
      </c>
      <c r="F196" s="4" t="s">
        <v>1611</v>
      </c>
    </row>
    <row r="197" customFormat="false" ht="15" hidden="false" customHeight="false" outlineLevel="0" collapsed="false">
      <c r="A197" s="4" t="s">
        <v>1322</v>
      </c>
      <c r="B197" s="4" t="n">
        <v>1790112759</v>
      </c>
      <c r="C197" s="4" t="s">
        <v>1403</v>
      </c>
      <c r="D197" s="4" t="n">
        <v>36</v>
      </c>
      <c r="E197" s="12" t="n">
        <f aca="false">IF(OR(C197="active",C197="ended"),1,0)</f>
        <v>1</v>
      </c>
      <c r="F197" s="4" t="s">
        <v>1612</v>
      </c>
    </row>
    <row r="198" customFormat="false" ht="15" hidden="false" customHeight="false" outlineLevel="0" collapsed="false">
      <c r="A198" s="4" t="s">
        <v>1344</v>
      </c>
      <c r="B198" s="4" t="n">
        <v>1790173634</v>
      </c>
      <c r="C198" s="4" t="s">
        <v>1403</v>
      </c>
      <c r="D198" s="4" t="n">
        <v>48</v>
      </c>
      <c r="E198" s="12" t="n">
        <f aca="false">IF(OR(C198="active",C198="ended"),1,0)</f>
        <v>1</v>
      </c>
      <c r="F198" s="4" t="s">
        <v>1613</v>
      </c>
    </row>
    <row r="199" customFormat="false" ht="15" hidden="false" customHeight="false" outlineLevel="0" collapsed="false">
      <c r="A199" s="4" t="s">
        <v>1334</v>
      </c>
      <c r="B199" s="4" t="n">
        <v>1790211963</v>
      </c>
      <c r="C199" s="4" t="s">
        <v>1403</v>
      </c>
      <c r="D199" s="4" t="n">
        <v>36</v>
      </c>
      <c r="E199" s="12" t="n">
        <f aca="false">IF(OR(C199="active",C199="ended"),1,0)</f>
        <v>1</v>
      </c>
      <c r="F199" s="4" t="s">
        <v>1614</v>
      </c>
    </row>
    <row r="200" customFormat="false" ht="15" hidden="false" customHeight="false" outlineLevel="0" collapsed="false">
      <c r="A200" s="4" t="s">
        <v>1356</v>
      </c>
      <c r="B200" s="4" t="n">
        <v>1790254882</v>
      </c>
      <c r="C200" s="4" t="s">
        <v>1403</v>
      </c>
      <c r="D200" s="4" t="n">
        <v>84</v>
      </c>
      <c r="E200" s="12" t="n">
        <f aca="false">IF(OR(C200="active",C200="ended"),1,0)</f>
        <v>1</v>
      </c>
      <c r="F200" s="4" t="s">
        <v>1615</v>
      </c>
    </row>
    <row r="201" customFormat="false" ht="15" hidden="false" customHeight="false" outlineLevel="0" collapsed="false">
      <c r="A201" s="4" t="s">
        <v>1354</v>
      </c>
      <c r="B201" s="4" t="n">
        <v>1790456781</v>
      </c>
      <c r="C201" s="4" t="s">
        <v>1616</v>
      </c>
      <c r="D201" s="4" t="n">
        <v>36</v>
      </c>
      <c r="E201" s="12" t="n">
        <f aca="false">IF(OR(C201="active",C201="ended"),1,0)</f>
        <v>0</v>
      </c>
      <c r="F201" s="4" t="s">
        <v>1617</v>
      </c>
    </row>
    <row r="202" customFormat="false" ht="15" hidden="false" customHeight="false" outlineLevel="0" collapsed="false">
      <c r="A202" s="4" t="s">
        <v>1238</v>
      </c>
      <c r="B202" s="4" t="n">
        <v>1790482505</v>
      </c>
      <c r="C202" s="4" t="s">
        <v>1403</v>
      </c>
      <c r="D202" s="4" t="n">
        <v>780</v>
      </c>
      <c r="E202" s="12" t="n">
        <f aca="false">IF(OR(C202="active",C202="ended"),1,0)</f>
        <v>1</v>
      </c>
      <c r="F202" s="4" t="s">
        <v>1618</v>
      </c>
    </row>
    <row r="203" customFormat="false" ht="15" hidden="false" customHeight="false" outlineLevel="0" collapsed="false">
      <c r="A203" s="4" t="s">
        <v>1124</v>
      </c>
      <c r="B203" s="4" t="n">
        <v>1790562845</v>
      </c>
      <c r="C203" s="4" t="s">
        <v>1403</v>
      </c>
      <c r="D203" s="4" t="n">
        <v>60</v>
      </c>
      <c r="E203" s="12" t="n">
        <f aca="false">IF(OR(C203="active",C203="ended"),1,0)</f>
        <v>1</v>
      </c>
      <c r="F203" s="4" t="s">
        <v>1619</v>
      </c>
    </row>
    <row r="204" customFormat="false" ht="15" hidden="false" customHeight="false" outlineLevel="0" collapsed="false">
      <c r="A204" s="4" t="s">
        <v>1015</v>
      </c>
      <c r="B204" s="4" t="n">
        <v>1790589703</v>
      </c>
      <c r="C204" s="4" t="s">
        <v>1616</v>
      </c>
      <c r="D204" s="4" t="n">
        <v>72</v>
      </c>
      <c r="E204" s="12" t="n">
        <f aca="false">IF(OR(C204="active",C204="ended"),1,0)</f>
        <v>0</v>
      </c>
      <c r="F204" s="4" t="s">
        <v>1620</v>
      </c>
    </row>
    <row r="205" customFormat="false" ht="15" hidden="false" customHeight="false" outlineLevel="0" collapsed="false">
      <c r="A205" s="4" t="s">
        <v>1396</v>
      </c>
      <c r="B205" s="4" t="n">
        <v>1790842152</v>
      </c>
      <c r="C205" s="4" t="s">
        <v>1616</v>
      </c>
      <c r="D205" s="4" t="n">
        <v>96</v>
      </c>
      <c r="E205" s="12" t="n">
        <f aca="false">IF(OR(C205="active",C205="ended"),1,0)</f>
        <v>0</v>
      </c>
      <c r="F205" s="4" t="s">
        <v>1621</v>
      </c>
    </row>
    <row r="206" customFormat="false" ht="15" hidden="false" customHeight="false" outlineLevel="0" collapsed="false">
      <c r="A206" s="4" t="s">
        <v>1382</v>
      </c>
      <c r="B206" s="4" t="n">
        <v>1790885578</v>
      </c>
      <c r="C206" s="4" t="s">
        <v>1403</v>
      </c>
      <c r="D206" s="4" t="n">
        <v>120</v>
      </c>
      <c r="E206" s="12" t="n">
        <f aca="false">IF(OR(C206="active",C206="ended"),1,0)</f>
        <v>1</v>
      </c>
      <c r="F206" s="4" t="s">
        <v>1622</v>
      </c>
    </row>
    <row r="207" customFormat="false" ht="15" hidden="false" customHeight="false" outlineLevel="0" collapsed="false">
      <c r="A207" s="4" t="s">
        <v>1384</v>
      </c>
      <c r="B207" s="4" t="n">
        <v>1791017367</v>
      </c>
      <c r="C207" s="4" t="s">
        <v>1616</v>
      </c>
      <c r="D207" s="4" t="n">
        <v>144</v>
      </c>
      <c r="E207" s="12" t="n">
        <f aca="false">IF(OR(C207="active",C207="ended"),1,0)</f>
        <v>0</v>
      </c>
      <c r="F207" s="4" t="s">
        <v>1623</v>
      </c>
    </row>
    <row r="208" customFormat="false" ht="15" hidden="false" customHeight="false" outlineLevel="0" collapsed="false">
      <c r="A208" s="4" t="s">
        <v>1624</v>
      </c>
      <c r="B208" s="4" t="n">
        <v>1791082100</v>
      </c>
      <c r="C208" s="4" t="s">
        <v>1616</v>
      </c>
      <c r="D208" s="4" t="n">
        <v>1404</v>
      </c>
      <c r="E208" s="12" t="n">
        <f aca="false">IF(OR(C208="active",C208="ended"),1,0)</f>
        <v>0</v>
      </c>
      <c r="F208" s="4" t="s">
        <v>1625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4" min="4" style="0" width="20"/>
    <col collapsed="false" customWidth="true" hidden="false" outlineLevel="0" max="5" min="5" style="0" width="10"/>
    <col collapsed="false" customWidth="true" hidden="false" outlineLevel="0" max="7" min="6" style="0" width="18"/>
    <col collapsed="false" customWidth="true" hidden="false" outlineLevel="0" max="9" min="8" style="0" width="14"/>
  </cols>
  <sheetData>
    <row r="1" customFormat="false" ht="28.35" hidden="false" customHeight="false" outlineLevel="0" collapsed="false">
      <c r="A1" s="7" t="s">
        <v>1397</v>
      </c>
      <c r="B1" s="7" t="s">
        <v>230</v>
      </c>
      <c r="C1" s="7" t="s">
        <v>231</v>
      </c>
      <c r="D1" s="7" t="s">
        <v>1626</v>
      </c>
      <c r="E1" s="7" t="s">
        <v>1627</v>
      </c>
      <c r="F1" s="7" t="s">
        <v>1628</v>
      </c>
      <c r="G1" s="7" t="s">
        <v>1629</v>
      </c>
      <c r="H1" s="7" t="s">
        <v>1630</v>
      </c>
      <c r="I1" s="7" t="s">
        <v>1631</v>
      </c>
    </row>
    <row r="2" customFormat="false" ht="15" hidden="false" customHeight="false" outlineLevel="0" collapsed="false">
      <c r="A2" s="4" t="s">
        <v>289</v>
      </c>
      <c r="B2" s="4" t="s">
        <v>243</v>
      </c>
      <c r="C2" s="4" t="s">
        <v>239</v>
      </c>
      <c r="D2" s="4" t="s">
        <v>1632</v>
      </c>
      <c r="E2" s="4" t="n">
        <v>0</v>
      </c>
      <c r="F2" s="4" t="n">
        <v>1775464713</v>
      </c>
      <c r="G2" s="4" t="n">
        <v>1000000000000000</v>
      </c>
      <c r="H2" s="12" t="n">
        <f aca="false">IF(AND(E2=0,F2&lt;1000000000000000,F2+Cutoff!$B$16&lt;=Cutoff!$D$13),1,0)</f>
        <v>1</v>
      </c>
      <c r="I2" s="12" t="n">
        <f aca="false">IF(AND(H2=1,G2&lt;1000000000000000,G2&gt;=F2,G2&lt;F2+Cutoff!$B$16),1,0)</f>
        <v>0</v>
      </c>
    </row>
    <row r="3" customFormat="false" ht="15" hidden="false" customHeight="false" outlineLevel="0" collapsed="false">
      <c r="A3" s="4" t="s">
        <v>291</v>
      </c>
      <c r="B3" s="4" t="s">
        <v>242</v>
      </c>
      <c r="C3" s="4" t="s">
        <v>240</v>
      </c>
      <c r="D3" s="4" t="s">
        <v>1633</v>
      </c>
      <c r="E3" s="4" t="n">
        <v>0</v>
      </c>
      <c r="F3" s="4" t="n">
        <v>1775481748</v>
      </c>
      <c r="G3" s="4" t="n">
        <v>1000000000000000</v>
      </c>
      <c r="H3" s="12" t="n">
        <f aca="false">IF(AND(E3=0,F3&lt;1000000000000000,F3+Cutoff!$B$16&lt;=Cutoff!$D$13),1,0)</f>
        <v>1</v>
      </c>
      <c r="I3" s="12" t="n">
        <f aca="false">IF(AND(H3=1,G3&lt;1000000000000000,G3&gt;=F3,G3&lt;F3+Cutoff!$B$16),1,0)</f>
        <v>0</v>
      </c>
    </row>
    <row r="4" customFormat="false" ht="15" hidden="false" customHeight="false" outlineLevel="0" collapsed="false">
      <c r="A4" s="4" t="s">
        <v>293</v>
      </c>
      <c r="B4" s="4" t="s">
        <v>242</v>
      </c>
      <c r="C4" s="4" t="s">
        <v>240</v>
      </c>
      <c r="D4" s="4" t="s">
        <v>1633</v>
      </c>
      <c r="E4" s="4" t="n">
        <v>0</v>
      </c>
      <c r="F4" s="4" t="n">
        <v>1775483959</v>
      </c>
      <c r="G4" s="4" t="n">
        <v>1000000000000000</v>
      </c>
      <c r="H4" s="12" t="n">
        <f aca="false">IF(AND(E4=0,F4&lt;1000000000000000,F4+Cutoff!$B$16&lt;=Cutoff!$D$13),1,0)</f>
        <v>1</v>
      </c>
      <c r="I4" s="12" t="n">
        <f aca="false">IF(AND(H4=1,G4&lt;1000000000000000,G4&gt;=F4,G4&lt;F4+Cutoff!$B$16),1,0)</f>
        <v>0</v>
      </c>
    </row>
    <row r="5" customFormat="false" ht="15" hidden="false" customHeight="false" outlineLevel="0" collapsed="false">
      <c r="A5" s="4" t="s">
        <v>295</v>
      </c>
      <c r="B5" s="4" t="s">
        <v>242</v>
      </c>
      <c r="C5" s="4" t="s">
        <v>239</v>
      </c>
      <c r="D5" s="4" t="s">
        <v>1632</v>
      </c>
      <c r="E5" s="4" t="n">
        <v>0</v>
      </c>
      <c r="F5" s="4" t="n">
        <v>1775501961</v>
      </c>
      <c r="G5" s="4" t="n">
        <v>1000000000000000</v>
      </c>
      <c r="H5" s="12" t="n">
        <f aca="false">IF(AND(E5=0,F5&lt;1000000000000000,F5+Cutoff!$B$16&lt;=Cutoff!$D$13),1,0)</f>
        <v>1</v>
      </c>
      <c r="I5" s="12" t="n">
        <f aca="false">IF(AND(H5=1,G5&lt;1000000000000000,G5&gt;=F5,G5&lt;F5+Cutoff!$B$16),1,0)</f>
        <v>0</v>
      </c>
    </row>
    <row r="6" customFormat="false" ht="15" hidden="false" customHeight="false" outlineLevel="0" collapsed="false">
      <c r="A6" s="4" t="s">
        <v>297</v>
      </c>
      <c r="B6" s="4" t="s">
        <v>242</v>
      </c>
      <c r="C6" s="4" t="s">
        <v>238</v>
      </c>
      <c r="D6" s="4" t="s">
        <v>1633</v>
      </c>
      <c r="E6" s="4" t="n">
        <v>0</v>
      </c>
      <c r="F6" s="4" t="n">
        <v>1775515104</v>
      </c>
      <c r="G6" s="4" t="n">
        <v>1000000000000000</v>
      </c>
      <c r="H6" s="12" t="n">
        <f aca="false">IF(AND(E6=0,F6&lt;1000000000000000,F6+Cutoff!$B$16&lt;=Cutoff!$D$13),1,0)</f>
        <v>1</v>
      </c>
      <c r="I6" s="12" t="n">
        <f aca="false">IF(AND(H6=1,G6&lt;1000000000000000,G6&gt;=F6,G6&lt;F6+Cutoff!$B$16),1,0)</f>
        <v>0</v>
      </c>
    </row>
    <row r="7" customFormat="false" ht="15" hidden="false" customHeight="false" outlineLevel="0" collapsed="false">
      <c r="A7" s="4" t="s">
        <v>299</v>
      </c>
      <c r="B7" s="4" t="s">
        <v>242</v>
      </c>
      <c r="C7" s="4" t="s">
        <v>240</v>
      </c>
      <c r="D7" s="4" t="s">
        <v>1632</v>
      </c>
      <c r="E7" s="4" t="n">
        <v>0</v>
      </c>
      <c r="F7" s="4" t="n">
        <v>1775553020</v>
      </c>
      <c r="G7" s="4" t="n">
        <v>1000000000000000</v>
      </c>
      <c r="H7" s="12" t="n">
        <f aca="false">IF(AND(E7=0,F7&lt;1000000000000000,F7+Cutoff!$B$16&lt;=Cutoff!$D$13),1,0)</f>
        <v>1</v>
      </c>
      <c r="I7" s="12" t="n">
        <f aca="false">IF(AND(H7=1,G7&lt;1000000000000000,G7&gt;=F7,G7&lt;F7+Cutoff!$B$16),1,0)</f>
        <v>0</v>
      </c>
    </row>
    <row r="8" customFormat="false" ht="15" hidden="false" customHeight="false" outlineLevel="0" collapsed="false">
      <c r="A8" s="4" t="s">
        <v>301</v>
      </c>
      <c r="B8" s="4" t="s">
        <v>242</v>
      </c>
      <c r="C8" s="4" t="s">
        <v>240</v>
      </c>
      <c r="D8" s="4" t="s">
        <v>1633</v>
      </c>
      <c r="E8" s="4" t="n">
        <v>0</v>
      </c>
      <c r="F8" s="4" t="n">
        <v>1775564413</v>
      </c>
      <c r="G8" s="4" t="n">
        <v>1000000000000000</v>
      </c>
      <c r="H8" s="12" t="n">
        <f aca="false">IF(AND(E8=0,F8&lt;1000000000000000,F8+Cutoff!$B$16&lt;=Cutoff!$D$13),1,0)</f>
        <v>1</v>
      </c>
      <c r="I8" s="12" t="n">
        <f aca="false">IF(AND(H8=1,G8&lt;1000000000000000,G8&gt;=F8,G8&lt;F8+Cutoff!$B$16),1,0)</f>
        <v>0</v>
      </c>
    </row>
    <row r="9" customFormat="false" ht="15" hidden="false" customHeight="false" outlineLevel="0" collapsed="false">
      <c r="A9" s="4" t="s">
        <v>303</v>
      </c>
      <c r="B9" s="4" t="s">
        <v>242</v>
      </c>
      <c r="C9" s="4" t="s">
        <v>240</v>
      </c>
      <c r="D9" s="4" t="s">
        <v>1632</v>
      </c>
      <c r="E9" s="4" t="n">
        <v>0</v>
      </c>
      <c r="F9" s="4" t="n">
        <v>1775568771</v>
      </c>
      <c r="G9" s="4" t="n">
        <v>1000000000000000</v>
      </c>
      <c r="H9" s="12" t="n">
        <f aca="false">IF(AND(E9=0,F9&lt;1000000000000000,F9+Cutoff!$B$16&lt;=Cutoff!$D$13),1,0)</f>
        <v>1</v>
      </c>
      <c r="I9" s="12" t="n">
        <f aca="false">IF(AND(H9=1,G9&lt;1000000000000000,G9&gt;=F9,G9&lt;F9+Cutoff!$B$16),1,0)</f>
        <v>0</v>
      </c>
    </row>
    <row r="10" customFormat="false" ht="15" hidden="false" customHeight="false" outlineLevel="0" collapsed="false">
      <c r="A10" s="4" t="s">
        <v>305</v>
      </c>
      <c r="B10" s="4" t="s">
        <v>242</v>
      </c>
      <c r="C10" s="4" t="s">
        <v>239</v>
      </c>
      <c r="D10" s="4" t="s">
        <v>1633</v>
      </c>
      <c r="E10" s="4" t="n">
        <v>0</v>
      </c>
      <c r="F10" s="4" t="n">
        <v>1775572871</v>
      </c>
      <c r="G10" s="4" t="n">
        <v>1000000000000000</v>
      </c>
      <c r="H10" s="12" t="n">
        <f aca="false">IF(AND(E10=0,F10&lt;1000000000000000,F10+Cutoff!$B$16&lt;=Cutoff!$D$13),1,0)</f>
        <v>1</v>
      </c>
      <c r="I10" s="12" t="n">
        <f aca="false">IF(AND(H10=1,G10&lt;1000000000000000,G10&gt;=F10,G10&lt;F10+Cutoff!$B$16),1,0)</f>
        <v>0</v>
      </c>
    </row>
    <row r="11" customFormat="false" ht="15" hidden="false" customHeight="false" outlineLevel="0" collapsed="false">
      <c r="A11" s="4" t="s">
        <v>307</v>
      </c>
      <c r="B11" s="4" t="s">
        <v>237</v>
      </c>
      <c r="C11" s="4" t="s">
        <v>238</v>
      </c>
      <c r="D11" s="4" t="s">
        <v>1632</v>
      </c>
      <c r="E11" s="4" t="n">
        <v>0</v>
      </c>
      <c r="F11" s="4" t="n">
        <v>1775573751</v>
      </c>
      <c r="G11" s="4" t="n">
        <v>1000000000000000</v>
      </c>
      <c r="H11" s="12" t="n">
        <f aca="false">IF(AND(E11=0,F11&lt;1000000000000000,F11+Cutoff!$B$16&lt;=Cutoff!$D$13),1,0)</f>
        <v>1</v>
      </c>
      <c r="I11" s="12" t="n">
        <f aca="false">IF(AND(H11=1,G11&lt;1000000000000000,G11&gt;=F11,G11&lt;F11+Cutoff!$B$16),1,0)</f>
        <v>0</v>
      </c>
    </row>
    <row r="12" customFormat="false" ht="15" hidden="false" customHeight="false" outlineLevel="0" collapsed="false">
      <c r="A12" s="4" t="s">
        <v>309</v>
      </c>
      <c r="B12" s="4" t="s">
        <v>243</v>
      </c>
      <c r="C12" s="4" t="s">
        <v>239</v>
      </c>
      <c r="D12" s="4" t="s">
        <v>1633</v>
      </c>
      <c r="E12" s="4" t="n">
        <v>0</v>
      </c>
      <c r="F12" s="4" t="n">
        <v>1775589900</v>
      </c>
      <c r="G12" s="4" t="n">
        <v>1000000000000000</v>
      </c>
      <c r="H12" s="12" t="n">
        <f aca="false">IF(AND(E12=0,F12&lt;1000000000000000,F12+Cutoff!$B$16&lt;=Cutoff!$D$13),1,0)</f>
        <v>1</v>
      </c>
      <c r="I12" s="12" t="n">
        <f aca="false">IF(AND(H12=1,G12&lt;1000000000000000,G12&gt;=F12,G12&lt;F12+Cutoff!$B$16),1,0)</f>
        <v>0</v>
      </c>
    </row>
    <row r="13" customFormat="false" ht="15" hidden="false" customHeight="false" outlineLevel="0" collapsed="false">
      <c r="A13" s="4" t="s">
        <v>311</v>
      </c>
      <c r="B13" s="4" t="s">
        <v>242</v>
      </c>
      <c r="C13" s="4" t="s">
        <v>239</v>
      </c>
      <c r="D13" s="4" t="s">
        <v>1632</v>
      </c>
      <c r="E13" s="4" t="n">
        <v>0</v>
      </c>
      <c r="F13" s="4" t="n">
        <v>1775637624</v>
      </c>
      <c r="G13" s="4" t="n">
        <v>1000000000000000</v>
      </c>
      <c r="H13" s="12" t="n">
        <f aca="false">IF(AND(E13=0,F13&lt;1000000000000000,F13+Cutoff!$B$16&lt;=Cutoff!$D$13),1,0)</f>
        <v>1</v>
      </c>
      <c r="I13" s="12" t="n">
        <f aca="false">IF(AND(H13=1,G13&lt;1000000000000000,G13&gt;=F13,G13&lt;F13+Cutoff!$B$16),1,0)</f>
        <v>0</v>
      </c>
    </row>
    <row r="14" customFormat="false" ht="15" hidden="false" customHeight="false" outlineLevel="0" collapsed="false">
      <c r="A14" s="4" t="s">
        <v>313</v>
      </c>
      <c r="B14" s="4" t="s">
        <v>243</v>
      </c>
      <c r="C14" s="4" t="s">
        <v>238</v>
      </c>
      <c r="D14" s="4" t="s">
        <v>1632</v>
      </c>
      <c r="E14" s="4" t="n">
        <v>0</v>
      </c>
      <c r="F14" s="4" t="n">
        <v>1775647263</v>
      </c>
      <c r="G14" s="4" t="n">
        <v>1000000000000000</v>
      </c>
      <c r="H14" s="12" t="n">
        <f aca="false">IF(AND(E14=0,F14&lt;1000000000000000,F14+Cutoff!$B$16&lt;=Cutoff!$D$13),1,0)</f>
        <v>1</v>
      </c>
      <c r="I14" s="12" t="n">
        <f aca="false">IF(AND(H14=1,G14&lt;1000000000000000,G14&gt;=F14,G14&lt;F14+Cutoff!$B$16),1,0)</f>
        <v>0</v>
      </c>
    </row>
    <row r="15" customFormat="false" ht="15" hidden="false" customHeight="false" outlineLevel="0" collapsed="false">
      <c r="A15" s="4" t="s">
        <v>315</v>
      </c>
      <c r="B15" s="4" t="s">
        <v>242</v>
      </c>
      <c r="C15" s="4" t="s">
        <v>240</v>
      </c>
      <c r="D15" s="4" t="s">
        <v>1633</v>
      </c>
      <c r="E15" s="4" t="n">
        <v>0</v>
      </c>
      <c r="F15" s="4" t="n">
        <v>1775654224</v>
      </c>
      <c r="G15" s="4" t="n">
        <v>1000000000000000</v>
      </c>
      <c r="H15" s="12" t="n">
        <f aca="false">IF(AND(E15=0,F15&lt;1000000000000000,F15+Cutoff!$B$16&lt;=Cutoff!$D$13),1,0)</f>
        <v>1</v>
      </c>
      <c r="I15" s="12" t="n">
        <f aca="false">IF(AND(H15=1,G15&lt;1000000000000000,G15&gt;=F15,G15&lt;F15+Cutoff!$B$16),1,0)</f>
        <v>0</v>
      </c>
    </row>
    <row r="16" customFormat="false" ht="15" hidden="false" customHeight="false" outlineLevel="0" collapsed="false">
      <c r="A16" s="4" t="s">
        <v>317</v>
      </c>
      <c r="B16" s="4" t="s">
        <v>242</v>
      </c>
      <c r="C16" s="4" t="s">
        <v>240</v>
      </c>
      <c r="D16" s="4" t="s">
        <v>1632</v>
      </c>
      <c r="E16" s="4" t="n">
        <v>0</v>
      </c>
      <c r="F16" s="4" t="n">
        <v>1775654915</v>
      </c>
      <c r="G16" s="4" t="n">
        <v>1000000000000000</v>
      </c>
      <c r="H16" s="12" t="n">
        <f aca="false">IF(AND(E16=0,F16&lt;1000000000000000,F16+Cutoff!$B$16&lt;=Cutoff!$D$13),1,0)</f>
        <v>1</v>
      </c>
      <c r="I16" s="12" t="n">
        <f aca="false">IF(AND(H16=1,G16&lt;1000000000000000,G16&gt;=F16,G16&lt;F16+Cutoff!$B$16),1,0)</f>
        <v>0</v>
      </c>
    </row>
    <row r="17" customFormat="false" ht="15" hidden="false" customHeight="false" outlineLevel="0" collapsed="false">
      <c r="A17" s="4" t="s">
        <v>319</v>
      </c>
      <c r="B17" s="4" t="s">
        <v>242</v>
      </c>
      <c r="C17" s="4" t="s">
        <v>240</v>
      </c>
      <c r="D17" s="4" t="s">
        <v>1633</v>
      </c>
      <c r="E17" s="4" t="n">
        <v>0</v>
      </c>
      <c r="F17" s="4" t="n">
        <v>1775664500</v>
      </c>
      <c r="G17" s="4" t="n">
        <v>1000000000000000</v>
      </c>
      <c r="H17" s="12" t="n">
        <f aca="false">IF(AND(E17=0,F17&lt;1000000000000000,F17+Cutoff!$B$16&lt;=Cutoff!$D$13),1,0)</f>
        <v>1</v>
      </c>
      <c r="I17" s="12" t="n">
        <f aca="false">IF(AND(H17=1,G17&lt;1000000000000000,G17&gt;=F17,G17&lt;F17+Cutoff!$B$16),1,0)</f>
        <v>0</v>
      </c>
    </row>
    <row r="18" customFormat="false" ht="15" hidden="false" customHeight="false" outlineLevel="0" collapsed="false">
      <c r="A18" s="4" t="s">
        <v>321</v>
      </c>
      <c r="B18" s="4" t="s">
        <v>243</v>
      </c>
      <c r="C18" s="4" t="s">
        <v>240</v>
      </c>
      <c r="D18" s="4" t="s">
        <v>1634</v>
      </c>
      <c r="E18" s="4" t="n">
        <v>0</v>
      </c>
      <c r="F18" s="4" t="n">
        <v>1775681704</v>
      </c>
      <c r="G18" s="4" t="n">
        <v>1000000000000000</v>
      </c>
      <c r="H18" s="12" t="n">
        <f aca="false">IF(AND(E18=0,F18&lt;1000000000000000,F18+Cutoff!$B$16&lt;=Cutoff!$D$13),1,0)</f>
        <v>1</v>
      </c>
      <c r="I18" s="12" t="n">
        <f aca="false">IF(AND(H18=1,G18&lt;1000000000000000,G18&gt;=F18,G18&lt;F18+Cutoff!$B$16),1,0)</f>
        <v>0</v>
      </c>
    </row>
    <row r="19" customFormat="false" ht="15" hidden="false" customHeight="false" outlineLevel="0" collapsed="false">
      <c r="A19" s="4" t="s">
        <v>323</v>
      </c>
      <c r="B19" s="4" t="s">
        <v>237</v>
      </c>
      <c r="C19" s="4" t="s">
        <v>239</v>
      </c>
      <c r="D19" s="4" t="s">
        <v>1633</v>
      </c>
      <c r="E19" s="4" t="n">
        <v>0</v>
      </c>
      <c r="F19" s="4" t="n">
        <v>1775683423</v>
      </c>
      <c r="G19" s="4" t="n">
        <v>1775874238</v>
      </c>
      <c r="H19" s="12" t="n">
        <f aca="false">IF(AND(E19=0,F19&lt;1000000000000000,F19+Cutoff!$B$16&lt;=Cutoff!$D$13),1,0)</f>
        <v>1</v>
      </c>
      <c r="I19" s="12" t="n">
        <f aca="false">IF(AND(H19=1,G19&lt;1000000000000000,G19&gt;=F19,G19&lt;F19+Cutoff!$B$16),1,0)</f>
        <v>1</v>
      </c>
    </row>
    <row r="20" customFormat="false" ht="15" hidden="false" customHeight="false" outlineLevel="0" collapsed="false">
      <c r="A20" s="4" t="s">
        <v>325</v>
      </c>
      <c r="B20" s="4" t="s">
        <v>243</v>
      </c>
      <c r="C20" s="4" t="s">
        <v>240</v>
      </c>
      <c r="D20" s="4" t="s">
        <v>1633</v>
      </c>
      <c r="E20" s="4" t="n">
        <v>0</v>
      </c>
      <c r="F20" s="4" t="n">
        <v>1775689495</v>
      </c>
      <c r="G20" s="4" t="n">
        <v>1000000000000000</v>
      </c>
      <c r="H20" s="12" t="n">
        <f aca="false">IF(AND(E20=0,F20&lt;1000000000000000,F20+Cutoff!$B$16&lt;=Cutoff!$D$13),1,0)</f>
        <v>1</v>
      </c>
      <c r="I20" s="12" t="n">
        <f aca="false">IF(AND(H20=1,G20&lt;1000000000000000,G20&gt;=F20,G20&lt;F20+Cutoff!$B$16),1,0)</f>
        <v>0</v>
      </c>
    </row>
    <row r="21" customFormat="false" ht="15" hidden="false" customHeight="false" outlineLevel="0" collapsed="false">
      <c r="A21" s="4" t="s">
        <v>327</v>
      </c>
      <c r="B21" s="4" t="s">
        <v>237</v>
      </c>
      <c r="C21" s="4" t="s">
        <v>240</v>
      </c>
      <c r="D21" s="4" t="s">
        <v>1634</v>
      </c>
      <c r="E21" s="4" t="n">
        <v>0</v>
      </c>
      <c r="F21" s="4" t="n">
        <v>1775695291</v>
      </c>
      <c r="G21" s="4" t="n">
        <v>1000000000000000</v>
      </c>
      <c r="H21" s="12" t="n">
        <f aca="false">IF(AND(E21=0,F21&lt;1000000000000000,F21+Cutoff!$B$16&lt;=Cutoff!$D$13),1,0)</f>
        <v>1</v>
      </c>
      <c r="I21" s="12" t="n">
        <f aca="false">IF(AND(H21=1,G21&lt;1000000000000000,G21&gt;=F21,G21&lt;F21+Cutoff!$B$16),1,0)</f>
        <v>0</v>
      </c>
    </row>
    <row r="22" customFormat="false" ht="15" hidden="false" customHeight="false" outlineLevel="0" collapsed="false">
      <c r="A22" s="4" t="s">
        <v>329</v>
      </c>
      <c r="B22" s="4" t="s">
        <v>242</v>
      </c>
      <c r="C22" s="4" t="s">
        <v>240</v>
      </c>
      <c r="D22" s="4" t="s">
        <v>1632</v>
      </c>
      <c r="E22" s="4" t="n">
        <v>0</v>
      </c>
      <c r="F22" s="4" t="n">
        <v>1775748463</v>
      </c>
      <c r="G22" s="4" t="n">
        <v>1000000000000000</v>
      </c>
      <c r="H22" s="12" t="n">
        <f aca="false">IF(AND(E22=0,F22&lt;1000000000000000,F22+Cutoff!$B$16&lt;=Cutoff!$D$13),1,0)</f>
        <v>1</v>
      </c>
      <c r="I22" s="12" t="n">
        <f aca="false">IF(AND(H22=1,G22&lt;1000000000000000,G22&gt;=F22,G22&lt;F22+Cutoff!$B$16),1,0)</f>
        <v>0</v>
      </c>
    </row>
    <row r="23" customFormat="false" ht="15" hidden="false" customHeight="false" outlineLevel="0" collapsed="false">
      <c r="A23" s="4" t="s">
        <v>331</v>
      </c>
      <c r="B23" s="4" t="s">
        <v>243</v>
      </c>
      <c r="C23" s="4" t="s">
        <v>240</v>
      </c>
      <c r="D23" s="4" t="s">
        <v>1633</v>
      </c>
      <c r="E23" s="4" t="n">
        <v>0</v>
      </c>
      <c r="F23" s="4" t="n">
        <v>1775749497</v>
      </c>
      <c r="G23" s="4" t="n">
        <v>1000000000000000</v>
      </c>
      <c r="H23" s="12" t="n">
        <f aca="false">IF(AND(E23=0,F23&lt;1000000000000000,F23+Cutoff!$B$16&lt;=Cutoff!$D$13),1,0)</f>
        <v>1</v>
      </c>
      <c r="I23" s="12" t="n">
        <f aca="false">IF(AND(H23=1,G23&lt;1000000000000000,G23&gt;=F23,G23&lt;F23+Cutoff!$B$16),1,0)</f>
        <v>0</v>
      </c>
    </row>
    <row r="24" customFormat="false" ht="15" hidden="false" customHeight="false" outlineLevel="0" collapsed="false">
      <c r="A24" s="4" t="s">
        <v>333</v>
      </c>
      <c r="B24" s="4" t="s">
        <v>242</v>
      </c>
      <c r="C24" s="4" t="s">
        <v>240</v>
      </c>
      <c r="D24" s="4" t="s">
        <v>1632</v>
      </c>
      <c r="E24" s="4" t="n">
        <v>0</v>
      </c>
      <c r="F24" s="4" t="n">
        <v>1775831799</v>
      </c>
      <c r="G24" s="4" t="n">
        <v>1000000000000000</v>
      </c>
      <c r="H24" s="12" t="n">
        <f aca="false">IF(AND(E24=0,F24&lt;1000000000000000,F24+Cutoff!$B$16&lt;=Cutoff!$D$13),1,0)</f>
        <v>1</v>
      </c>
      <c r="I24" s="12" t="n">
        <f aca="false">IF(AND(H24=1,G24&lt;1000000000000000,G24&gt;=F24,G24&lt;F24+Cutoff!$B$16),1,0)</f>
        <v>0</v>
      </c>
    </row>
    <row r="25" customFormat="false" ht="15" hidden="false" customHeight="false" outlineLevel="0" collapsed="false">
      <c r="A25" s="4" t="s">
        <v>335</v>
      </c>
      <c r="B25" s="4" t="s">
        <v>243</v>
      </c>
      <c r="C25" s="4" t="s">
        <v>239</v>
      </c>
      <c r="D25" s="4" t="s">
        <v>1633</v>
      </c>
      <c r="E25" s="4" t="n">
        <v>0</v>
      </c>
      <c r="F25" s="4" t="n">
        <v>1775917652</v>
      </c>
      <c r="G25" s="4" t="n">
        <v>1775921771</v>
      </c>
      <c r="H25" s="12" t="n">
        <f aca="false">IF(AND(E25=0,F25&lt;1000000000000000,F25+Cutoff!$B$16&lt;=Cutoff!$D$13),1,0)</f>
        <v>1</v>
      </c>
      <c r="I25" s="12" t="n">
        <f aca="false">IF(AND(H25=1,G25&lt;1000000000000000,G25&gt;=F25,G25&lt;F25+Cutoff!$B$16),1,0)</f>
        <v>1</v>
      </c>
    </row>
    <row r="26" customFormat="false" ht="15" hidden="false" customHeight="false" outlineLevel="0" collapsed="false">
      <c r="A26" s="4" t="s">
        <v>337</v>
      </c>
      <c r="B26" s="4" t="s">
        <v>242</v>
      </c>
      <c r="C26" s="4" t="s">
        <v>240</v>
      </c>
      <c r="D26" s="4" t="s">
        <v>1634</v>
      </c>
      <c r="E26" s="4" t="n">
        <v>0</v>
      </c>
      <c r="F26" s="4" t="n">
        <v>1775951647</v>
      </c>
      <c r="G26" s="4" t="n">
        <v>1777436839</v>
      </c>
      <c r="H26" s="12" t="n">
        <f aca="false">IF(AND(E26=0,F26&lt;1000000000000000,F26+Cutoff!$B$16&lt;=Cutoff!$D$13),1,0)</f>
        <v>1</v>
      </c>
      <c r="I26" s="12" t="n">
        <f aca="false">IF(AND(H26=1,G26&lt;1000000000000000,G26&gt;=F26,G26&lt;F26+Cutoff!$B$16),1,0)</f>
        <v>0</v>
      </c>
    </row>
    <row r="27" customFormat="false" ht="15" hidden="false" customHeight="false" outlineLevel="0" collapsed="false">
      <c r="A27" s="4" t="s">
        <v>339</v>
      </c>
      <c r="B27" s="4" t="s">
        <v>242</v>
      </c>
      <c r="C27" s="4" t="s">
        <v>240</v>
      </c>
      <c r="D27" s="4" t="s">
        <v>1634</v>
      </c>
      <c r="E27" s="4" t="n">
        <v>0</v>
      </c>
      <c r="F27" s="4" t="n">
        <v>1775952655</v>
      </c>
      <c r="G27" s="4" t="n">
        <v>1776430337</v>
      </c>
      <c r="H27" s="12" t="n">
        <f aca="false">IF(AND(E27=0,F27&lt;1000000000000000,F27+Cutoff!$B$16&lt;=Cutoff!$D$13),1,0)</f>
        <v>1</v>
      </c>
      <c r="I27" s="12" t="n">
        <f aca="false">IF(AND(H27=1,G27&lt;1000000000000000,G27&gt;=F27,G27&lt;F27+Cutoff!$B$16),1,0)</f>
        <v>1</v>
      </c>
    </row>
    <row r="28" customFormat="false" ht="15" hidden="false" customHeight="false" outlineLevel="0" collapsed="false">
      <c r="A28" s="4" t="s">
        <v>341</v>
      </c>
      <c r="B28" s="4" t="s">
        <v>237</v>
      </c>
      <c r="C28" s="4" t="s">
        <v>238</v>
      </c>
      <c r="D28" s="4" t="s">
        <v>1632</v>
      </c>
      <c r="E28" s="4" t="n">
        <v>0</v>
      </c>
      <c r="F28" s="4" t="n">
        <v>1775989633</v>
      </c>
      <c r="G28" s="4" t="n">
        <v>1776065583</v>
      </c>
      <c r="H28" s="12" t="n">
        <f aca="false">IF(AND(E28=0,F28&lt;1000000000000000,F28+Cutoff!$B$16&lt;=Cutoff!$D$13),1,0)</f>
        <v>1</v>
      </c>
      <c r="I28" s="12" t="n">
        <f aca="false">IF(AND(H28=1,G28&lt;1000000000000000,G28&gt;=F28,G28&lt;F28+Cutoff!$B$16),1,0)</f>
        <v>1</v>
      </c>
    </row>
    <row r="29" customFormat="false" ht="15" hidden="false" customHeight="false" outlineLevel="0" collapsed="false">
      <c r="A29" s="4" t="s">
        <v>343</v>
      </c>
      <c r="B29" s="4" t="s">
        <v>242</v>
      </c>
      <c r="C29" s="4" t="s">
        <v>240</v>
      </c>
      <c r="D29" s="4" t="s">
        <v>1633</v>
      </c>
      <c r="E29" s="4" t="n">
        <v>0</v>
      </c>
      <c r="F29" s="4" t="n">
        <v>1776089307</v>
      </c>
      <c r="G29" s="4" t="n">
        <v>1000000000000000</v>
      </c>
      <c r="H29" s="12" t="n">
        <f aca="false">IF(AND(E29=0,F29&lt;1000000000000000,F29+Cutoff!$B$16&lt;=Cutoff!$D$13),1,0)</f>
        <v>1</v>
      </c>
      <c r="I29" s="12" t="n">
        <f aca="false">IF(AND(H29=1,G29&lt;1000000000000000,G29&gt;=F29,G29&lt;F29+Cutoff!$B$16),1,0)</f>
        <v>0</v>
      </c>
    </row>
    <row r="30" customFormat="false" ht="15" hidden="false" customHeight="false" outlineLevel="0" collapsed="false">
      <c r="A30" s="4" t="s">
        <v>345</v>
      </c>
      <c r="B30" s="4" t="s">
        <v>237</v>
      </c>
      <c r="C30" s="4" t="s">
        <v>238</v>
      </c>
      <c r="D30" s="4" t="s">
        <v>1633</v>
      </c>
      <c r="E30" s="4" t="n">
        <v>0</v>
      </c>
      <c r="F30" s="4" t="n">
        <v>1776099304</v>
      </c>
      <c r="G30" s="4" t="n">
        <v>1776101009</v>
      </c>
      <c r="H30" s="12" t="n">
        <f aca="false">IF(AND(E30=0,F30&lt;1000000000000000,F30+Cutoff!$B$16&lt;=Cutoff!$D$13),1,0)</f>
        <v>1</v>
      </c>
      <c r="I30" s="12" t="n">
        <f aca="false">IF(AND(H30=1,G30&lt;1000000000000000,G30&gt;=F30,G30&lt;F30+Cutoff!$B$16),1,0)</f>
        <v>1</v>
      </c>
    </row>
    <row r="31" customFormat="false" ht="15" hidden="false" customHeight="false" outlineLevel="0" collapsed="false">
      <c r="A31" s="4" t="s">
        <v>347</v>
      </c>
      <c r="B31" s="4" t="s">
        <v>242</v>
      </c>
      <c r="C31" s="4" t="s">
        <v>240</v>
      </c>
      <c r="D31" s="4" t="s">
        <v>1633</v>
      </c>
      <c r="E31" s="4" t="n">
        <v>0</v>
      </c>
      <c r="F31" s="4" t="n">
        <v>1776100666</v>
      </c>
      <c r="G31" s="4" t="n">
        <v>1000000000000000</v>
      </c>
      <c r="H31" s="12" t="n">
        <f aca="false">IF(AND(E31=0,F31&lt;1000000000000000,F31+Cutoff!$B$16&lt;=Cutoff!$D$13),1,0)</f>
        <v>1</v>
      </c>
      <c r="I31" s="12" t="n">
        <f aca="false">IF(AND(H31=1,G31&lt;1000000000000000,G31&gt;=F31,G31&lt;F31+Cutoff!$B$16),1,0)</f>
        <v>0</v>
      </c>
    </row>
    <row r="32" customFormat="false" ht="15" hidden="false" customHeight="false" outlineLevel="0" collapsed="false">
      <c r="A32" s="4" t="s">
        <v>349</v>
      </c>
      <c r="B32" s="4" t="s">
        <v>242</v>
      </c>
      <c r="C32" s="4" t="s">
        <v>240</v>
      </c>
      <c r="D32" s="4" t="s">
        <v>1633</v>
      </c>
      <c r="E32" s="4" t="n">
        <v>0</v>
      </c>
      <c r="F32" s="4" t="n">
        <v>1776107887</v>
      </c>
      <c r="G32" s="4" t="n">
        <v>1000000000000000</v>
      </c>
      <c r="H32" s="12" t="n">
        <f aca="false">IF(AND(E32=0,F32&lt;1000000000000000,F32+Cutoff!$B$16&lt;=Cutoff!$D$13),1,0)</f>
        <v>1</v>
      </c>
      <c r="I32" s="12" t="n">
        <f aca="false">IF(AND(H32=1,G32&lt;1000000000000000,G32&gt;=F32,G32&lt;F32+Cutoff!$B$16),1,0)</f>
        <v>0</v>
      </c>
    </row>
    <row r="33" customFormat="false" ht="15" hidden="false" customHeight="false" outlineLevel="0" collapsed="false">
      <c r="A33" s="4" t="s">
        <v>351</v>
      </c>
      <c r="B33" s="4" t="s">
        <v>242</v>
      </c>
      <c r="C33" s="4" t="s">
        <v>240</v>
      </c>
      <c r="D33" s="4" t="s">
        <v>1634</v>
      </c>
      <c r="E33" s="4" t="n">
        <v>0</v>
      </c>
      <c r="F33" s="4" t="n">
        <v>1776126762</v>
      </c>
      <c r="G33" s="4" t="n">
        <v>1776357523</v>
      </c>
      <c r="H33" s="12" t="n">
        <f aca="false">IF(AND(E33=0,F33&lt;1000000000000000,F33+Cutoff!$B$16&lt;=Cutoff!$D$13),1,0)</f>
        <v>1</v>
      </c>
      <c r="I33" s="12" t="n">
        <f aca="false">IF(AND(H33=1,G33&lt;1000000000000000,G33&gt;=F33,G33&lt;F33+Cutoff!$B$16),1,0)</f>
        <v>1</v>
      </c>
    </row>
    <row r="34" customFormat="false" ht="15" hidden="false" customHeight="false" outlineLevel="0" collapsed="false">
      <c r="A34" s="4" t="s">
        <v>353</v>
      </c>
      <c r="B34" s="4" t="s">
        <v>242</v>
      </c>
      <c r="C34" s="4" t="s">
        <v>240</v>
      </c>
      <c r="D34" s="4" t="s">
        <v>1632</v>
      </c>
      <c r="E34" s="4" t="n">
        <v>0</v>
      </c>
      <c r="F34" s="4" t="n">
        <v>1776157574</v>
      </c>
      <c r="G34" s="4" t="n">
        <v>1776195636</v>
      </c>
      <c r="H34" s="12" t="n">
        <f aca="false">IF(AND(E34=0,F34&lt;1000000000000000,F34+Cutoff!$B$16&lt;=Cutoff!$D$13),1,0)</f>
        <v>1</v>
      </c>
      <c r="I34" s="12" t="n">
        <f aca="false">IF(AND(H34=1,G34&lt;1000000000000000,G34&gt;=F34,G34&lt;F34+Cutoff!$B$16),1,0)</f>
        <v>1</v>
      </c>
    </row>
    <row r="35" customFormat="false" ht="15" hidden="false" customHeight="false" outlineLevel="0" collapsed="false">
      <c r="A35" s="4" t="s">
        <v>355</v>
      </c>
      <c r="B35" s="4" t="s">
        <v>242</v>
      </c>
      <c r="C35" s="4" t="s">
        <v>240</v>
      </c>
      <c r="D35" s="4" t="s">
        <v>1632</v>
      </c>
      <c r="E35" s="4" t="n">
        <v>0</v>
      </c>
      <c r="F35" s="4" t="n">
        <v>1776180304</v>
      </c>
      <c r="G35" s="4" t="n">
        <v>1000000000000000</v>
      </c>
      <c r="H35" s="12" t="n">
        <f aca="false">IF(AND(E35=0,F35&lt;1000000000000000,F35+Cutoff!$B$16&lt;=Cutoff!$D$13),1,0)</f>
        <v>1</v>
      </c>
      <c r="I35" s="12" t="n">
        <f aca="false">IF(AND(H35=1,G35&lt;1000000000000000,G35&gt;=F35,G35&lt;F35+Cutoff!$B$16),1,0)</f>
        <v>0</v>
      </c>
    </row>
    <row r="36" customFormat="false" ht="15" hidden="false" customHeight="false" outlineLevel="0" collapsed="false">
      <c r="A36" s="4" t="s">
        <v>357</v>
      </c>
      <c r="B36" s="4" t="s">
        <v>242</v>
      </c>
      <c r="C36" s="4" t="s">
        <v>239</v>
      </c>
      <c r="D36" s="4" t="s">
        <v>1632</v>
      </c>
      <c r="E36" s="4" t="n">
        <v>0</v>
      </c>
      <c r="F36" s="4" t="n">
        <v>1776184788</v>
      </c>
      <c r="G36" s="4" t="n">
        <v>1000000000000000</v>
      </c>
      <c r="H36" s="12" t="n">
        <f aca="false">IF(AND(E36=0,F36&lt;1000000000000000,F36+Cutoff!$B$16&lt;=Cutoff!$D$13),1,0)</f>
        <v>1</v>
      </c>
      <c r="I36" s="12" t="n">
        <f aca="false">IF(AND(H36=1,G36&lt;1000000000000000,G36&gt;=F36,G36&lt;F36+Cutoff!$B$16),1,0)</f>
        <v>0</v>
      </c>
    </row>
    <row r="37" customFormat="false" ht="15" hidden="false" customHeight="false" outlineLevel="0" collapsed="false">
      <c r="A37" s="4" t="s">
        <v>359</v>
      </c>
      <c r="B37" s="4" t="s">
        <v>243</v>
      </c>
      <c r="C37" s="4" t="s">
        <v>238</v>
      </c>
      <c r="D37" s="4" t="s">
        <v>1633</v>
      </c>
      <c r="E37" s="4" t="n">
        <v>0</v>
      </c>
      <c r="F37" s="4" t="n">
        <v>1776189103</v>
      </c>
      <c r="G37" s="4" t="n">
        <v>1000000000000000</v>
      </c>
      <c r="H37" s="12" t="n">
        <f aca="false">IF(AND(E37=0,F37&lt;1000000000000000,F37+Cutoff!$B$16&lt;=Cutoff!$D$13),1,0)</f>
        <v>1</v>
      </c>
      <c r="I37" s="12" t="n">
        <f aca="false">IF(AND(H37=1,G37&lt;1000000000000000,G37&gt;=F37,G37&lt;F37+Cutoff!$B$16),1,0)</f>
        <v>0</v>
      </c>
    </row>
    <row r="38" customFormat="false" ht="15" hidden="false" customHeight="false" outlineLevel="0" collapsed="false">
      <c r="A38" s="4" t="s">
        <v>361</v>
      </c>
      <c r="B38" s="4" t="s">
        <v>237</v>
      </c>
      <c r="C38" s="4" t="s">
        <v>238</v>
      </c>
      <c r="D38" s="4" t="s">
        <v>1634</v>
      </c>
      <c r="E38" s="4" t="n">
        <v>0</v>
      </c>
      <c r="F38" s="4" t="n">
        <v>1776199479</v>
      </c>
      <c r="G38" s="4" t="n">
        <v>1000000000000000</v>
      </c>
      <c r="H38" s="12" t="n">
        <f aca="false">IF(AND(E38=0,F38&lt;1000000000000000,F38+Cutoff!$B$16&lt;=Cutoff!$D$13),1,0)</f>
        <v>1</v>
      </c>
      <c r="I38" s="12" t="n">
        <f aca="false">IF(AND(H38=1,G38&lt;1000000000000000,G38&gt;=F38,G38&lt;F38+Cutoff!$B$16),1,0)</f>
        <v>0</v>
      </c>
    </row>
    <row r="39" customFormat="false" ht="15" hidden="false" customHeight="false" outlineLevel="0" collapsed="false">
      <c r="A39" s="4" t="s">
        <v>363</v>
      </c>
      <c r="B39" s="4" t="s">
        <v>242</v>
      </c>
      <c r="C39" s="4" t="s">
        <v>240</v>
      </c>
      <c r="D39" s="4" t="s">
        <v>1632</v>
      </c>
      <c r="E39" s="4" t="n">
        <v>0</v>
      </c>
      <c r="F39" s="4" t="n">
        <v>1776249811</v>
      </c>
      <c r="G39" s="4" t="n">
        <v>1000000000000000</v>
      </c>
      <c r="H39" s="12" t="n">
        <f aca="false">IF(AND(E39=0,F39&lt;1000000000000000,F39+Cutoff!$B$16&lt;=Cutoff!$D$13),1,0)</f>
        <v>1</v>
      </c>
      <c r="I39" s="12" t="n">
        <f aca="false">IF(AND(H39=1,G39&lt;1000000000000000,G39&gt;=F39,G39&lt;F39+Cutoff!$B$16),1,0)</f>
        <v>0</v>
      </c>
    </row>
    <row r="40" customFormat="false" ht="15" hidden="false" customHeight="false" outlineLevel="0" collapsed="false">
      <c r="A40" s="4" t="s">
        <v>365</v>
      </c>
      <c r="B40" s="4" t="s">
        <v>243</v>
      </c>
      <c r="C40" s="4" t="s">
        <v>240</v>
      </c>
      <c r="D40" s="4" t="s">
        <v>1632</v>
      </c>
      <c r="E40" s="4" t="n">
        <v>0</v>
      </c>
      <c r="F40" s="4" t="n">
        <v>1776256846</v>
      </c>
      <c r="G40" s="4" t="n">
        <v>1776504917</v>
      </c>
      <c r="H40" s="12" t="n">
        <f aca="false">IF(AND(E40=0,F40&lt;1000000000000000,F40+Cutoff!$B$16&lt;=Cutoff!$D$13),1,0)</f>
        <v>1</v>
      </c>
      <c r="I40" s="12" t="n">
        <f aca="false">IF(AND(H40=1,G40&lt;1000000000000000,G40&gt;=F40,G40&lt;F40+Cutoff!$B$16),1,0)</f>
        <v>1</v>
      </c>
    </row>
    <row r="41" customFormat="false" ht="15" hidden="false" customHeight="false" outlineLevel="0" collapsed="false">
      <c r="A41" s="4" t="s">
        <v>367</v>
      </c>
      <c r="B41" s="4" t="s">
        <v>237</v>
      </c>
      <c r="C41" s="4" t="s">
        <v>239</v>
      </c>
      <c r="D41" s="4" t="s">
        <v>1633</v>
      </c>
      <c r="E41" s="4" t="n">
        <v>0</v>
      </c>
      <c r="F41" s="4" t="n">
        <v>1776268259</v>
      </c>
      <c r="G41" s="4" t="n">
        <v>1776302878</v>
      </c>
      <c r="H41" s="12" t="n">
        <f aca="false">IF(AND(E41=0,F41&lt;1000000000000000,F41+Cutoff!$B$16&lt;=Cutoff!$D$13),1,0)</f>
        <v>1</v>
      </c>
      <c r="I41" s="12" t="n">
        <f aca="false">IF(AND(H41=1,G41&lt;1000000000000000,G41&gt;=F41,G41&lt;F41+Cutoff!$B$16),1,0)</f>
        <v>1</v>
      </c>
    </row>
    <row r="42" customFormat="false" ht="15" hidden="false" customHeight="false" outlineLevel="0" collapsed="false">
      <c r="A42" s="4" t="s">
        <v>369</v>
      </c>
      <c r="B42" s="4" t="s">
        <v>243</v>
      </c>
      <c r="C42" s="4" t="s">
        <v>239</v>
      </c>
      <c r="D42" s="4" t="s">
        <v>1634</v>
      </c>
      <c r="E42" s="4" t="n">
        <v>0</v>
      </c>
      <c r="F42" s="4" t="n">
        <v>1776272111</v>
      </c>
      <c r="G42" s="4" t="n">
        <v>1778447358</v>
      </c>
      <c r="H42" s="12" t="n">
        <f aca="false">IF(AND(E42=0,F42&lt;1000000000000000,F42+Cutoff!$B$16&lt;=Cutoff!$D$13),1,0)</f>
        <v>1</v>
      </c>
      <c r="I42" s="12" t="n">
        <f aca="false">IF(AND(H42=1,G42&lt;1000000000000000,G42&gt;=F42,G42&lt;F42+Cutoff!$B$16),1,0)</f>
        <v>0</v>
      </c>
    </row>
    <row r="43" customFormat="false" ht="15" hidden="false" customHeight="false" outlineLevel="0" collapsed="false">
      <c r="A43" s="4" t="s">
        <v>371</v>
      </c>
      <c r="B43" s="4" t="s">
        <v>243</v>
      </c>
      <c r="C43" s="4" t="s">
        <v>240</v>
      </c>
      <c r="D43" s="4" t="s">
        <v>1634</v>
      </c>
      <c r="E43" s="4" t="n">
        <v>0</v>
      </c>
      <c r="F43" s="4" t="n">
        <v>1776280681</v>
      </c>
      <c r="G43" s="4" t="n">
        <v>1000000000000000</v>
      </c>
      <c r="H43" s="12" t="n">
        <f aca="false">IF(AND(E43=0,F43&lt;1000000000000000,F43+Cutoff!$B$16&lt;=Cutoff!$D$13),1,0)</f>
        <v>1</v>
      </c>
      <c r="I43" s="12" t="n">
        <f aca="false">IF(AND(H43=1,G43&lt;1000000000000000,G43&gt;=F43,G43&lt;F43+Cutoff!$B$16),1,0)</f>
        <v>0</v>
      </c>
    </row>
    <row r="44" customFormat="false" ht="15" hidden="false" customHeight="false" outlineLevel="0" collapsed="false">
      <c r="A44" s="4" t="s">
        <v>373</v>
      </c>
      <c r="B44" s="4" t="s">
        <v>237</v>
      </c>
      <c r="C44" s="4" t="s">
        <v>239</v>
      </c>
      <c r="D44" s="4" t="s">
        <v>1632</v>
      </c>
      <c r="E44" s="4" t="n">
        <v>0</v>
      </c>
      <c r="F44" s="4" t="n">
        <v>1776341878</v>
      </c>
      <c r="G44" s="4" t="n">
        <v>1776351317</v>
      </c>
      <c r="H44" s="12" t="n">
        <f aca="false">IF(AND(E44=0,F44&lt;1000000000000000,F44+Cutoff!$B$16&lt;=Cutoff!$D$13),1,0)</f>
        <v>1</v>
      </c>
      <c r="I44" s="12" t="n">
        <f aca="false">IF(AND(H44=1,G44&lt;1000000000000000,G44&gt;=F44,G44&lt;F44+Cutoff!$B$16),1,0)</f>
        <v>1</v>
      </c>
    </row>
    <row r="45" customFormat="false" ht="15" hidden="false" customHeight="false" outlineLevel="0" collapsed="false">
      <c r="A45" s="4" t="s">
        <v>375</v>
      </c>
      <c r="B45" s="4" t="s">
        <v>237</v>
      </c>
      <c r="C45" s="4" t="s">
        <v>238</v>
      </c>
      <c r="D45" s="4" t="s">
        <v>1632</v>
      </c>
      <c r="E45" s="4" t="n">
        <v>0</v>
      </c>
      <c r="F45" s="4" t="n">
        <v>1776349437</v>
      </c>
      <c r="G45" s="4" t="n">
        <v>1000000000000000</v>
      </c>
      <c r="H45" s="12" t="n">
        <f aca="false">IF(AND(E45=0,F45&lt;1000000000000000,F45+Cutoff!$B$16&lt;=Cutoff!$D$13),1,0)</f>
        <v>1</v>
      </c>
      <c r="I45" s="12" t="n">
        <f aca="false">IF(AND(H45=1,G45&lt;1000000000000000,G45&gt;=F45,G45&lt;F45+Cutoff!$B$16),1,0)</f>
        <v>0</v>
      </c>
    </row>
    <row r="46" customFormat="false" ht="15" hidden="false" customHeight="false" outlineLevel="0" collapsed="false">
      <c r="A46" s="4" t="s">
        <v>377</v>
      </c>
      <c r="B46" s="4" t="s">
        <v>242</v>
      </c>
      <c r="C46" s="4" t="s">
        <v>240</v>
      </c>
      <c r="D46" s="4" t="s">
        <v>1633</v>
      </c>
      <c r="E46" s="4" t="n">
        <v>0</v>
      </c>
      <c r="F46" s="4" t="n">
        <v>1776351150</v>
      </c>
      <c r="G46" s="4" t="n">
        <v>1000000000000000</v>
      </c>
      <c r="H46" s="12" t="n">
        <f aca="false">IF(AND(E46=0,F46&lt;1000000000000000,F46+Cutoff!$B$16&lt;=Cutoff!$D$13),1,0)</f>
        <v>1</v>
      </c>
      <c r="I46" s="12" t="n">
        <f aca="false">IF(AND(H46=1,G46&lt;1000000000000000,G46&gt;=F46,G46&lt;F46+Cutoff!$B$16),1,0)</f>
        <v>0</v>
      </c>
    </row>
    <row r="47" customFormat="false" ht="15" hidden="false" customHeight="false" outlineLevel="0" collapsed="false">
      <c r="A47" s="4" t="s">
        <v>379</v>
      </c>
      <c r="B47" s="4" t="s">
        <v>237</v>
      </c>
      <c r="C47" s="4" t="s">
        <v>238</v>
      </c>
      <c r="D47" s="4" t="s">
        <v>1633</v>
      </c>
      <c r="E47" s="4" t="n">
        <v>0</v>
      </c>
      <c r="F47" s="4" t="n">
        <v>1776351716</v>
      </c>
      <c r="G47" s="4" t="n">
        <v>1776366885</v>
      </c>
      <c r="H47" s="12" t="n">
        <f aca="false">IF(AND(E47=0,F47&lt;1000000000000000,F47+Cutoff!$B$16&lt;=Cutoff!$D$13),1,0)</f>
        <v>1</v>
      </c>
      <c r="I47" s="12" t="n">
        <f aca="false">IF(AND(H47=1,G47&lt;1000000000000000,G47&gt;=F47,G47&lt;F47+Cutoff!$B$16),1,0)</f>
        <v>1</v>
      </c>
    </row>
    <row r="48" customFormat="false" ht="15" hidden="false" customHeight="false" outlineLevel="0" collapsed="false">
      <c r="A48" s="4" t="s">
        <v>381</v>
      </c>
      <c r="B48" s="4" t="s">
        <v>243</v>
      </c>
      <c r="C48" s="4" t="s">
        <v>240</v>
      </c>
      <c r="D48" s="4" t="s">
        <v>1632</v>
      </c>
      <c r="E48" s="4" t="n">
        <v>0</v>
      </c>
      <c r="F48" s="4" t="n">
        <v>1776357539</v>
      </c>
      <c r="G48" s="4" t="n">
        <v>1000000000000000</v>
      </c>
      <c r="H48" s="12" t="n">
        <f aca="false">IF(AND(E48=0,F48&lt;1000000000000000,F48+Cutoff!$B$16&lt;=Cutoff!$D$13),1,0)</f>
        <v>1</v>
      </c>
      <c r="I48" s="12" t="n">
        <f aca="false">IF(AND(H48=1,G48&lt;1000000000000000,G48&gt;=F48,G48&lt;F48+Cutoff!$B$16),1,0)</f>
        <v>0</v>
      </c>
    </row>
    <row r="49" customFormat="false" ht="15" hidden="false" customHeight="false" outlineLevel="0" collapsed="false">
      <c r="A49" s="4" t="s">
        <v>383</v>
      </c>
      <c r="B49" s="4" t="s">
        <v>242</v>
      </c>
      <c r="C49" s="4" t="s">
        <v>238</v>
      </c>
      <c r="D49" s="4" t="s">
        <v>1632</v>
      </c>
      <c r="E49" s="4" t="n">
        <v>0</v>
      </c>
      <c r="F49" s="4" t="n">
        <v>1776433853</v>
      </c>
      <c r="G49" s="4" t="n">
        <v>1000000000000000</v>
      </c>
      <c r="H49" s="12" t="n">
        <f aca="false">IF(AND(E49=0,F49&lt;1000000000000000,F49+Cutoff!$B$16&lt;=Cutoff!$D$13),1,0)</f>
        <v>1</v>
      </c>
      <c r="I49" s="12" t="n">
        <f aca="false">IF(AND(H49=1,G49&lt;1000000000000000,G49&gt;=F49,G49&lt;F49+Cutoff!$B$16),1,0)</f>
        <v>0</v>
      </c>
    </row>
    <row r="50" customFormat="false" ht="15" hidden="false" customHeight="false" outlineLevel="0" collapsed="false">
      <c r="A50" s="4" t="s">
        <v>385</v>
      </c>
      <c r="B50" s="4" t="s">
        <v>243</v>
      </c>
      <c r="C50" s="4" t="s">
        <v>239</v>
      </c>
      <c r="D50" s="4" t="s">
        <v>1632</v>
      </c>
      <c r="E50" s="4" t="n">
        <v>0</v>
      </c>
      <c r="F50" s="4" t="n">
        <v>1776442173</v>
      </c>
      <c r="G50" s="4" t="n">
        <v>1776487391</v>
      </c>
      <c r="H50" s="12" t="n">
        <f aca="false">IF(AND(E50=0,F50&lt;1000000000000000,F50+Cutoff!$B$16&lt;=Cutoff!$D$13),1,0)</f>
        <v>1</v>
      </c>
      <c r="I50" s="12" t="n">
        <f aca="false">IF(AND(H50=1,G50&lt;1000000000000000,G50&gt;=F50,G50&lt;F50+Cutoff!$B$16),1,0)</f>
        <v>1</v>
      </c>
    </row>
    <row r="51" customFormat="false" ht="15" hidden="false" customHeight="false" outlineLevel="0" collapsed="false">
      <c r="A51" s="4" t="s">
        <v>387</v>
      </c>
      <c r="B51" s="4" t="s">
        <v>242</v>
      </c>
      <c r="C51" s="4" t="s">
        <v>240</v>
      </c>
      <c r="D51" s="4" t="s">
        <v>1633</v>
      </c>
      <c r="E51" s="4" t="n">
        <v>0</v>
      </c>
      <c r="F51" s="4" t="n">
        <v>1776461316</v>
      </c>
      <c r="G51" s="4" t="n">
        <v>1000000000000000</v>
      </c>
      <c r="H51" s="12" t="n">
        <f aca="false">IF(AND(E51=0,F51&lt;1000000000000000,F51+Cutoff!$B$16&lt;=Cutoff!$D$13),1,0)</f>
        <v>1</v>
      </c>
      <c r="I51" s="12" t="n">
        <f aca="false">IF(AND(H51=1,G51&lt;1000000000000000,G51&gt;=F51,G51&lt;F51+Cutoff!$B$16),1,0)</f>
        <v>0</v>
      </c>
    </row>
    <row r="52" customFormat="false" ht="15" hidden="false" customHeight="false" outlineLevel="0" collapsed="false">
      <c r="A52" s="4" t="s">
        <v>389</v>
      </c>
      <c r="B52" s="4" t="s">
        <v>242</v>
      </c>
      <c r="C52" s="4" t="s">
        <v>239</v>
      </c>
      <c r="D52" s="4" t="s">
        <v>1633</v>
      </c>
      <c r="E52" s="4" t="n">
        <v>0</v>
      </c>
      <c r="F52" s="4" t="n">
        <v>1776540598</v>
      </c>
      <c r="G52" s="4" t="n">
        <v>1778098359</v>
      </c>
      <c r="H52" s="12" t="n">
        <f aca="false">IF(AND(E52=0,F52&lt;1000000000000000,F52+Cutoff!$B$16&lt;=Cutoff!$D$13),1,0)</f>
        <v>1</v>
      </c>
      <c r="I52" s="12" t="n">
        <f aca="false">IF(AND(H52=1,G52&lt;1000000000000000,G52&gt;=F52,G52&lt;F52+Cutoff!$B$16),1,0)</f>
        <v>0</v>
      </c>
    </row>
    <row r="53" customFormat="false" ht="15" hidden="false" customHeight="false" outlineLevel="0" collapsed="false">
      <c r="A53" s="4" t="s">
        <v>391</v>
      </c>
      <c r="B53" s="4" t="s">
        <v>243</v>
      </c>
      <c r="C53" s="4" t="s">
        <v>238</v>
      </c>
      <c r="D53" s="4" t="s">
        <v>1633</v>
      </c>
      <c r="E53" s="4" t="n">
        <v>0</v>
      </c>
      <c r="F53" s="4" t="n">
        <v>1776617861</v>
      </c>
      <c r="G53" s="4" t="n">
        <v>1000000000000000</v>
      </c>
      <c r="H53" s="12" t="n">
        <f aca="false">IF(AND(E53=0,F53&lt;1000000000000000,F53+Cutoff!$B$16&lt;=Cutoff!$D$13),1,0)</f>
        <v>1</v>
      </c>
      <c r="I53" s="12" t="n">
        <f aca="false">IF(AND(H53=1,G53&lt;1000000000000000,G53&gt;=F53,G53&lt;F53+Cutoff!$B$16),1,0)</f>
        <v>0</v>
      </c>
    </row>
    <row r="54" customFormat="false" ht="15" hidden="false" customHeight="false" outlineLevel="0" collapsed="false">
      <c r="A54" s="4" t="s">
        <v>393</v>
      </c>
      <c r="B54" s="4" t="s">
        <v>242</v>
      </c>
      <c r="C54" s="4" t="s">
        <v>240</v>
      </c>
      <c r="D54" s="4" t="s">
        <v>1633</v>
      </c>
      <c r="E54" s="4" t="n">
        <v>0</v>
      </c>
      <c r="F54" s="4" t="n">
        <v>1776690738</v>
      </c>
      <c r="G54" s="4" t="n">
        <v>1778020136</v>
      </c>
      <c r="H54" s="12" t="n">
        <f aca="false">IF(AND(E54=0,F54&lt;1000000000000000,F54+Cutoff!$B$16&lt;=Cutoff!$D$13),1,0)</f>
        <v>1</v>
      </c>
      <c r="I54" s="12" t="n">
        <f aca="false">IF(AND(H54=1,G54&lt;1000000000000000,G54&gt;=F54,G54&lt;F54+Cutoff!$B$16),1,0)</f>
        <v>0</v>
      </c>
    </row>
    <row r="55" customFormat="false" ht="15" hidden="false" customHeight="false" outlineLevel="0" collapsed="false">
      <c r="A55" s="4" t="s">
        <v>395</v>
      </c>
      <c r="B55" s="4" t="s">
        <v>243</v>
      </c>
      <c r="C55" s="4" t="s">
        <v>239</v>
      </c>
      <c r="D55" s="4" t="s">
        <v>1633</v>
      </c>
      <c r="E55" s="4" t="n">
        <v>0</v>
      </c>
      <c r="F55" s="4" t="n">
        <v>1776694640</v>
      </c>
      <c r="G55" s="4" t="n">
        <v>1000000000000000</v>
      </c>
      <c r="H55" s="12" t="n">
        <f aca="false">IF(AND(E55=0,F55&lt;1000000000000000,F55+Cutoff!$B$16&lt;=Cutoff!$D$13),1,0)</f>
        <v>1</v>
      </c>
      <c r="I55" s="12" t="n">
        <f aca="false">IF(AND(H55=1,G55&lt;1000000000000000,G55&gt;=F55,G55&lt;F55+Cutoff!$B$16),1,0)</f>
        <v>0</v>
      </c>
    </row>
    <row r="56" customFormat="false" ht="15" hidden="false" customHeight="false" outlineLevel="0" collapsed="false">
      <c r="A56" s="4" t="s">
        <v>397</v>
      </c>
      <c r="B56" s="4" t="s">
        <v>243</v>
      </c>
      <c r="C56" s="4" t="s">
        <v>240</v>
      </c>
      <c r="D56" s="4" t="s">
        <v>1634</v>
      </c>
      <c r="E56" s="4" t="n">
        <v>0</v>
      </c>
      <c r="F56" s="4" t="n">
        <v>1776709113</v>
      </c>
      <c r="G56" s="4" t="n">
        <v>1777034143</v>
      </c>
      <c r="H56" s="12" t="n">
        <f aca="false">IF(AND(E56=0,F56&lt;1000000000000000,F56+Cutoff!$B$16&lt;=Cutoff!$D$13),1,0)</f>
        <v>1</v>
      </c>
      <c r="I56" s="12" t="n">
        <f aca="false">IF(AND(H56=1,G56&lt;1000000000000000,G56&gt;=F56,G56&lt;F56+Cutoff!$B$16),1,0)</f>
        <v>1</v>
      </c>
    </row>
    <row r="57" customFormat="false" ht="15" hidden="false" customHeight="false" outlineLevel="0" collapsed="false">
      <c r="A57" s="4" t="s">
        <v>399</v>
      </c>
      <c r="B57" s="4" t="s">
        <v>243</v>
      </c>
      <c r="C57" s="4" t="s">
        <v>239</v>
      </c>
      <c r="D57" s="4" t="s">
        <v>1634</v>
      </c>
      <c r="E57" s="4" t="n">
        <v>0</v>
      </c>
      <c r="F57" s="4" t="n">
        <v>1776709376</v>
      </c>
      <c r="G57" s="4" t="n">
        <v>1777284693</v>
      </c>
      <c r="H57" s="12" t="n">
        <f aca="false">IF(AND(E57=0,F57&lt;1000000000000000,F57+Cutoff!$B$16&lt;=Cutoff!$D$13),1,0)</f>
        <v>1</v>
      </c>
      <c r="I57" s="12" t="n">
        <f aca="false">IF(AND(H57=1,G57&lt;1000000000000000,G57&gt;=F57,G57&lt;F57+Cutoff!$B$16),1,0)</f>
        <v>1</v>
      </c>
    </row>
    <row r="58" customFormat="false" ht="15" hidden="false" customHeight="false" outlineLevel="0" collapsed="false">
      <c r="A58" s="4" t="s">
        <v>1415</v>
      </c>
      <c r="B58" s="4" t="s">
        <v>243</v>
      </c>
      <c r="C58" s="4" t="s">
        <v>239</v>
      </c>
      <c r="D58" s="4" t="s">
        <v>1634</v>
      </c>
      <c r="E58" s="4" t="n">
        <v>1</v>
      </c>
      <c r="F58" s="4" t="n">
        <v>1000000000000000</v>
      </c>
      <c r="G58" s="4" t="n">
        <v>1000000000000000</v>
      </c>
      <c r="H58" s="12" t="n">
        <f aca="false">IF(AND(E58=0,F58&lt;1000000000000000,F58+Cutoff!$B$16&lt;=Cutoff!$D$13),1,0)</f>
        <v>0</v>
      </c>
      <c r="I58" s="12" t="n">
        <f aca="false">IF(AND(H58=1,G58&lt;1000000000000000,G58&gt;=F58,G58&lt;F58+Cutoff!$B$16),1,0)</f>
        <v>0</v>
      </c>
    </row>
    <row r="59" customFormat="false" ht="15" hidden="false" customHeight="false" outlineLevel="0" collapsed="false">
      <c r="A59" s="4" t="s">
        <v>401</v>
      </c>
      <c r="B59" s="4" t="s">
        <v>242</v>
      </c>
      <c r="C59" s="4" t="s">
        <v>239</v>
      </c>
      <c r="D59" s="4" t="s">
        <v>1633</v>
      </c>
      <c r="E59" s="4" t="n">
        <v>0</v>
      </c>
      <c r="F59" s="4" t="n">
        <v>1776723601</v>
      </c>
      <c r="G59" s="4" t="n">
        <v>1000000000000000</v>
      </c>
      <c r="H59" s="12" t="n">
        <f aca="false">IF(AND(E59=0,F59&lt;1000000000000000,F59+Cutoff!$B$16&lt;=Cutoff!$D$13),1,0)</f>
        <v>1</v>
      </c>
      <c r="I59" s="12" t="n">
        <f aca="false">IF(AND(H59=1,G59&lt;1000000000000000,G59&gt;=F59,G59&lt;F59+Cutoff!$B$16),1,0)</f>
        <v>0</v>
      </c>
    </row>
    <row r="60" customFormat="false" ht="15" hidden="false" customHeight="false" outlineLevel="0" collapsed="false">
      <c r="A60" s="4" t="s">
        <v>403</v>
      </c>
      <c r="B60" s="4" t="s">
        <v>243</v>
      </c>
      <c r="C60" s="4" t="s">
        <v>240</v>
      </c>
      <c r="D60" s="4" t="s">
        <v>1632</v>
      </c>
      <c r="E60" s="4" t="n">
        <v>0</v>
      </c>
      <c r="F60" s="4" t="n">
        <v>1776778858</v>
      </c>
      <c r="G60" s="4" t="n">
        <v>1000000000000000</v>
      </c>
      <c r="H60" s="12" t="n">
        <f aca="false">IF(AND(E60=0,F60&lt;1000000000000000,F60+Cutoff!$B$16&lt;=Cutoff!$D$13),1,0)</f>
        <v>1</v>
      </c>
      <c r="I60" s="12" t="n">
        <f aca="false">IF(AND(H60=1,G60&lt;1000000000000000,G60&gt;=F60,G60&lt;F60+Cutoff!$B$16),1,0)</f>
        <v>0</v>
      </c>
    </row>
    <row r="61" customFormat="false" ht="15" hidden="false" customHeight="false" outlineLevel="0" collapsed="false">
      <c r="A61" s="4" t="s">
        <v>405</v>
      </c>
      <c r="B61" s="4" t="s">
        <v>243</v>
      </c>
      <c r="C61" s="4" t="s">
        <v>240</v>
      </c>
      <c r="D61" s="4" t="s">
        <v>1634</v>
      </c>
      <c r="E61" s="4" t="n">
        <v>0</v>
      </c>
      <c r="F61" s="4" t="n">
        <v>1776795323</v>
      </c>
      <c r="G61" s="4" t="n">
        <v>1777265139</v>
      </c>
      <c r="H61" s="12" t="n">
        <f aca="false">IF(AND(E61=0,F61&lt;1000000000000000,F61+Cutoff!$B$16&lt;=Cutoff!$D$13),1,0)</f>
        <v>1</v>
      </c>
      <c r="I61" s="12" t="n">
        <f aca="false">IF(AND(H61=1,G61&lt;1000000000000000,G61&gt;=F61,G61&lt;F61+Cutoff!$B$16),1,0)</f>
        <v>1</v>
      </c>
    </row>
    <row r="62" customFormat="false" ht="15" hidden="false" customHeight="false" outlineLevel="0" collapsed="false">
      <c r="A62" s="4" t="s">
        <v>407</v>
      </c>
      <c r="B62" s="4" t="s">
        <v>237</v>
      </c>
      <c r="C62" s="4" t="s">
        <v>238</v>
      </c>
      <c r="D62" s="4" t="s">
        <v>1633</v>
      </c>
      <c r="E62" s="4" t="n">
        <v>0</v>
      </c>
      <c r="F62" s="4" t="n">
        <v>1776800656</v>
      </c>
      <c r="G62" s="4" t="n">
        <v>1000000000000000</v>
      </c>
      <c r="H62" s="12" t="n">
        <f aca="false">IF(AND(E62=0,F62&lt;1000000000000000,F62+Cutoff!$B$16&lt;=Cutoff!$D$13),1,0)</f>
        <v>1</v>
      </c>
      <c r="I62" s="12" t="n">
        <f aca="false">IF(AND(H62=1,G62&lt;1000000000000000,G62&gt;=F62,G62&lt;F62+Cutoff!$B$16),1,0)</f>
        <v>0</v>
      </c>
    </row>
    <row r="63" customFormat="false" ht="15" hidden="false" customHeight="false" outlineLevel="0" collapsed="false">
      <c r="A63" s="4" t="s">
        <v>409</v>
      </c>
      <c r="B63" s="4" t="s">
        <v>243</v>
      </c>
      <c r="C63" s="4" t="s">
        <v>240</v>
      </c>
      <c r="D63" s="4" t="s">
        <v>1634</v>
      </c>
      <c r="E63" s="4" t="n">
        <v>0</v>
      </c>
      <c r="F63" s="4" t="n">
        <v>1776816077</v>
      </c>
      <c r="G63" s="4" t="n">
        <v>1000000000000000</v>
      </c>
      <c r="H63" s="12" t="n">
        <f aca="false">IF(AND(E63=0,F63&lt;1000000000000000,F63+Cutoff!$B$16&lt;=Cutoff!$D$13),1,0)</f>
        <v>1</v>
      </c>
      <c r="I63" s="12" t="n">
        <f aca="false">IF(AND(H63=1,G63&lt;1000000000000000,G63&gt;=F63,G63&lt;F63+Cutoff!$B$16),1,0)</f>
        <v>0</v>
      </c>
    </row>
    <row r="64" customFormat="false" ht="15" hidden="false" customHeight="false" outlineLevel="0" collapsed="false">
      <c r="A64" s="4" t="s">
        <v>411</v>
      </c>
      <c r="B64" s="4" t="s">
        <v>243</v>
      </c>
      <c r="C64" s="4" t="s">
        <v>240</v>
      </c>
      <c r="D64" s="4" t="s">
        <v>1634</v>
      </c>
      <c r="E64" s="4" t="n">
        <v>0</v>
      </c>
      <c r="F64" s="4" t="n">
        <v>1776822527</v>
      </c>
      <c r="G64" s="4" t="n">
        <v>1000000000000000</v>
      </c>
      <c r="H64" s="12" t="n">
        <f aca="false">IF(AND(E64=0,F64&lt;1000000000000000,F64+Cutoff!$B$16&lt;=Cutoff!$D$13),1,0)</f>
        <v>1</v>
      </c>
      <c r="I64" s="12" t="n">
        <f aca="false">IF(AND(H64=1,G64&lt;1000000000000000,G64&gt;=F64,G64&lt;F64+Cutoff!$B$16),1,0)</f>
        <v>0</v>
      </c>
    </row>
    <row r="65" customFormat="false" ht="15" hidden="false" customHeight="false" outlineLevel="0" collapsed="false">
      <c r="A65" s="4" t="s">
        <v>413</v>
      </c>
      <c r="B65" s="4" t="s">
        <v>243</v>
      </c>
      <c r="C65" s="4" t="s">
        <v>240</v>
      </c>
      <c r="D65" s="4" t="s">
        <v>1633</v>
      </c>
      <c r="E65" s="4" t="n">
        <v>0</v>
      </c>
      <c r="F65" s="4" t="n">
        <v>1776868063</v>
      </c>
      <c r="G65" s="4" t="n">
        <v>1000000000000000</v>
      </c>
      <c r="H65" s="12" t="n">
        <f aca="false">IF(AND(E65=0,F65&lt;1000000000000000,F65+Cutoff!$B$16&lt;=Cutoff!$D$13),1,0)</f>
        <v>1</v>
      </c>
      <c r="I65" s="12" t="n">
        <f aca="false">IF(AND(H65=1,G65&lt;1000000000000000,G65&gt;=F65,G65&lt;F65+Cutoff!$B$16),1,0)</f>
        <v>0</v>
      </c>
    </row>
    <row r="66" customFormat="false" ht="15" hidden="false" customHeight="false" outlineLevel="0" collapsed="false">
      <c r="A66" s="4" t="s">
        <v>415</v>
      </c>
      <c r="B66" s="4" t="s">
        <v>243</v>
      </c>
      <c r="C66" s="4" t="s">
        <v>240</v>
      </c>
      <c r="D66" s="4" t="s">
        <v>1634</v>
      </c>
      <c r="E66" s="4" t="n">
        <v>0</v>
      </c>
      <c r="F66" s="4" t="n">
        <v>1776878914</v>
      </c>
      <c r="G66" s="4" t="n">
        <v>1000000000000000</v>
      </c>
      <c r="H66" s="12" t="n">
        <f aca="false">IF(AND(E66=0,F66&lt;1000000000000000,F66+Cutoff!$B$16&lt;=Cutoff!$D$13),1,0)</f>
        <v>1</v>
      </c>
      <c r="I66" s="12" t="n">
        <f aca="false">IF(AND(H66=1,G66&lt;1000000000000000,G66&gt;=F66,G66&lt;F66+Cutoff!$B$16),1,0)</f>
        <v>0</v>
      </c>
    </row>
    <row r="67" customFormat="false" ht="15" hidden="false" customHeight="false" outlineLevel="0" collapsed="false">
      <c r="A67" s="4" t="s">
        <v>417</v>
      </c>
      <c r="B67" s="4" t="s">
        <v>243</v>
      </c>
      <c r="C67" s="4" t="s">
        <v>240</v>
      </c>
      <c r="D67" s="4" t="s">
        <v>1634</v>
      </c>
      <c r="E67" s="4" t="n">
        <v>0</v>
      </c>
      <c r="F67" s="4" t="n">
        <v>1776882784</v>
      </c>
      <c r="G67" s="4" t="n">
        <v>1776887611</v>
      </c>
      <c r="H67" s="12" t="n">
        <f aca="false">IF(AND(E67=0,F67&lt;1000000000000000,F67+Cutoff!$B$16&lt;=Cutoff!$D$13),1,0)</f>
        <v>1</v>
      </c>
      <c r="I67" s="12" t="n">
        <f aca="false">IF(AND(H67=1,G67&lt;1000000000000000,G67&gt;=F67,G67&lt;F67+Cutoff!$B$16),1,0)</f>
        <v>1</v>
      </c>
    </row>
    <row r="68" customFormat="false" ht="15" hidden="false" customHeight="false" outlineLevel="0" collapsed="false">
      <c r="A68" s="4" t="s">
        <v>419</v>
      </c>
      <c r="B68" s="4" t="s">
        <v>243</v>
      </c>
      <c r="C68" s="4" t="s">
        <v>240</v>
      </c>
      <c r="D68" s="4" t="s">
        <v>1634</v>
      </c>
      <c r="E68" s="4" t="n">
        <v>0</v>
      </c>
      <c r="F68" s="4" t="n">
        <v>1776883696</v>
      </c>
      <c r="G68" s="4" t="n">
        <v>1000000000000000</v>
      </c>
      <c r="H68" s="12" t="n">
        <f aca="false">IF(AND(E68=0,F68&lt;1000000000000000,F68+Cutoff!$B$16&lt;=Cutoff!$D$13),1,0)</f>
        <v>1</v>
      </c>
      <c r="I68" s="12" t="n">
        <f aca="false">IF(AND(H68=1,G68&lt;1000000000000000,G68&gt;=F68,G68&lt;F68+Cutoff!$B$16),1,0)</f>
        <v>0</v>
      </c>
    </row>
    <row r="69" customFormat="false" ht="15" hidden="false" customHeight="false" outlineLevel="0" collapsed="false">
      <c r="A69" s="4" t="s">
        <v>421</v>
      </c>
      <c r="B69" s="4" t="s">
        <v>237</v>
      </c>
      <c r="C69" s="4" t="s">
        <v>238</v>
      </c>
      <c r="D69" s="4" t="s">
        <v>1633</v>
      </c>
      <c r="E69" s="4" t="n">
        <v>0</v>
      </c>
      <c r="F69" s="4" t="n">
        <v>1776891063</v>
      </c>
      <c r="G69" s="4" t="n">
        <v>1776971878</v>
      </c>
      <c r="H69" s="12" t="n">
        <f aca="false">IF(AND(E69=0,F69&lt;1000000000000000,F69+Cutoff!$B$16&lt;=Cutoff!$D$13),1,0)</f>
        <v>1</v>
      </c>
      <c r="I69" s="12" t="n">
        <f aca="false">IF(AND(H69=1,G69&lt;1000000000000000,G69&gt;=F69,G69&lt;F69+Cutoff!$B$16),1,0)</f>
        <v>1</v>
      </c>
    </row>
    <row r="70" customFormat="false" ht="15" hidden="false" customHeight="false" outlineLevel="0" collapsed="false">
      <c r="A70" s="4" t="s">
        <v>423</v>
      </c>
      <c r="B70" s="4" t="s">
        <v>243</v>
      </c>
      <c r="C70" s="4" t="s">
        <v>240</v>
      </c>
      <c r="D70" s="4" t="s">
        <v>1633</v>
      </c>
      <c r="E70" s="4" t="n">
        <v>0</v>
      </c>
      <c r="F70" s="4" t="n">
        <v>1776892124</v>
      </c>
      <c r="G70" s="4" t="n">
        <v>1000000000000000</v>
      </c>
      <c r="H70" s="12" t="n">
        <f aca="false">IF(AND(E70=0,F70&lt;1000000000000000,F70+Cutoff!$B$16&lt;=Cutoff!$D$13),1,0)</f>
        <v>1</v>
      </c>
      <c r="I70" s="12" t="n">
        <f aca="false">IF(AND(H70=1,G70&lt;1000000000000000,G70&gt;=F70,G70&lt;F70+Cutoff!$B$16),1,0)</f>
        <v>0</v>
      </c>
    </row>
    <row r="71" customFormat="false" ht="15" hidden="false" customHeight="false" outlineLevel="0" collapsed="false">
      <c r="A71" s="4" t="s">
        <v>425</v>
      </c>
      <c r="B71" s="4" t="s">
        <v>242</v>
      </c>
      <c r="C71" s="4" t="s">
        <v>239</v>
      </c>
      <c r="D71" s="4" t="s">
        <v>1632</v>
      </c>
      <c r="E71" s="4" t="n">
        <v>0</v>
      </c>
      <c r="F71" s="4" t="n">
        <v>1776955888</v>
      </c>
      <c r="G71" s="4" t="n">
        <v>1777025244</v>
      </c>
      <c r="H71" s="12" t="n">
        <f aca="false">IF(AND(E71=0,F71&lt;1000000000000000,F71+Cutoff!$B$16&lt;=Cutoff!$D$13),1,0)</f>
        <v>1</v>
      </c>
      <c r="I71" s="12" t="n">
        <f aca="false">IF(AND(H71=1,G71&lt;1000000000000000,G71&gt;=F71,G71&lt;F71+Cutoff!$B$16),1,0)</f>
        <v>1</v>
      </c>
    </row>
    <row r="72" customFormat="false" ht="15" hidden="false" customHeight="false" outlineLevel="0" collapsed="false">
      <c r="A72" s="4" t="s">
        <v>427</v>
      </c>
      <c r="B72" s="4" t="s">
        <v>242</v>
      </c>
      <c r="C72" s="4" t="s">
        <v>239</v>
      </c>
      <c r="D72" s="4" t="s">
        <v>1633</v>
      </c>
      <c r="E72" s="4" t="n">
        <v>0</v>
      </c>
      <c r="F72" s="4" t="n">
        <v>1776956109</v>
      </c>
      <c r="G72" s="4" t="n">
        <v>1777228669</v>
      </c>
      <c r="H72" s="12" t="n">
        <f aca="false">IF(AND(E72=0,F72&lt;1000000000000000,F72+Cutoff!$B$16&lt;=Cutoff!$D$13),1,0)</f>
        <v>1</v>
      </c>
      <c r="I72" s="12" t="n">
        <f aca="false">IF(AND(H72=1,G72&lt;1000000000000000,G72&gt;=F72,G72&lt;F72+Cutoff!$B$16),1,0)</f>
        <v>1</v>
      </c>
    </row>
    <row r="73" customFormat="false" ht="15" hidden="false" customHeight="false" outlineLevel="0" collapsed="false">
      <c r="A73" s="4" t="s">
        <v>429</v>
      </c>
      <c r="B73" s="4" t="s">
        <v>242</v>
      </c>
      <c r="C73" s="4" t="s">
        <v>239</v>
      </c>
      <c r="D73" s="4" t="s">
        <v>1632</v>
      </c>
      <c r="E73" s="4" t="n">
        <v>0</v>
      </c>
      <c r="F73" s="4" t="n">
        <v>1776962702</v>
      </c>
      <c r="G73" s="4" t="n">
        <v>1777373262</v>
      </c>
      <c r="H73" s="12" t="n">
        <f aca="false">IF(AND(E73=0,F73&lt;1000000000000000,F73+Cutoff!$B$16&lt;=Cutoff!$D$13),1,0)</f>
        <v>1</v>
      </c>
      <c r="I73" s="12" t="n">
        <f aca="false">IF(AND(H73=1,G73&lt;1000000000000000,G73&gt;=F73,G73&lt;F73+Cutoff!$B$16),1,0)</f>
        <v>1</v>
      </c>
    </row>
    <row r="74" customFormat="false" ht="15" hidden="false" customHeight="false" outlineLevel="0" collapsed="false">
      <c r="A74" s="4" t="s">
        <v>431</v>
      </c>
      <c r="B74" s="4" t="s">
        <v>242</v>
      </c>
      <c r="C74" s="4" t="s">
        <v>240</v>
      </c>
      <c r="D74" s="4" t="s">
        <v>1633</v>
      </c>
      <c r="E74" s="4" t="n">
        <v>0</v>
      </c>
      <c r="F74" s="4" t="n">
        <v>1776972366</v>
      </c>
      <c r="G74" s="4" t="n">
        <v>1000000000000000</v>
      </c>
      <c r="H74" s="12" t="n">
        <f aca="false">IF(AND(E74=0,F74&lt;1000000000000000,F74+Cutoff!$B$16&lt;=Cutoff!$D$13),1,0)</f>
        <v>1</v>
      </c>
      <c r="I74" s="12" t="n">
        <f aca="false">IF(AND(H74=1,G74&lt;1000000000000000,G74&gt;=F74,G74&lt;F74+Cutoff!$B$16),1,0)</f>
        <v>0</v>
      </c>
    </row>
    <row r="75" customFormat="false" ht="15" hidden="false" customHeight="false" outlineLevel="0" collapsed="false">
      <c r="A75" s="4" t="s">
        <v>433</v>
      </c>
      <c r="B75" s="4" t="s">
        <v>242</v>
      </c>
      <c r="C75" s="4" t="s">
        <v>240</v>
      </c>
      <c r="D75" s="4" t="s">
        <v>1634</v>
      </c>
      <c r="E75" s="4" t="n">
        <v>0</v>
      </c>
      <c r="F75" s="4" t="n">
        <v>1776977973</v>
      </c>
      <c r="G75" s="4" t="n">
        <v>1000000000000000</v>
      </c>
      <c r="H75" s="12" t="n">
        <f aca="false">IF(AND(E75=0,F75&lt;1000000000000000,F75+Cutoff!$B$16&lt;=Cutoff!$D$13),1,0)</f>
        <v>1</v>
      </c>
      <c r="I75" s="12" t="n">
        <f aca="false">IF(AND(H75=1,G75&lt;1000000000000000,G75&gt;=F75,G75&lt;F75+Cutoff!$B$16),1,0)</f>
        <v>0</v>
      </c>
    </row>
    <row r="76" customFormat="false" ht="15" hidden="false" customHeight="false" outlineLevel="0" collapsed="false">
      <c r="A76" s="4" t="s">
        <v>435</v>
      </c>
      <c r="B76" s="4" t="s">
        <v>242</v>
      </c>
      <c r="C76" s="4" t="s">
        <v>240</v>
      </c>
      <c r="D76" s="4" t="s">
        <v>1632</v>
      </c>
      <c r="E76" s="4" t="n">
        <v>0</v>
      </c>
      <c r="F76" s="4" t="n">
        <v>1777110382</v>
      </c>
      <c r="G76" s="4" t="n">
        <v>1000000000000000</v>
      </c>
      <c r="H76" s="12" t="n">
        <f aca="false">IF(AND(E76=0,F76&lt;1000000000000000,F76+Cutoff!$B$16&lt;=Cutoff!$D$13),1,0)</f>
        <v>1</v>
      </c>
      <c r="I76" s="12" t="n">
        <f aca="false">IF(AND(H76=1,G76&lt;1000000000000000,G76&gt;=F76,G76&lt;F76+Cutoff!$B$16),1,0)</f>
        <v>0</v>
      </c>
    </row>
    <row r="77" customFormat="false" ht="15" hidden="false" customHeight="false" outlineLevel="0" collapsed="false">
      <c r="A77" s="4" t="s">
        <v>437</v>
      </c>
      <c r="B77" s="4" t="s">
        <v>242</v>
      </c>
      <c r="C77" s="4" t="s">
        <v>240</v>
      </c>
      <c r="D77" s="4" t="s">
        <v>1633</v>
      </c>
      <c r="E77" s="4" t="n">
        <v>0</v>
      </c>
      <c r="F77" s="4" t="n">
        <v>1777134192</v>
      </c>
      <c r="G77" s="4" t="n">
        <v>1000000000000000</v>
      </c>
      <c r="H77" s="12" t="n">
        <f aca="false">IF(AND(E77=0,F77&lt;1000000000000000,F77+Cutoff!$B$16&lt;=Cutoff!$D$13),1,0)</f>
        <v>1</v>
      </c>
      <c r="I77" s="12" t="n">
        <f aca="false">IF(AND(H77=1,G77&lt;1000000000000000,G77&gt;=F77,G77&lt;F77+Cutoff!$B$16),1,0)</f>
        <v>0</v>
      </c>
    </row>
    <row r="78" customFormat="false" ht="15" hidden="false" customHeight="false" outlineLevel="0" collapsed="false">
      <c r="A78" s="4" t="s">
        <v>439</v>
      </c>
      <c r="B78" s="4" t="s">
        <v>237</v>
      </c>
      <c r="C78" s="4" t="s">
        <v>239</v>
      </c>
      <c r="D78" s="4" t="s">
        <v>1632</v>
      </c>
      <c r="E78" s="4" t="n">
        <v>0</v>
      </c>
      <c r="F78" s="4" t="n">
        <v>1777134640</v>
      </c>
      <c r="G78" s="4" t="n">
        <v>1777144290</v>
      </c>
      <c r="H78" s="12" t="n">
        <f aca="false">IF(AND(E78=0,F78&lt;1000000000000000,F78+Cutoff!$B$16&lt;=Cutoff!$D$13),1,0)</f>
        <v>1</v>
      </c>
      <c r="I78" s="12" t="n">
        <f aca="false">IF(AND(H78=1,G78&lt;1000000000000000,G78&gt;=F78,G78&lt;F78+Cutoff!$B$16),1,0)</f>
        <v>1</v>
      </c>
    </row>
    <row r="79" customFormat="false" ht="15" hidden="false" customHeight="false" outlineLevel="0" collapsed="false">
      <c r="A79" s="4" t="s">
        <v>441</v>
      </c>
      <c r="B79" s="4" t="s">
        <v>242</v>
      </c>
      <c r="C79" s="4" t="s">
        <v>240</v>
      </c>
      <c r="D79" s="4" t="s">
        <v>1634</v>
      </c>
      <c r="E79" s="4" t="n">
        <v>0</v>
      </c>
      <c r="F79" s="4" t="n">
        <v>1777144056</v>
      </c>
      <c r="G79" s="4" t="n">
        <v>1777159810</v>
      </c>
      <c r="H79" s="12" t="n">
        <f aca="false">IF(AND(E79=0,F79&lt;1000000000000000,F79+Cutoff!$B$16&lt;=Cutoff!$D$13),1,0)</f>
        <v>1</v>
      </c>
      <c r="I79" s="12" t="n">
        <f aca="false">IF(AND(H79=1,G79&lt;1000000000000000,G79&gt;=F79,G79&lt;F79+Cutoff!$B$16),1,0)</f>
        <v>1</v>
      </c>
    </row>
    <row r="80" customFormat="false" ht="15" hidden="false" customHeight="false" outlineLevel="0" collapsed="false">
      <c r="A80" s="4" t="s">
        <v>443</v>
      </c>
      <c r="B80" s="4" t="s">
        <v>242</v>
      </c>
      <c r="C80" s="4" t="s">
        <v>239</v>
      </c>
      <c r="D80" s="4" t="s">
        <v>1633</v>
      </c>
      <c r="E80" s="4" t="n">
        <v>0</v>
      </c>
      <c r="F80" s="4" t="n">
        <v>1777301769</v>
      </c>
      <c r="G80" s="4" t="n">
        <v>1777373816</v>
      </c>
      <c r="H80" s="12" t="n">
        <f aca="false">IF(AND(E80=0,F80&lt;1000000000000000,F80+Cutoff!$B$16&lt;=Cutoff!$D$13),1,0)</f>
        <v>1</v>
      </c>
      <c r="I80" s="12" t="n">
        <f aca="false">IF(AND(H80=1,G80&lt;1000000000000000,G80&gt;=F80,G80&lt;F80+Cutoff!$B$16),1,0)</f>
        <v>1</v>
      </c>
    </row>
    <row r="81" customFormat="false" ht="15" hidden="false" customHeight="false" outlineLevel="0" collapsed="false">
      <c r="A81" s="4" t="s">
        <v>445</v>
      </c>
      <c r="B81" s="4" t="s">
        <v>237</v>
      </c>
      <c r="C81" s="4" t="s">
        <v>238</v>
      </c>
      <c r="D81" s="4" t="s">
        <v>1633</v>
      </c>
      <c r="E81" s="4" t="n">
        <v>0</v>
      </c>
      <c r="F81" s="4" t="n">
        <v>1777305721</v>
      </c>
      <c r="G81" s="4" t="n">
        <v>1000000000000000</v>
      </c>
      <c r="H81" s="12" t="n">
        <f aca="false">IF(AND(E81=0,F81&lt;1000000000000000,F81+Cutoff!$B$16&lt;=Cutoff!$D$13),1,0)</f>
        <v>1</v>
      </c>
      <c r="I81" s="12" t="n">
        <f aca="false">IF(AND(H81=1,G81&lt;1000000000000000,G81&gt;=F81,G81&lt;F81+Cutoff!$B$16),1,0)</f>
        <v>0</v>
      </c>
    </row>
    <row r="82" customFormat="false" ht="15" hidden="false" customHeight="false" outlineLevel="0" collapsed="false">
      <c r="A82" s="4" t="s">
        <v>447</v>
      </c>
      <c r="B82" s="4" t="s">
        <v>243</v>
      </c>
      <c r="C82" s="4" t="s">
        <v>239</v>
      </c>
      <c r="D82" s="4" t="s">
        <v>1634</v>
      </c>
      <c r="E82" s="4" t="n">
        <v>0</v>
      </c>
      <c r="F82" s="4" t="n">
        <v>1777310056</v>
      </c>
      <c r="G82" s="4" t="n">
        <v>1000000000000000</v>
      </c>
      <c r="H82" s="12" t="n">
        <f aca="false">IF(AND(E82=0,F82&lt;1000000000000000,F82+Cutoff!$B$16&lt;=Cutoff!$D$13),1,0)</f>
        <v>1</v>
      </c>
      <c r="I82" s="12" t="n">
        <f aca="false">IF(AND(H82=1,G82&lt;1000000000000000,G82&gt;=F82,G82&lt;F82+Cutoff!$B$16),1,0)</f>
        <v>0</v>
      </c>
    </row>
    <row r="83" customFormat="false" ht="15" hidden="false" customHeight="false" outlineLevel="0" collapsed="false">
      <c r="A83" s="4" t="s">
        <v>449</v>
      </c>
      <c r="B83" s="4" t="s">
        <v>243</v>
      </c>
      <c r="C83" s="4" t="s">
        <v>240</v>
      </c>
      <c r="D83" s="4" t="s">
        <v>1634</v>
      </c>
      <c r="E83" s="4" t="n">
        <v>0</v>
      </c>
      <c r="F83" s="4" t="n">
        <v>1777311722</v>
      </c>
      <c r="G83" s="4" t="n">
        <v>1777639766</v>
      </c>
      <c r="H83" s="12" t="n">
        <f aca="false">IF(AND(E83=0,F83&lt;1000000000000000,F83+Cutoff!$B$16&lt;=Cutoff!$D$13),1,0)</f>
        <v>1</v>
      </c>
      <c r="I83" s="12" t="n">
        <f aca="false">IF(AND(H83=1,G83&lt;1000000000000000,G83&gt;=F83,G83&lt;F83+Cutoff!$B$16),1,0)</f>
        <v>1</v>
      </c>
    </row>
    <row r="84" customFormat="false" ht="15" hidden="false" customHeight="false" outlineLevel="0" collapsed="false">
      <c r="A84" s="4" t="s">
        <v>451</v>
      </c>
      <c r="B84" s="4" t="s">
        <v>243</v>
      </c>
      <c r="C84" s="4" t="s">
        <v>240</v>
      </c>
      <c r="D84" s="4" t="s">
        <v>1634</v>
      </c>
      <c r="E84" s="4" t="n">
        <v>0</v>
      </c>
      <c r="F84" s="4" t="n">
        <v>1777315892</v>
      </c>
      <c r="G84" s="4" t="n">
        <v>1777530708</v>
      </c>
      <c r="H84" s="12" t="n">
        <f aca="false">IF(AND(E84=0,F84&lt;1000000000000000,F84+Cutoff!$B$16&lt;=Cutoff!$D$13),1,0)</f>
        <v>1</v>
      </c>
      <c r="I84" s="12" t="n">
        <f aca="false">IF(AND(H84=1,G84&lt;1000000000000000,G84&gt;=F84,G84&lt;F84+Cutoff!$B$16),1,0)</f>
        <v>1</v>
      </c>
    </row>
    <row r="85" customFormat="false" ht="15" hidden="false" customHeight="false" outlineLevel="0" collapsed="false">
      <c r="A85" s="4" t="s">
        <v>453</v>
      </c>
      <c r="B85" s="4" t="s">
        <v>243</v>
      </c>
      <c r="C85" s="4" t="s">
        <v>240</v>
      </c>
      <c r="D85" s="4" t="s">
        <v>1632</v>
      </c>
      <c r="E85" s="4" t="n">
        <v>0</v>
      </c>
      <c r="F85" s="4" t="n">
        <v>1777373878</v>
      </c>
      <c r="G85" s="4" t="n">
        <v>1777767920</v>
      </c>
      <c r="H85" s="12" t="n">
        <f aca="false">IF(AND(E85=0,F85&lt;1000000000000000,F85+Cutoff!$B$16&lt;=Cutoff!$D$13),1,0)</f>
        <v>1</v>
      </c>
      <c r="I85" s="12" t="n">
        <f aca="false">IF(AND(H85=1,G85&lt;1000000000000000,G85&gt;=F85,G85&lt;F85+Cutoff!$B$16),1,0)</f>
        <v>1</v>
      </c>
    </row>
    <row r="86" customFormat="false" ht="15" hidden="false" customHeight="false" outlineLevel="0" collapsed="false">
      <c r="A86" s="4" t="s">
        <v>455</v>
      </c>
      <c r="B86" s="4" t="s">
        <v>242</v>
      </c>
      <c r="C86" s="4" t="s">
        <v>240</v>
      </c>
      <c r="D86" s="4" t="s">
        <v>1632</v>
      </c>
      <c r="E86" s="4" t="n">
        <v>0</v>
      </c>
      <c r="F86" s="4" t="n">
        <v>1777381172</v>
      </c>
      <c r="G86" s="4" t="n">
        <v>1777947412</v>
      </c>
      <c r="H86" s="12" t="n">
        <f aca="false">IF(AND(E86=0,F86&lt;1000000000000000,F86+Cutoff!$B$16&lt;=Cutoff!$D$13),1,0)</f>
        <v>1</v>
      </c>
      <c r="I86" s="12" t="n">
        <f aca="false">IF(AND(H86=1,G86&lt;1000000000000000,G86&gt;=F86,G86&lt;F86+Cutoff!$B$16),1,0)</f>
        <v>1</v>
      </c>
    </row>
    <row r="87" customFormat="false" ht="15" hidden="false" customHeight="false" outlineLevel="0" collapsed="false">
      <c r="A87" s="4" t="s">
        <v>457</v>
      </c>
      <c r="B87" s="4" t="s">
        <v>243</v>
      </c>
      <c r="C87" s="4" t="s">
        <v>240</v>
      </c>
      <c r="D87" s="4" t="s">
        <v>1632</v>
      </c>
      <c r="E87" s="4" t="n">
        <v>0</v>
      </c>
      <c r="F87" s="4" t="n">
        <v>1777386617</v>
      </c>
      <c r="G87" s="4" t="n">
        <v>1000000000000000</v>
      </c>
      <c r="H87" s="12" t="n">
        <f aca="false">IF(AND(E87=0,F87&lt;1000000000000000,F87+Cutoff!$B$16&lt;=Cutoff!$D$13),1,0)</f>
        <v>1</v>
      </c>
      <c r="I87" s="12" t="n">
        <f aca="false">IF(AND(H87=1,G87&lt;1000000000000000,G87&gt;=F87,G87&lt;F87+Cutoff!$B$16),1,0)</f>
        <v>0</v>
      </c>
    </row>
    <row r="88" customFormat="false" ht="15" hidden="false" customHeight="false" outlineLevel="0" collapsed="false">
      <c r="A88" s="4" t="s">
        <v>459</v>
      </c>
      <c r="B88" s="4" t="s">
        <v>242</v>
      </c>
      <c r="C88" s="4" t="s">
        <v>240</v>
      </c>
      <c r="D88" s="4" t="s">
        <v>1634</v>
      </c>
      <c r="E88" s="4" t="n">
        <v>0</v>
      </c>
      <c r="F88" s="4" t="n">
        <v>1777416506</v>
      </c>
      <c r="G88" s="4" t="n">
        <v>1000000000000000</v>
      </c>
      <c r="H88" s="12" t="n">
        <f aca="false">IF(AND(E88=0,F88&lt;1000000000000000,F88+Cutoff!$B$16&lt;=Cutoff!$D$13),1,0)</f>
        <v>1</v>
      </c>
      <c r="I88" s="12" t="n">
        <f aca="false">IF(AND(H88=1,G88&lt;1000000000000000,G88&gt;=F88,G88&lt;F88+Cutoff!$B$16),1,0)</f>
        <v>0</v>
      </c>
    </row>
    <row r="89" customFormat="false" ht="15" hidden="false" customHeight="false" outlineLevel="0" collapsed="false">
      <c r="A89" s="4" t="s">
        <v>461</v>
      </c>
      <c r="B89" s="4" t="s">
        <v>242</v>
      </c>
      <c r="C89" s="4" t="s">
        <v>240</v>
      </c>
      <c r="D89" s="4" t="s">
        <v>1633</v>
      </c>
      <c r="E89" s="4" t="n">
        <v>0</v>
      </c>
      <c r="F89" s="4" t="n">
        <v>1777416565</v>
      </c>
      <c r="G89" s="4" t="n">
        <v>1000000000000000</v>
      </c>
      <c r="H89" s="12" t="n">
        <f aca="false">IF(AND(E89=0,F89&lt;1000000000000000,F89+Cutoff!$B$16&lt;=Cutoff!$D$13),1,0)</f>
        <v>1</v>
      </c>
      <c r="I89" s="12" t="n">
        <f aca="false">IF(AND(H89=1,G89&lt;1000000000000000,G89&gt;=F89,G89&lt;F89+Cutoff!$B$16),1,0)</f>
        <v>0</v>
      </c>
    </row>
    <row r="90" customFormat="false" ht="15" hidden="false" customHeight="false" outlineLevel="0" collapsed="false">
      <c r="A90" s="4" t="s">
        <v>463</v>
      </c>
      <c r="B90" s="4" t="s">
        <v>242</v>
      </c>
      <c r="C90" s="4" t="s">
        <v>240</v>
      </c>
      <c r="D90" s="4" t="s">
        <v>1632</v>
      </c>
      <c r="E90" s="4" t="n">
        <v>0</v>
      </c>
      <c r="F90" s="4" t="n">
        <v>1777458444</v>
      </c>
      <c r="G90" s="4" t="n">
        <v>1777531083</v>
      </c>
      <c r="H90" s="12" t="n">
        <f aca="false">IF(AND(E90=0,F90&lt;1000000000000000,F90+Cutoff!$B$16&lt;=Cutoff!$D$13),1,0)</f>
        <v>1</v>
      </c>
      <c r="I90" s="12" t="n">
        <f aca="false">IF(AND(H90=1,G90&lt;1000000000000000,G90&gt;=F90,G90&lt;F90+Cutoff!$B$16),1,0)</f>
        <v>1</v>
      </c>
    </row>
    <row r="91" customFormat="false" ht="15" hidden="false" customHeight="false" outlineLevel="0" collapsed="false">
      <c r="A91" s="4" t="s">
        <v>465</v>
      </c>
      <c r="B91" s="4" t="s">
        <v>242</v>
      </c>
      <c r="C91" s="4" t="s">
        <v>240</v>
      </c>
      <c r="D91" s="4" t="s">
        <v>1633</v>
      </c>
      <c r="E91" s="4" t="n">
        <v>0</v>
      </c>
      <c r="F91" s="4" t="n">
        <v>1777468678</v>
      </c>
      <c r="G91" s="4" t="n">
        <v>1000000000000000</v>
      </c>
      <c r="H91" s="12" t="n">
        <f aca="false">IF(AND(E91=0,F91&lt;1000000000000000,F91+Cutoff!$B$16&lt;=Cutoff!$D$13),1,0)</f>
        <v>1</v>
      </c>
      <c r="I91" s="12" t="n">
        <f aca="false">IF(AND(H91=1,G91&lt;1000000000000000,G91&gt;=F91,G91&lt;F91+Cutoff!$B$16),1,0)</f>
        <v>0</v>
      </c>
    </row>
    <row r="92" customFormat="false" ht="15" hidden="false" customHeight="false" outlineLevel="0" collapsed="false">
      <c r="A92" s="4" t="s">
        <v>467</v>
      </c>
      <c r="B92" s="4" t="s">
        <v>242</v>
      </c>
      <c r="C92" s="4" t="s">
        <v>240</v>
      </c>
      <c r="D92" s="4" t="s">
        <v>1633</v>
      </c>
      <c r="E92" s="4" t="n">
        <v>0</v>
      </c>
      <c r="F92" s="4" t="n">
        <v>1777478772</v>
      </c>
      <c r="G92" s="4" t="n">
        <v>1777628525</v>
      </c>
      <c r="H92" s="12" t="n">
        <f aca="false">IF(AND(E92=0,F92&lt;1000000000000000,F92+Cutoff!$B$16&lt;=Cutoff!$D$13),1,0)</f>
        <v>1</v>
      </c>
      <c r="I92" s="12" t="n">
        <f aca="false">IF(AND(H92=1,G92&lt;1000000000000000,G92&gt;=F92,G92&lt;F92+Cutoff!$B$16),1,0)</f>
        <v>1</v>
      </c>
    </row>
    <row r="93" customFormat="false" ht="15" hidden="false" customHeight="false" outlineLevel="0" collapsed="false">
      <c r="A93" s="4" t="s">
        <v>469</v>
      </c>
      <c r="B93" s="4" t="s">
        <v>242</v>
      </c>
      <c r="C93" s="4" t="s">
        <v>240</v>
      </c>
      <c r="D93" s="4" t="s">
        <v>1634</v>
      </c>
      <c r="E93" s="4" t="n">
        <v>0</v>
      </c>
      <c r="F93" s="4" t="n">
        <v>1777484973</v>
      </c>
      <c r="G93" s="4" t="n">
        <v>1000000000000000</v>
      </c>
      <c r="H93" s="12" t="n">
        <f aca="false">IF(AND(E93=0,F93&lt;1000000000000000,F93+Cutoff!$B$16&lt;=Cutoff!$D$13),1,0)</f>
        <v>1</v>
      </c>
      <c r="I93" s="12" t="n">
        <f aca="false">IF(AND(H93=1,G93&lt;1000000000000000,G93&gt;=F93,G93&lt;F93+Cutoff!$B$16),1,0)</f>
        <v>0</v>
      </c>
    </row>
    <row r="94" customFormat="false" ht="15" hidden="false" customHeight="false" outlineLevel="0" collapsed="false">
      <c r="A94" s="4" t="s">
        <v>471</v>
      </c>
      <c r="B94" s="4" t="s">
        <v>242</v>
      </c>
      <c r="C94" s="4" t="s">
        <v>240</v>
      </c>
      <c r="D94" s="4" t="s">
        <v>1633</v>
      </c>
      <c r="E94" s="4" t="n">
        <v>0</v>
      </c>
      <c r="F94" s="4" t="n">
        <v>1777499881</v>
      </c>
      <c r="G94" s="4" t="n">
        <v>1000000000000000</v>
      </c>
      <c r="H94" s="12" t="n">
        <f aca="false">IF(AND(E94=0,F94&lt;1000000000000000,F94+Cutoff!$B$16&lt;=Cutoff!$D$13),1,0)</f>
        <v>1</v>
      </c>
      <c r="I94" s="12" t="n">
        <f aca="false">IF(AND(H94=1,G94&lt;1000000000000000,G94&gt;=F94,G94&lt;F94+Cutoff!$B$16),1,0)</f>
        <v>0</v>
      </c>
    </row>
    <row r="95" customFormat="false" ht="15" hidden="false" customHeight="false" outlineLevel="0" collapsed="false">
      <c r="A95" s="4" t="s">
        <v>473</v>
      </c>
      <c r="B95" s="4" t="s">
        <v>242</v>
      </c>
      <c r="C95" s="4" t="s">
        <v>239</v>
      </c>
      <c r="D95" s="4" t="s">
        <v>1633</v>
      </c>
      <c r="E95" s="4" t="n">
        <v>0</v>
      </c>
      <c r="F95" s="4" t="n">
        <v>1777500450</v>
      </c>
      <c r="G95" s="4" t="n">
        <v>1000000000000000</v>
      </c>
      <c r="H95" s="12" t="n">
        <f aca="false">IF(AND(E95=0,F95&lt;1000000000000000,F95+Cutoff!$B$16&lt;=Cutoff!$D$13),1,0)</f>
        <v>1</v>
      </c>
      <c r="I95" s="12" t="n">
        <f aca="false">IF(AND(H95=1,G95&lt;1000000000000000,G95&gt;=F95,G95&lt;F95+Cutoff!$B$16),1,0)</f>
        <v>0</v>
      </c>
    </row>
    <row r="96" customFormat="false" ht="15" hidden="false" customHeight="false" outlineLevel="0" collapsed="false">
      <c r="A96" s="4" t="s">
        <v>475</v>
      </c>
      <c r="B96" s="4" t="s">
        <v>242</v>
      </c>
      <c r="C96" s="4" t="s">
        <v>238</v>
      </c>
      <c r="D96" s="4" t="s">
        <v>1633</v>
      </c>
      <c r="E96" s="4" t="n">
        <v>0</v>
      </c>
      <c r="F96" s="4" t="n">
        <v>1777555750</v>
      </c>
      <c r="G96" s="4" t="n">
        <v>1777624330</v>
      </c>
      <c r="H96" s="12" t="n">
        <f aca="false">IF(AND(E96=0,F96&lt;1000000000000000,F96+Cutoff!$B$16&lt;=Cutoff!$D$13),1,0)</f>
        <v>1</v>
      </c>
      <c r="I96" s="12" t="n">
        <f aca="false">IF(AND(H96=1,G96&lt;1000000000000000,G96&gt;=F96,G96&lt;F96+Cutoff!$B$16),1,0)</f>
        <v>1</v>
      </c>
    </row>
    <row r="97" customFormat="false" ht="15" hidden="false" customHeight="false" outlineLevel="0" collapsed="false">
      <c r="A97" s="4" t="s">
        <v>477</v>
      </c>
      <c r="B97" s="4" t="s">
        <v>243</v>
      </c>
      <c r="C97" s="4" t="s">
        <v>240</v>
      </c>
      <c r="D97" s="4" t="s">
        <v>1633</v>
      </c>
      <c r="E97" s="4" t="n">
        <v>0</v>
      </c>
      <c r="F97" s="4" t="n">
        <v>1777561975</v>
      </c>
      <c r="G97" s="4" t="n">
        <v>1000000000000000</v>
      </c>
      <c r="H97" s="12" t="n">
        <f aca="false">IF(AND(E97=0,F97&lt;1000000000000000,F97+Cutoff!$B$16&lt;=Cutoff!$D$13),1,0)</f>
        <v>1</v>
      </c>
      <c r="I97" s="12" t="n">
        <f aca="false">IF(AND(H97=1,G97&lt;1000000000000000,G97&gt;=F97,G97&lt;F97+Cutoff!$B$16),1,0)</f>
        <v>0</v>
      </c>
    </row>
    <row r="98" customFormat="false" ht="15" hidden="false" customHeight="false" outlineLevel="0" collapsed="false">
      <c r="A98" s="4" t="s">
        <v>479</v>
      </c>
      <c r="B98" s="4" t="s">
        <v>243</v>
      </c>
      <c r="C98" s="4" t="s">
        <v>239</v>
      </c>
      <c r="D98" s="4" t="s">
        <v>1633</v>
      </c>
      <c r="E98" s="4" t="n">
        <v>0</v>
      </c>
      <c r="F98" s="4" t="n">
        <v>1777581600</v>
      </c>
      <c r="G98" s="4" t="n">
        <v>1000000000000000</v>
      </c>
      <c r="H98" s="12" t="n">
        <f aca="false">IF(AND(E98=0,F98&lt;1000000000000000,F98+Cutoff!$B$16&lt;=Cutoff!$D$13),1,0)</f>
        <v>1</v>
      </c>
      <c r="I98" s="12" t="n">
        <f aca="false">IF(AND(H98=1,G98&lt;1000000000000000,G98&gt;=F98,G98&lt;F98+Cutoff!$B$16),1,0)</f>
        <v>0</v>
      </c>
    </row>
    <row r="99" customFormat="false" ht="15" hidden="false" customHeight="false" outlineLevel="0" collapsed="false">
      <c r="A99" s="4" t="s">
        <v>481</v>
      </c>
      <c r="B99" s="4" t="s">
        <v>237</v>
      </c>
      <c r="C99" s="4" t="s">
        <v>238</v>
      </c>
      <c r="D99" s="4" t="s">
        <v>1632</v>
      </c>
      <c r="E99" s="4" t="n">
        <v>0</v>
      </c>
      <c r="F99" s="4" t="n">
        <v>1777634297</v>
      </c>
      <c r="G99" s="4" t="n">
        <v>1777637029</v>
      </c>
      <c r="H99" s="12" t="n">
        <f aca="false">IF(AND(E99=0,F99&lt;1000000000000000,F99+Cutoff!$B$16&lt;=Cutoff!$D$13),1,0)</f>
        <v>1</v>
      </c>
      <c r="I99" s="12" t="n">
        <f aca="false">IF(AND(H99=1,G99&lt;1000000000000000,G99&gt;=F99,G99&lt;F99+Cutoff!$B$16),1,0)</f>
        <v>1</v>
      </c>
    </row>
    <row r="100" customFormat="false" ht="15" hidden="false" customHeight="false" outlineLevel="0" collapsed="false">
      <c r="A100" s="4" t="s">
        <v>483</v>
      </c>
      <c r="B100" s="4" t="s">
        <v>242</v>
      </c>
      <c r="C100" s="4" t="s">
        <v>240</v>
      </c>
      <c r="D100" s="4" t="s">
        <v>1632</v>
      </c>
      <c r="E100" s="4" t="n">
        <v>0</v>
      </c>
      <c r="F100" s="4" t="n">
        <v>1777649799</v>
      </c>
      <c r="G100" s="4" t="n">
        <v>1000000000000000</v>
      </c>
      <c r="H100" s="12" t="n">
        <f aca="false">IF(AND(E100=0,F100&lt;1000000000000000,F100+Cutoff!$B$16&lt;=Cutoff!$D$13),1,0)</f>
        <v>1</v>
      </c>
      <c r="I100" s="12" t="n">
        <f aca="false">IF(AND(H100=1,G100&lt;1000000000000000,G100&gt;=F100,G100&lt;F100+Cutoff!$B$16),1,0)</f>
        <v>0</v>
      </c>
    </row>
    <row r="101" customFormat="false" ht="15" hidden="false" customHeight="false" outlineLevel="0" collapsed="false">
      <c r="A101" s="4" t="s">
        <v>485</v>
      </c>
      <c r="B101" s="4" t="s">
        <v>242</v>
      </c>
      <c r="C101" s="4" t="s">
        <v>240</v>
      </c>
      <c r="D101" s="4" t="s">
        <v>1633</v>
      </c>
      <c r="E101" s="4" t="n">
        <v>0</v>
      </c>
      <c r="F101" s="4" t="n">
        <v>1777663104</v>
      </c>
      <c r="G101" s="4" t="n">
        <v>1777933659</v>
      </c>
      <c r="H101" s="12" t="n">
        <f aca="false">IF(AND(E101=0,F101&lt;1000000000000000,F101+Cutoff!$B$16&lt;=Cutoff!$D$13),1,0)</f>
        <v>1</v>
      </c>
      <c r="I101" s="12" t="n">
        <f aca="false">IF(AND(H101=1,G101&lt;1000000000000000,G101&gt;=F101,G101&lt;F101+Cutoff!$B$16),1,0)</f>
        <v>1</v>
      </c>
    </row>
    <row r="102" customFormat="false" ht="15" hidden="false" customHeight="false" outlineLevel="0" collapsed="false">
      <c r="A102" s="4" t="s">
        <v>487</v>
      </c>
      <c r="B102" s="4" t="s">
        <v>243</v>
      </c>
      <c r="C102" s="4" t="s">
        <v>239</v>
      </c>
      <c r="D102" s="4" t="s">
        <v>1633</v>
      </c>
      <c r="E102" s="4" t="n">
        <v>0</v>
      </c>
      <c r="F102" s="4" t="n">
        <v>1777663568</v>
      </c>
      <c r="G102" s="4" t="n">
        <v>1777904818</v>
      </c>
      <c r="H102" s="12" t="n">
        <f aca="false">IF(AND(E102=0,F102&lt;1000000000000000,F102+Cutoff!$B$16&lt;=Cutoff!$D$13),1,0)</f>
        <v>1</v>
      </c>
      <c r="I102" s="12" t="n">
        <f aca="false">IF(AND(H102=1,G102&lt;1000000000000000,G102&gt;=F102,G102&lt;F102+Cutoff!$B$16),1,0)</f>
        <v>1</v>
      </c>
    </row>
    <row r="103" customFormat="false" ht="15" hidden="false" customHeight="false" outlineLevel="0" collapsed="false">
      <c r="A103" s="4" t="s">
        <v>489</v>
      </c>
      <c r="B103" s="4" t="s">
        <v>243</v>
      </c>
      <c r="C103" s="4" t="s">
        <v>240</v>
      </c>
      <c r="D103" s="4" t="s">
        <v>1633</v>
      </c>
      <c r="E103" s="4" t="n">
        <v>0</v>
      </c>
      <c r="F103" s="4" t="n">
        <v>1777665599</v>
      </c>
      <c r="G103" s="4" t="n">
        <v>1778105804</v>
      </c>
      <c r="H103" s="12" t="n">
        <f aca="false">IF(AND(E103=0,F103&lt;1000000000000000,F103+Cutoff!$B$16&lt;=Cutoff!$D$13),1,0)</f>
        <v>1</v>
      </c>
      <c r="I103" s="12" t="n">
        <f aca="false">IF(AND(H103=1,G103&lt;1000000000000000,G103&gt;=F103,G103&lt;F103+Cutoff!$B$16),1,0)</f>
        <v>1</v>
      </c>
    </row>
    <row r="104" customFormat="false" ht="15" hidden="false" customHeight="false" outlineLevel="0" collapsed="false">
      <c r="A104" s="4" t="s">
        <v>491</v>
      </c>
      <c r="B104" s="4" t="s">
        <v>242</v>
      </c>
      <c r="C104" s="4" t="s">
        <v>240</v>
      </c>
      <c r="D104" s="4" t="s">
        <v>1633</v>
      </c>
      <c r="E104" s="4" t="n">
        <v>0</v>
      </c>
      <c r="F104" s="4" t="n">
        <v>1777727522</v>
      </c>
      <c r="G104" s="4" t="n">
        <v>1000000000000000</v>
      </c>
      <c r="H104" s="12" t="n">
        <f aca="false">IF(AND(E104=0,F104&lt;1000000000000000,F104+Cutoff!$B$16&lt;=Cutoff!$D$13),1,0)</f>
        <v>1</v>
      </c>
      <c r="I104" s="12" t="n">
        <f aca="false">IF(AND(H104=1,G104&lt;1000000000000000,G104&gt;=F104,G104&lt;F104+Cutoff!$B$16),1,0)</f>
        <v>0</v>
      </c>
    </row>
    <row r="105" customFormat="false" ht="15" hidden="false" customHeight="false" outlineLevel="0" collapsed="false">
      <c r="A105" s="4" t="s">
        <v>493</v>
      </c>
      <c r="B105" s="4" t="s">
        <v>243</v>
      </c>
      <c r="C105" s="4" t="s">
        <v>239</v>
      </c>
      <c r="D105" s="4" t="s">
        <v>1632</v>
      </c>
      <c r="E105" s="4" t="n">
        <v>0</v>
      </c>
      <c r="F105" s="4" t="n">
        <v>1777735893</v>
      </c>
      <c r="G105" s="4" t="n">
        <v>1000000000000000</v>
      </c>
      <c r="H105" s="12" t="n">
        <f aca="false">IF(AND(E105=0,F105&lt;1000000000000000,F105+Cutoff!$B$16&lt;=Cutoff!$D$13),1,0)</f>
        <v>1</v>
      </c>
      <c r="I105" s="12" t="n">
        <f aca="false">IF(AND(H105=1,G105&lt;1000000000000000,G105&gt;=F105,G105&lt;F105+Cutoff!$B$16),1,0)</f>
        <v>0</v>
      </c>
    </row>
    <row r="106" customFormat="false" ht="15" hidden="false" customHeight="false" outlineLevel="0" collapsed="false">
      <c r="A106" s="4" t="s">
        <v>495</v>
      </c>
      <c r="B106" s="4" t="s">
        <v>243</v>
      </c>
      <c r="C106" s="4" t="s">
        <v>240</v>
      </c>
      <c r="D106" s="4" t="s">
        <v>1632</v>
      </c>
      <c r="E106" s="4" t="n">
        <v>0</v>
      </c>
      <c r="F106" s="4" t="n">
        <v>1777816499</v>
      </c>
      <c r="G106" s="4" t="n">
        <v>1777817544</v>
      </c>
      <c r="H106" s="12" t="n">
        <f aca="false">IF(AND(E106=0,F106&lt;1000000000000000,F106+Cutoff!$B$16&lt;=Cutoff!$D$13),1,0)</f>
        <v>1</v>
      </c>
      <c r="I106" s="12" t="n">
        <f aca="false">IF(AND(H106=1,G106&lt;1000000000000000,G106&gt;=F106,G106&lt;F106+Cutoff!$B$16),1,0)</f>
        <v>1</v>
      </c>
    </row>
    <row r="107" customFormat="false" ht="15" hidden="false" customHeight="false" outlineLevel="0" collapsed="false">
      <c r="A107" s="4" t="s">
        <v>497</v>
      </c>
      <c r="B107" s="4" t="s">
        <v>242</v>
      </c>
      <c r="C107" s="4" t="s">
        <v>240</v>
      </c>
      <c r="D107" s="4" t="s">
        <v>1633</v>
      </c>
      <c r="E107" s="4" t="n">
        <v>0</v>
      </c>
      <c r="F107" s="4" t="n">
        <v>1777822446</v>
      </c>
      <c r="G107" s="4" t="n">
        <v>1000000000000000</v>
      </c>
      <c r="H107" s="12" t="n">
        <f aca="false">IF(AND(E107=0,F107&lt;1000000000000000,F107+Cutoff!$B$16&lt;=Cutoff!$D$13),1,0)</f>
        <v>1</v>
      </c>
      <c r="I107" s="12" t="n">
        <f aca="false">IF(AND(H107=1,G107&lt;1000000000000000,G107&gt;=F107,G107&lt;F107+Cutoff!$B$16),1,0)</f>
        <v>0</v>
      </c>
    </row>
    <row r="108" customFormat="false" ht="15" hidden="false" customHeight="false" outlineLevel="0" collapsed="false">
      <c r="A108" s="4" t="s">
        <v>499</v>
      </c>
      <c r="B108" s="4" t="s">
        <v>243</v>
      </c>
      <c r="C108" s="4" t="s">
        <v>238</v>
      </c>
      <c r="D108" s="4" t="s">
        <v>1632</v>
      </c>
      <c r="E108" s="4" t="n">
        <v>0</v>
      </c>
      <c r="F108" s="4" t="n">
        <v>1777889863</v>
      </c>
      <c r="G108" s="4" t="n">
        <v>1777909184</v>
      </c>
      <c r="H108" s="12" t="n">
        <f aca="false">IF(AND(E108=0,F108&lt;1000000000000000,F108+Cutoff!$B$16&lt;=Cutoff!$D$13),1,0)</f>
        <v>1</v>
      </c>
      <c r="I108" s="12" t="n">
        <f aca="false">IF(AND(H108=1,G108&lt;1000000000000000,G108&gt;=F108,G108&lt;F108+Cutoff!$B$16),1,0)</f>
        <v>1</v>
      </c>
    </row>
    <row r="109" customFormat="false" ht="15" hidden="false" customHeight="false" outlineLevel="0" collapsed="false">
      <c r="A109" s="4" t="s">
        <v>501</v>
      </c>
      <c r="B109" s="4" t="s">
        <v>237</v>
      </c>
      <c r="C109" s="4" t="s">
        <v>238</v>
      </c>
      <c r="D109" s="4" t="s">
        <v>1633</v>
      </c>
      <c r="E109" s="4" t="n">
        <v>0</v>
      </c>
      <c r="F109" s="4" t="n">
        <v>1777908648</v>
      </c>
      <c r="G109" s="4" t="n">
        <v>1777966986</v>
      </c>
      <c r="H109" s="12" t="n">
        <f aca="false">IF(AND(E109=0,F109&lt;1000000000000000,F109+Cutoff!$B$16&lt;=Cutoff!$D$13),1,0)</f>
        <v>1</v>
      </c>
      <c r="I109" s="12" t="n">
        <f aca="false">IF(AND(H109=1,G109&lt;1000000000000000,G109&gt;=F109,G109&lt;F109+Cutoff!$B$16),1,0)</f>
        <v>1</v>
      </c>
    </row>
    <row r="110" customFormat="false" ht="15" hidden="false" customHeight="false" outlineLevel="0" collapsed="false">
      <c r="A110" s="4" t="s">
        <v>503</v>
      </c>
      <c r="B110" s="4" t="s">
        <v>242</v>
      </c>
      <c r="C110" s="4" t="s">
        <v>239</v>
      </c>
      <c r="D110" s="4" t="s">
        <v>1634</v>
      </c>
      <c r="E110" s="4" t="n">
        <v>0</v>
      </c>
      <c r="F110" s="4" t="n">
        <v>1777917428</v>
      </c>
      <c r="G110" s="4" t="n">
        <v>1778091114</v>
      </c>
      <c r="H110" s="12" t="n">
        <f aca="false">IF(AND(E110=0,F110&lt;1000000000000000,F110+Cutoff!$B$16&lt;=Cutoff!$D$13),1,0)</f>
        <v>1</v>
      </c>
      <c r="I110" s="12" t="n">
        <f aca="false">IF(AND(H110=1,G110&lt;1000000000000000,G110&gt;=F110,G110&lt;F110+Cutoff!$B$16),1,0)</f>
        <v>1</v>
      </c>
    </row>
    <row r="111" customFormat="false" ht="15" hidden="false" customHeight="false" outlineLevel="0" collapsed="false">
      <c r="A111" s="4" t="s">
        <v>505</v>
      </c>
      <c r="B111" s="4" t="s">
        <v>237</v>
      </c>
      <c r="C111" s="4" t="s">
        <v>238</v>
      </c>
      <c r="D111" s="4" t="s">
        <v>1634</v>
      </c>
      <c r="E111" s="4" t="n">
        <v>0</v>
      </c>
      <c r="F111" s="4" t="n">
        <v>1777925377</v>
      </c>
      <c r="G111" s="4" t="n">
        <v>1000000000000000</v>
      </c>
      <c r="H111" s="12" t="n">
        <f aca="false">IF(AND(E111=0,F111&lt;1000000000000000,F111+Cutoff!$B$16&lt;=Cutoff!$D$13),1,0)</f>
        <v>1</v>
      </c>
      <c r="I111" s="12" t="n">
        <f aca="false">IF(AND(H111=1,G111&lt;1000000000000000,G111&gt;=F111,G111&lt;F111+Cutoff!$B$16),1,0)</f>
        <v>0</v>
      </c>
    </row>
    <row r="112" customFormat="false" ht="15" hidden="false" customHeight="false" outlineLevel="0" collapsed="false">
      <c r="A112" s="4" t="s">
        <v>507</v>
      </c>
      <c r="B112" s="4" t="s">
        <v>242</v>
      </c>
      <c r="C112" s="4" t="s">
        <v>240</v>
      </c>
      <c r="D112" s="4" t="s">
        <v>1634</v>
      </c>
      <c r="E112" s="4" t="n">
        <v>0</v>
      </c>
      <c r="F112" s="4" t="n">
        <v>1777932299</v>
      </c>
      <c r="G112" s="4" t="n">
        <v>1000000000000000</v>
      </c>
      <c r="H112" s="12" t="n">
        <f aca="false">IF(AND(E112=0,F112&lt;1000000000000000,F112+Cutoff!$B$16&lt;=Cutoff!$D$13),1,0)</f>
        <v>1</v>
      </c>
      <c r="I112" s="12" t="n">
        <f aca="false">IF(AND(H112=1,G112&lt;1000000000000000,G112&gt;=F112,G112&lt;F112+Cutoff!$B$16),1,0)</f>
        <v>0</v>
      </c>
    </row>
    <row r="113" customFormat="false" ht="15" hidden="false" customHeight="false" outlineLevel="0" collapsed="false">
      <c r="A113" s="4" t="s">
        <v>509</v>
      </c>
      <c r="B113" s="4" t="s">
        <v>237</v>
      </c>
      <c r="C113" s="4" t="s">
        <v>238</v>
      </c>
      <c r="D113" s="4" t="s">
        <v>1632</v>
      </c>
      <c r="E113" s="4" t="n">
        <v>0</v>
      </c>
      <c r="F113" s="4" t="n">
        <v>1777990097</v>
      </c>
      <c r="G113" s="4" t="n">
        <v>1000000000000000</v>
      </c>
      <c r="H113" s="12" t="n">
        <f aca="false">IF(AND(E113=0,F113&lt;1000000000000000,F113+Cutoff!$B$16&lt;=Cutoff!$D$13),1,0)</f>
        <v>1</v>
      </c>
      <c r="I113" s="12" t="n">
        <f aca="false">IF(AND(H113=1,G113&lt;1000000000000000,G113&gt;=F113,G113&lt;F113+Cutoff!$B$16),1,0)</f>
        <v>0</v>
      </c>
    </row>
    <row r="114" customFormat="false" ht="15" hidden="false" customHeight="false" outlineLevel="0" collapsed="false">
      <c r="A114" s="4" t="s">
        <v>511</v>
      </c>
      <c r="B114" s="4" t="s">
        <v>243</v>
      </c>
      <c r="C114" s="4" t="s">
        <v>238</v>
      </c>
      <c r="D114" s="4" t="s">
        <v>1634</v>
      </c>
      <c r="E114" s="4" t="n">
        <v>0</v>
      </c>
      <c r="F114" s="4" t="n">
        <v>1778008756</v>
      </c>
      <c r="G114" s="4" t="n">
        <v>1000000000000000</v>
      </c>
      <c r="H114" s="12" t="n">
        <f aca="false">IF(AND(E114=0,F114&lt;1000000000000000,F114+Cutoff!$B$16&lt;=Cutoff!$D$13),1,0)</f>
        <v>1</v>
      </c>
      <c r="I114" s="12" t="n">
        <f aca="false">IF(AND(H114=1,G114&lt;1000000000000000,G114&gt;=F114,G114&lt;F114+Cutoff!$B$16),1,0)</f>
        <v>0</v>
      </c>
    </row>
    <row r="115" customFormat="false" ht="15" hidden="false" customHeight="false" outlineLevel="0" collapsed="false">
      <c r="A115" s="4" t="s">
        <v>513</v>
      </c>
      <c r="B115" s="4" t="s">
        <v>243</v>
      </c>
      <c r="C115" s="4" t="s">
        <v>240</v>
      </c>
      <c r="D115" s="4" t="s">
        <v>1633</v>
      </c>
      <c r="E115" s="4" t="n">
        <v>0</v>
      </c>
      <c r="F115" s="4" t="n">
        <v>1778010193</v>
      </c>
      <c r="G115" s="4" t="n">
        <v>1778741391</v>
      </c>
      <c r="H115" s="12" t="n">
        <f aca="false">IF(AND(E115=0,F115&lt;1000000000000000,F115+Cutoff!$B$16&lt;=Cutoff!$D$13),1,0)</f>
        <v>1</v>
      </c>
      <c r="I115" s="12" t="n">
        <f aca="false">IF(AND(H115=1,G115&lt;1000000000000000,G115&gt;=F115,G115&lt;F115+Cutoff!$B$16),1,0)</f>
        <v>0</v>
      </c>
    </row>
    <row r="116" customFormat="false" ht="15" hidden="false" customHeight="false" outlineLevel="0" collapsed="false">
      <c r="A116" s="4" t="s">
        <v>515</v>
      </c>
      <c r="B116" s="4" t="s">
        <v>243</v>
      </c>
      <c r="C116" s="4" t="s">
        <v>239</v>
      </c>
      <c r="D116" s="4" t="s">
        <v>1633</v>
      </c>
      <c r="E116" s="4" t="n">
        <v>0</v>
      </c>
      <c r="F116" s="4" t="n">
        <v>1778011370</v>
      </c>
      <c r="G116" s="4" t="n">
        <v>1000000000000000</v>
      </c>
      <c r="H116" s="12" t="n">
        <f aca="false">IF(AND(E116=0,F116&lt;1000000000000000,F116+Cutoff!$B$16&lt;=Cutoff!$D$13),1,0)</f>
        <v>1</v>
      </c>
      <c r="I116" s="12" t="n">
        <f aca="false">IF(AND(H116=1,G116&lt;1000000000000000,G116&gt;=F116,G116&lt;F116+Cutoff!$B$16),1,0)</f>
        <v>0</v>
      </c>
    </row>
    <row r="117" customFormat="false" ht="15" hidden="false" customHeight="false" outlineLevel="0" collapsed="false">
      <c r="A117" s="4" t="s">
        <v>517</v>
      </c>
      <c r="B117" s="4" t="s">
        <v>243</v>
      </c>
      <c r="C117" s="4" t="s">
        <v>240</v>
      </c>
      <c r="D117" s="4" t="s">
        <v>1633</v>
      </c>
      <c r="E117" s="4" t="n">
        <v>0</v>
      </c>
      <c r="F117" s="4" t="n">
        <v>1778015672</v>
      </c>
      <c r="G117" s="4" t="n">
        <v>1000000000000000</v>
      </c>
      <c r="H117" s="12" t="n">
        <f aca="false">IF(AND(E117=0,F117&lt;1000000000000000,F117+Cutoff!$B$16&lt;=Cutoff!$D$13),1,0)</f>
        <v>1</v>
      </c>
      <c r="I117" s="12" t="n">
        <f aca="false">IF(AND(H117=1,G117&lt;1000000000000000,G117&gt;=F117,G117&lt;F117+Cutoff!$B$16),1,0)</f>
        <v>0</v>
      </c>
    </row>
    <row r="118" customFormat="false" ht="15" hidden="false" customHeight="false" outlineLevel="0" collapsed="false">
      <c r="A118" s="4" t="s">
        <v>519</v>
      </c>
      <c r="B118" s="4" t="s">
        <v>242</v>
      </c>
      <c r="C118" s="4" t="s">
        <v>240</v>
      </c>
      <c r="D118" s="4" t="s">
        <v>1633</v>
      </c>
      <c r="E118" s="4" t="n">
        <v>0</v>
      </c>
      <c r="F118" s="4" t="n">
        <v>1778018171</v>
      </c>
      <c r="G118" s="4" t="n">
        <v>1778218250</v>
      </c>
      <c r="H118" s="12" t="n">
        <f aca="false">IF(AND(E118=0,F118&lt;1000000000000000,F118+Cutoff!$B$16&lt;=Cutoff!$D$13),1,0)</f>
        <v>1</v>
      </c>
      <c r="I118" s="12" t="n">
        <f aca="false">IF(AND(H118=1,G118&lt;1000000000000000,G118&gt;=F118,G118&lt;F118+Cutoff!$B$16),1,0)</f>
        <v>1</v>
      </c>
    </row>
    <row r="119" customFormat="false" ht="15" hidden="false" customHeight="false" outlineLevel="0" collapsed="false">
      <c r="A119" s="4" t="s">
        <v>521</v>
      </c>
      <c r="B119" s="4" t="s">
        <v>237</v>
      </c>
      <c r="C119" s="4" t="s">
        <v>238</v>
      </c>
      <c r="D119" s="4" t="s">
        <v>1632</v>
      </c>
      <c r="E119" s="4" t="n">
        <v>0</v>
      </c>
      <c r="F119" s="4" t="n">
        <v>1778065735</v>
      </c>
      <c r="G119" s="4" t="n">
        <v>1778066526</v>
      </c>
      <c r="H119" s="12" t="n">
        <f aca="false">IF(AND(E119=0,F119&lt;1000000000000000,F119+Cutoff!$B$16&lt;=Cutoff!$D$13),1,0)</f>
        <v>1</v>
      </c>
      <c r="I119" s="12" t="n">
        <f aca="false">IF(AND(H119=1,G119&lt;1000000000000000,G119&gt;=F119,G119&lt;F119+Cutoff!$B$16),1,0)</f>
        <v>1</v>
      </c>
    </row>
    <row r="120" customFormat="false" ht="15" hidden="false" customHeight="false" outlineLevel="0" collapsed="false">
      <c r="A120" s="4" t="s">
        <v>523</v>
      </c>
      <c r="B120" s="4" t="s">
        <v>243</v>
      </c>
      <c r="C120" s="4" t="s">
        <v>240</v>
      </c>
      <c r="D120" s="4" t="s">
        <v>1633</v>
      </c>
      <c r="E120" s="4" t="n">
        <v>0</v>
      </c>
      <c r="F120" s="4" t="n">
        <v>1778089424</v>
      </c>
      <c r="G120" s="4" t="n">
        <v>1000000000000000</v>
      </c>
      <c r="H120" s="12" t="n">
        <f aca="false">IF(AND(E120=0,F120&lt;1000000000000000,F120+Cutoff!$B$16&lt;=Cutoff!$D$13),1,0)</f>
        <v>1</v>
      </c>
      <c r="I120" s="12" t="n">
        <f aca="false">IF(AND(H120=1,G120&lt;1000000000000000,G120&gt;=F120,G120&lt;F120+Cutoff!$B$16),1,0)</f>
        <v>0</v>
      </c>
    </row>
    <row r="121" customFormat="false" ht="15" hidden="false" customHeight="false" outlineLevel="0" collapsed="false">
      <c r="A121" s="4" t="s">
        <v>525</v>
      </c>
      <c r="B121" s="4" t="s">
        <v>242</v>
      </c>
      <c r="C121" s="4" t="s">
        <v>240</v>
      </c>
      <c r="D121" s="4" t="s">
        <v>1634</v>
      </c>
      <c r="E121" s="4" t="n">
        <v>0</v>
      </c>
      <c r="F121" s="4" t="n">
        <v>1778101535</v>
      </c>
      <c r="G121" s="4" t="n">
        <v>1778154307</v>
      </c>
      <c r="H121" s="12" t="n">
        <f aca="false">IF(AND(E121=0,F121&lt;1000000000000000,F121+Cutoff!$B$16&lt;=Cutoff!$D$13),1,0)</f>
        <v>1</v>
      </c>
      <c r="I121" s="12" t="n">
        <f aca="false">IF(AND(H121=1,G121&lt;1000000000000000,G121&gt;=F121,G121&lt;F121+Cutoff!$B$16),1,0)</f>
        <v>1</v>
      </c>
    </row>
    <row r="122" customFormat="false" ht="15" hidden="false" customHeight="false" outlineLevel="0" collapsed="false">
      <c r="A122" s="4" t="s">
        <v>527</v>
      </c>
      <c r="B122" s="4" t="s">
        <v>243</v>
      </c>
      <c r="C122" s="4" t="s">
        <v>240</v>
      </c>
      <c r="D122" s="4" t="s">
        <v>1633</v>
      </c>
      <c r="E122" s="4" t="n">
        <v>0</v>
      </c>
      <c r="F122" s="4" t="n">
        <v>1778169618</v>
      </c>
      <c r="G122" s="4" t="n">
        <v>1000000000000000</v>
      </c>
      <c r="H122" s="12" t="n">
        <f aca="false">IF(AND(E122=0,F122&lt;1000000000000000,F122+Cutoff!$B$16&lt;=Cutoff!$D$13),1,0)</f>
        <v>1</v>
      </c>
      <c r="I122" s="12" t="n">
        <f aca="false">IF(AND(H122=1,G122&lt;1000000000000000,G122&gt;=F122,G122&lt;F122+Cutoff!$B$16),1,0)</f>
        <v>0</v>
      </c>
    </row>
    <row r="123" customFormat="false" ht="15" hidden="false" customHeight="false" outlineLevel="0" collapsed="false">
      <c r="A123" s="4" t="s">
        <v>529</v>
      </c>
      <c r="B123" s="4" t="s">
        <v>242</v>
      </c>
      <c r="C123" s="4" t="s">
        <v>240</v>
      </c>
      <c r="D123" s="4" t="s">
        <v>1633</v>
      </c>
      <c r="E123" s="4" t="n">
        <v>0</v>
      </c>
      <c r="F123" s="4" t="n">
        <v>1778178506</v>
      </c>
      <c r="G123" s="4" t="n">
        <v>1000000000000000</v>
      </c>
      <c r="H123" s="12" t="n">
        <f aca="false">IF(AND(E123=0,F123&lt;1000000000000000,F123+Cutoff!$B$16&lt;=Cutoff!$D$13),1,0)</f>
        <v>1</v>
      </c>
      <c r="I123" s="12" t="n">
        <f aca="false">IF(AND(H123=1,G123&lt;1000000000000000,G123&gt;=F123,G123&lt;F123+Cutoff!$B$16),1,0)</f>
        <v>0</v>
      </c>
    </row>
    <row r="124" customFormat="false" ht="15" hidden="false" customHeight="false" outlineLevel="0" collapsed="false">
      <c r="A124" s="4" t="s">
        <v>531</v>
      </c>
      <c r="B124" s="4" t="s">
        <v>237</v>
      </c>
      <c r="C124" s="4" t="s">
        <v>238</v>
      </c>
      <c r="D124" s="4" t="s">
        <v>1633</v>
      </c>
      <c r="E124" s="4" t="n">
        <v>0</v>
      </c>
      <c r="F124" s="4" t="n">
        <v>1778180072</v>
      </c>
      <c r="G124" s="4" t="n">
        <v>1778194325</v>
      </c>
      <c r="H124" s="12" t="n">
        <f aca="false">IF(AND(E124=0,F124&lt;1000000000000000,F124+Cutoff!$B$16&lt;=Cutoff!$D$13),1,0)</f>
        <v>1</v>
      </c>
      <c r="I124" s="12" t="n">
        <f aca="false">IF(AND(H124=1,G124&lt;1000000000000000,G124&gt;=F124,G124&lt;F124+Cutoff!$B$16),1,0)</f>
        <v>1</v>
      </c>
    </row>
    <row r="125" customFormat="false" ht="15" hidden="false" customHeight="false" outlineLevel="0" collapsed="false">
      <c r="A125" s="4" t="s">
        <v>533</v>
      </c>
      <c r="B125" s="4" t="s">
        <v>242</v>
      </c>
      <c r="C125" s="4" t="s">
        <v>240</v>
      </c>
      <c r="D125" s="4" t="s">
        <v>1633</v>
      </c>
      <c r="E125" s="4" t="n">
        <v>0</v>
      </c>
      <c r="F125" s="4" t="n">
        <v>1778180839</v>
      </c>
      <c r="G125" s="4" t="n">
        <v>1000000000000000</v>
      </c>
      <c r="H125" s="12" t="n">
        <f aca="false">IF(AND(E125=0,F125&lt;1000000000000000,F125+Cutoff!$B$16&lt;=Cutoff!$D$13),1,0)</f>
        <v>1</v>
      </c>
      <c r="I125" s="12" t="n">
        <f aca="false">IF(AND(H125=1,G125&lt;1000000000000000,G125&gt;=F125,G125&lt;F125+Cutoff!$B$16),1,0)</f>
        <v>0</v>
      </c>
    </row>
    <row r="126" customFormat="false" ht="15" hidden="false" customHeight="false" outlineLevel="0" collapsed="false">
      <c r="A126" s="4" t="s">
        <v>535</v>
      </c>
      <c r="B126" s="4" t="s">
        <v>242</v>
      </c>
      <c r="C126" s="4" t="s">
        <v>240</v>
      </c>
      <c r="D126" s="4" t="s">
        <v>1634</v>
      </c>
      <c r="E126" s="4" t="n">
        <v>0</v>
      </c>
      <c r="F126" s="4" t="n">
        <v>1778187796</v>
      </c>
      <c r="G126" s="4" t="n">
        <v>1000000000000000</v>
      </c>
      <c r="H126" s="12" t="n">
        <f aca="false">IF(AND(E126=0,F126&lt;1000000000000000,F126+Cutoff!$B$16&lt;=Cutoff!$D$13),1,0)</f>
        <v>1</v>
      </c>
      <c r="I126" s="12" t="n">
        <f aca="false">IF(AND(H126=1,G126&lt;1000000000000000,G126&gt;=F126,G126&lt;F126+Cutoff!$B$16),1,0)</f>
        <v>0</v>
      </c>
    </row>
    <row r="127" customFormat="false" ht="15" hidden="false" customHeight="false" outlineLevel="0" collapsed="false">
      <c r="A127" s="4" t="s">
        <v>537</v>
      </c>
      <c r="B127" s="4" t="s">
        <v>242</v>
      </c>
      <c r="C127" s="4" t="s">
        <v>240</v>
      </c>
      <c r="D127" s="4" t="s">
        <v>1634</v>
      </c>
      <c r="E127" s="4" t="n">
        <v>0</v>
      </c>
      <c r="F127" s="4" t="n">
        <v>1778202684</v>
      </c>
      <c r="G127" s="4" t="n">
        <v>1000000000000000</v>
      </c>
      <c r="H127" s="12" t="n">
        <f aca="false">IF(AND(E127=0,F127&lt;1000000000000000,F127+Cutoff!$B$16&lt;=Cutoff!$D$13),1,0)</f>
        <v>1</v>
      </c>
      <c r="I127" s="12" t="n">
        <f aca="false">IF(AND(H127=1,G127&lt;1000000000000000,G127&gt;=F127,G127&lt;F127+Cutoff!$B$16),1,0)</f>
        <v>0</v>
      </c>
    </row>
    <row r="128" customFormat="false" ht="15" hidden="false" customHeight="false" outlineLevel="0" collapsed="false">
      <c r="A128" s="4" t="s">
        <v>539</v>
      </c>
      <c r="B128" s="4" t="s">
        <v>242</v>
      </c>
      <c r="C128" s="4" t="s">
        <v>240</v>
      </c>
      <c r="D128" s="4" t="s">
        <v>1632</v>
      </c>
      <c r="E128" s="4" t="n">
        <v>0</v>
      </c>
      <c r="F128" s="4" t="n">
        <v>1778243727</v>
      </c>
      <c r="G128" s="4" t="n">
        <v>1778246383</v>
      </c>
      <c r="H128" s="12" t="n">
        <f aca="false">IF(AND(E128=0,F128&lt;1000000000000000,F128+Cutoff!$B$16&lt;=Cutoff!$D$13),1,0)</f>
        <v>1</v>
      </c>
      <c r="I128" s="12" t="n">
        <f aca="false">IF(AND(H128=1,G128&lt;1000000000000000,G128&gt;=F128,G128&lt;F128+Cutoff!$B$16),1,0)</f>
        <v>1</v>
      </c>
    </row>
    <row r="129" customFormat="false" ht="15" hidden="false" customHeight="false" outlineLevel="0" collapsed="false">
      <c r="A129" s="4" t="s">
        <v>541</v>
      </c>
      <c r="B129" s="4" t="s">
        <v>237</v>
      </c>
      <c r="C129" s="4" t="s">
        <v>238</v>
      </c>
      <c r="D129" s="4" t="s">
        <v>1633</v>
      </c>
      <c r="E129" s="4" t="n">
        <v>0</v>
      </c>
      <c r="F129" s="4" t="n">
        <v>1778264936</v>
      </c>
      <c r="G129" s="4" t="n">
        <v>1000000000000000</v>
      </c>
      <c r="H129" s="12" t="n">
        <f aca="false">IF(AND(E129=0,F129&lt;1000000000000000,F129+Cutoff!$B$16&lt;=Cutoff!$D$13),1,0)</f>
        <v>1</v>
      </c>
      <c r="I129" s="12" t="n">
        <f aca="false">IF(AND(H129=1,G129&lt;1000000000000000,G129&gt;=F129,G129&lt;F129+Cutoff!$B$16),1,0)</f>
        <v>0</v>
      </c>
    </row>
    <row r="130" customFormat="false" ht="15" hidden="false" customHeight="false" outlineLevel="0" collapsed="false">
      <c r="A130" s="4" t="s">
        <v>543</v>
      </c>
      <c r="B130" s="4" t="s">
        <v>243</v>
      </c>
      <c r="C130" s="4" t="s">
        <v>240</v>
      </c>
      <c r="D130" s="4" t="s">
        <v>1634</v>
      </c>
      <c r="E130" s="4" t="n">
        <v>0</v>
      </c>
      <c r="F130" s="4" t="n">
        <v>1778273439</v>
      </c>
      <c r="G130" s="4" t="n">
        <v>1000000000000000</v>
      </c>
      <c r="H130" s="12" t="n">
        <f aca="false">IF(AND(E130=0,F130&lt;1000000000000000,F130+Cutoff!$B$16&lt;=Cutoff!$D$13),1,0)</f>
        <v>1</v>
      </c>
      <c r="I130" s="12" t="n">
        <f aca="false">IF(AND(H130=1,G130&lt;1000000000000000,G130&gt;=F130,G130&lt;F130+Cutoff!$B$16),1,0)</f>
        <v>0</v>
      </c>
    </row>
    <row r="131" customFormat="false" ht="15" hidden="false" customHeight="false" outlineLevel="0" collapsed="false">
      <c r="A131" s="4" t="s">
        <v>545</v>
      </c>
      <c r="B131" s="4" t="s">
        <v>243</v>
      </c>
      <c r="C131" s="4" t="s">
        <v>240</v>
      </c>
      <c r="D131" s="4" t="s">
        <v>1633</v>
      </c>
      <c r="E131" s="4" t="n">
        <v>0</v>
      </c>
      <c r="F131" s="4" t="n">
        <v>1778351634</v>
      </c>
      <c r="G131" s="4" t="n">
        <v>1000000000000000</v>
      </c>
      <c r="H131" s="12" t="n">
        <f aca="false">IF(AND(E131=0,F131&lt;1000000000000000,F131+Cutoff!$B$16&lt;=Cutoff!$D$13),1,0)</f>
        <v>1</v>
      </c>
      <c r="I131" s="12" t="n">
        <f aca="false">IF(AND(H131=1,G131&lt;1000000000000000,G131&gt;=F131,G131&lt;F131+Cutoff!$B$16),1,0)</f>
        <v>0</v>
      </c>
    </row>
    <row r="132" customFormat="false" ht="15" hidden="false" customHeight="false" outlineLevel="0" collapsed="false">
      <c r="A132" s="4" t="s">
        <v>547</v>
      </c>
      <c r="B132" s="4" t="s">
        <v>242</v>
      </c>
      <c r="C132" s="4" t="s">
        <v>240</v>
      </c>
      <c r="D132" s="4" t="s">
        <v>1633</v>
      </c>
      <c r="E132" s="4" t="n">
        <v>0</v>
      </c>
      <c r="F132" s="4" t="n">
        <v>1778510177</v>
      </c>
      <c r="G132" s="4" t="n">
        <v>1778528532</v>
      </c>
      <c r="H132" s="12" t="n">
        <f aca="false">IF(AND(E132=0,F132&lt;1000000000000000,F132+Cutoff!$B$16&lt;=Cutoff!$D$13),1,0)</f>
        <v>1</v>
      </c>
      <c r="I132" s="12" t="n">
        <f aca="false">IF(AND(H132=1,G132&lt;1000000000000000,G132&gt;=F132,G132&lt;F132+Cutoff!$B$16),1,0)</f>
        <v>1</v>
      </c>
    </row>
    <row r="133" customFormat="false" ht="15" hidden="false" customHeight="false" outlineLevel="0" collapsed="false">
      <c r="A133" s="4" t="s">
        <v>549</v>
      </c>
      <c r="B133" s="4" t="s">
        <v>243</v>
      </c>
      <c r="C133" s="4" t="s">
        <v>240</v>
      </c>
      <c r="D133" s="4" t="s">
        <v>1634</v>
      </c>
      <c r="E133" s="4" t="n">
        <v>0</v>
      </c>
      <c r="F133" s="4" t="n">
        <v>1778519824</v>
      </c>
      <c r="G133" s="4" t="n">
        <v>1000000000000000</v>
      </c>
      <c r="H133" s="12" t="n">
        <f aca="false">IF(AND(E133=0,F133&lt;1000000000000000,F133+Cutoff!$B$16&lt;=Cutoff!$D$13),1,0)</f>
        <v>1</v>
      </c>
      <c r="I133" s="12" t="n">
        <f aca="false">IF(AND(H133=1,G133&lt;1000000000000000,G133&gt;=F133,G133&lt;F133+Cutoff!$B$16),1,0)</f>
        <v>0</v>
      </c>
    </row>
    <row r="134" customFormat="false" ht="15" hidden="false" customHeight="false" outlineLevel="0" collapsed="false">
      <c r="A134" s="4" t="s">
        <v>551</v>
      </c>
      <c r="B134" s="4" t="s">
        <v>242</v>
      </c>
      <c r="C134" s="4" t="s">
        <v>239</v>
      </c>
      <c r="D134" s="4" t="s">
        <v>1634</v>
      </c>
      <c r="E134" s="4" t="n">
        <v>0</v>
      </c>
      <c r="F134" s="4" t="n">
        <v>1778527084</v>
      </c>
      <c r="G134" s="4" t="n">
        <v>1000000000000000</v>
      </c>
      <c r="H134" s="12" t="n">
        <f aca="false">IF(AND(E134=0,F134&lt;1000000000000000,F134+Cutoff!$B$16&lt;=Cutoff!$D$13),1,0)</f>
        <v>1</v>
      </c>
      <c r="I134" s="12" t="n">
        <f aca="false">IF(AND(H134=1,G134&lt;1000000000000000,G134&gt;=F134,G134&lt;F134+Cutoff!$B$16),1,0)</f>
        <v>0</v>
      </c>
    </row>
    <row r="135" customFormat="false" ht="15" hidden="false" customHeight="false" outlineLevel="0" collapsed="false">
      <c r="A135" s="4" t="s">
        <v>553</v>
      </c>
      <c r="B135" s="4" t="s">
        <v>242</v>
      </c>
      <c r="C135" s="4" t="s">
        <v>240</v>
      </c>
      <c r="D135" s="4" t="s">
        <v>1633</v>
      </c>
      <c r="E135" s="4" t="n">
        <v>0</v>
      </c>
      <c r="F135" s="4" t="n">
        <v>1778528348</v>
      </c>
      <c r="G135" s="4" t="n">
        <v>1778537143</v>
      </c>
      <c r="H135" s="12" t="n">
        <f aca="false">IF(AND(E135=0,F135&lt;1000000000000000,F135+Cutoff!$B$16&lt;=Cutoff!$D$13),1,0)</f>
        <v>1</v>
      </c>
      <c r="I135" s="12" t="n">
        <f aca="false">IF(AND(H135=1,G135&lt;1000000000000000,G135&gt;=F135,G135&lt;F135+Cutoff!$B$16),1,0)</f>
        <v>1</v>
      </c>
    </row>
    <row r="136" customFormat="false" ht="15" hidden="false" customHeight="false" outlineLevel="0" collapsed="false">
      <c r="A136" s="4" t="s">
        <v>555</v>
      </c>
      <c r="B136" s="4" t="s">
        <v>243</v>
      </c>
      <c r="C136" s="4" t="s">
        <v>239</v>
      </c>
      <c r="D136" s="4" t="s">
        <v>1634</v>
      </c>
      <c r="E136" s="4" t="n">
        <v>0</v>
      </c>
      <c r="F136" s="4" t="n">
        <v>1778537334</v>
      </c>
      <c r="G136" s="4" t="n">
        <v>1778557244</v>
      </c>
      <c r="H136" s="12" t="n">
        <f aca="false">IF(AND(E136=0,F136&lt;1000000000000000,F136+Cutoff!$B$16&lt;=Cutoff!$D$13),1,0)</f>
        <v>1</v>
      </c>
      <c r="I136" s="12" t="n">
        <f aca="false">IF(AND(H136=1,G136&lt;1000000000000000,G136&gt;=F136,G136&lt;F136+Cutoff!$B$16),1,0)</f>
        <v>1</v>
      </c>
    </row>
    <row r="137" customFormat="false" ht="15" hidden="false" customHeight="false" outlineLevel="0" collapsed="false">
      <c r="A137" s="4" t="s">
        <v>557</v>
      </c>
      <c r="B137" s="4" t="s">
        <v>242</v>
      </c>
      <c r="C137" s="4" t="s">
        <v>240</v>
      </c>
      <c r="D137" s="4" t="s">
        <v>1632</v>
      </c>
      <c r="E137" s="4" t="n">
        <v>0</v>
      </c>
      <c r="F137" s="4" t="n">
        <v>1778581568</v>
      </c>
      <c r="G137" s="4" t="n">
        <v>1000000000000000</v>
      </c>
      <c r="H137" s="12" t="n">
        <f aca="false">IF(AND(E137=0,F137&lt;1000000000000000,F137+Cutoff!$B$16&lt;=Cutoff!$D$13),1,0)</f>
        <v>1</v>
      </c>
      <c r="I137" s="12" t="n">
        <f aca="false">IF(AND(H137=1,G137&lt;1000000000000000,G137&gt;=F137,G137&lt;F137+Cutoff!$B$16),1,0)</f>
        <v>0</v>
      </c>
    </row>
    <row r="138" customFormat="false" ht="15" hidden="false" customHeight="false" outlineLevel="0" collapsed="false">
      <c r="A138" s="4" t="s">
        <v>559</v>
      </c>
      <c r="B138" s="4" t="s">
        <v>243</v>
      </c>
      <c r="C138" s="4" t="s">
        <v>240</v>
      </c>
      <c r="D138" s="4" t="s">
        <v>1632</v>
      </c>
      <c r="E138" s="4" t="n">
        <v>0</v>
      </c>
      <c r="F138" s="4" t="n">
        <v>1778600237</v>
      </c>
      <c r="G138" s="4" t="n">
        <v>1779726124</v>
      </c>
      <c r="H138" s="12" t="n">
        <f aca="false">IF(AND(E138=0,F138&lt;1000000000000000,F138+Cutoff!$B$16&lt;=Cutoff!$D$13),1,0)</f>
        <v>1</v>
      </c>
      <c r="I138" s="12" t="n">
        <f aca="false">IF(AND(H138=1,G138&lt;1000000000000000,G138&gt;=F138,G138&lt;F138+Cutoff!$B$16),1,0)</f>
        <v>0</v>
      </c>
    </row>
    <row r="139" customFormat="false" ht="15" hidden="false" customHeight="false" outlineLevel="0" collapsed="false">
      <c r="A139" s="4" t="s">
        <v>561</v>
      </c>
      <c r="B139" s="4" t="s">
        <v>243</v>
      </c>
      <c r="C139" s="4" t="s">
        <v>240</v>
      </c>
      <c r="D139" s="4" t="s">
        <v>1633</v>
      </c>
      <c r="E139" s="4" t="n">
        <v>0</v>
      </c>
      <c r="F139" s="4" t="n">
        <v>1778608303</v>
      </c>
      <c r="G139" s="4" t="n">
        <v>1000000000000000</v>
      </c>
      <c r="H139" s="12" t="n">
        <f aca="false">IF(AND(E139=0,F139&lt;1000000000000000,F139+Cutoff!$B$16&lt;=Cutoff!$D$13),1,0)</f>
        <v>1</v>
      </c>
      <c r="I139" s="12" t="n">
        <f aca="false">IF(AND(H139=1,G139&lt;1000000000000000,G139&gt;=F139,G139&lt;F139+Cutoff!$B$16),1,0)</f>
        <v>0</v>
      </c>
    </row>
    <row r="140" customFormat="false" ht="15" hidden="false" customHeight="false" outlineLevel="0" collapsed="false">
      <c r="A140" s="4" t="s">
        <v>563</v>
      </c>
      <c r="B140" s="4" t="s">
        <v>243</v>
      </c>
      <c r="C140" s="4" t="s">
        <v>240</v>
      </c>
      <c r="D140" s="4" t="s">
        <v>1633</v>
      </c>
      <c r="E140" s="4" t="n">
        <v>0</v>
      </c>
      <c r="F140" s="4" t="n">
        <v>1778680589</v>
      </c>
      <c r="G140" s="4" t="n">
        <v>1778789783</v>
      </c>
      <c r="H140" s="12" t="n">
        <f aca="false">IF(AND(E140=0,F140&lt;1000000000000000,F140+Cutoff!$B$16&lt;=Cutoff!$D$13),1,0)</f>
        <v>1</v>
      </c>
      <c r="I140" s="12" t="n">
        <f aca="false">IF(AND(H140=1,G140&lt;1000000000000000,G140&gt;=F140,G140&lt;F140+Cutoff!$B$16),1,0)</f>
        <v>1</v>
      </c>
    </row>
    <row r="141" customFormat="false" ht="15" hidden="false" customHeight="false" outlineLevel="0" collapsed="false">
      <c r="A141" s="4" t="s">
        <v>565</v>
      </c>
      <c r="B141" s="4" t="s">
        <v>237</v>
      </c>
      <c r="C141" s="4" t="s">
        <v>239</v>
      </c>
      <c r="D141" s="4" t="s">
        <v>1634</v>
      </c>
      <c r="E141" s="4" t="n">
        <v>0</v>
      </c>
      <c r="F141" s="4" t="n">
        <v>1778695634</v>
      </c>
      <c r="G141" s="4" t="n">
        <v>1778695919</v>
      </c>
      <c r="H141" s="12" t="n">
        <f aca="false">IF(AND(E141=0,F141&lt;1000000000000000,F141+Cutoff!$B$16&lt;=Cutoff!$D$13),1,0)</f>
        <v>1</v>
      </c>
      <c r="I141" s="12" t="n">
        <f aca="false">IF(AND(H141=1,G141&lt;1000000000000000,G141&gt;=F141,G141&lt;F141+Cutoff!$B$16),1,0)</f>
        <v>1</v>
      </c>
    </row>
    <row r="142" customFormat="false" ht="15" hidden="false" customHeight="false" outlineLevel="0" collapsed="false">
      <c r="A142" s="4" t="s">
        <v>567</v>
      </c>
      <c r="B142" s="4" t="s">
        <v>243</v>
      </c>
      <c r="C142" s="4" t="s">
        <v>240</v>
      </c>
      <c r="D142" s="4" t="s">
        <v>1633</v>
      </c>
      <c r="E142" s="4" t="n">
        <v>0</v>
      </c>
      <c r="F142" s="4" t="n">
        <v>1778697126</v>
      </c>
      <c r="G142" s="4" t="n">
        <v>1778703200</v>
      </c>
      <c r="H142" s="12" t="n">
        <f aca="false">IF(AND(E142=0,F142&lt;1000000000000000,F142+Cutoff!$B$16&lt;=Cutoff!$D$13),1,0)</f>
        <v>1</v>
      </c>
      <c r="I142" s="12" t="n">
        <f aca="false">IF(AND(H142=1,G142&lt;1000000000000000,G142&gt;=F142,G142&lt;F142+Cutoff!$B$16),1,0)</f>
        <v>1</v>
      </c>
    </row>
    <row r="143" customFormat="false" ht="15" hidden="false" customHeight="false" outlineLevel="0" collapsed="false">
      <c r="A143" s="4" t="s">
        <v>569</v>
      </c>
      <c r="B143" s="4" t="s">
        <v>243</v>
      </c>
      <c r="C143" s="4" t="s">
        <v>240</v>
      </c>
      <c r="D143" s="4" t="s">
        <v>1633</v>
      </c>
      <c r="E143" s="4" t="n">
        <v>0</v>
      </c>
      <c r="F143" s="4" t="n">
        <v>1778699248</v>
      </c>
      <c r="G143" s="4" t="n">
        <v>1000000000000000</v>
      </c>
      <c r="H143" s="12" t="n">
        <f aca="false">IF(AND(E143=0,F143&lt;1000000000000000,F143+Cutoff!$B$16&lt;=Cutoff!$D$13),1,0)</f>
        <v>1</v>
      </c>
      <c r="I143" s="12" t="n">
        <f aca="false">IF(AND(H143=1,G143&lt;1000000000000000,G143&gt;=F143,G143&lt;F143+Cutoff!$B$16),1,0)</f>
        <v>0</v>
      </c>
    </row>
    <row r="144" customFormat="false" ht="15" hidden="false" customHeight="false" outlineLevel="0" collapsed="false">
      <c r="A144" s="4" t="s">
        <v>571</v>
      </c>
      <c r="B144" s="4" t="s">
        <v>243</v>
      </c>
      <c r="C144" s="4" t="s">
        <v>239</v>
      </c>
      <c r="D144" s="4" t="s">
        <v>1633</v>
      </c>
      <c r="E144" s="4" t="n">
        <v>0</v>
      </c>
      <c r="F144" s="4" t="n">
        <v>1778699362</v>
      </c>
      <c r="G144" s="4" t="n">
        <v>1000000000000000</v>
      </c>
      <c r="H144" s="12" t="n">
        <f aca="false">IF(AND(E144=0,F144&lt;1000000000000000,F144+Cutoff!$B$16&lt;=Cutoff!$D$13),1,0)</f>
        <v>1</v>
      </c>
      <c r="I144" s="12" t="n">
        <f aca="false">IF(AND(H144=1,G144&lt;1000000000000000,G144&gt;=F144,G144&lt;F144+Cutoff!$B$16),1,0)</f>
        <v>0</v>
      </c>
    </row>
    <row r="145" customFormat="false" ht="15" hidden="false" customHeight="false" outlineLevel="0" collapsed="false">
      <c r="A145" s="4" t="s">
        <v>573</v>
      </c>
      <c r="B145" s="4" t="s">
        <v>243</v>
      </c>
      <c r="C145" s="4" t="s">
        <v>239</v>
      </c>
      <c r="D145" s="4" t="s">
        <v>1633</v>
      </c>
      <c r="E145" s="4" t="n">
        <v>0</v>
      </c>
      <c r="F145" s="4" t="n">
        <v>1778705145</v>
      </c>
      <c r="G145" s="4" t="n">
        <v>1778784761</v>
      </c>
      <c r="H145" s="12" t="n">
        <f aca="false">IF(AND(E145=0,F145&lt;1000000000000000,F145+Cutoff!$B$16&lt;=Cutoff!$D$13),1,0)</f>
        <v>1</v>
      </c>
      <c r="I145" s="12" t="n">
        <f aca="false">IF(AND(H145=1,G145&lt;1000000000000000,G145&gt;=F145,G145&lt;F145+Cutoff!$B$16),1,0)</f>
        <v>1</v>
      </c>
    </row>
    <row r="146" customFormat="false" ht="15" hidden="false" customHeight="false" outlineLevel="0" collapsed="false">
      <c r="A146" s="4" t="s">
        <v>575</v>
      </c>
      <c r="B146" s="4" t="s">
        <v>243</v>
      </c>
      <c r="C146" s="4" t="s">
        <v>240</v>
      </c>
      <c r="D146" s="4" t="s">
        <v>1634</v>
      </c>
      <c r="E146" s="4" t="n">
        <v>0</v>
      </c>
      <c r="F146" s="4" t="n">
        <v>1778706304</v>
      </c>
      <c r="G146" s="4" t="n">
        <v>1778722663</v>
      </c>
      <c r="H146" s="12" t="n">
        <f aca="false">IF(AND(E146=0,F146&lt;1000000000000000,F146+Cutoff!$B$16&lt;=Cutoff!$D$13),1,0)</f>
        <v>1</v>
      </c>
      <c r="I146" s="12" t="n">
        <f aca="false">IF(AND(H146=1,G146&lt;1000000000000000,G146&gt;=F146,G146&lt;F146+Cutoff!$B$16),1,0)</f>
        <v>1</v>
      </c>
    </row>
    <row r="147" customFormat="false" ht="15" hidden="false" customHeight="false" outlineLevel="0" collapsed="false">
      <c r="A147" s="4" t="s">
        <v>577</v>
      </c>
      <c r="B147" s="4" t="s">
        <v>242</v>
      </c>
      <c r="C147" s="4" t="s">
        <v>240</v>
      </c>
      <c r="D147" s="4" t="s">
        <v>1634</v>
      </c>
      <c r="E147" s="4" t="n">
        <v>0</v>
      </c>
      <c r="F147" s="4" t="n">
        <v>1778716620</v>
      </c>
      <c r="G147" s="4" t="n">
        <v>1000000000000000</v>
      </c>
      <c r="H147" s="12" t="n">
        <f aca="false">IF(AND(E147=0,F147&lt;1000000000000000,F147+Cutoff!$B$16&lt;=Cutoff!$D$13),1,0)</f>
        <v>1</v>
      </c>
      <c r="I147" s="12" t="n">
        <f aca="false">IF(AND(H147=1,G147&lt;1000000000000000,G147&gt;=F147,G147&lt;F147+Cutoff!$B$16),1,0)</f>
        <v>0</v>
      </c>
    </row>
    <row r="148" customFormat="false" ht="15" hidden="false" customHeight="false" outlineLevel="0" collapsed="false">
      <c r="A148" s="4" t="s">
        <v>579</v>
      </c>
      <c r="B148" s="4" t="s">
        <v>242</v>
      </c>
      <c r="C148" s="4" t="s">
        <v>240</v>
      </c>
      <c r="D148" s="4" t="s">
        <v>1632</v>
      </c>
      <c r="E148" s="4" t="n">
        <v>0</v>
      </c>
      <c r="F148" s="4" t="n">
        <v>1778771958</v>
      </c>
      <c r="G148" s="4" t="n">
        <v>1000000000000000</v>
      </c>
      <c r="H148" s="12" t="n">
        <f aca="false">IF(AND(E148=0,F148&lt;1000000000000000,F148+Cutoff!$B$16&lt;=Cutoff!$D$13),1,0)</f>
        <v>1</v>
      </c>
      <c r="I148" s="12" t="n">
        <f aca="false">IF(AND(H148=1,G148&lt;1000000000000000,G148&gt;=F148,G148&lt;F148+Cutoff!$B$16),1,0)</f>
        <v>0</v>
      </c>
    </row>
    <row r="149" customFormat="false" ht="15" hidden="false" customHeight="false" outlineLevel="0" collapsed="false">
      <c r="A149" s="4" t="s">
        <v>581</v>
      </c>
      <c r="B149" s="4" t="s">
        <v>237</v>
      </c>
      <c r="C149" s="4" t="s">
        <v>238</v>
      </c>
      <c r="D149" s="4" t="s">
        <v>1633</v>
      </c>
      <c r="E149" s="4" t="n">
        <v>0</v>
      </c>
      <c r="F149" s="4" t="n">
        <v>1778774028</v>
      </c>
      <c r="G149" s="4" t="n">
        <v>1000000000000000</v>
      </c>
      <c r="H149" s="12" t="n">
        <f aca="false">IF(AND(E149=0,F149&lt;1000000000000000,F149+Cutoff!$B$16&lt;=Cutoff!$D$13),1,0)</f>
        <v>1</v>
      </c>
      <c r="I149" s="12" t="n">
        <f aca="false">IF(AND(H149=1,G149&lt;1000000000000000,G149&gt;=F149,G149&lt;F149+Cutoff!$B$16),1,0)</f>
        <v>0</v>
      </c>
    </row>
    <row r="150" customFormat="false" ht="15" hidden="false" customHeight="false" outlineLevel="0" collapsed="false">
      <c r="A150" s="4" t="s">
        <v>583</v>
      </c>
      <c r="B150" s="4" t="s">
        <v>242</v>
      </c>
      <c r="C150" s="4" t="s">
        <v>240</v>
      </c>
      <c r="D150" s="4" t="s">
        <v>1634</v>
      </c>
      <c r="E150" s="4" t="n">
        <v>0</v>
      </c>
      <c r="F150" s="4" t="n">
        <v>1778859062</v>
      </c>
      <c r="G150" s="4" t="n">
        <v>1778901593</v>
      </c>
      <c r="H150" s="12" t="n">
        <f aca="false">IF(AND(E150=0,F150&lt;1000000000000000,F150+Cutoff!$B$16&lt;=Cutoff!$D$13),1,0)</f>
        <v>1</v>
      </c>
      <c r="I150" s="12" t="n">
        <f aca="false">IF(AND(H150=1,G150&lt;1000000000000000,G150&gt;=F150,G150&lt;F150+Cutoff!$B$16),1,0)</f>
        <v>1</v>
      </c>
    </row>
    <row r="151" customFormat="false" ht="15" hidden="false" customHeight="false" outlineLevel="0" collapsed="false">
      <c r="A151" s="4" t="s">
        <v>585</v>
      </c>
      <c r="B151" s="4" t="s">
        <v>242</v>
      </c>
      <c r="C151" s="4" t="s">
        <v>238</v>
      </c>
      <c r="D151" s="4" t="s">
        <v>1634</v>
      </c>
      <c r="E151" s="4" t="n">
        <v>0</v>
      </c>
      <c r="F151" s="4" t="n">
        <v>1778861025</v>
      </c>
      <c r="G151" s="4" t="n">
        <v>1779426712</v>
      </c>
      <c r="H151" s="12" t="n">
        <f aca="false">IF(AND(E151=0,F151&lt;1000000000000000,F151+Cutoff!$B$16&lt;=Cutoff!$D$13),1,0)</f>
        <v>1</v>
      </c>
      <c r="I151" s="12" t="n">
        <f aca="false">IF(AND(H151=1,G151&lt;1000000000000000,G151&gt;=F151,G151&lt;F151+Cutoff!$B$16),1,0)</f>
        <v>1</v>
      </c>
    </row>
    <row r="152" customFormat="false" ht="15" hidden="false" customHeight="false" outlineLevel="0" collapsed="false">
      <c r="A152" s="4" t="s">
        <v>587</v>
      </c>
      <c r="B152" s="4" t="s">
        <v>237</v>
      </c>
      <c r="C152" s="4" t="s">
        <v>239</v>
      </c>
      <c r="D152" s="4" t="s">
        <v>1633</v>
      </c>
      <c r="E152" s="4" t="n">
        <v>0</v>
      </c>
      <c r="F152" s="4" t="n">
        <v>1778866872</v>
      </c>
      <c r="G152" s="4" t="n">
        <v>1778870157</v>
      </c>
      <c r="H152" s="12" t="n">
        <f aca="false">IF(AND(E152=0,F152&lt;1000000000000000,F152+Cutoff!$B$16&lt;=Cutoff!$D$13),1,0)</f>
        <v>1</v>
      </c>
      <c r="I152" s="12" t="n">
        <f aca="false">IF(AND(H152=1,G152&lt;1000000000000000,G152&gt;=F152,G152&lt;F152+Cutoff!$B$16),1,0)</f>
        <v>1</v>
      </c>
    </row>
    <row r="153" customFormat="false" ht="15" hidden="false" customHeight="false" outlineLevel="0" collapsed="false">
      <c r="A153" s="4" t="s">
        <v>589</v>
      </c>
      <c r="B153" s="4" t="s">
        <v>237</v>
      </c>
      <c r="C153" s="4" t="s">
        <v>238</v>
      </c>
      <c r="D153" s="4" t="s">
        <v>1634</v>
      </c>
      <c r="E153" s="4" t="n">
        <v>0</v>
      </c>
      <c r="F153" s="4" t="n">
        <v>1778872552</v>
      </c>
      <c r="G153" s="4" t="n">
        <v>1778873069</v>
      </c>
      <c r="H153" s="12" t="n">
        <f aca="false">IF(AND(E153=0,F153&lt;1000000000000000,F153+Cutoff!$B$16&lt;=Cutoff!$D$13),1,0)</f>
        <v>1</v>
      </c>
      <c r="I153" s="12" t="n">
        <f aca="false">IF(AND(H153=1,G153&lt;1000000000000000,G153&gt;=F153,G153&lt;F153+Cutoff!$B$16),1,0)</f>
        <v>1</v>
      </c>
    </row>
    <row r="154" customFormat="false" ht="15" hidden="false" customHeight="false" outlineLevel="0" collapsed="false">
      <c r="A154" s="4" t="s">
        <v>591</v>
      </c>
      <c r="B154" s="4" t="s">
        <v>243</v>
      </c>
      <c r="C154" s="4" t="s">
        <v>239</v>
      </c>
      <c r="D154" s="4" t="s">
        <v>1634</v>
      </c>
      <c r="E154" s="4" t="n">
        <v>0</v>
      </c>
      <c r="F154" s="4" t="n">
        <v>1778873312</v>
      </c>
      <c r="G154" s="4" t="n">
        <v>1779094097</v>
      </c>
      <c r="H154" s="12" t="n">
        <f aca="false">IF(AND(E154=0,F154&lt;1000000000000000,F154+Cutoff!$B$16&lt;=Cutoff!$D$13),1,0)</f>
        <v>1</v>
      </c>
      <c r="I154" s="12" t="n">
        <f aca="false">IF(AND(H154=1,G154&lt;1000000000000000,G154&gt;=F154,G154&lt;F154+Cutoff!$B$16),1,0)</f>
        <v>1</v>
      </c>
    </row>
    <row r="155" customFormat="false" ht="15" hidden="false" customHeight="false" outlineLevel="0" collapsed="false">
      <c r="A155" s="4" t="s">
        <v>593</v>
      </c>
      <c r="B155" s="4" t="s">
        <v>242</v>
      </c>
      <c r="C155" s="4" t="s">
        <v>240</v>
      </c>
      <c r="D155" s="4" t="s">
        <v>1633</v>
      </c>
      <c r="E155" s="4" t="n">
        <v>0</v>
      </c>
      <c r="F155" s="4" t="n">
        <v>1778874049</v>
      </c>
      <c r="G155" s="4" t="n">
        <v>1000000000000000</v>
      </c>
      <c r="H155" s="12" t="n">
        <f aca="false">IF(AND(E155=0,F155&lt;1000000000000000,F155+Cutoff!$B$16&lt;=Cutoff!$D$13),1,0)</f>
        <v>1</v>
      </c>
      <c r="I155" s="12" t="n">
        <f aca="false">IF(AND(H155=1,G155&lt;1000000000000000,G155&gt;=F155,G155&lt;F155+Cutoff!$B$16),1,0)</f>
        <v>0</v>
      </c>
    </row>
    <row r="156" customFormat="false" ht="15" hidden="false" customHeight="false" outlineLevel="0" collapsed="false">
      <c r="A156" s="4" t="s">
        <v>595</v>
      </c>
      <c r="B156" s="4" t="s">
        <v>237</v>
      </c>
      <c r="C156" s="4" t="s">
        <v>238</v>
      </c>
      <c r="D156" s="4" t="s">
        <v>1634</v>
      </c>
      <c r="E156" s="4" t="n">
        <v>0</v>
      </c>
      <c r="F156" s="4" t="n">
        <v>1778888991</v>
      </c>
      <c r="G156" s="4" t="n">
        <v>1778903891</v>
      </c>
      <c r="H156" s="12" t="n">
        <f aca="false">IF(AND(E156=0,F156&lt;1000000000000000,F156+Cutoff!$B$16&lt;=Cutoff!$D$13),1,0)</f>
        <v>1</v>
      </c>
      <c r="I156" s="12" t="n">
        <f aca="false">IF(AND(H156=1,G156&lt;1000000000000000,G156&gt;=F156,G156&lt;F156+Cutoff!$B$16),1,0)</f>
        <v>1</v>
      </c>
    </row>
    <row r="157" customFormat="false" ht="15" hidden="false" customHeight="false" outlineLevel="0" collapsed="false">
      <c r="A157" s="4" t="s">
        <v>597</v>
      </c>
      <c r="B157" s="4" t="s">
        <v>237</v>
      </c>
      <c r="C157" s="4" t="s">
        <v>238</v>
      </c>
      <c r="D157" s="4" t="s">
        <v>1632</v>
      </c>
      <c r="E157" s="4" t="n">
        <v>0</v>
      </c>
      <c r="F157" s="4" t="n">
        <v>1778954117</v>
      </c>
      <c r="G157" s="4" t="n">
        <v>1000000000000000</v>
      </c>
      <c r="H157" s="12" t="n">
        <f aca="false">IF(AND(E157=0,F157&lt;1000000000000000,F157+Cutoff!$B$16&lt;=Cutoff!$D$13),1,0)</f>
        <v>1</v>
      </c>
      <c r="I157" s="12" t="n">
        <f aca="false">IF(AND(H157=1,G157&lt;1000000000000000,G157&gt;=F157,G157&lt;F157+Cutoff!$B$16),1,0)</f>
        <v>0</v>
      </c>
    </row>
    <row r="158" customFormat="false" ht="15" hidden="false" customHeight="false" outlineLevel="0" collapsed="false">
      <c r="A158" s="4" t="s">
        <v>599</v>
      </c>
      <c r="B158" s="4" t="s">
        <v>242</v>
      </c>
      <c r="C158" s="4" t="s">
        <v>240</v>
      </c>
      <c r="D158" s="4" t="s">
        <v>1632</v>
      </c>
      <c r="E158" s="4" t="n">
        <v>0</v>
      </c>
      <c r="F158" s="4" t="n">
        <v>1779111912</v>
      </c>
      <c r="G158" s="4" t="n">
        <v>1000000000000000</v>
      </c>
      <c r="H158" s="12" t="n">
        <f aca="false">IF(AND(E158=0,F158&lt;1000000000000000,F158+Cutoff!$B$16&lt;=Cutoff!$D$13),1,0)</f>
        <v>1</v>
      </c>
      <c r="I158" s="12" t="n">
        <f aca="false">IF(AND(H158=1,G158&lt;1000000000000000,G158&gt;=F158,G158&lt;F158+Cutoff!$B$16),1,0)</f>
        <v>0</v>
      </c>
    </row>
    <row r="159" customFormat="false" ht="15" hidden="false" customHeight="false" outlineLevel="0" collapsed="false">
      <c r="A159" s="4" t="s">
        <v>601</v>
      </c>
      <c r="B159" s="4" t="s">
        <v>243</v>
      </c>
      <c r="C159" s="4" t="s">
        <v>240</v>
      </c>
      <c r="D159" s="4" t="s">
        <v>1633</v>
      </c>
      <c r="E159" s="4" t="n">
        <v>0</v>
      </c>
      <c r="F159" s="4" t="n">
        <v>1779126997</v>
      </c>
      <c r="G159" s="4" t="n">
        <v>1000000000000000</v>
      </c>
      <c r="H159" s="12" t="n">
        <f aca="false">IF(AND(E159=0,F159&lt;1000000000000000,F159+Cutoff!$B$16&lt;=Cutoff!$D$13),1,0)</f>
        <v>1</v>
      </c>
      <c r="I159" s="12" t="n">
        <f aca="false">IF(AND(H159=1,G159&lt;1000000000000000,G159&gt;=F159,G159&lt;F159+Cutoff!$B$16),1,0)</f>
        <v>0</v>
      </c>
    </row>
    <row r="160" customFormat="false" ht="15" hidden="false" customHeight="false" outlineLevel="0" collapsed="false">
      <c r="A160" s="4" t="s">
        <v>1635</v>
      </c>
      <c r="B160" s="4" t="s">
        <v>243</v>
      </c>
      <c r="C160" s="4" t="s">
        <v>240</v>
      </c>
      <c r="D160" s="4" t="s">
        <v>1633</v>
      </c>
      <c r="E160" s="4" t="n">
        <v>1</v>
      </c>
      <c r="F160" s="4" t="n">
        <v>1000000000000000</v>
      </c>
      <c r="G160" s="4" t="n">
        <v>1000000000000000</v>
      </c>
      <c r="H160" s="12" t="n">
        <f aca="false">IF(AND(E160=0,F160&lt;1000000000000000,F160+Cutoff!$B$16&lt;=Cutoff!$D$13),1,0)</f>
        <v>0</v>
      </c>
      <c r="I160" s="12" t="n">
        <f aca="false">IF(AND(H160=1,G160&lt;1000000000000000,G160&gt;=F160,G160&lt;F160+Cutoff!$B$16),1,0)</f>
        <v>0</v>
      </c>
    </row>
    <row r="161" customFormat="false" ht="15" hidden="false" customHeight="false" outlineLevel="0" collapsed="false">
      <c r="A161" s="4" t="s">
        <v>603</v>
      </c>
      <c r="B161" s="4" t="s">
        <v>237</v>
      </c>
      <c r="C161" s="4" t="s">
        <v>239</v>
      </c>
      <c r="D161" s="4" t="s">
        <v>1632</v>
      </c>
      <c r="E161" s="4" t="n">
        <v>0</v>
      </c>
      <c r="F161" s="4" t="n">
        <v>1779182654</v>
      </c>
      <c r="G161" s="4" t="n">
        <v>1779266286</v>
      </c>
      <c r="H161" s="12" t="n">
        <f aca="false">IF(AND(E161=0,F161&lt;1000000000000000,F161+Cutoff!$B$16&lt;=Cutoff!$D$13),1,0)</f>
        <v>1</v>
      </c>
      <c r="I161" s="12" t="n">
        <f aca="false">IF(AND(H161=1,G161&lt;1000000000000000,G161&gt;=F161,G161&lt;F161+Cutoff!$B$16),1,0)</f>
        <v>1</v>
      </c>
    </row>
    <row r="162" customFormat="false" ht="15" hidden="false" customHeight="false" outlineLevel="0" collapsed="false">
      <c r="A162" s="4" t="s">
        <v>605</v>
      </c>
      <c r="B162" s="4" t="s">
        <v>242</v>
      </c>
      <c r="C162" s="4" t="s">
        <v>239</v>
      </c>
      <c r="D162" s="4" t="s">
        <v>1632</v>
      </c>
      <c r="E162" s="4" t="n">
        <v>0</v>
      </c>
      <c r="F162" s="4" t="n">
        <v>1779203176</v>
      </c>
      <c r="G162" s="4" t="n">
        <v>1000000000000000</v>
      </c>
      <c r="H162" s="12" t="n">
        <f aca="false">IF(AND(E162=0,F162&lt;1000000000000000,F162+Cutoff!$B$16&lt;=Cutoff!$D$13),1,0)</f>
        <v>1</v>
      </c>
      <c r="I162" s="12" t="n">
        <f aca="false">IF(AND(H162=1,G162&lt;1000000000000000,G162&gt;=F162,G162&lt;F162+Cutoff!$B$16),1,0)</f>
        <v>0</v>
      </c>
    </row>
    <row r="163" customFormat="false" ht="15" hidden="false" customHeight="false" outlineLevel="0" collapsed="false">
      <c r="A163" s="4" t="s">
        <v>607</v>
      </c>
      <c r="B163" s="4" t="s">
        <v>243</v>
      </c>
      <c r="C163" s="4" t="s">
        <v>240</v>
      </c>
      <c r="D163" s="4" t="s">
        <v>1634</v>
      </c>
      <c r="E163" s="4" t="n">
        <v>0</v>
      </c>
      <c r="F163" s="4" t="n">
        <v>1779209760</v>
      </c>
      <c r="G163" s="4" t="n">
        <v>1779632871</v>
      </c>
      <c r="H163" s="12" t="n">
        <f aca="false">IF(AND(E163=0,F163&lt;1000000000000000,F163+Cutoff!$B$16&lt;=Cutoff!$D$13),1,0)</f>
        <v>1</v>
      </c>
      <c r="I163" s="12" t="n">
        <f aca="false">IF(AND(H163=1,G163&lt;1000000000000000,G163&gt;=F163,G163&lt;F163+Cutoff!$B$16),1,0)</f>
        <v>1</v>
      </c>
    </row>
    <row r="164" customFormat="false" ht="15" hidden="false" customHeight="false" outlineLevel="0" collapsed="false">
      <c r="A164" s="4" t="s">
        <v>609</v>
      </c>
      <c r="B164" s="4" t="s">
        <v>243</v>
      </c>
      <c r="C164" s="4" t="s">
        <v>239</v>
      </c>
      <c r="D164" s="4" t="s">
        <v>1633</v>
      </c>
      <c r="E164" s="4" t="n">
        <v>0</v>
      </c>
      <c r="F164" s="4" t="n">
        <v>1779220273</v>
      </c>
      <c r="G164" s="4" t="n">
        <v>1000000000000000</v>
      </c>
      <c r="H164" s="12" t="n">
        <f aca="false">IF(AND(E164=0,F164&lt;1000000000000000,F164+Cutoff!$B$16&lt;=Cutoff!$D$13),1,0)</f>
        <v>1</v>
      </c>
      <c r="I164" s="12" t="n">
        <f aca="false">IF(AND(H164=1,G164&lt;1000000000000000,G164&gt;=F164,G164&lt;F164+Cutoff!$B$16),1,0)</f>
        <v>0</v>
      </c>
    </row>
    <row r="165" customFormat="false" ht="15" hidden="false" customHeight="false" outlineLevel="0" collapsed="false">
      <c r="A165" s="4" t="s">
        <v>611</v>
      </c>
      <c r="B165" s="4" t="s">
        <v>237</v>
      </c>
      <c r="C165" s="4" t="s">
        <v>240</v>
      </c>
      <c r="D165" s="4" t="s">
        <v>1633</v>
      </c>
      <c r="E165" s="4" t="n">
        <v>0</v>
      </c>
      <c r="F165" s="4" t="n">
        <v>1779222371</v>
      </c>
      <c r="G165" s="4" t="n">
        <v>1779376792</v>
      </c>
      <c r="H165" s="12" t="n">
        <f aca="false">IF(AND(E165=0,F165&lt;1000000000000000,F165+Cutoff!$B$16&lt;=Cutoff!$D$13),1,0)</f>
        <v>1</v>
      </c>
      <c r="I165" s="12" t="n">
        <f aca="false">IF(AND(H165=1,G165&lt;1000000000000000,G165&gt;=F165,G165&lt;F165+Cutoff!$B$16),1,0)</f>
        <v>1</v>
      </c>
    </row>
    <row r="166" customFormat="false" ht="15" hidden="false" customHeight="false" outlineLevel="0" collapsed="false">
      <c r="A166" s="4" t="s">
        <v>613</v>
      </c>
      <c r="B166" s="4" t="s">
        <v>242</v>
      </c>
      <c r="C166" s="4" t="s">
        <v>239</v>
      </c>
      <c r="D166" s="4" t="s">
        <v>1632</v>
      </c>
      <c r="E166" s="4" t="n">
        <v>0</v>
      </c>
      <c r="F166" s="4" t="n">
        <v>1779277932</v>
      </c>
      <c r="G166" s="4" t="n">
        <v>1000000000000000</v>
      </c>
      <c r="H166" s="12" t="n">
        <f aca="false">IF(AND(E166=0,F166&lt;1000000000000000,F166+Cutoff!$B$16&lt;=Cutoff!$D$13),1,0)</f>
        <v>1</v>
      </c>
      <c r="I166" s="12" t="n">
        <f aca="false">IF(AND(H166=1,G166&lt;1000000000000000,G166&gt;=F166,G166&lt;F166+Cutoff!$B$16),1,0)</f>
        <v>0</v>
      </c>
    </row>
    <row r="167" customFormat="false" ht="15" hidden="false" customHeight="false" outlineLevel="0" collapsed="false">
      <c r="A167" s="4" t="s">
        <v>615</v>
      </c>
      <c r="B167" s="4" t="s">
        <v>243</v>
      </c>
      <c r="C167" s="4" t="s">
        <v>240</v>
      </c>
      <c r="D167" s="4" t="s">
        <v>1632</v>
      </c>
      <c r="E167" s="4" t="n">
        <v>0</v>
      </c>
      <c r="F167" s="4" t="n">
        <v>1779283487</v>
      </c>
      <c r="G167" s="4" t="n">
        <v>1779333505</v>
      </c>
      <c r="H167" s="12" t="n">
        <f aca="false">IF(AND(E167=0,F167&lt;1000000000000000,F167+Cutoff!$B$16&lt;=Cutoff!$D$13),1,0)</f>
        <v>1</v>
      </c>
      <c r="I167" s="12" t="n">
        <f aca="false">IF(AND(H167=1,G167&lt;1000000000000000,G167&gt;=F167,G167&lt;F167+Cutoff!$B$16),1,0)</f>
        <v>1</v>
      </c>
    </row>
    <row r="168" customFormat="false" ht="15" hidden="false" customHeight="false" outlineLevel="0" collapsed="false">
      <c r="A168" s="4" t="s">
        <v>617</v>
      </c>
      <c r="B168" s="4" t="s">
        <v>242</v>
      </c>
      <c r="C168" s="4" t="s">
        <v>239</v>
      </c>
      <c r="D168" s="4" t="s">
        <v>1633</v>
      </c>
      <c r="E168" s="4" t="n">
        <v>0</v>
      </c>
      <c r="F168" s="4" t="n">
        <v>1779289539</v>
      </c>
      <c r="G168" s="4" t="n">
        <v>1779293096</v>
      </c>
      <c r="H168" s="12" t="n">
        <f aca="false">IF(AND(E168=0,F168&lt;1000000000000000,F168+Cutoff!$B$16&lt;=Cutoff!$D$13),1,0)</f>
        <v>1</v>
      </c>
      <c r="I168" s="12" t="n">
        <f aca="false">IF(AND(H168=1,G168&lt;1000000000000000,G168&gt;=F168,G168&lt;F168+Cutoff!$B$16),1,0)</f>
        <v>1</v>
      </c>
    </row>
    <row r="169" customFormat="false" ht="15" hidden="false" customHeight="false" outlineLevel="0" collapsed="false">
      <c r="A169" s="4" t="s">
        <v>1636</v>
      </c>
      <c r="B169" s="4" t="s">
        <v>242</v>
      </c>
      <c r="C169" s="4" t="s">
        <v>240</v>
      </c>
      <c r="D169" s="4" t="s">
        <v>1633</v>
      </c>
      <c r="E169" s="4" t="n">
        <v>1</v>
      </c>
      <c r="F169" s="4" t="n">
        <v>1000000000000000</v>
      </c>
      <c r="G169" s="4" t="n">
        <v>1000000000000000</v>
      </c>
      <c r="H169" s="12" t="n">
        <f aca="false">IF(AND(E169=0,F169&lt;1000000000000000,F169+Cutoff!$B$16&lt;=Cutoff!$D$13),1,0)</f>
        <v>0</v>
      </c>
      <c r="I169" s="12" t="n">
        <f aca="false">IF(AND(H169=1,G169&lt;1000000000000000,G169&gt;=F169,G169&lt;F169+Cutoff!$B$16),1,0)</f>
        <v>0</v>
      </c>
    </row>
    <row r="170" customFormat="false" ht="15" hidden="false" customHeight="false" outlineLevel="0" collapsed="false">
      <c r="A170" s="4" t="s">
        <v>619</v>
      </c>
      <c r="B170" s="4" t="s">
        <v>243</v>
      </c>
      <c r="C170" s="4" t="s">
        <v>240</v>
      </c>
      <c r="D170" s="4" t="s">
        <v>1633</v>
      </c>
      <c r="E170" s="4" t="n">
        <v>0</v>
      </c>
      <c r="F170" s="4" t="n">
        <v>1779291450</v>
      </c>
      <c r="G170" s="4" t="n">
        <v>1000000000000000</v>
      </c>
      <c r="H170" s="12" t="n">
        <f aca="false">IF(AND(E170=0,F170&lt;1000000000000000,F170+Cutoff!$B$16&lt;=Cutoff!$D$13),1,0)</f>
        <v>1</v>
      </c>
      <c r="I170" s="12" t="n">
        <f aca="false">IF(AND(H170=1,G170&lt;1000000000000000,G170&gt;=F170,G170&lt;F170+Cutoff!$B$16),1,0)</f>
        <v>0</v>
      </c>
    </row>
    <row r="171" customFormat="false" ht="15" hidden="false" customHeight="false" outlineLevel="0" collapsed="false">
      <c r="A171" s="4" t="s">
        <v>621</v>
      </c>
      <c r="B171" s="4" t="s">
        <v>242</v>
      </c>
      <c r="C171" s="4" t="s">
        <v>239</v>
      </c>
      <c r="D171" s="4" t="s">
        <v>1633</v>
      </c>
      <c r="E171" s="4" t="n">
        <v>0</v>
      </c>
      <c r="F171" s="4" t="n">
        <v>1779306281</v>
      </c>
      <c r="G171" s="4" t="n">
        <v>1000000000000000</v>
      </c>
      <c r="H171" s="12" t="n">
        <f aca="false">IF(AND(E171=0,F171&lt;1000000000000000,F171+Cutoff!$B$16&lt;=Cutoff!$D$13),1,0)</f>
        <v>1</v>
      </c>
      <c r="I171" s="12" t="n">
        <f aca="false">IF(AND(H171=1,G171&lt;1000000000000000,G171&gt;=F171,G171&lt;F171+Cutoff!$B$16),1,0)</f>
        <v>0</v>
      </c>
    </row>
    <row r="172" customFormat="false" ht="15" hidden="false" customHeight="false" outlineLevel="0" collapsed="false">
      <c r="A172" s="4" t="s">
        <v>623</v>
      </c>
      <c r="B172" s="4" t="s">
        <v>243</v>
      </c>
      <c r="C172" s="4" t="s">
        <v>240</v>
      </c>
      <c r="D172" s="4" t="s">
        <v>1633</v>
      </c>
      <c r="E172" s="4" t="n">
        <v>0</v>
      </c>
      <c r="F172" s="4" t="n">
        <v>1779319174</v>
      </c>
      <c r="G172" s="4" t="n">
        <v>1000000000000000</v>
      </c>
      <c r="H172" s="12" t="n">
        <f aca="false">IF(AND(E172=0,F172&lt;1000000000000000,F172+Cutoff!$B$16&lt;=Cutoff!$D$13),1,0)</f>
        <v>1</v>
      </c>
      <c r="I172" s="12" t="n">
        <f aca="false">IF(AND(H172=1,G172&lt;1000000000000000,G172&gt;=F172,G172&lt;F172+Cutoff!$B$16),1,0)</f>
        <v>0</v>
      </c>
    </row>
    <row r="173" customFormat="false" ht="15" hidden="false" customHeight="false" outlineLevel="0" collapsed="false">
      <c r="A173" s="4" t="s">
        <v>625</v>
      </c>
      <c r="B173" s="4" t="s">
        <v>242</v>
      </c>
      <c r="C173" s="4" t="s">
        <v>240</v>
      </c>
      <c r="D173" s="4" t="s">
        <v>1632</v>
      </c>
      <c r="E173" s="4" t="n">
        <v>0</v>
      </c>
      <c r="F173" s="4" t="n">
        <v>1779355178</v>
      </c>
      <c r="G173" s="4" t="n">
        <v>1779409278</v>
      </c>
      <c r="H173" s="12" t="n">
        <f aca="false">IF(AND(E173=0,F173&lt;1000000000000000,F173+Cutoff!$B$16&lt;=Cutoff!$D$13),1,0)</f>
        <v>1</v>
      </c>
      <c r="I173" s="12" t="n">
        <f aca="false">IF(AND(H173=1,G173&lt;1000000000000000,G173&gt;=F173,G173&lt;F173+Cutoff!$B$16),1,0)</f>
        <v>1</v>
      </c>
    </row>
    <row r="174" customFormat="false" ht="15" hidden="false" customHeight="false" outlineLevel="0" collapsed="false">
      <c r="A174" s="4" t="s">
        <v>1637</v>
      </c>
      <c r="B174" s="4" t="s">
        <v>242</v>
      </c>
      <c r="C174" s="4" t="s">
        <v>240</v>
      </c>
      <c r="D174" s="4" t="s">
        <v>1633</v>
      </c>
      <c r="E174" s="4" t="n">
        <v>1</v>
      </c>
      <c r="F174" s="4" t="n">
        <v>1000000000000000</v>
      </c>
      <c r="G174" s="4" t="n">
        <v>1000000000000000</v>
      </c>
      <c r="H174" s="12" t="n">
        <f aca="false">IF(AND(E174=0,F174&lt;1000000000000000,F174+Cutoff!$B$16&lt;=Cutoff!$D$13),1,0)</f>
        <v>0</v>
      </c>
      <c r="I174" s="12" t="n">
        <f aca="false">IF(AND(H174=1,G174&lt;1000000000000000,G174&gt;=F174,G174&lt;F174+Cutoff!$B$16),1,0)</f>
        <v>0</v>
      </c>
    </row>
    <row r="175" customFormat="false" ht="15" hidden="false" customHeight="false" outlineLevel="0" collapsed="false">
      <c r="A175" s="4" t="s">
        <v>627</v>
      </c>
      <c r="B175" s="4" t="s">
        <v>243</v>
      </c>
      <c r="C175" s="4" t="s">
        <v>240</v>
      </c>
      <c r="D175" s="4" t="s">
        <v>1632</v>
      </c>
      <c r="E175" s="4" t="n">
        <v>0</v>
      </c>
      <c r="F175" s="4" t="n">
        <v>1779378383</v>
      </c>
      <c r="G175" s="4" t="n">
        <v>1000000000000000</v>
      </c>
      <c r="H175" s="12" t="n">
        <f aca="false">IF(AND(E175=0,F175&lt;1000000000000000,F175+Cutoff!$B$16&lt;=Cutoff!$D$13),1,0)</f>
        <v>1</v>
      </c>
      <c r="I175" s="12" t="n">
        <f aca="false">IF(AND(H175=1,G175&lt;1000000000000000,G175&gt;=F175,G175&lt;F175+Cutoff!$B$16),1,0)</f>
        <v>0</v>
      </c>
    </row>
    <row r="176" customFormat="false" ht="15" hidden="false" customHeight="false" outlineLevel="0" collapsed="false">
      <c r="A176" s="4" t="s">
        <v>629</v>
      </c>
      <c r="B176" s="4" t="s">
        <v>243</v>
      </c>
      <c r="C176" s="4" t="s">
        <v>240</v>
      </c>
      <c r="D176" s="4" t="s">
        <v>1633</v>
      </c>
      <c r="E176" s="4" t="n">
        <v>0</v>
      </c>
      <c r="F176" s="4" t="n">
        <v>1779392526</v>
      </c>
      <c r="G176" s="4" t="n">
        <v>1000000000000000</v>
      </c>
      <c r="H176" s="12" t="n">
        <f aca="false">IF(AND(E176=0,F176&lt;1000000000000000,F176+Cutoff!$B$16&lt;=Cutoff!$D$13),1,0)</f>
        <v>1</v>
      </c>
      <c r="I176" s="12" t="n">
        <f aca="false">IF(AND(H176=1,G176&lt;1000000000000000,G176&gt;=F176,G176&lt;F176+Cutoff!$B$16),1,0)</f>
        <v>0</v>
      </c>
    </row>
    <row r="177" customFormat="false" ht="15" hidden="false" customHeight="false" outlineLevel="0" collapsed="false">
      <c r="A177" s="4" t="s">
        <v>631</v>
      </c>
      <c r="B177" s="4" t="s">
        <v>243</v>
      </c>
      <c r="C177" s="4" t="s">
        <v>238</v>
      </c>
      <c r="D177" s="4" t="s">
        <v>1632</v>
      </c>
      <c r="E177" s="4" t="n">
        <v>0</v>
      </c>
      <c r="F177" s="4" t="n">
        <v>1779452451</v>
      </c>
      <c r="G177" s="4" t="n">
        <v>1000000000000000</v>
      </c>
      <c r="H177" s="12" t="n">
        <f aca="false">IF(AND(E177=0,F177&lt;1000000000000000,F177+Cutoff!$B$16&lt;=Cutoff!$D$13),1,0)</f>
        <v>1</v>
      </c>
      <c r="I177" s="12" t="n">
        <f aca="false">IF(AND(H177=1,G177&lt;1000000000000000,G177&gt;=F177,G177&lt;F177+Cutoff!$B$16),1,0)</f>
        <v>0</v>
      </c>
    </row>
    <row r="178" customFormat="false" ht="15" hidden="false" customHeight="false" outlineLevel="0" collapsed="false">
      <c r="A178" s="4" t="s">
        <v>633</v>
      </c>
      <c r="B178" s="4" t="s">
        <v>243</v>
      </c>
      <c r="C178" s="4" t="s">
        <v>240</v>
      </c>
      <c r="D178" s="4" t="s">
        <v>1632</v>
      </c>
      <c r="E178" s="4" t="n">
        <v>0</v>
      </c>
      <c r="F178" s="4" t="n">
        <v>1779453142</v>
      </c>
      <c r="G178" s="4" t="n">
        <v>1000000000000000</v>
      </c>
      <c r="H178" s="12" t="n">
        <f aca="false">IF(AND(E178=0,F178&lt;1000000000000000,F178+Cutoff!$B$16&lt;=Cutoff!$D$13),1,0)</f>
        <v>1</v>
      </c>
      <c r="I178" s="12" t="n">
        <f aca="false">IF(AND(H178=1,G178&lt;1000000000000000,G178&gt;=F178,G178&lt;F178+Cutoff!$B$16),1,0)</f>
        <v>0</v>
      </c>
    </row>
    <row r="179" customFormat="false" ht="15" hidden="false" customHeight="false" outlineLevel="0" collapsed="false">
      <c r="A179" s="4" t="s">
        <v>635</v>
      </c>
      <c r="B179" s="4" t="s">
        <v>243</v>
      </c>
      <c r="C179" s="4" t="s">
        <v>240</v>
      </c>
      <c r="D179" s="4" t="s">
        <v>1633</v>
      </c>
      <c r="E179" s="4" t="n">
        <v>0</v>
      </c>
      <c r="F179" s="4" t="n">
        <v>1779487880</v>
      </c>
      <c r="G179" s="4" t="n">
        <v>1779659640</v>
      </c>
      <c r="H179" s="12" t="n">
        <f aca="false">IF(AND(E179=0,F179&lt;1000000000000000,F179+Cutoff!$B$16&lt;=Cutoff!$D$13),1,0)</f>
        <v>1</v>
      </c>
      <c r="I179" s="12" t="n">
        <f aca="false">IF(AND(H179=1,G179&lt;1000000000000000,G179&gt;=F179,G179&lt;F179+Cutoff!$B$16),1,0)</f>
        <v>1</v>
      </c>
    </row>
    <row r="180" customFormat="false" ht="15" hidden="false" customHeight="false" outlineLevel="0" collapsed="false">
      <c r="A180" s="4" t="s">
        <v>637</v>
      </c>
      <c r="B180" s="4" t="s">
        <v>237</v>
      </c>
      <c r="C180" s="4" t="s">
        <v>238</v>
      </c>
      <c r="D180" s="4" t="s">
        <v>1634</v>
      </c>
      <c r="E180" s="4" t="n">
        <v>0</v>
      </c>
      <c r="F180" s="4" t="n">
        <v>1779495297</v>
      </c>
      <c r="G180" s="4" t="n">
        <v>1779537957</v>
      </c>
      <c r="H180" s="12" t="n">
        <f aca="false">IF(AND(E180=0,F180&lt;1000000000000000,F180+Cutoff!$B$16&lt;=Cutoff!$D$13),1,0)</f>
        <v>1</v>
      </c>
      <c r="I180" s="12" t="n">
        <f aca="false">IF(AND(H180=1,G180&lt;1000000000000000,G180&gt;=F180,G180&lt;F180+Cutoff!$B$16),1,0)</f>
        <v>1</v>
      </c>
    </row>
    <row r="181" customFormat="false" ht="15" hidden="false" customHeight="false" outlineLevel="0" collapsed="false">
      <c r="A181" s="4" t="s">
        <v>639</v>
      </c>
      <c r="B181" s="4" t="s">
        <v>242</v>
      </c>
      <c r="C181" s="4" t="s">
        <v>239</v>
      </c>
      <c r="D181" s="4" t="s">
        <v>1632</v>
      </c>
      <c r="E181" s="4" t="n">
        <v>0</v>
      </c>
      <c r="F181" s="4" t="n">
        <v>1779545359</v>
      </c>
      <c r="G181" s="4" t="n">
        <v>1779608683</v>
      </c>
      <c r="H181" s="12" t="n">
        <f aca="false">IF(AND(E181=0,F181&lt;1000000000000000,F181+Cutoff!$B$16&lt;=Cutoff!$D$13),1,0)</f>
        <v>1</v>
      </c>
      <c r="I181" s="12" t="n">
        <f aca="false">IF(AND(H181=1,G181&lt;1000000000000000,G181&gt;=F181,G181&lt;F181+Cutoff!$B$16),1,0)</f>
        <v>1</v>
      </c>
    </row>
    <row r="182" customFormat="false" ht="15" hidden="false" customHeight="false" outlineLevel="0" collapsed="false">
      <c r="A182" s="4" t="s">
        <v>641</v>
      </c>
      <c r="B182" s="4" t="s">
        <v>243</v>
      </c>
      <c r="C182" s="4" t="s">
        <v>240</v>
      </c>
      <c r="D182" s="4" t="s">
        <v>1634</v>
      </c>
      <c r="E182" s="4" t="n">
        <v>0</v>
      </c>
      <c r="F182" s="4" t="n">
        <v>1779573313</v>
      </c>
      <c r="G182" s="4" t="n">
        <v>1000000000000000</v>
      </c>
      <c r="H182" s="12" t="n">
        <f aca="false">IF(AND(E182=0,F182&lt;1000000000000000,F182+Cutoff!$B$16&lt;=Cutoff!$D$13),1,0)</f>
        <v>1</v>
      </c>
      <c r="I182" s="12" t="n">
        <f aca="false">IF(AND(H182=1,G182&lt;1000000000000000,G182&gt;=F182,G182&lt;F182+Cutoff!$B$16),1,0)</f>
        <v>0</v>
      </c>
    </row>
    <row r="183" customFormat="false" ht="15" hidden="false" customHeight="false" outlineLevel="0" collapsed="false">
      <c r="A183" s="4" t="s">
        <v>643</v>
      </c>
      <c r="B183" s="4" t="s">
        <v>243</v>
      </c>
      <c r="C183" s="4" t="s">
        <v>240</v>
      </c>
      <c r="D183" s="4" t="s">
        <v>1633</v>
      </c>
      <c r="E183" s="4" t="n">
        <v>0</v>
      </c>
      <c r="F183" s="4" t="n">
        <v>1779580616</v>
      </c>
      <c r="G183" s="4" t="n">
        <v>1000000000000000</v>
      </c>
      <c r="H183" s="12" t="n">
        <f aca="false">IF(AND(E183=0,F183&lt;1000000000000000,F183+Cutoff!$B$16&lt;=Cutoff!$D$13),1,0)</f>
        <v>1</v>
      </c>
      <c r="I183" s="12" t="n">
        <f aca="false">IF(AND(H183=1,G183&lt;1000000000000000,G183&gt;=F183,G183&lt;F183+Cutoff!$B$16),1,0)</f>
        <v>0</v>
      </c>
    </row>
    <row r="184" customFormat="false" ht="15" hidden="false" customHeight="false" outlineLevel="0" collapsed="false">
      <c r="A184" s="4" t="s">
        <v>645</v>
      </c>
      <c r="B184" s="4" t="s">
        <v>243</v>
      </c>
      <c r="C184" s="4" t="s">
        <v>240</v>
      </c>
      <c r="D184" s="4" t="s">
        <v>1634</v>
      </c>
      <c r="E184" s="4" t="n">
        <v>0</v>
      </c>
      <c r="F184" s="4" t="n">
        <v>1779587852</v>
      </c>
      <c r="G184" s="4" t="n">
        <v>1000000000000000</v>
      </c>
      <c r="H184" s="12" t="n">
        <f aca="false">IF(AND(E184=0,F184&lt;1000000000000000,F184+Cutoff!$B$16&lt;=Cutoff!$D$13),1,0)</f>
        <v>1</v>
      </c>
      <c r="I184" s="12" t="n">
        <f aca="false">IF(AND(H184=1,G184&lt;1000000000000000,G184&gt;=F184,G184&lt;F184+Cutoff!$B$16),1,0)</f>
        <v>0</v>
      </c>
    </row>
    <row r="185" customFormat="false" ht="15" hidden="false" customHeight="false" outlineLevel="0" collapsed="false">
      <c r="A185" s="4" t="s">
        <v>647</v>
      </c>
      <c r="B185" s="4" t="s">
        <v>243</v>
      </c>
      <c r="C185" s="4" t="s">
        <v>238</v>
      </c>
      <c r="D185" s="4" t="s">
        <v>1632</v>
      </c>
      <c r="E185" s="4" t="n">
        <v>0</v>
      </c>
      <c r="F185" s="4" t="n">
        <v>1779714884</v>
      </c>
      <c r="G185" s="4" t="n">
        <v>1000000000000000</v>
      </c>
      <c r="H185" s="12" t="n">
        <f aca="false">IF(AND(E185=0,F185&lt;1000000000000000,F185+Cutoff!$B$16&lt;=Cutoff!$D$13),1,0)</f>
        <v>1</v>
      </c>
      <c r="I185" s="12" t="n">
        <f aca="false">IF(AND(H185=1,G185&lt;1000000000000000,G185&gt;=F185,G185&lt;F185+Cutoff!$B$16),1,0)</f>
        <v>0</v>
      </c>
    </row>
    <row r="186" customFormat="false" ht="15" hidden="false" customHeight="false" outlineLevel="0" collapsed="false">
      <c r="A186" s="4" t="s">
        <v>649</v>
      </c>
      <c r="B186" s="4" t="s">
        <v>242</v>
      </c>
      <c r="C186" s="4" t="s">
        <v>240</v>
      </c>
      <c r="D186" s="4" t="s">
        <v>1632</v>
      </c>
      <c r="E186" s="4" t="n">
        <v>0</v>
      </c>
      <c r="F186" s="4" t="n">
        <v>1779716553</v>
      </c>
      <c r="G186" s="4" t="n">
        <v>1779797436</v>
      </c>
      <c r="H186" s="12" t="n">
        <f aca="false">IF(AND(E186=0,F186&lt;1000000000000000,F186+Cutoff!$B$16&lt;=Cutoff!$D$13),1,0)</f>
        <v>1</v>
      </c>
      <c r="I186" s="12" t="n">
        <f aca="false">IF(AND(H186=1,G186&lt;1000000000000000,G186&gt;=F186,G186&lt;F186+Cutoff!$B$16),1,0)</f>
        <v>1</v>
      </c>
    </row>
    <row r="187" customFormat="false" ht="15" hidden="false" customHeight="false" outlineLevel="0" collapsed="false">
      <c r="A187" s="4" t="s">
        <v>651</v>
      </c>
      <c r="B187" s="4" t="s">
        <v>242</v>
      </c>
      <c r="C187" s="4" t="s">
        <v>240</v>
      </c>
      <c r="D187" s="4" t="s">
        <v>1633</v>
      </c>
      <c r="E187" s="4" t="n">
        <v>0</v>
      </c>
      <c r="F187" s="4" t="n">
        <v>1779721337</v>
      </c>
      <c r="G187" s="4" t="n">
        <v>1780277994</v>
      </c>
      <c r="H187" s="12" t="n">
        <f aca="false">IF(AND(E187=0,F187&lt;1000000000000000,F187+Cutoff!$B$16&lt;=Cutoff!$D$13),1,0)</f>
        <v>1</v>
      </c>
      <c r="I187" s="12" t="n">
        <f aca="false">IF(AND(H187=1,G187&lt;1000000000000000,G187&gt;=F187,G187&lt;F187+Cutoff!$B$16),1,0)</f>
        <v>1</v>
      </c>
    </row>
    <row r="188" customFormat="false" ht="15" hidden="false" customHeight="false" outlineLevel="0" collapsed="false">
      <c r="A188" s="4" t="s">
        <v>655</v>
      </c>
      <c r="B188" s="4" t="s">
        <v>243</v>
      </c>
      <c r="C188" s="4" t="s">
        <v>239</v>
      </c>
      <c r="D188" s="4" t="s">
        <v>1634</v>
      </c>
      <c r="E188" s="4" t="n">
        <v>0</v>
      </c>
      <c r="F188" s="4" t="n">
        <v>1779722501</v>
      </c>
      <c r="G188" s="4" t="n">
        <v>1779756567</v>
      </c>
      <c r="H188" s="12" t="n">
        <f aca="false">IF(AND(E188=0,F188&lt;1000000000000000,F188+Cutoff!$B$16&lt;=Cutoff!$D$13),1,0)</f>
        <v>1</v>
      </c>
      <c r="I188" s="12" t="n">
        <f aca="false">IF(AND(H188=1,G188&lt;1000000000000000,G188&gt;=F188,G188&lt;F188+Cutoff!$B$16),1,0)</f>
        <v>1</v>
      </c>
    </row>
    <row r="189" customFormat="false" ht="15" hidden="false" customHeight="false" outlineLevel="0" collapsed="false">
      <c r="A189" s="4" t="s">
        <v>653</v>
      </c>
      <c r="B189" s="4" t="s">
        <v>237</v>
      </c>
      <c r="C189" s="4" t="s">
        <v>238</v>
      </c>
      <c r="D189" s="4" t="s">
        <v>1632</v>
      </c>
      <c r="E189" s="4" t="n">
        <v>0</v>
      </c>
      <c r="F189" s="4" t="n">
        <v>1779722514</v>
      </c>
      <c r="G189" s="4" t="n">
        <v>1000000000000000</v>
      </c>
      <c r="H189" s="12" t="n">
        <f aca="false">IF(AND(E189=0,F189&lt;1000000000000000,F189+Cutoff!$B$16&lt;=Cutoff!$D$13),1,0)</f>
        <v>1</v>
      </c>
      <c r="I189" s="12" t="n">
        <f aca="false">IF(AND(H189=1,G189&lt;1000000000000000,G189&gt;=F189,G189&lt;F189+Cutoff!$B$16),1,0)</f>
        <v>0</v>
      </c>
    </row>
    <row r="190" customFormat="false" ht="15" hidden="false" customHeight="false" outlineLevel="0" collapsed="false">
      <c r="A190" s="4" t="s">
        <v>657</v>
      </c>
      <c r="B190" s="4" t="s">
        <v>242</v>
      </c>
      <c r="C190" s="4" t="s">
        <v>239</v>
      </c>
      <c r="D190" s="4" t="s">
        <v>1633</v>
      </c>
      <c r="E190" s="4" t="n">
        <v>0</v>
      </c>
      <c r="F190" s="4" t="n">
        <v>1779723558</v>
      </c>
      <c r="G190" s="4" t="n">
        <v>1779743184</v>
      </c>
      <c r="H190" s="12" t="n">
        <f aca="false">IF(AND(E190=0,F190&lt;1000000000000000,F190+Cutoff!$B$16&lt;=Cutoff!$D$13),1,0)</f>
        <v>1</v>
      </c>
      <c r="I190" s="12" t="n">
        <f aca="false">IF(AND(H190=1,G190&lt;1000000000000000,G190&gt;=F190,G190&lt;F190+Cutoff!$B$16),1,0)</f>
        <v>1</v>
      </c>
    </row>
    <row r="191" customFormat="false" ht="15" hidden="false" customHeight="false" outlineLevel="0" collapsed="false">
      <c r="A191" s="4" t="s">
        <v>659</v>
      </c>
      <c r="B191" s="4" t="s">
        <v>237</v>
      </c>
      <c r="C191" s="4" t="s">
        <v>238</v>
      </c>
      <c r="D191" s="4" t="s">
        <v>1633</v>
      </c>
      <c r="E191" s="4" t="n">
        <v>0</v>
      </c>
      <c r="F191" s="4" t="n">
        <v>1779743344</v>
      </c>
      <c r="G191" s="4" t="n">
        <v>1779759244</v>
      </c>
      <c r="H191" s="12" t="n">
        <f aca="false">IF(AND(E191=0,F191&lt;1000000000000000,F191+Cutoff!$B$16&lt;=Cutoff!$D$13),1,0)</f>
        <v>1</v>
      </c>
      <c r="I191" s="12" t="n">
        <f aca="false">IF(AND(H191=1,G191&lt;1000000000000000,G191&gt;=F191,G191&lt;F191+Cutoff!$B$16),1,0)</f>
        <v>1</v>
      </c>
    </row>
    <row r="192" customFormat="false" ht="15" hidden="false" customHeight="false" outlineLevel="0" collapsed="false">
      <c r="A192" s="4" t="s">
        <v>661</v>
      </c>
      <c r="B192" s="4" t="s">
        <v>237</v>
      </c>
      <c r="C192" s="4" t="s">
        <v>238</v>
      </c>
      <c r="D192" s="4" t="s">
        <v>1634</v>
      </c>
      <c r="E192" s="4" t="n">
        <v>0</v>
      </c>
      <c r="F192" s="4" t="n">
        <v>1779809951</v>
      </c>
      <c r="G192" s="4" t="n">
        <v>1000000000000000</v>
      </c>
      <c r="H192" s="12" t="n">
        <f aca="false">IF(AND(E192=0,F192&lt;1000000000000000,F192+Cutoff!$B$16&lt;=Cutoff!$D$13),1,0)</f>
        <v>1</v>
      </c>
      <c r="I192" s="12" t="n">
        <f aca="false">IF(AND(H192=1,G192&lt;1000000000000000,G192&gt;=F192,G192&lt;F192+Cutoff!$B$16),1,0)</f>
        <v>0</v>
      </c>
    </row>
    <row r="193" customFormat="false" ht="15" hidden="false" customHeight="false" outlineLevel="0" collapsed="false">
      <c r="A193" s="4" t="s">
        <v>663</v>
      </c>
      <c r="B193" s="4" t="s">
        <v>243</v>
      </c>
      <c r="C193" s="4" t="s">
        <v>240</v>
      </c>
      <c r="D193" s="4" t="s">
        <v>1634</v>
      </c>
      <c r="E193" s="4" t="n">
        <v>0</v>
      </c>
      <c r="F193" s="4" t="n">
        <v>1779842010</v>
      </c>
      <c r="G193" s="4" t="n">
        <v>1000000000000000</v>
      </c>
      <c r="H193" s="12" t="n">
        <f aca="false">IF(AND(E193=0,F193&lt;1000000000000000,F193+Cutoff!$B$16&lt;=Cutoff!$D$13),1,0)</f>
        <v>1</v>
      </c>
      <c r="I193" s="12" t="n">
        <f aca="false">IF(AND(H193=1,G193&lt;1000000000000000,G193&gt;=F193,G193&lt;F193+Cutoff!$B$16),1,0)</f>
        <v>0</v>
      </c>
    </row>
    <row r="194" customFormat="false" ht="15" hidden="false" customHeight="false" outlineLevel="0" collapsed="false">
      <c r="A194" s="4" t="s">
        <v>665</v>
      </c>
      <c r="B194" s="4" t="s">
        <v>242</v>
      </c>
      <c r="C194" s="4" t="s">
        <v>240</v>
      </c>
      <c r="D194" s="4" t="s">
        <v>1632</v>
      </c>
      <c r="E194" s="4" t="n">
        <v>0</v>
      </c>
      <c r="F194" s="4" t="n">
        <v>1779877419</v>
      </c>
      <c r="G194" s="4" t="n">
        <v>1000000000000000</v>
      </c>
      <c r="H194" s="12" t="n">
        <f aca="false">IF(AND(E194=0,F194&lt;1000000000000000,F194+Cutoff!$B$16&lt;=Cutoff!$D$13),1,0)</f>
        <v>1</v>
      </c>
      <c r="I194" s="12" t="n">
        <f aca="false">IF(AND(H194=1,G194&lt;1000000000000000,G194&gt;=F194,G194&lt;F194+Cutoff!$B$16),1,0)</f>
        <v>0</v>
      </c>
    </row>
    <row r="195" customFormat="false" ht="15" hidden="false" customHeight="false" outlineLevel="0" collapsed="false">
      <c r="A195" s="4" t="s">
        <v>667</v>
      </c>
      <c r="B195" s="4" t="s">
        <v>243</v>
      </c>
      <c r="C195" s="4" t="s">
        <v>240</v>
      </c>
      <c r="D195" s="4" t="s">
        <v>1633</v>
      </c>
      <c r="E195" s="4" t="n">
        <v>0</v>
      </c>
      <c r="F195" s="4" t="n">
        <v>1779906435</v>
      </c>
      <c r="G195" s="4" t="n">
        <v>1000000000000000</v>
      </c>
      <c r="H195" s="12" t="n">
        <f aca="false">IF(AND(E195=0,F195&lt;1000000000000000,F195+Cutoff!$B$16&lt;=Cutoff!$D$13),1,0)</f>
        <v>1</v>
      </c>
      <c r="I195" s="12" t="n">
        <f aca="false">IF(AND(H195=1,G195&lt;1000000000000000,G195&gt;=F195,G195&lt;F195+Cutoff!$B$16),1,0)</f>
        <v>0</v>
      </c>
    </row>
    <row r="196" customFormat="false" ht="15" hidden="false" customHeight="false" outlineLevel="0" collapsed="false">
      <c r="A196" s="4" t="s">
        <v>669</v>
      </c>
      <c r="B196" s="4" t="s">
        <v>243</v>
      </c>
      <c r="C196" s="4" t="s">
        <v>239</v>
      </c>
      <c r="D196" s="4" t="s">
        <v>1633</v>
      </c>
      <c r="E196" s="4" t="n">
        <v>0</v>
      </c>
      <c r="F196" s="4" t="n">
        <v>1779908950</v>
      </c>
      <c r="G196" s="4" t="n">
        <v>1000000000000000</v>
      </c>
      <c r="H196" s="12" t="n">
        <f aca="false">IF(AND(E196=0,F196&lt;1000000000000000,F196+Cutoff!$B$16&lt;=Cutoff!$D$13),1,0)</f>
        <v>1</v>
      </c>
      <c r="I196" s="12" t="n">
        <f aca="false">IF(AND(H196=1,G196&lt;1000000000000000,G196&gt;=F196,G196&lt;F196+Cutoff!$B$16),1,0)</f>
        <v>0</v>
      </c>
    </row>
    <row r="197" customFormat="false" ht="15" hidden="false" customHeight="false" outlineLevel="0" collapsed="false">
      <c r="A197" s="4" t="s">
        <v>671</v>
      </c>
      <c r="B197" s="4" t="s">
        <v>242</v>
      </c>
      <c r="C197" s="4" t="s">
        <v>240</v>
      </c>
      <c r="D197" s="4" t="s">
        <v>1632</v>
      </c>
      <c r="E197" s="4" t="n">
        <v>0</v>
      </c>
      <c r="F197" s="4" t="n">
        <v>1779966716</v>
      </c>
      <c r="G197" s="4" t="n">
        <v>1000000000000000</v>
      </c>
      <c r="H197" s="12" t="n">
        <f aca="false">IF(AND(E197=0,F197&lt;1000000000000000,F197+Cutoff!$B$16&lt;=Cutoff!$D$13),1,0)</f>
        <v>1</v>
      </c>
      <c r="I197" s="12" t="n">
        <f aca="false">IF(AND(H197=1,G197&lt;1000000000000000,G197&gt;=F197,G197&lt;F197+Cutoff!$B$16),1,0)</f>
        <v>0</v>
      </c>
    </row>
    <row r="198" customFormat="false" ht="15" hidden="false" customHeight="false" outlineLevel="0" collapsed="false">
      <c r="A198" s="4" t="s">
        <v>673</v>
      </c>
      <c r="B198" s="4" t="s">
        <v>242</v>
      </c>
      <c r="C198" s="4" t="s">
        <v>240</v>
      </c>
      <c r="D198" s="4" t="s">
        <v>1632</v>
      </c>
      <c r="E198" s="4" t="n">
        <v>0</v>
      </c>
      <c r="F198" s="4" t="n">
        <v>1779968842</v>
      </c>
      <c r="G198" s="4" t="n">
        <v>1000000000000000</v>
      </c>
      <c r="H198" s="12" t="n">
        <f aca="false">IF(AND(E198=0,F198&lt;1000000000000000,F198+Cutoff!$B$16&lt;=Cutoff!$D$13),1,0)</f>
        <v>1</v>
      </c>
      <c r="I198" s="12" t="n">
        <f aca="false">IF(AND(H198=1,G198&lt;1000000000000000,G198&gt;=F198,G198&lt;F198+Cutoff!$B$16),1,0)</f>
        <v>0</v>
      </c>
    </row>
    <row r="199" customFormat="false" ht="15" hidden="false" customHeight="false" outlineLevel="0" collapsed="false">
      <c r="A199" s="4" t="s">
        <v>675</v>
      </c>
      <c r="B199" s="4" t="s">
        <v>243</v>
      </c>
      <c r="C199" s="4" t="s">
        <v>240</v>
      </c>
      <c r="D199" s="4" t="s">
        <v>1633</v>
      </c>
      <c r="E199" s="4" t="n">
        <v>0</v>
      </c>
      <c r="F199" s="4" t="n">
        <v>1779984217</v>
      </c>
      <c r="G199" s="4" t="n">
        <v>1000000000000000</v>
      </c>
      <c r="H199" s="12" t="n">
        <f aca="false">IF(AND(E199=0,F199&lt;1000000000000000,F199+Cutoff!$B$16&lt;=Cutoff!$D$13),1,0)</f>
        <v>1</v>
      </c>
      <c r="I199" s="12" t="n">
        <f aca="false">IF(AND(H199=1,G199&lt;1000000000000000,G199&gt;=F199,G199&lt;F199+Cutoff!$B$16),1,0)</f>
        <v>0</v>
      </c>
    </row>
    <row r="200" customFormat="false" ht="15" hidden="false" customHeight="false" outlineLevel="0" collapsed="false">
      <c r="A200" s="4" t="s">
        <v>677</v>
      </c>
      <c r="B200" s="4" t="s">
        <v>242</v>
      </c>
      <c r="C200" s="4" t="s">
        <v>239</v>
      </c>
      <c r="D200" s="4" t="s">
        <v>1633</v>
      </c>
      <c r="E200" s="4" t="n">
        <v>0</v>
      </c>
      <c r="F200" s="4" t="n">
        <v>1779990817</v>
      </c>
      <c r="G200" s="4" t="n">
        <v>1780326694</v>
      </c>
      <c r="H200" s="12" t="n">
        <f aca="false">IF(AND(E200=0,F200&lt;1000000000000000,F200+Cutoff!$B$16&lt;=Cutoff!$D$13),1,0)</f>
        <v>1</v>
      </c>
      <c r="I200" s="12" t="n">
        <f aca="false">IF(AND(H200=1,G200&lt;1000000000000000,G200&gt;=F200,G200&lt;F200+Cutoff!$B$16),1,0)</f>
        <v>1</v>
      </c>
    </row>
    <row r="201" customFormat="false" ht="15" hidden="false" customHeight="false" outlineLevel="0" collapsed="false">
      <c r="A201" s="4" t="s">
        <v>679</v>
      </c>
      <c r="B201" s="4" t="s">
        <v>237</v>
      </c>
      <c r="C201" s="4" t="s">
        <v>239</v>
      </c>
      <c r="D201" s="4" t="s">
        <v>1634</v>
      </c>
      <c r="E201" s="4" t="n">
        <v>0</v>
      </c>
      <c r="F201" s="4" t="n">
        <v>1779997557</v>
      </c>
      <c r="G201" s="4" t="n">
        <v>1000000000000000</v>
      </c>
      <c r="H201" s="12" t="n">
        <f aca="false">IF(AND(E201=0,F201&lt;1000000000000000,F201+Cutoff!$B$16&lt;=Cutoff!$D$13),1,0)</f>
        <v>1</v>
      </c>
      <c r="I201" s="12" t="n">
        <f aca="false">IF(AND(H201=1,G201&lt;1000000000000000,G201&gt;=F201,G201&lt;F201+Cutoff!$B$16),1,0)</f>
        <v>0</v>
      </c>
    </row>
    <row r="202" customFormat="false" ht="15" hidden="false" customHeight="false" outlineLevel="0" collapsed="false">
      <c r="A202" s="4" t="s">
        <v>681</v>
      </c>
      <c r="B202" s="4" t="s">
        <v>237</v>
      </c>
      <c r="C202" s="4" t="s">
        <v>238</v>
      </c>
      <c r="D202" s="4" t="s">
        <v>1633</v>
      </c>
      <c r="E202" s="4" t="n">
        <v>0</v>
      </c>
      <c r="F202" s="4" t="n">
        <v>1780062594</v>
      </c>
      <c r="G202" s="4" t="n">
        <v>1780073162</v>
      </c>
      <c r="H202" s="12" t="n">
        <f aca="false">IF(AND(E202=0,F202&lt;1000000000000000,F202+Cutoff!$B$16&lt;=Cutoff!$D$13),1,0)</f>
        <v>1</v>
      </c>
      <c r="I202" s="12" t="n">
        <f aca="false">IF(AND(H202=1,G202&lt;1000000000000000,G202&gt;=F202,G202&lt;F202+Cutoff!$B$16),1,0)</f>
        <v>1</v>
      </c>
    </row>
    <row r="203" customFormat="false" ht="15" hidden="false" customHeight="false" outlineLevel="0" collapsed="false">
      <c r="A203" s="4" t="s">
        <v>683</v>
      </c>
      <c r="B203" s="4" t="s">
        <v>237</v>
      </c>
      <c r="C203" s="4" t="s">
        <v>239</v>
      </c>
      <c r="D203" s="4" t="s">
        <v>1632</v>
      </c>
      <c r="E203" s="4" t="n">
        <v>0</v>
      </c>
      <c r="F203" s="4" t="n">
        <v>1780064132</v>
      </c>
      <c r="G203" s="4" t="n">
        <v>1000000000000000</v>
      </c>
      <c r="H203" s="12" t="n">
        <f aca="false">IF(AND(E203=0,F203&lt;1000000000000000,F203+Cutoff!$B$16&lt;=Cutoff!$D$13),1,0)</f>
        <v>1</v>
      </c>
      <c r="I203" s="12" t="n">
        <f aca="false">IF(AND(H203=1,G203&lt;1000000000000000,G203&gt;=F203,G203&lt;F203+Cutoff!$B$16),1,0)</f>
        <v>0</v>
      </c>
    </row>
    <row r="204" customFormat="false" ht="15" hidden="false" customHeight="false" outlineLevel="0" collapsed="false">
      <c r="A204" s="4" t="s">
        <v>685</v>
      </c>
      <c r="B204" s="4" t="s">
        <v>237</v>
      </c>
      <c r="C204" s="4" t="s">
        <v>239</v>
      </c>
      <c r="D204" s="4" t="s">
        <v>1633</v>
      </c>
      <c r="E204" s="4" t="n">
        <v>0</v>
      </c>
      <c r="F204" s="4" t="n">
        <v>1780072924</v>
      </c>
      <c r="G204" s="4" t="n">
        <v>1780284216</v>
      </c>
      <c r="H204" s="12" t="n">
        <f aca="false">IF(AND(E204=0,F204&lt;1000000000000000,F204+Cutoff!$B$16&lt;=Cutoff!$D$13),1,0)</f>
        <v>1</v>
      </c>
      <c r="I204" s="12" t="n">
        <f aca="false">IF(AND(H204=1,G204&lt;1000000000000000,G204&gt;=F204,G204&lt;F204+Cutoff!$B$16),1,0)</f>
        <v>1</v>
      </c>
    </row>
    <row r="205" customFormat="false" ht="15" hidden="false" customHeight="false" outlineLevel="0" collapsed="false">
      <c r="A205" s="4" t="s">
        <v>687</v>
      </c>
      <c r="B205" s="4" t="s">
        <v>242</v>
      </c>
      <c r="C205" s="4" t="s">
        <v>238</v>
      </c>
      <c r="D205" s="4" t="s">
        <v>1634</v>
      </c>
      <c r="E205" s="4" t="n">
        <v>0</v>
      </c>
      <c r="F205" s="4" t="n">
        <v>1780082669</v>
      </c>
      <c r="G205" s="4" t="n">
        <v>1000000000000000</v>
      </c>
      <c r="H205" s="12" t="n">
        <f aca="false">IF(AND(E205=0,F205&lt;1000000000000000,F205+Cutoff!$B$16&lt;=Cutoff!$D$13),1,0)</f>
        <v>1</v>
      </c>
      <c r="I205" s="12" t="n">
        <f aca="false">IF(AND(H205=1,G205&lt;1000000000000000,G205&gt;=F205,G205&lt;F205+Cutoff!$B$16),1,0)</f>
        <v>0</v>
      </c>
    </row>
    <row r="206" customFormat="false" ht="15" hidden="false" customHeight="false" outlineLevel="0" collapsed="false">
      <c r="A206" s="4" t="s">
        <v>689</v>
      </c>
      <c r="B206" s="4" t="s">
        <v>243</v>
      </c>
      <c r="C206" s="4" t="s">
        <v>240</v>
      </c>
      <c r="D206" s="4" t="s">
        <v>1634</v>
      </c>
      <c r="E206" s="4" t="n">
        <v>0</v>
      </c>
      <c r="F206" s="4" t="n">
        <v>1780084503</v>
      </c>
      <c r="G206" s="4" t="n">
        <v>1000000000000000</v>
      </c>
      <c r="H206" s="12" t="n">
        <f aca="false">IF(AND(E206=0,F206&lt;1000000000000000,F206+Cutoff!$B$16&lt;=Cutoff!$D$13),1,0)</f>
        <v>1</v>
      </c>
      <c r="I206" s="12" t="n">
        <f aca="false">IF(AND(H206=1,G206&lt;1000000000000000,G206&gt;=F206,G206&lt;F206+Cutoff!$B$16),1,0)</f>
        <v>0</v>
      </c>
    </row>
    <row r="207" customFormat="false" ht="15" hidden="false" customHeight="false" outlineLevel="0" collapsed="false">
      <c r="A207" s="4" t="s">
        <v>691</v>
      </c>
      <c r="B207" s="4" t="s">
        <v>243</v>
      </c>
      <c r="C207" s="4" t="s">
        <v>239</v>
      </c>
      <c r="D207" s="4" t="s">
        <v>1633</v>
      </c>
      <c r="E207" s="4" t="n">
        <v>0</v>
      </c>
      <c r="F207" s="4" t="n">
        <v>1780084506</v>
      </c>
      <c r="G207" s="4" t="n">
        <v>1780095883</v>
      </c>
      <c r="H207" s="12" t="n">
        <f aca="false">IF(AND(E207=0,F207&lt;1000000000000000,F207+Cutoff!$B$16&lt;=Cutoff!$D$13),1,0)</f>
        <v>1</v>
      </c>
      <c r="I207" s="12" t="n">
        <f aca="false">IF(AND(H207=1,G207&lt;1000000000000000,G207&gt;=F207,G207&lt;F207+Cutoff!$B$16),1,0)</f>
        <v>1</v>
      </c>
    </row>
    <row r="208" customFormat="false" ht="15" hidden="false" customHeight="false" outlineLevel="0" collapsed="false">
      <c r="A208" s="4" t="s">
        <v>693</v>
      </c>
      <c r="B208" s="4" t="s">
        <v>243</v>
      </c>
      <c r="C208" s="4" t="s">
        <v>238</v>
      </c>
      <c r="D208" s="4" t="s">
        <v>1632</v>
      </c>
      <c r="E208" s="4" t="n">
        <v>0</v>
      </c>
      <c r="F208" s="4" t="n">
        <v>1780150063</v>
      </c>
      <c r="G208" s="4" t="n">
        <v>1000000000000000</v>
      </c>
      <c r="H208" s="12" t="n">
        <f aca="false">IF(AND(E208=0,F208&lt;1000000000000000,F208+Cutoff!$B$16&lt;=Cutoff!$D$13),1,0)</f>
        <v>1</v>
      </c>
      <c r="I208" s="12" t="n">
        <f aca="false">IF(AND(H208=1,G208&lt;1000000000000000,G208&gt;=F208,G208&lt;F208+Cutoff!$B$16),1,0)</f>
        <v>0</v>
      </c>
    </row>
    <row r="209" customFormat="false" ht="15" hidden="false" customHeight="false" outlineLevel="0" collapsed="false">
      <c r="A209" s="4" t="s">
        <v>695</v>
      </c>
      <c r="B209" s="4" t="s">
        <v>243</v>
      </c>
      <c r="C209" s="4" t="s">
        <v>240</v>
      </c>
      <c r="D209" s="4" t="s">
        <v>1633</v>
      </c>
      <c r="E209" s="4" t="n">
        <v>0</v>
      </c>
      <c r="F209" s="4" t="n">
        <v>1780176406</v>
      </c>
      <c r="G209" s="4" t="n">
        <v>1000000000000000</v>
      </c>
      <c r="H209" s="12" t="n">
        <f aca="false">IF(AND(E209=0,F209&lt;1000000000000000,F209+Cutoff!$B$16&lt;=Cutoff!$D$13),1,0)</f>
        <v>1</v>
      </c>
      <c r="I209" s="12" t="n">
        <f aca="false">IF(AND(H209=1,G209&lt;1000000000000000,G209&gt;=F209,G209&lt;F209+Cutoff!$B$16),1,0)</f>
        <v>0</v>
      </c>
    </row>
    <row r="210" customFormat="false" ht="15" hidden="false" customHeight="false" outlineLevel="0" collapsed="false">
      <c r="A210" s="4" t="s">
        <v>697</v>
      </c>
      <c r="B210" s="4" t="s">
        <v>242</v>
      </c>
      <c r="C210" s="4" t="s">
        <v>238</v>
      </c>
      <c r="D210" s="4" t="s">
        <v>1632</v>
      </c>
      <c r="E210" s="4" t="n">
        <v>0</v>
      </c>
      <c r="F210" s="4" t="n">
        <v>1780302332</v>
      </c>
      <c r="G210" s="4" t="n">
        <v>1780303841</v>
      </c>
      <c r="H210" s="12" t="n">
        <f aca="false">IF(AND(E210=0,F210&lt;1000000000000000,F210+Cutoff!$B$16&lt;=Cutoff!$D$13),1,0)</f>
        <v>1</v>
      </c>
      <c r="I210" s="12" t="n">
        <f aca="false">IF(AND(H210=1,G210&lt;1000000000000000,G210&gt;=F210,G210&lt;F210+Cutoff!$B$16),1,0)</f>
        <v>1</v>
      </c>
    </row>
    <row r="211" customFormat="false" ht="15" hidden="false" customHeight="false" outlineLevel="0" collapsed="false">
      <c r="A211" s="4" t="s">
        <v>699</v>
      </c>
      <c r="B211" s="4" t="s">
        <v>243</v>
      </c>
      <c r="C211" s="4" t="s">
        <v>240</v>
      </c>
      <c r="D211" s="4" t="s">
        <v>1633</v>
      </c>
      <c r="E211" s="4" t="n">
        <v>0</v>
      </c>
      <c r="F211" s="4" t="n">
        <v>1780333555</v>
      </c>
      <c r="G211" s="4" t="n">
        <v>1000000000000000</v>
      </c>
      <c r="H211" s="12" t="n">
        <f aca="false">IF(AND(E211=0,F211&lt;1000000000000000,F211+Cutoff!$B$16&lt;=Cutoff!$D$13),1,0)</f>
        <v>1</v>
      </c>
      <c r="I211" s="12" t="n">
        <f aca="false">IF(AND(H211=1,G211&lt;1000000000000000,G211&gt;=F211,G211&lt;F211+Cutoff!$B$16),1,0)</f>
        <v>0</v>
      </c>
    </row>
    <row r="212" customFormat="false" ht="15" hidden="false" customHeight="false" outlineLevel="0" collapsed="false">
      <c r="A212" s="4" t="s">
        <v>701</v>
      </c>
      <c r="B212" s="4" t="s">
        <v>242</v>
      </c>
      <c r="C212" s="4" t="s">
        <v>240</v>
      </c>
      <c r="D212" s="4" t="s">
        <v>1634</v>
      </c>
      <c r="E212" s="4" t="n">
        <v>0</v>
      </c>
      <c r="F212" s="4" t="n">
        <v>1780337609</v>
      </c>
      <c r="G212" s="4" t="n">
        <v>1000000000000000</v>
      </c>
      <c r="H212" s="12" t="n">
        <f aca="false">IF(AND(E212=0,F212&lt;1000000000000000,F212+Cutoff!$B$16&lt;=Cutoff!$D$13),1,0)</f>
        <v>1</v>
      </c>
      <c r="I212" s="12" t="n">
        <f aca="false">IF(AND(H212=1,G212&lt;1000000000000000,G212&gt;=F212,G212&lt;F212+Cutoff!$B$16),1,0)</f>
        <v>0</v>
      </c>
    </row>
    <row r="213" customFormat="false" ht="15" hidden="false" customHeight="false" outlineLevel="0" collapsed="false">
      <c r="A213" s="4" t="s">
        <v>703</v>
      </c>
      <c r="B213" s="4" t="s">
        <v>243</v>
      </c>
      <c r="C213" s="4" t="s">
        <v>240</v>
      </c>
      <c r="D213" s="4" t="s">
        <v>1633</v>
      </c>
      <c r="E213" s="4" t="n">
        <v>0</v>
      </c>
      <c r="F213" s="4" t="n">
        <v>1780339223</v>
      </c>
      <c r="G213" s="4" t="n">
        <v>1000000000000000</v>
      </c>
      <c r="H213" s="12" t="n">
        <f aca="false">IF(AND(E213=0,F213&lt;1000000000000000,F213+Cutoff!$B$16&lt;=Cutoff!$D$13),1,0)</f>
        <v>1</v>
      </c>
      <c r="I213" s="12" t="n">
        <f aca="false">IF(AND(H213=1,G213&lt;1000000000000000,G213&gt;=F213,G213&lt;F213+Cutoff!$B$16),1,0)</f>
        <v>0</v>
      </c>
    </row>
    <row r="214" customFormat="false" ht="15" hidden="false" customHeight="false" outlineLevel="0" collapsed="false">
      <c r="A214" s="4" t="s">
        <v>705</v>
      </c>
      <c r="B214" s="4" t="s">
        <v>243</v>
      </c>
      <c r="C214" s="4" t="s">
        <v>239</v>
      </c>
      <c r="D214" s="4" t="s">
        <v>1632</v>
      </c>
      <c r="E214" s="4" t="n">
        <v>0</v>
      </c>
      <c r="F214" s="4" t="n">
        <v>1780409119</v>
      </c>
      <c r="G214" s="4" t="n">
        <v>1000000000000000</v>
      </c>
      <c r="H214" s="12" t="n">
        <f aca="false">IF(AND(E214=0,F214&lt;1000000000000000,F214+Cutoff!$B$16&lt;=Cutoff!$D$13),1,0)</f>
        <v>1</v>
      </c>
      <c r="I214" s="12" t="n">
        <f aca="false">IF(AND(H214=1,G214&lt;1000000000000000,G214&gt;=F214,G214&lt;F214+Cutoff!$B$16),1,0)</f>
        <v>0</v>
      </c>
    </row>
    <row r="215" customFormat="false" ht="15" hidden="false" customHeight="false" outlineLevel="0" collapsed="false">
      <c r="A215" s="4" t="s">
        <v>707</v>
      </c>
      <c r="B215" s="4" t="s">
        <v>242</v>
      </c>
      <c r="C215" s="4" t="s">
        <v>240</v>
      </c>
      <c r="D215" s="4" t="s">
        <v>1633</v>
      </c>
      <c r="E215" s="4" t="n">
        <v>0</v>
      </c>
      <c r="F215" s="4" t="n">
        <v>1780418531</v>
      </c>
      <c r="G215" s="4" t="n">
        <v>1000000000000000</v>
      </c>
      <c r="H215" s="12" t="n">
        <f aca="false">IF(AND(E215=0,F215&lt;1000000000000000,F215+Cutoff!$B$16&lt;=Cutoff!$D$13),1,0)</f>
        <v>1</v>
      </c>
      <c r="I215" s="12" t="n">
        <f aca="false">IF(AND(H215=1,G215&lt;1000000000000000,G215&gt;=F215,G215&lt;F215+Cutoff!$B$16),1,0)</f>
        <v>0</v>
      </c>
    </row>
    <row r="216" customFormat="false" ht="15" hidden="false" customHeight="false" outlineLevel="0" collapsed="false">
      <c r="A216" s="4" t="s">
        <v>709</v>
      </c>
      <c r="B216" s="4" t="s">
        <v>243</v>
      </c>
      <c r="C216" s="4" t="s">
        <v>240</v>
      </c>
      <c r="D216" s="4" t="s">
        <v>1633</v>
      </c>
      <c r="E216" s="4" t="n">
        <v>0</v>
      </c>
      <c r="F216" s="4" t="n">
        <v>1780433296</v>
      </c>
      <c r="G216" s="4" t="n">
        <v>1000000000000000</v>
      </c>
      <c r="H216" s="12" t="n">
        <f aca="false">IF(AND(E216=0,F216&lt;1000000000000000,F216+Cutoff!$B$16&lt;=Cutoff!$D$13),1,0)</f>
        <v>1</v>
      </c>
      <c r="I216" s="12" t="n">
        <f aca="false">IF(AND(H216=1,G216&lt;1000000000000000,G216&gt;=F216,G216&lt;F216+Cutoff!$B$16),1,0)</f>
        <v>0</v>
      </c>
    </row>
    <row r="217" customFormat="false" ht="15" hidden="false" customHeight="false" outlineLevel="0" collapsed="false">
      <c r="A217" s="4" t="s">
        <v>711</v>
      </c>
      <c r="B217" s="4" t="s">
        <v>242</v>
      </c>
      <c r="C217" s="4" t="s">
        <v>240</v>
      </c>
      <c r="D217" s="4" t="s">
        <v>1632</v>
      </c>
      <c r="E217" s="4" t="n">
        <v>0</v>
      </c>
      <c r="F217" s="4" t="n">
        <v>1780481145</v>
      </c>
      <c r="G217" s="4" t="n">
        <v>1000000000000000</v>
      </c>
      <c r="H217" s="12" t="n">
        <f aca="false">IF(AND(E217=0,F217&lt;1000000000000000,F217+Cutoff!$B$16&lt;=Cutoff!$D$13),1,0)</f>
        <v>1</v>
      </c>
      <c r="I217" s="12" t="n">
        <f aca="false">IF(AND(H217=1,G217&lt;1000000000000000,G217&gt;=F217,G217&lt;F217+Cutoff!$B$16),1,0)</f>
        <v>0</v>
      </c>
    </row>
    <row r="218" customFormat="false" ht="15" hidden="false" customHeight="false" outlineLevel="0" collapsed="false">
      <c r="A218" s="4" t="s">
        <v>713</v>
      </c>
      <c r="B218" s="4" t="s">
        <v>243</v>
      </c>
      <c r="C218" s="4" t="s">
        <v>240</v>
      </c>
      <c r="D218" s="4" t="s">
        <v>1632</v>
      </c>
      <c r="E218" s="4" t="n">
        <v>0</v>
      </c>
      <c r="F218" s="4" t="n">
        <v>1780486120</v>
      </c>
      <c r="G218" s="4" t="n">
        <v>1000000000000000</v>
      </c>
      <c r="H218" s="12" t="n">
        <f aca="false">IF(AND(E218=0,F218&lt;1000000000000000,F218+Cutoff!$B$16&lt;=Cutoff!$D$13),1,0)</f>
        <v>1</v>
      </c>
      <c r="I218" s="12" t="n">
        <f aca="false">IF(AND(H218=1,G218&lt;1000000000000000,G218&gt;=F218,G218&lt;F218+Cutoff!$B$16),1,0)</f>
        <v>0</v>
      </c>
    </row>
    <row r="219" customFormat="false" ht="15" hidden="false" customHeight="false" outlineLevel="0" collapsed="false">
      <c r="A219" s="4" t="s">
        <v>715</v>
      </c>
      <c r="B219" s="4" t="s">
        <v>242</v>
      </c>
      <c r="C219" s="4" t="s">
        <v>240</v>
      </c>
      <c r="D219" s="4" t="s">
        <v>1633</v>
      </c>
      <c r="E219" s="4" t="n">
        <v>0</v>
      </c>
      <c r="F219" s="4" t="n">
        <v>1780495468</v>
      </c>
      <c r="G219" s="4" t="n">
        <v>1000000000000000</v>
      </c>
      <c r="H219" s="12" t="n">
        <f aca="false">IF(AND(E219=0,F219&lt;1000000000000000,F219+Cutoff!$B$16&lt;=Cutoff!$D$13),1,0)</f>
        <v>1</v>
      </c>
      <c r="I219" s="12" t="n">
        <f aca="false">IF(AND(H219=1,G219&lt;1000000000000000,G219&gt;=F219,G219&lt;F219+Cutoff!$B$16),1,0)</f>
        <v>0</v>
      </c>
    </row>
    <row r="220" customFormat="false" ht="15" hidden="false" customHeight="false" outlineLevel="0" collapsed="false">
      <c r="A220" s="4" t="s">
        <v>717</v>
      </c>
      <c r="B220" s="4" t="s">
        <v>242</v>
      </c>
      <c r="C220" s="4" t="s">
        <v>239</v>
      </c>
      <c r="D220" s="4" t="s">
        <v>1633</v>
      </c>
      <c r="E220" s="4" t="n">
        <v>0</v>
      </c>
      <c r="F220" s="4" t="n">
        <v>1780504200</v>
      </c>
      <c r="G220" s="4" t="n">
        <v>1000000000000000</v>
      </c>
      <c r="H220" s="12" t="n">
        <f aca="false">IF(AND(E220=0,F220&lt;1000000000000000,F220+Cutoff!$B$16&lt;=Cutoff!$D$13),1,0)</f>
        <v>1</v>
      </c>
      <c r="I220" s="12" t="n">
        <f aca="false">IF(AND(H220=1,G220&lt;1000000000000000,G220&gt;=F220,G220&lt;F220+Cutoff!$B$16),1,0)</f>
        <v>0</v>
      </c>
    </row>
    <row r="221" customFormat="false" ht="15" hidden="false" customHeight="false" outlineLevel="0" collapsed="false">
      <c r="A221" s="4" t="s">
        <v>719</v>
      </c>
      <c r="B221" s="4" t="s">
        <v>242</v>
      </c>
      <c r="C221" s="4" t="s">
        <v>238</v>
      </c>
      <c r="D221" s="4" t="s">
        <v>1634</v>
      </c>
      <c r="E221" s="4" t="n">
        <v>0</v>
      </c>
      <c r="F221" s="4" t="n">
        <v>1780505260</v>
      </c>
      <c r="G221" s="4" t="n">
        <v>1000000000000000</v>
      </c>
      <c r="H221" s="12" t="n">
        <f aca="false">IF(AND(E221=0,F221&lt;1000000000000000,F221+Cutoff!$B$16&lt;=Cutoff!$D$13),1,0)</f>
        <v>1</v>
      </c>
      <c r="I221" s="12" t="n">
        <f aca="false">IF(AND(H221=1,G221&lt;1000000000000000,G221&gt;=F221,G221&lt;F221+Cutoff!$B$16),1,0)</f>
        <v>0</v>
      </c>
    </row>
    <row r="222" customFormat="false" ht="15" hidden="false" customHeight="false" outlineLevel="0" collapsed="false">
      <c r="A222" s="4" t="s">
        <v>721</v>
      </c>
      <c r="B222" s="4" t="s">
        <v>243</v>
      </c>
      <c r="C222" s="4" t="s">
        <v>240</v>
      </c>
      <c r="D222" s="4" t="s">
        <v>1633</v>
      </c>
      <c r="E222" s="4" t="n">
        <v>0</v>
      </c>
      <c r="F222" s="4" t="n">
        <v>1780506086</v>
      </c>
      <c r="G222" s="4" t="n">
        <v>1782121445</v>
      </c>
      <c r="H222" s="12" t="n">
        <f aca="false">IF(AND(E222=0,F222&lt;1000000000000000,F222+Cutoff!$B$16&lt;=Cutoff!$D$13),1,0)</f>
        <v>1</v>
      </c>
      <c r="I222" s="12" t="n">
        <f aca="false">IF(AND(H222=1,G222&lt;1000000000000000,G222&gt;=F222,G222&lt;F222+Cutoff!$B$16),1,0)</f>
        <v>0</v>
      </c>
    </row>
    <row r="223" customFormat="false" ht="15" hidden="false" customHeight="false" outlineLevel="0" collapsed="false">
      <c r="A223" s="4" t="s">
        <v>723</v>
      </c>
      <c r="B223" s="4" t="s">
        <v>242</v>
      </c>
      <c r="C223" s="4" t="s">
        <v>240</v>
      </c>
      <c r="D223" s="4" t="s">
        <v>1634</v>
      </c>
      <c r="E223" s="4" t="n">
        <v>0</v>
      </c>
      <c r="F223" s="4" t="n">
        <v>1780507424</v>
      </c>
      <c r="G223" s="4" t="n">
        <v>1780656541</v>
      </c>
      <c r="H223" s="12" t="n">
        <f aca="false">IF(AND(E223=0,F223&lt;1000000000000000,F223+Cutoff!$B$16&lt;=Cutoff!$D$13),1,0)</f>
        <v>1</v>
      </c>
      <c r="I223" s="12" t="n">
        <f aca="false">IF(AND(H223=1,G223&lt;1000000000000000,G223&gt;=F223,G223&lt;F223+Cutoff!$B$16),1,0)</f>
        <v>1</v>
      </c>
    </row>
    <row r="224" customFormat="false" ht="15" hidden="false" customHeight="false" outlineLevel="0" collapsed="false">
      <c r="A224" s="4" t="s">
        <v>725</v>
      </c>
      <c r="B224" s="4" t="s">
        <v>243</v>
      </c>
      <c r="C224" s="4" t="s">
        <v>240</v>
      </c>
      <c r="D224" s="4" t="s">
        <v>1633</v>
      </c>
      <c r="E224" s="4" t="n">
        <v>0</v>
      </c>
      <c r="F224" s="4" t="n">
        <v>1780511610</v>
      </c>
      <c r="G224" s="4" t="n">
        <v>1000000000000000</v>
      </c>
      <c r="H224" s="12" t="n">
        <f aca="false">IF(AND(E224=0,F224&lt;1000000000000000,F224+Cutoff!$B$16&lt;=Cutoff!$D$13),1,0)</f>
        <v>1</v>
      </c>
      <c r="I224" s="12" t="n">
        <f aca="false">IF(AND(H224=1,G224&lt;1000000000000000,G224&gt;=F224,G224&lt;F224+Cutoff!$B$16),1,0)</f>
        <v>0</v>
      </c>
    </row>
    <row r="225" customFormat="false" ht="15" hidden="false" customHeight="false" outlineLevel="0" collapsed="false">
      <c r="A225" s="4" t="s">
        <v>727</v>
      </c>
      <c r="B225" s="4" t="s">
        <v>242</v>
      </c>
      <c r="C225" s="4" t="s">
        <v>240</v>
      </c>
      <c r="D225" s="4" t="s">
        <v>1632</v>
      </c>
      <c r="E225" s="4" t="n">
        <v>0</v>
      </c>
      <c r="F225" s="4" t="n">
        <v>1780511739</v>
      </c>
      <c r="G225" s="4" t="n">
        <v>1000000000000000</v>
      </c>
      <c r="H225" s="12" t="n">
        <f aca="false">IF(AND(E225=0,F225&lt;1000000000000000,F225+Cutoff!$B$16&lt;=Cutoff!$D$13),1,0)</f>
        <v>1</v>
      </c>
      <c r="I225" s="12" t="n">
        <f aca="false">IF(AND(H225=1,G225&lt;1000000000000000,G225&gt;=F225,G225&lt;F225+Cutoff!$B$16),1,0)</f>
        <v>0</v>
      </c>
    </row>
    <row r="226" customFormat="false" ht="15" hidden="false" customHeight="false" outlineLevel="0" collapsed="false">
      <c r="A226" s="4" t="s">
        <v>729</v>
      </c>
      <c r="B226" s="4" t="s">
        <v>242</v>
      </c>
      <c r="C226" s="4" t="s">
        <v>240</v>
      </c>
      <c r="D226" s="4" t="s">
        <v>1633</v>
      </c>
      <c r="E226" s="4" t="n">
        <v>0</v>
      </c>
      <c r="F226" s="4" t="n">
        <v>1780513688</v>
      </c>
      <c r="G226" s="4" t="n">
        <v>1780517082</v>
      </c>
      <c r="H226" s="12" t="n">
        <f aca="false">IF(AND(E226=0,F226&lt;1000000000000000,F226+Cutoff!$B$16&lt;=Cutoff!$D$13),1,0)</f>
        <v>1</v>
      </c>
      <c r="I226" s="12" t="n">
        <f aca="false">IF(AND(H226=1,G226&lt;1000000000000000,G226&gt;=F226,G226&lt;F226+Cutoff!$B$16),1,0)</f>
        <v>1</v>
      </c>
    </row>
    <row r="227" customFormat="false" ht="15" hidden="false" customHeight="false" outlineLevel="0" collapsed="false">
      <c r="A227" s="4" t="s">
        <v>731</v>
      </c>
      <c r="B227" s="4" t="s">
        <v>242</v>
      </c>
      <c r="C227" s="4" t="s">
        <v>240</v>
      </c>
      <c r="D227" s="4" t="s">
        <v>1634</v>
      </c>
      <c r="E227" s="4" t="n">
        <v>0</v>
      </c>
      <c r="F227" s="4" t="n">
        <v>1780525606</v>
      </c>
      <c r="G227" s="4" t="n">
        <v>1000000000000000</v>
      </c>
      <c r="H227" s="12" t="n">
        <f aca="false">IF(AND(E227=0,F227&lt;1000000000000000,F227+Cutoff!$B$16&lt;=Cutoff!$D$13),1,0)</f>
        <v>1</v>
      </c>
      <c r="I227" s="12" t="n">
        <f aca="false">IF(AND(H227=1,G227&lt;1000000000000000,G227&gt;=F227,G227&lt;F227+Cutoff!$B$16),1,0)</f>
        <v>0</v>
      </c>
    </row>
    <row r="228" customFormat="false" ht="15" hidden="false" customHeight="false" outlineLevel="0" collapsed="false">
      <c r="A228" s="4" t="s">
        <v>733</v>
      </c>
      <c r="B228" s="4" t="s">
        <v>243</v>
      </c>
      <c r="C228" s="4" t="s">
        <v>240</v>
      </c>
      <c r="D228" s="4" t="s">
        <v>1632</v>
      </c>
      <c r="E228" s="4" t="n">
        <v>0</v>
      </c>
      <c r="F228" s="4" t="n">
        <v>1780588713</v>
      </c>
      <c r="G228" s="4" t="n">
        <v>1780733203</v>
      </c>
      <c r="H228" s="12" t="n">
        <f aca="false">IF(AND(E228=0,F228&lt;1000000000000000,F228+Cutoff!$B$16&lt;=Cutoff!$D$13),1,0)</f>
        <v>1</v>
      </c>
      <c r="I228" s="12" t="n">
        <f aca="false">IF(AND(H228=1,G228&lt;1000000000000000,G228&gt;=F228,G228&lt;F228+Cutoff!$B$16),1,0)</f>
        <v>1</v>
      </c>
    </row>
    <row r="229" customFormat="false" ht="15" hidden="false" customHeight="false" outlineLevel="0" collapsed="false">
      <c r="A229" s="4" t="s">
        <v>735</v>
      </c>
      <c r="B229" s="4" t="s">
        <v>243</v>
      </c>
      <c r="C229" s="4" t="s">
        <v>240</v>
      </c>
      <c r="D229" s="4" t="s">
        <v>1633</v>
      </c>
      <c r="E229" s="4" t="n">
        <v>0</v>
      </c>
      <c r="F229" s="4" t="n">
        <v>1780613405</v>
      </c>
      <c r="G229" s="4" t="n">
        <v>1781039081</v>
      </c>
      <c r="H229" s="12" t="n">
        <f aca="false">IF(AND(E229=0,F229&lt;1000000000000000,F229+Cutoff!$B$16&lt;=Cutoff!$D$13),1,0)</f>
        <v>1</v>
      </c>
      <c r="I229" s="12" t="n">
        <f aca="false">IF(AND(H229=1,G229&lt;1000000000000000,G229&gt;=F229,G229&lt;F229+Cutoff!$B$16),1,0)</f>
        <v>1</v>
      </c>
    </row>
    <row r="230" customFormat="false" ht="15" hidden="false" customHeight="false" outlineLevel="0" collapsed="false">
      <c r="A230" s="4" t="s">
        <v>737</v>
      </c>
      <c r="B230" s="4" t="s">
        <v>242</v>
      </c>
      <c r="C230" s="4" t="s">
        <v>240</v>
      </c>
      <c r="D230" s="4" t="s">
        <v>1633</v>
      </c>
      <c r="E230" s="4" t="n">
        <v>0</v>
      </c>
      <c r="F230" s="4" t="n">
        <v>1780616623</v>
      </c>
      <c r="G230" s="4" t="n">
        <v>1000000000000000</v>
      </c>
      <c r="H230" s="12" t="n">
        <f aca="false">IF(AND(E230=0,F230&lt;1000000000000000,F230+Cutoff!$B$16&lt;=Cutoff!$D$13),1,0)</f>
        <v>1</v>
      </c>
      <c r="I230" s="12" t="n">
        <f aca="false">IF(AND(H230=1,G230&lt;1000000000000000,G230&gt;=F230,G230&lt;F230+Cutoff!$B$16),1,0)</f>
        <v>0</v>
      </c>
    </row>
    <row r="231" customFormat="false" ht="15" hidden="false" customHeight="false" outlineLevel="0" collapsed="false">
      <c r="A231" s="4" t="s">
        <v>1474</v>
      </c>
      <c r="B231" s="4" t="s">
        <v>237</v>
      </c>
      <c r="C231" s="4" t="s">
        <v>238</v>
      </c>
      <c r="D231" s="4" t="s">
        <v>1634</v>
      </c>
      <c r="E231" s="4" t="n">
        <v>1</v>
      </c>
      <c r="F231" s="4" t="n">
        <v>1000000000000000</v>
      </c>
      <c r="G231" s="4" t="n">
        <v>1000000000000000</v>
      </c>
      <c r="H231" s="12" t="n">
        <f aca="false">IF(AND(E231=0,F231&lt;1000000000000000,F231+Cutoff!$B$16&lt;=Cutoff!$D$13),1,0)</f>
        <v>0</v>
      </c>
      <c r="I231" s="12" t="n">
        <f aca="false">IF(AND(H231=1,G231&lt;1000000000000000,G231&gt;=F231,G231&lt;F231+Cutoff!$B$16),1,0)</f>
        <v>0</v>
      </c>
    </row>
    <row r="232" customFormat="false" ht="15" hidden="false" customHeight="false" outlineLevel="0" collapsed="false">
      <c r="A232" s="4" t="s">
        <v>739</v>
      </c>
      <c r="B232" s="4" t="s">
        <v>242</v>
      </c>
      <c r="C232" s="4" t="s">
        <v>239</v>
      </c>
      <c r="D232" s="4" t="s">
        <v>1633</v>
      </c>
      <c r="E232" s="4" t="n">
        <v>0</v>
      </c>
      <c r="F232" s="4" t="n">
        <v>1780689478</v>
      </c>
      <c r="G232" s="4" t="n">
        <v>1780744748</v>
      </c>
      <c r="H232" s="12" t="n">
        <f aca="false">IF(AND(E232=0,F232&lt;1000000000000000,F232+Cutoff!$B$16&lt;=Cutoff!$D$13),1,0)</f>
        <v>1</v>
      </c>
      <c r="I232" s="12" t="n">
        <f aca="false">IF(AND(H232=1,G232&lt;1000000000000000,G232&gt;=F232,G232&lt;F232+Cutoff!$B$16),1,0)</f>
        <v>1</v>
      </c>
    </row>
    <row r="233" customFormat="false" ht="15" hidden="false" customHeight="false" outlineLevel="0" collapsed="false">
      <c r="A233" s="4" t="s">
        <v>741</v>
      </c>
      <c r="B233" s="4" t="s">
        <v>243</v>
      </c>
      <c r="C233" s="4" t="s">
        <v>238</v>
      </c>
      <c r="D233" s="4" t="s">
        <v>1633</v>
      </c>
      <c r="E233" s="4" t="n">
        <v>0</v>
      </c>
      <c r="F233" s="4" t="n">
        <v>1780754878</v>
      </c>
      <c r="G233" s="4" t="n">
        <v>1000000000000000</v>
      </c>
      <c r="H233" s="12" t="n">
        <f aca="false">IF(AND(E233=0,F233&lt;1000000000000000,F233+Cutoff!$B$16&lt;=Cutoff!$D$13),1,0)</f>
        <v>1</v>
      </c>
      <c r="I233" s="12" t="n">
        <f aca="false">IF(AND(H233=1,G233&lt;1000000000000000,G233&gt;=F233,G233&lt;F233+Cutoff!$B$16),1,0)</f>
        <v>0</v>
      </c>
    </row>
    <row r="234" customFormat="false" ht="15" hidden="false" customHeight="false" outlineLevel="0" collapsed="false">
      <c r="A234" s="4" t="s">
        <v>743</v>
      </c>
      <c r="B234" s="4" t="s">
        <v>243</v>
      </c>
      <c r="C234" s="4" t="s">
        <v>239</v>
      </c>
      <c r="D234" s="4" t="s">
        <v>1634</v>
      </c>
      <c r="E234" s="4" t="n">
        <v>0</v>
      </c>
      <c r="F234" s="4" t="n">
        <v>1780772898</v>
      </c>
      <c r="G234" s="4" t="n">
        <v>1780773661</v>
      </c>
      <c r="H234" s="12" t="n">
        <f aca="false">IF(AND(E234=0,F234&lt;1000000000000000,F234+Cutoff!$B$16&lt;=Cutoff!$D$13),1,0)</f>
        <v>1</v>
      </c>
      <c r="I234" s="12" t="n">
        <f aca="false">IF(AND(H234=1,G234&lt;1000000000000000,G234&gt;=F234,G234&lt;F234+Cutoff!$B$16),1,0)</f>
        <v>1</v>
      </c>
    </row>
    <row r="235" customFormat="false" ht="15" hidden="false" customHeight="false" outlineLevel="0" collapsed="false">
      <c r="A235" s="4" t="s">
        <v>745</v>
      </c>
      <c r="B235" s="4" t="s">
        <v>243</v>
      </c>
      <c r="C235" s="4" t="s">
        <v>240</v>
      </c>
      <c r="D235" s="4" t="s">
        <v>1633</v>
      </c>
      <c r="E235" s="4" t="n">
        <v>0</v>
      </c>
      <c r="F235" s="4" t="n">
        <v>1780842181</v>
      </c>
      <c r="G235" s="4" t="n">
        <v>1000000000000000</v>
      </c>
      <c r="H235" s="12" t="n">
        <f aca="false">IF(AND(E235=0,F235&lt;1000000000000000,F235+Cutoff!$B$16&lt;=Cutoff!$D$13),1,0)</f>
        <v>1</v>
      </c>
      <c r="I235" s="12" t="n">
        <f aca="false">IF(AND(H235=1,G235&lt;1000000000000000,G235&gt;=F235,G235&lt;F235+Cutoff!$B$16),1,0)</f>
        <v>0</v>
      </c>
    </row>
    <row r="236" customFormat="false" ht="15" hidden="false" customHeight="false" outlineLevel="0" collapsed="false">
      <c r="A236" s="4" t="s">
        <v>747</v>
      </c>
      <c r="B236" s="4" t="s">
        <v>237</v>
      </c>
      <c r="C236" s="4" t="s">
        <v>238</v>
      </c>
      <c r="D236" s="4" t="s">
        <v>1632</v>
      </c>
      <c r="E236" s="4" t="n">
        <v>0</v>
      </c>
      <c r="F236" s="4" t="n">
        <v>1780910687</v>
      </c>
      <c r="G236" s="4" t="n">
        <v>1780913379</v>
      </c>
      <c r="H236" s="12" t="n">
        <f aca="false">IF(AND(E236=0,F236&lt;1000000000000000,F236+Cutoff!$B$16&lt;=Cutoff!$D$13),1,0)</f>
        <v>1</v>
      </c>
      <c r="I236" s="12" t="n">
        <f aca="false">IF(AND(H236=1,G236&lt;1000000000000000,G236&gt;=F236,G236&lt;F236+Cutoff!$B$16),1,0)</f>
        <v>1</v>
      </c>
    </row>
    <row r="237" customFormat="false" ht="15" hidden="false" customHeight="false" outlineLevel="0" collapsed="false">
      <c r="A237" s="4" t="s">
        <v>749</v>
      </c>
      <c r="B237" s="4" t="s">
        <v>237</v>
      </c>
      <c r="C237" s="4" t="s">
        <v>238</v>
      </c>
      <c r="D237" s="4" t="s">
        <v>1632</v>
      </c>
      <c r="E237" s="4" t="n">
        <v>0</v>
      </c>
      <c r="F237" s="4" t="n">
        <v>1780921660</v>
      </c>
      <c r="G237" s="4" t="n">
        <v>1780922408</v>
      </c>
      <c r="H237" s="12" t="n">
        <f aca="false">IF(AND(E237=0,F237&lt;1000000000000000,F237+Cutoff!$B$16&lt;=Cutoff!$D$13),1,0)</f>
        <v>1</v>
      </c>
      <c r="I237" s="12" t="n">
        <f aca="false">IF(AND(H237=1,G237&lt;1000000000000000,G237&gt;=F237,G237&lt;F237+Cutoff!$B$16),1,0)</f>
        <v>1</v>
      </c>
    </row>
    <row r="238" customFormat="false" ht="15" hidden="false" customHeight="false" outlineLevel="0" collapsed="false">
      <c r="A238" s="4" t="s">
        <v>751</v>
      </c>
      <c r="B238" s="4" t="s">
        <v>242</v>
      </c>
      <c r="C238" s="4" t="s">
        <v>240</v>
      </c>
      <c r="D238" s="4" t="s">
        <v>1633</v>
      </c>
      <c r="E238" s="4" t="n">
        <v>0</v>
      </c>
      <c r="F238" s="4" t="n">
        <v>1780929960</v>
      </c>
      <c r="G238" s="4" t="n">
        <v>1000000000000000</v>
      </c>
      <c r="H238" s="12" t="n">
        <f aca="false">IF(AND(E238=0,F238&lt;1000000000000000,F238+Cutoff!$B$16&lt;=Cutoff!$D$13),1,0)</f>
        <v>1</v>
      </c>
      <c r="I238" s="12" t="n">
        <f aca="false">IF(AND(H238=1,G238&lt;1000000000000000,G238&gt;=F238,G238&lt;F238+Cutoff!$B$16),1,0)</f>
        <v>0</v>
      </c>
    </row>
    <row r="239" customFormat="false" ht="15" hidden="false" customHeight="false" outlineLevel="0" collapsed="false">
      <c r="A239" s="4" t="s">
        <v>753</v>
      </c>
      <c r="B239" s="4" t="s">
        <v>243</v>
      </c>
      <c r="C239" s="4" t="s">
        <v>239</v>
      </c>
      <c r="D239" s="4" t="s">
        <v>1633</v>
      </c>
      <c r="E239" s="4" t="n">
        <v>0</v>
      </c>
      <c r="F239" s="4" t="n">
        <v>1781011142</v>
      </c>
      <c r="G239" s="4" t="n">
        <v>1000000000000000</v>
      </c>
      <c r="H239" s="12" t="n">
        <f aca="false">IF(AND(E239=0,F239&lt;1000000000000000,F239+Cutoff!$B$16&lt;=Cutoff!$D$13),1,0)</f>
        <v>1</v>
      </c>
      <c r="I239" s="12" t="n">
        <f aca="false">IF(AND(H239=1,G239&lt;1000000000000000,G239&gt;=F239,G239&lt;F239+Cutoff!$B$16),1,0)</f>
        <v>0</v>
      </c>
    </row>
    <row r="240" customFormat="false" ht="15" hidden="false" customHeight="false" outlineLevel="0" collapsed="false">
      <c r="A240" s="4" t="s">
        <v>755</v>
      </c>
      <c r="B240" s="4" t="s">
        <v>243</v>
      </c>
      <c r="C240" s="4" t="s">
        <v>240</v>
      </c>
      <c r="D240" s="4" t="s">
        <v>1632</v>
      </c>
      <c r="E240" s="4" t="n">
        <v>0</v>
      </c>
      <c r="F240" s="4" t="n">
        <v>1781017238</v>
      </c>
      <c r="G240" s="4" t="n">
        <v>1781564570</v>
      </c>
      <c r="H240" s="12" t="n">
        <f aca="false">IF(AND(E240=0,F240&lt;1000000000000000,F240+Cutoff!$B$16&lt;=Cutoff!$D$13),1,0)</f>
        <v>1</v>
      </c>
      <c r="I240" s="12" t="n">
        <f aca="false">IF(AND(H240=1,G240&lt;1000000000000000,G240&gt;=F240,G240&lt;F240+Cutoff!$B$16),1,0)</f>
        <v>1</v>
      </c>
    </row>
    <row r="241" customFormat="false" ht="15" hidden="false" customHeight="false" outlineLevel="0" collapsed="false">
      <c r="A241" s="4" t="s">
        <v>757</v>
      </c>
      <c r="B241" s="4" t="s">
        <v>243</v>
      </c>
      <c r="C241" s="4" t="s">
        <v>240</v>
      </c>
      <c r="D241" s="4" t="s">
        <v>1633</v>
      </c>
      <c r="E241" s="4" t="n">
        <v>0</v>
      </c>
      <c r="F241" s="4" t="n">
        <v>1781019187</v>
      </c>
      <c r="G241" s="4" t="n">
        <v>1781245871</v>
      </c>
      <c r="H241" s="12" t="n">
        <f aca="false">IF(AND(E241=0,F241&lt;1000000000000000,F241+Cutoff!$B$16&lt;=Cutoff!$D$13),1,0)</f>
        <v>1</v>
      </c>
      <c r="I241" s="12" t="n">
        <f aca="false">IF(AND(H241=1,G241&lt;1000000000000000,G241&gt;=F241,G241&lt;F241+Cutoff!$B$16),1,0)</f>
        <v>1</v>
      </c>
    </row>
    <row r="242" customFormat="false" ht="15" hidden="false" customHeight="false" outlineLevel="0" collapsed="false">
      <c r="A242" s="4" t="s">
        <v>759</v>
      </c>
      <c r="B242" s="4" t="s">
        <v>237</v>
      </c>
      <c r="C242" s="4" t="s">
        <v>240</v>
      </c>
      <c r="D242" s="4" t="s">
        <v>1633</v>
      </c>
      <c r="E242" s="4" t="n">
        <v>0</v>
      </c>
      <c r="F242" s="4" t="n">
        <v>1781026488</v>
      </c>
      <c r="G242" s="4" t="n">
        <v>1781173706</v>
      </c>
      <c r="H242" s="12" t="n">
        <f aca="false">IF(AND(E242=0,F242&lt;1000000000000000,F242+Cutoff!$B$16&lt;=Cutoff!$D$13),1,0)</f>
        <v>1</v>
      </c>
      <c r="I242" s="12" t="n">
        <f aca="false">IF(AND(H242=1,G242&lt;1000000000000000,G242&gt;=F242,G242&lt;F242+Cutoff!$B$16),1,0)</f>
        <v>1</v>
      </c>
    </row>
    <row r="243" customFormat="false" ht="15" hidden="false" customHeight="false" outlineLevel="0" collapsed="false">
      <c r="A243" s="4" t="s">
        <v>761</v>
      </c>
      <c r="B243" s="4" t="s">
        <v>243</v>
      </c>
      <c r="C243" s="4" t="s">
        <v>240</v>
      </c>
      <c r="D243" s="4" t="s">
        <v>1634</v>
      </c>
      <c r="E243" s="4" t="n">
        <v>0</v>
      </c>
      <c r="F243" s="4" t="n">
        <v>1781028435</v>
      </c>
      <c r="G243" s="4" t="n">
        <v>1782313356</v>
      </c>
      <c r="H243" s="12" t="n">
        <f aca="false">IF(AND(E243=0,F243&lt;1000000000000000,F243+Cutoff!$B$16&lt;=Cutoff!$D$13),1,0)</f>
        <v>1</v>
      </c>
      <c r="I243" s="12" t="n">
        <f aca="false">IF(AND(H243=1,G243&lt;1000000000000000,G243&gt;=F243,G243&lt;F243+Cutoff!$B$16),1,0)</f>
        <v>0</v>
      </c>
    </row>
    <row r="244" customFormat="false" ht="15" hidden="false" customHeight="false" outlineLevel="0" collapsed="false">
      <c r="A244" s="4" t="s">
        <v>763</v>
      </c>
      <c r="B244" s="4" t="s">
        <v>243</v>
      </c>
      <c r="C244" s="4" t="s">
        <v>240</v>
      </c>
      <c r="D244" s="4" t="s">
        <v>1634</v>
      </c>
      <c r="E244" s="4" t="n">
        <v>0</v>
      </c>
      <c r="F244" s="4" t="n">
        <v>1781041598</v>
      </c>
      <c r="G244" s="4" t="n">
        <v>1781301059</v>
      </c>
      <c r="H244" s="12" t="n">
        <f aca="false">IF(AND(E244=0,F244&lt;1000000000000000,F244+Cutoff!$B$16&lt;=Cutoff!$D$13),1,0)</f>
        <v>1</v>
      </c>
      <c r="I244" s="12" t="n">
        <f aca="false">IF(AND(H244=1,G244&lt;1000000000000000,G244&gt;=F244,G244&lt;F244+Cutoff!$B$16),1,0)</f>
        <v>1</v>
      </c>
    </row>
    <row r="245" customFormat="false" ht="15" hidden="false" customHeight="false" outlineLevel="0" collapsed="false">
      <c r="A245" s="4" t="s">
        <v>765</v>
      </c>
      <c r="B245" s="4" t="s">
        <v>243</v>
      </c>
      <c r="C245" s="4" t="s">
        <v>239</v>
      </c>
      <c r="D245" s="4" t="s">
        <v>1633</v>
      </c>
      <c r="E245" s="4" t="n">
        <v>0</v>
      </c>
      <c r="F245" s="4" t="n">
        <v>1781049312</v>
      </c>
      <c r="G245" s="4" t="n">
        <v>1781302097</v>
      </c>
      <c r="H245" s="12" t="n">
        <f aca="false">IF(AND(E245=0,F245&lt;1000000000000000,F245+Cutoff!$B$16&lt;=Cutoff!$D$13),1,0)</f>
        <v>1</v>
      </c>
      <c r="I245" s="12" t="n">
        <f aca="false">IF(AND(H245=1,G245&lt;1000000000000000,G245&gt;=F245,G245&lt;F245+Cutoff!$B$16),1,0)</f>
        <v>1</v>
      </c>
    </row>
    <row r="246" customFormat="false" ht="15" hidden="false" customHeight="false" outlineLevel="0" collapsed="false">
      <c r="A246" s="4" t="s">
        <v>767</v>
      </c>
      <c r="B246" s="4" t="s">
        <v>243</v>
      </c>
      <c r="C246" s="4" t="s">
        <v>239</v>
      </c>
      <c r="D246" s="4" t="s">
        <v>1632</v>
      </c>
      <c r="E246" s="4" t="n">
        <v>0</v>
      </c>
      <c r="F246" s="4" t="n">
        <v>1781095215</v>
      </c>
      <c r="G246" s="4" t="n">
        <v>1000000000000000</v>
      </c>
      <c r="H246" s="12" t="n">
        <f aca="false">IF(AND(E246=0,F246&lt;1000000000000000,F246+Cutoff!$B$16&lt;=Cutoff!$D$13),1,0)</f>
        <v>1</v>
      </c>
      <c r="I246" s="12" t="n">
        <f aca="false">IF(AND(H246=1,G246&lt;1000000000000000,G246&gt;=F246,G246&lt;F246+Cutoff!$B$16),1,0)</f>
        <v>0</v>
      </c>
    </row>
    <row r="247" customFormat="false" ht="15" hidden="false" customHeight="false" outlineLevel="0" collapsed="false">
      <c r="A247" s="4" t="s">
        <v>769</v>
      </c>
      <c r="B247" s="4" t="s">
        <v>242</v>
      </c>
      <c r="C247" s="4" t="s">
        <v>240</v>
      </c>
      <c r="D247" s="4" t="s">
        <v>1633</v>
      </c>
      <c r="E247" s="4" t="n">
        <v>0</v>
      </c>
      <c r="F247" s="4" t="n">
        <v>1781099997</v>
      </c>
      <c r="G247" s="4" t="n">
        <v>1000000000000000</v>
      </c>
      <c r="H247" s="12" t="n">
        <f aca="false">IF(AND(E247=0,F247&lt;1000000000000000,F247+Cutoff!$B$16&lt;=Cutoff!$D$13),1,0)</f>
        <v>1</v>
      </c>
      <c r="I247" s="12" t="n">
        <f aca="false">IF(AND(H247=1,G247&lt;1000000000000000,G247&gt;=F247,G247&lt;F247+Cutoff!$B$16),1,0)</f>
        <v>0</v>
      </c>
    </row>
    <row r="248" customFormat="false" ht="15" hidden="false" customHeight="false" outlineLevel="0" collapsed="false">
      <c r="A248" s="4" t="s">
        <v>771</v>
      </c>
      <c r="B248" s="4" t="s">
        <v>243</v>
      </c>
      <c r="C248" s="4" t="s">
        <v>240</v>
      </c>
      <c r="D248" s="4" t="s">
        <v>1633</v>
      </c>
      <c r="E248" s="4" t="n">
        <v>0</v>
      </c>
      <c r="F248" s="4" t="n">
        <v>1781107586</v>
      </c>
      <c r="G248" s="4" t="n">
        <v>1000000000000000</v>
      </c>
      <c r="H248" s="12" t="n">
        <f aca="false">IF(AND(E248=0,F248&lt;1000000000000000,F248+Cutoff!$B$16&lt;=Cutoff!$D$13),1,0)</f>
        <v>1</v>
      </c>
      <c r="I248" s="12" t="n">
        <f aca="false">IF(AND(H248=1,G248&lt;1000000000000000,G248&gt;=F248,G248&lt;F248+Cutoff!$B$16),1,0)</f>
        <v>0</v>
      </c>
    </row>
    <row r="249" customFormat="false" ht="15" hidden="false" customHeight="false" outlineLevel="0" collapsed="false">
      <c r="A249" s="4" t="s">
        <v>773</v>
      </c>
      <c r="B249" s="4" t="s">
        <v>242</v>
      </c>
      <c r="C249" s="4" t="s">
        <v>240</v>
      </c>
      <c r="D249" s="4" t="s">
        <v>1633</v>
      </c>
      <c r="E249" s="4" t="n">
        <v>0</v>
      </c>
      <c r="F249" s="4" t="n">
        <v>1781115382</v>
      </c>
      <c r="G249" s="4" t="n">
        <v>1000000000000000</v>
      </c>
      <c r="H249" s="12" t="n">
        <f aca="false">IF(AND(E249=0,F249&lt;1000000000000000,F249+Cutoff!$B$16&lt;=Cutoff!$D$13),1,0)</f>
        <v>1</v>
      </c>
      <c r="I249" s="12" t="n">
        <f aca="false">IF(AND(H249=1,G249&lt;1000000000000000,G249&gt;=F249,G249&lt;F249+Cutoff!$B$16),1,0)</f>
        <v>0</v>
      </c>
    </row>
    <row r="250" customFormat="false" ht="15" hidden="false" customHeight="false" outlineLevel="0" collapsed="false">
      <c r="A250" s="4" t="s">
        <v>775</v>
      </c>
      <c r="B250" s="4" t="s">
        <v>243</v>
      </c>
      <c r="C250" s="4" t="s">
        <v>240</v>
      </c>
      <c r="D250" s="4" t="s">
        <v>1634</v>
      </c>
      <c r="E250" s="4" t="n">
        <v>0</v>
      </c>
      <c r="F250" s="4" t="n">
        <v>1781127592</v>
      </c>
      <c r="G250" s="4" t="n">
        <v>1781418604</v>
      </c>
      <c r="H250" s="12" t="n">
        <f aca="false">IF(AND(E250=0,F250&lt;1000000000000000,F250+Cutoff!$B$16&lt;=Cutoff!$D$13),1,0)</f>
        <v>1</v>
      </c>
      <c r="I250" s="12" t="n">
        <f aca="false">IF(AND(H250=1,G250&lt;1000000000000000,G250&gt;=F250,G250&lt;F250+Cutoff!$B$16),1,0)</f>
        <v>1</v>
      </c>
    </row>
    <row r="251" customFormat="false" ht="15" hidden="false" customHeight="false" outlineLevel="0" collapsed="false">
      <c r="A251" s="4" t="s">
        <v>777</v>
      </c>
      <c r="B251" s="4" t="s">
        <v>242</v>
      </c>
      <c r="C251" s="4" t="s">
        <v>238</v>
      </c>
      <c r="D251" s="4" t="s">
        <v>1632</v>
      </c>
      <c r="E251" s="4" t="n">
        <v>0</v>
      </c>
      <c r="F251" s="4" t="n">
        <v>1781173016</v>
      </c>
      <c r="G251" s="4" t="n">
        <v>1000000000000000</v>
      </c>
      <c r="H251" s="12" t="n">
        <f aca="false">IF(AND(E251=0,F251&lt;1000000000000000,F251+Cutoff!$B$16&lt;=Cutoff!$D$13),1,0)</f>
        <v>1</v>
      </c>
      <c r="I251" s="12" t="n">
        <f aca="false">IF(AND(H251=1,G251&lt;1000000000000000,G251&gt;=F251,G251&lt;F251+Cutoff!$B$16),1,0)</f>
        <v>0</v>
      </c>
    </row>
    <row r="252" customFormat="false" ht="15" hidden="false" customHeight="false" outlineLevel="0" collapsed="false">
      <c r="A252" s="4" t="s">
        <v>779</v>
      </c>
      <c r="B252" s="4" t="s">
        <v>242</v>
      </c>
      <c r="C252" s="4" t="s">
        <v>240</v>
      </c>
      <c r="D252" s="4" t="s">
        <v>1633</v>
      </c>
      <c r="E252" s="4" t="n">
        <v>0</v>
      </c>
      <c r="F252" s="4" t="n">
        <v>1781189376</v>
      </c>
      <c r="G252" s="4" t="n">
        <v>1781269714</v>
      </c>
      <c r="H252" s="12" t="n">
        <f aca="false">IF(AND(E252=0,F252&lt;1000000000000000,F252+Cutoff!$B$16&lt;=Cutoff!$D$13),1,0)</f>
        <v>1</v>
      </c>
      <c r="I252" s="12" t="n">
        <f aca="false">IF(AND(H252=1,G252&lt;1000000000000000,G252&gt;=F252,G252&lt;F252+Cutoff!$B$16),1,0)</f>
        <v>1</v>
      </c>
    </row>
    <row r="253" customFormat="false" ht="15" hidden="false" customHeight="false" outlineLevel="0" collapsed="false">
      <c r="A253" s="4" t="s">
        <v>781</v>
      </c>
      <c r="B253" s="4" t="s">
        <v>237</v>
      </c>
      <c r="C253" s="4" t="s">
        <v>238</v>
      </c>
      <c r="D253" s="4" t="s">
        <v>1633</v>
      </c>
      <c r="E253" s="4" t="n">
        <v>0</v>
      </c>
      <c r="F253" s="4" t="n">
        <v>1781193795</v>
      </c>
      <c r="G253" s="4" t="n">
        <v>1781210180</v>
      </c>
      <c r="H253" s="12" t="n">
        <f aca="false">IF(AND(E253=0,F253&lt;1000000000000000,F253+Cutoff!$B$16&lt;=Cutoff!$D$13),1,0)</f>
        <v>1</v>
      </c>
      <c r="I253" s="12" t="n">
        <f aca="false">IF(AND(H253=1,G253&lt;1000000000000000,G253&gt;=F253,G253&lt;F253+Cutoff!$B$16),1,0)</f>
        <v>1</v>
      </c>
    </row>
    <row r="254" customFormat="false" ht="15" hidden="false" customHeight="false" outlineLevel="0" collapsed="false">
      <c r="A254" s="4" t="s">
        <v>783</v>
      </c>
      <c r="B254" s="4" t="s">
        <v>242</v>
      </c>
      <c r="C254" s="4" t="s">
        <v>240</v>
      </c>
      <c r="D254" s="4" t="s">
        <v>1634</v>
      </c>
      <c r="E254" s="4" t="n">
        <v>0</v>
      </c>
      <c r="F254" s="4" t="n">
        <v>1781197861</v>
      </c>
      <c r="G254" s="4" t="n">
        <v>1782858708</v>
      </c>
      <c r="H254" s="12" t="n">
        <f aca="false">IF(AND(E254=0,F254&lt;1000000000000000,F254+Cutoff!$B$16&lt;=Cutoff!$D$13),1,0)</f>
        <v>1</v>
      </c>
      <c r="I254" s="12" t="n">
        <f aca="false">IF(AND(H254=1,G254&lt;1000000000000000,G254&gt;=F254,G254&lt;F254+Cutoff!$B$16),1,0)</f>
        <v>0</v>
      </c>
    </row>
    <row r="255" customFormat="false" ht="15" hidden="false" customHeight="false" outlineLevel="0" collapsed="false">
      <c r="A255" s="4" t="s">
        <v>785</v>
      </c>
      <c r="B255" s="4" t="s">
        <v>242</v>
      </c>
      <c r="C255" s="4" t="s">
        <v>238</v>
      </c>
      <c r="D255" s="4" t="s">
        <v>1634</v>
      </c>
      <c r="E255" s="4" t="n">
        <v>0</v>
      </c>
      <c r="F255" s="4" t="n">
        <v>1781204070</v>
      </c>
      <c r="G255" s="4" t="n">
        <v>1781285383</v>
      </c>
      <c r="H255" s="12" t="n">
        <f aca="false">IF(AND(E255=0,F255&lt;1000000000000000,F255+Cutoff!$B$16&lt;=Cutoff!$D$13),1,0)</f>
        <v>1</v>
      </c>
      <c r="I255" s="12" t="n">
        <f aca="false">IF(AND(H255=1,G255&lt;1000000000000000,G255&gt;=F255,G255&lt;F255+Cutoff!$B$16),1,0)</f>
        <v>1</v>
      </c>
    </row>
    <row r="256" customFormat="false" ht="15" hidden="false" customHeight="false" outlineLevel="0" collapsed="false">
      <c r="A256" s="4" t="s">
        <v>787</v>
      </c>
      <c r="B256" s="4" t="s">
        <v>242</v>
      </c>
      <c r="C256" s="4" t="s">
        <v>239</v>
      </c>
      <c r="D256" s="4" t="s">
        <v>1633</v>
      </c>
      <c r="E256" s="4" t="n">
        <v>0</v>
      </c>
      <c r="F256" s="4" t="n">
        <v>1781206264</v>
      </c>
      <c r="G256" s="4" t="n">
        <v>1000000000000000</v>
      </c>
      <c r="H256" s="12" t="n">
        <f aca="false">IF(AND(E256=0,F256&lt;1000000000000000,F256+Cutoff!$B$16&lt;=Cutoff!$D$13),1,0)</f>
        <v>1</v>
      </c>
      <c r="I256" s="12" t="n">
        <f aca="false">IF(AND(H256=1,G256&lt;1000000000000000,G256&gt;=F256,G256&lt;F256+Cutoff!$B$16),1,0)</f>
        <v>0</v>
      </c>
    </row>
    <row r="257" customFormat="false" ht="15" hidden="false" customHeight="false" outlineLevel="0" collapsed="false">
      <c r="A257" s="4" t="s">
        <v>789</v>
      </c>
      <c r="B257" s="4" t="s">
        <v>243</v>
      </c>
      <c r="C257" s="4" t="s">
        <v>240</v>
      </c>
      <c r="D257" s="4" t="s">
        <v>1632</v>
      </c>
      <c r="E257" s="4" t="n">
        <v>0</v>
      </c>
      <c r="F257" s="4" t="n">
        <v>1781275793</v>
      </c>
      <c r="G257" s="4" t="n">
        <v>1781776322</v>
      </c>
      <c r="H257" s="12" t="n">
        <f aca="false">IF(AND(E257=0,F257&lt;1000000000000000,F257+Cutoff!$B$16&lt;=Cutoff!$D$13),1,0)</f>
        <v>1</v>
      </c>
      <c r="I257" s="12" t="n">
        <f aca="false">IF(AND(H257=1,G257&lt;1000000000000000,G257&gt;=F257,G257&lt;F257+Cutoff!$B$16),1,0)</f>
        <v>1</v>
      </c>
    </row>
    <row r="258" customFormat="false" ht="15" hidden="false" customHeight="false" outlineLevel="0" collapsed="false">
      <c r="A258" s="4" t="s">
        <v>791</v>
      </c>
      <c r="B258" s="4" t="s">
        <v>243</v>
      </c>
      <c r="C258" s="4" t="s">
        <v>240</v>
      </c>
      <c r="D258" s="4" t="s">
        <v>1633</v>
      </c>
      <c r="E258" s="4" t="n">
        <v>0</v>
      </c>
      <c r="F258" s="4" t="n">
        <v>1781286437</v>
      </c>
      <c r="G258" s="4" t="n">
        <v>1781434714</v>
      </c>
      <c r="H258" s="12" t="n">
        <f aca="false">IF(AND(E258=0,F258&lt;1000000000000000,F258+Cutoff!$B$16&lt;=Cutoff!$D$13),1,0)</f>
        <v>1</v>
      </c>
      <c r="I258" s="12" t="n">
        <f aca="false">IF(AND(H258=1,G258&lt;1000000000000000,G258&gt;=F258,G258&lt;F258+Cutoff!$B$16),1,0)</f>
        <v>1</v>
      </c>
    </row>
    <row r="259" customFormat="false" ht="15" hidden="false" customHeight="false" outlineLevel="0" collapsed="false">
      <c r="A259" s="4" t="s">
        <v>793</v>
      </c>
      <c r="B259" s="4" t="s">
        <v>242</v>
      </c>
      <c r="C259" s="4" t="s">
        <v>240</v>
      </c>
      <c r="D259" s="4" t="s">
        <v>1633</v>
      </c>
      <c r="E259" s="4" t="n">
        <v>0</v>
      </c>
      <c r="F259" s="4" t="n">
        <v>1781287354</v>
      </c>
      <c r="G259" s="4" t="n">
        <v>1000000000000000</v>
      </c>
      <c r="H259" s="12" t="n">
        <f aca="false">IF(AND(E259=0,F259&lt;1000000000000000,F259+Cutoff!$B$16&lt;=Cutoff!$D$13),1,0)</f>
        <v>1</v>
      </c>
      <c r="I259" s="12" t="n">
        <f aca="false">IF(AND(H259=1,G259&lt;1000000000000000,G259&gt;=F259,G259&lt;F259+Cutoff!$B$16),1,0)</f>
        <v>0</v>
      </c>
    </row>
    <row r="260" customFormat="false" ht="15" hidden="false" customHeight="false" outlineLevel="0" collapsed="false">
      <c r="A260" s="4" t="s">
        <v>795</v>
      </c>
      <c r="B260" s="4" t="s">
        <v>243</v>
      </c>
      <c r="C260" s="4" t="s">
        <v>239</v>
      </c>
      <c r="D260" s="4" t="s">
        <v>1632</v>
      </c>
      <c r="E260" s="4" t="n">
        <v>0</v>
      </c>
      <c r="F260" s="4" t="n">
        <v>1781531196</v>
      </c>
      <c r="G260" s="4" t="n">
        <v>1781596101</v>
      </c>
      <c r="H260" s="12" t="n">
        <f aca="false">IF(AND(E260=0,F260&lt;1000000000000000,F260+Cutoff!$B$16&lt;=Cutoff!$D$13),1,0)</f>
        <v>1</v>
      </c>
      <c r="I260" s="12" t="n">
        <f aca="false">IF(AND(H260=1,G260&lt;1000000000000000,G260&gt;=F260,G260&lt;F260+Cutoff!$B$16),1,0)</f>
        <v>1</v>
      </c>
    </row>
    <row r="261" customFormat="false" ht="15" hidden="false" customHeight="false" outlineLevel="0" collapsed="false">
      <c r="A261" s="4" t="s">
        <v>797</v>
      </c>
      <c r="B261" s="4" t="s">
        <v>242</v>
      </c>
      <c r="C261" s="4" t="s">
        <v>239</v>
      </c>
      <c r="D261" s="4" t="s">
        <v>1633</v>
      </c>
      <c r="E261" s="4" t="n">
        <v>0</v>
      </c>
      <c r="F261" s="4" t="n">
        <v>1781535806</v>
      </c>
      <c r="G261" s="4" t="n">
        <v>1000000000000000</v>
      </c>
      <c r="H261" s="12" t="n">
        <f aca="false">IF(AND(E261=0,F261&lt;1000000000000000,F261+Cutoff!$B$16&lt;=Cutoff!$D$13),1,0)</f>
        <v>1</v>
      </c>
      <c r="I261" s="12" t="n">
        <f aca="false">IF(AND(H261=1,G261&lt;1000000000000000,G261&gt;=F261,G261&lt;F261+Cutoff!$B$16),1,0)</f>
        <v>0</v>
      </c>
    </row>
    <row r="262" customFormat="false" ht="15" hidden="false" customHeight="false" outlineLevel="0" collapsed="false">
      <c r="A262" s="4" t="s">
        <v>799</v>
      </c>
      <c r="B262" s="4" t="s">
        <v>243</v>
      </c>
      <c r="C262" s="4" t="s">
        <v>240</v>
      </c>
      <c r="D262" s="4" t="s">
        <v>1634</v>
      </c>
      <c r="E262" s="4" t="n">
        <v>0</v>
      </c>
      <c r="F262" s="4" t="n">
        <v>1781547252</v>
      </c>
      <c r="G262" s="4" t="n">
        <v>1000000000000000</v>
      </c>
      <c r="H262" s="12" t="n">
        <f aca="false">IF(AND(E262=0,F262&lt;1000000000000000,F262+Cutoff!$B$16&lt;=Cutoff!$D$13),1,0)</f>
        <v>1</v>
      </c>
      <c r="I262" s="12" t="n">
        <f aca="false">IF(AND(H262=1,G262&lt;1000000000000000,G262&gt;=F262,G262&lt;F262+Cutoff!$B$16),1,0)</f>
        <v>0</v>
      </c>
    </row>
    <row r="263" customFormat="false" ht="15" hidden="false" customHeight="false" outlineLevel="0" collapsed="false">
      <c r="A263" s="4" t="s">
        <v>801</v>
      </c>
      <c r="B263" s="4" t="s">
        <v>243</v>
      </c>
      <c r="C263" s="4" t="s">
        <v>238</v>
      </c>
      <c r="D263" s="4" t="s">
        <v>1634</v>
      </c>
      <c r="E263" s="4" t="n">
        <v>0</v>
      </c>
      <c r="F263" s="4" t="n">
        <v>1781550699</v>
      </c>
      <c r="G263" s="4" t="n">
        <v>1781932647</v>
      </c>
      <c r="H263" s="12" t="n">
        <f aca="false">IF(AND(E263=0,F263&lt;1000000000000000,F263+Cutoff!$B$16&lt;=Cutoff!$D$13),1,0)</f>
        <v>1</v>
      </c>
      <c r="I263" s="12" t="n">
        <f aca="false">IF(AND(H263=1,G263&lt;1000000000000000,G263&gt;=F263,G263&lt;F263+Cutoff!$B$16),1,0)</f>
        <v>1</v>
      </c>
    </row>
    <row r="264" customFormat="false" ht="15" hidden="false" customHeight="false" outlineLevel="0" collapsed="false">
      <c r="A264" s="4" t="s">
        <v>803</v>
      </c>
      <c r="B264" s="4" t="s">
        <v>243</v>
      </c>
      <c r="C264" s="4" t="s">
        <v>240</v>
      </c>
      <c r="D264" s="4" t="s">
        <v>1633</v>
      </c>
      <c r="E264" s="4" t="n">
        <v>0</v>
      </c>
      <c r="F264" s="4" t="n">
        <v>1781553207</v>
      </c>
      <c r="G264" s="4" t="n">
        <v>1000000000000000</v>
      </c>
      <c r="H264" s="12" t="n">
        <f aca="false">IF(AND(E264=0,F264&lt;1000000000000000,F264+Cutoff!$B$16&lt;=Cutoff!$D$13),1,0)</f>
        <v>1</v>
      </c>
      <c r="I264" s="12" t="n">
        <f aca="false">IF(AND(H264=1,G264&lt;1000000000000000,G264&gt;=F264,G264&lt;F264+Cutoff!$B$16),1,0)</f>
        <v>0</v>
      </c>
    </row>
    <row r="265" customFormat="false" ht="15" hidden="false" customHeight="false" outlineLevel="0" collapsed="false">
      <c r="A265" s="4" t="s">
        <v>805</v>
      </c>
      <c r="B265" s="4" t="s">
        <v>243</v>
      </c>
      <c r="C265" s="4" t="s">
        <v>240</v>
      </c>
      <c r="D265" s="4" t="s">
        <v>1634</v>
      </c>
      <c r="E265" s="4" t="n">
        <v>0</v>
      </c>
      <c r="F265" s="4" t="n">
        <v>1781561003</v>
      </c>
      <c r="G265" s="4" t="n">
        <v>1781797237</v>
      </c>
      <c r="H265" s="12" t="n">
        <f aca="false">IF(AND(E265=0,F265&lt;1000000000000000,F265+Cutoff!$B$16&lt;=Cutoff!$D$13),1,0)</f>
        <v>1</v>
      </c>
      <c r="I265" s="12" t="n">
        <f aca="false">IF(AND(H265=1,G265&lt;1000000000000000,G265&gt;=F265,G265&lt;F265+Cutoff!$B$16),1,0)</f>
        <v>1</v>
      </c>
    </row>
    <row r="266" customFormat="false" ht="15" hidden="false" customHeight="false" outlineLevel="0" collapsed="false">
      <c r="A266" s="4" t="s">
        <v>807</v>
      </c>
      <c r="B266" s="4" t="s">
        <v>243</v>
      </c>
      <c r="C266" s="4" t="s">
        <v>239</v>
      </c>
      <c r="D266" s="4" t="s">
        <v>1633</v>
      </c>
      <c r="E266" s="4" t="n">
        <v>0</v>
      </c>
      <c r="F266" s="4" t="n">
        <v>1781561461</v>
      </c>
      <c r="G266" s="4" t="n">
        <v>1000000000000000</v>
      </c>
      <c r="H266" s="12" t="n">
        <f aca="false">IF(AND(E266=0,F266&lt;1000000000000000,F266+Cutoff!$B$16&lt;=Cutoff!$D$13),1,0)</f>
        <v>1</v>
      </c>
      <c r="I266" s="12" t="n">
        <f aca="false">IF(AND(H266=1,G266&lt;1000000000000000,G266&gt;=F266,G266&lt;F266+Cutoff!$B$16),1,0)</f>
        <v>0</v>
      </c>
    </row>
    <row r="267" customFormat="false" ht="15" hidden="false" customHeight="false" outlineLevel="0" collapsed="false">
      <c r="A267" s="4" t="s">
        <v>809</v>
      </c>
      <c r="B267" s="4" t="s">
        <v>237</v>
      </c>
      <c r="C267" s="4" t="s">
        <v>239</v>
      </c>
      <c r="D267" s="4" t="s">
        <v>1632</v>
      </c>
      <c r="E267" s="4" t="n">
        <v>0</v>
      </c>
      <c r="F267" s="4" t="n">
        <v>1781608586</v>
      </c>
      <c r="G267" s="4" t="n">
        <v>1000000000000000</v>
      </c>
      <c r="H267" s="12" t="n">
        <f aca="false">IF(AND(E267=0,F267&lt;1000000000000000,F267+Cutoff!$B$16&lt;=Cutoff!$D$13),1,0)</f>
        <v>1</v>
      </c>
      <c r="I267" s="12" t="n">
        <f aca="false">IF(AND(H267=1,G267&lt;1000000000000000,G267&gt;=F267,G267&lt;F267+Cutoff!$B$16),1,0)</f>
        <v>0</v>
      </c>
    </row>
    <row r="268" customFormat="false" ht="15" hidden="false" customHeight="false" outlineLevel="0" collapsed="false">
      <c r="A268" s="4" t="s">
        <v>811</v>
      </c>
      <c r="B268" s="4" t="s">
        <v>243</v>
      </c>
      <c r="C268" s="4" t="s">
        <v>240</v>
      </c>
      <c r="D268" s="4" t="s">
        <v>1633</v>
      </c>
      <c r="E268" s="4" t="n">
        <v>0</v>
      </c>
      <c r="F268" s="4" t="n">
        <v>1781626358</v>
      </c>
      <c r="G268" s="4" t="n">
        <v>1781628949</v>
      </c>
      <c r="H268" s="12" t="n">
        <f aca="false">IF(AND(E268=0,F268&lt;1000000000000000,F268+Cutoff!$B$16&lt;=Cutoff!$D$13),1,0)</f>
        <v>1</v>
      </c>
      <c r="I268" s="12" t="n">
        <f aca="false">IF(AND(H268=1,G268&lt;1000000000000000,G268&gt;=F268,G268&lt;F268+Cutoff!$B$16),1,0)</f>
        <v>1</v>
      </c>
    </row>
    <row r="269" customFormat="false" ht="15" hidden="false" customHeight="false" outlineLevel="0" collapsed="false">
      <c r="A269" s="4" t="s">
        <v>813</v>
      </c>
      <c r="B269" s="4" t="s">
        <v>242</v>
      </c>
      <c r="C269" s="4" t="s">
        <v>240</v>
      </c>
      <c r="D269" s="4" t="s">
        <v>1632</v>
      </c>
      <c r="E269" s="4" t="n">
        <v>0</v>
      </c>
      <c r="F269" s="4" t="n">
        <v>1781629470</v>
      </c>
      <c r="G269" s="4" t="n">
        <v>1000000000000000</v>
      </c>
      <c r="H269" s="12" t="n">
        <f aca="false">IF(AND(E269=0,F269&lt;1000000000000000,F269+Cutoff!$B$16&lt;=Cutoff!$D$13),1,0)</f>
        <v>1</v>
      </c>
      <c r="I269" s="12" t="n">
        <f aca="false">IF(AND(H269=1,G269&lt;1000000000000000,G269&gt;=F269,G269&lt;F269+Cutoff!$B$16),1,0)</f>
        <v>0</v>
      </c>
    </row>
    <row r="270" customFormat="false" ht="15" hidden="false" customHeight="false" outlineLevel="0" collapsed="false">
      <c r="A270" s="4" t="s">
        <v>815</v>
      </c>
      <c r="B270" s="4" t="s">
        <v>243</v>
      </c>
      <c r="C270" s="4" t="s">
        <v>240</v>
      </c>
      <c r="D270" s="4" t="s">
        <v>1633</v>
      </c>
      <c r="E270" s="4" t="n">
        <v>0</v>
      </c>
      <c r="F270" s="4" t="n">
        <v>1781643440</v>
      </c>
      <c r="G270" s="4" t="n">
        <v>1000000000000000</v>
      </c>
      <c r="H270" s="12" t="n">
        <f aca="false">IF(AND(E270=0,F270&lt;1000000000000000,F270+Cutoff!$B$16&lt;=Cutoff!$D$13),1,0)</f>
        <v>1</v>
      </c>
      <c r="I270" s="12" t="n">
        <f aca="false">IF(AND(H270=1,G270&lt;1000000000000000,G270&gt;=F270,G270&lt;F270+Cutoff!$B$16),1,0)</f>
        <v>0</v>
      </c>
    </row>
    <row r="271" customFormat="false" ht="15" hidden="false" customHeight="false" outlineLevel="0" collapsed="false">
      <c r="A271" s="4" t="s">
        <v>817</v>
      </c>
      <c r="B271" s="4" t="s">
        <v>242</v>
      </c>
      <c r="C271" s="4" t="s">
        <v>239</v>
      </c>
      <c r="D271" s="4" t="s">
        <v>1633</v>
      </c>
      <c r="E271" s="4" t="n">
        <v>0</v>
      </c>
      <c r="F271" s="4" t="n">
        <v>1781643495</v>
      </c>
      <c r="G271" s="4" t="n">
        <v>1000000000000000</v>
      </c>
      <c r="H271" s="12" t="n">
        <f aca="false">IF(AND(E271=0,F271&lt;1000000000000000,F271+Cutoff!$B$16&lt;=Cutoff!$D$13),1,0)</f>
        <v>1</v>
      </c>
      <c r="I271" s="12" t="n">
        <f aca="false">IF(AND(H271=1,G271&lt;1000000000000000,G271&gt;=F271,G271&lt;F271+Cutoff!$B$16),1,0)</f>
        <v>0</v>
      </c>
    </row>
    <row r="272" customFormat="false" ht="15" hidden="false" customHeight="false" outlineLevel="0" collapsed="false">
      <c r="A272" s="4" t="s">
        <v>819</v>
      </c>
      <c r="B272" s="4" t="s">
        <v>237</v>
      </c>
      <c r="C272" s="4" t="s">
        <v>239</v>
      </c>
      <c r="D272" s="4" t="s">
        <v>1634</v>
      </c>
      <c r="E272" s="4" t="n">
        <v>0</v>
      </c>
      <c r="F272" s="4" t="n">
        <v>1781651908</v>
      </c>
      <c r="G272" s="4" t="n">
        <v>1781701967</v>
      </c>
      <c r="H272" s="12" t="n">
        <f aca="false">IF(AND(E272=0,F272&lt;1000000000000000,F272+Cutoff!$B$16&lt;=Cutoff!$D$13),1,0)</f>
        <v>1</v>
      </c>
      <c r="I272" s="12" t="n">
        <f aca="false">IF(AND(H272=1,G272&lt;1000000000000000,G272&gt;=F272,G272&lt;F272+Cutoff!$B$16),1,0)</f>
        <v>1</v>
      </c>
    </row>
    <row r="273" customFormat="false" ht="15" hidden="false" customHeight="false" outlineLevel="0" collapsed="false">
      <c r="A273" s="4" t="s">
        <v>821</v>
      </c>
      <c r="B273" s="4" t="s">
        <v>243</v>
      </c>
      <c r="C273" s="4" t="s">
        <v>240</v>
      </c>
      <c r="D273" s="4" t="s">
        <v>1633</v>
      </c>
      <c r="E273" s="4" t="n">
        <v>0</v>
      </c>
      <c r="F273" s="4" t="n">
        <v>1781707952</v>
      </c>
      <c r="G273" s="4" t="n">
        <v>1000000000000000</v>
      </c>
      <c r="H273" s="12" t="n">
        <f aca="false">IF(AND(E273=0,F273&lt;1000000000000000,F273+Cutoff!$B$16&lt;=Cutoff!$D$13),1,0)</f>
        <v>1</v>
      </c>
      <c r="I273" s="12" t="n">
        <f aca="false">IF(AND(H273=1,G273&lt;1000000000000000,G273&gt;=F273,G273&lt;F273+Cutoff!$B$16),1,0)</f>
        <v>0</v>
      </c>
    </row>
    <row r="274" customFormat="false" ht="15" hidden="false" customHeight="false" outlineLevel="0" collapsed="false">
      <c r="A274" s="4" t="s">
        <v>823</v>
      </c>
      <c r="B274" s="4" t="s">
        <v>243</v>
      </c>
      <c r="C274" s="4" t="s">
        <v>239</v>
      </c>
      <c r="D274" s="4" t="s">
        <v>1632</v>
      </c>
      <c r="E274" s="4" t="n">
        <v>0</v>
      </c>
      <c r="F274" s="4" t="n">
        <v>1781790575</v>
      </c>
      <c r="G274" s="4" t="n">
        <v>1000000000000000</v>
      </c>
      <c r="H274" s="12" t="n">
        <f aca="false">IF(AND(E274=0,F274&lt;1000000000000000,F274+Cutoff!$B$16&lt;=Cutoff!$D$13),1,0)</f>
        <v>1</v>
      </c>
      <c r="I274" s="12" t="n">
        <f aca="false">IF(AND(H274=1,G274&lt;1000000000000000,G274&gt;=F274,G274&lt;F274+Cutoff!$B$16),1,0)</f>
        <v>0</v>
      </c>
    </row>
    <row r="275" customFormat="false" ht="15" hidden="false" customHeight="false" outlineLevel="0" collapsed="false">
      <c r="A275" s="4" t="s">
        <v>825</v>
      </c>
      <c r="B275" s="4" t="s">
        <v>243</v>
      </c>
      <c r="C275" s="4" t="s">
        <v>239</v>
      </c>
      <c r="D275" s="4" t="s">
        <v>1634</v>
      </c>
      <c r="E275" s="4" t="n">
        <v>0</v>
      </c>
      <c r="F275" s="4" t="n">
        <v>1781837724</v>
      </c>
      <c r="G275" s="4" t="n">
        <v>1000000000000000</v>
      </c>
      <c r="H275" s="12" t="n">
        <f aca="false">IF(AND(E275=0,F275&lt;1000000000000000,F275+Cutoff!$B$16&lt;=Cutoff!$D$13),1,0)</f>
        <v>1</v>
      </c>
      <c r="I275" s="12" t="n">
        <f aca="false">IF(AND(H275=1,G275&lt;1000000000000000,G275&gt;=F275,G275&lt;F275+Cutoff!$B$16),1,0)</f>
        <v>0</v>
      </c>
    </row>
    <row r="276" customFormat="false" ht="15" hidden="false" customHeight="false" outlineLevel="0" collapsed="false">
      <c r="A276" s="4" t="s">
        <v>827</v>
      </c>
      <c r="B276" s="4" t="s">
        <v>243</v>
      </c>
      <c r="C276" s="4" t="s">
        <v>240</v>
      </c>
      <c r="D276" s="4" t="s">
        <v>1632</v>
      </c>
      <c r="E276" s="4" t="n">
        <v>0</v>
      </c>
      <c r="F276" s="4" t="n">
        <v>1781861398</v>
      </c>
      <c r="G276" s="4" t="n">
        <v>1000000000000000</v>
      </c>
      <c r="H276" s="12" t="n">
        <f aca="false">IF(AND(E276=0,F276&lt;1000000000000000,F276+Cutoff!$B$16&lt;=Cutoff!$D$13),1,0)</f>
        <v>1</v>
      </c>
      <c r="I276" s="12" t="n">
        <f aca="false">IF(AND(H276=1,G276&lt;1000000000000000,G276&gt;=F276,G276&lt;F276+Cutoff!$B$16),1,0)</f>
        <v>0</v>
      </c>
    </row>
    <row r="277" customFormat="false" ht="15" hidden="false" customHeight="false" outlineLevel="0" collapsed="false">
      <c r="A277" s="4" t="s">
        <v>829</v>
      </c>
      <c r="B277" s="4" t="s">
        <v>237</v>
      </c>
      <c r="C277" s="4" t="s">
        <v>238</v>
      </c>
      <c r="D277" s="4" t="s">
        <v>1633</v>
      </c>
      <c r="E277" s="4" t="n">
        <v>0</v>
      </c>
      <c r="F277" s="4" t="n">
        <v>1781892519</v>
      </c>
      <c r="G277" s="4" t="n">
        <v>1000000000000000</v>
      </c>
      <c r="H277" s="12" t="n">
        <f aca="false">IF(AND(E277=0,F277&lt;1000000000000000,F277+Cutoff!$B$16&lt;=Cutoff!$D$13),1,0)</f>
        <v>1</v>
      </c>
      <c r="I277" s="12" t="n">
        <f aca="false">IF(AND(H277=1,G277&lt;1000000000000000,G277&gt;=F277,G277&lt;F277+Cutoff!$B$16),1,0)</f>
        <v>0</v>
      </c>
    </row>
    <row r="278" customFormat="false" ht="15" hidden="false" customHeight="false" outlineLevel="0" collapsed="false">
      <c r="A278" s="4" t="s">
        <v>831</v>
      </c>
      <c r="B278" s="4" t="s">
        <v>237</v>
      </c>
      <c r="C278" s="4" t="s">
        <v>239</v>
      </c>
      <c r="D278" s="4" t="s">
        <v>1633</v>
      </c>
      <c r="E278" s="4" t="n">
        <v>0</v>
      </c>
      <c r="F278" s="4" t="n">
        <v>1781908191</v>
      </c>
      <c r="G278" s="4" t="n">
        <v>1781910239</v>
      </c>
      <c r="H278" s="12" t="n">
        <f aca="false">IF(AND(E278=0,F278&lt;1000000000000000,F278+Cutoff!$B$16&lt;=Cutoff!$D$13),1,0)</f>
        <v>1</v>
      </c>
      <c r="I278" s="12" t="n">
        <f aca="false">IF(AND(H278=1,G278&lt;1000000000000000,G278&gt;=F278,G278&lt;F278+Cutoff!$B$16),1,0)</f>
        <v>1</v>
      </c>
    </row>
    <row r="279" customFormat="false" ht="15" hidden="false" customHeight="false" outlineLevel="0" collapsed="false">
      <c r="A279" s="4" t="s">
        <v>833</v>
      </c>
      <c r="B279" s="4" t="s">
        <v>242</v>
      </c>
      <c r="C279" s="4" t="s">
        <v>239</v>
      </c>
      <c r="D279" s="4" t="s">
        <v>1633</v>
      </c>
      <c r="E279" s="4" t="n">
        <v>0</v>
      </c>
      <c r="F279" s="4" t="n">
        <v>1781965962</v>
      </c>
      <c r="G279" s="4" t="n">
        <v>1781968868</v>
      </c>
      <c r="H279" s="12" t="n">
        <f aca="false">IF(AND(E279=0,F279&lt;1000000000000000,F279+Cutoff!$B$16&lt;=Cutoff!$D$13),1,0)</f>
        <v>1</v>
      </c>
      <c r="I279" s="12" t="n">
        <f aca="false">IF(AND(H279=1,G279&lt;1000000000000000,G279&gt;=F279,G279&lt;F279+Cutoff!$B$16),1,0)</f>
        <v>1</v>
      </c>
    </row>
    <row r="280" customFormat="false" ht="15" hidden="false" customHeight="false" outlineLevel="0" collapsed="false">
      <c r="A280" s="4" t="s">
        <v>835</v>
      </c>
      <c r="B280" s="4" t="s">
        <v>243</v>
      </c>
      <c r="C280" s="4" t="s">
        <v>240</v>
      </c>
      <c r="D280" s="4" t="s">
        <v>1633</v>
      </c>
      <c r="E280" s="4" t="n">
        <v>0</v>
      </c>
      <c r="F280" s="4" t="n">
        <v>1781969952</v>
      </c>
      <c r="G280" s="4" t="n">
        <v>1782180506</v>
      </c>
      <c r="H280" s="12" t="n">
        <f aca="false">IF(AND(E280=0,F280&lt;1000000000000000,F280+Cutoff!$B$16&lt;=Cutoff!$D$13),1,0)</f>
        <v>1</v>
      </c>
      <c r="I280" s="12" t="n">
        <f aca="false">IF(AND(H280=1,G280&lt;1000000000000000,G280&gt;=F280,G280&lt;F280+Cutoff!$B$16),1,0)</f>
        <v>1</v>
      </c>
    </row>
    <row r="281" customFormat="false" ht="15" hidden="false" customHeight="false" outlineLevel="0" collapsed="false">
      <c r="A281" s="4" t="s">
        <v>837</v>
      </c>
      <c r="B281" s="4" t="s">
        <v>242</v>
      </c>
      <c r="C281" s="4" t="s">
        <v>240</v>
      </c>
      <c r="D281" s="4" t="s">
        <v>1634</v>
      </c>
      <c r="E281" s="4" t="n">
        <v>0</v>
      </c>
      <c r="F281" s="4" t="n">
        <v>1781977398</v>
      </c>
      <c r="G281" s="4" t="n">
        <v>1783893787</v>
      </c>
      <c r="H281" s="12" t="n">
        <f aca="false">IF(AND(E281=0,F281&lt;1000000000000000,F281+Cutoff!$B$16&lt;=Cutoff!$D$13),1,0)</f>
        <v>1</v>
      </c>
      <c r="I281" s="12" t="n">
        <f aca="false">IF(AND(H281=1,G281&lt;1000000000000000,G281&gt;=F281,G281&lt;F281+Cutoff!$B$16),1,0)</f>
        <v>0</v>
      </c>
    </row>
    <row r="282" customFormat="false" ht="15" hidden="false" customHeight="false" outlineLevel="0" collapsed="false">
      <c r="A282" s="4" t="s">
        <v>839</v>
      </c>
      <c r="B282" s="4" t="s">
        <v>242</v>
      </c>
      <c r="C282" s="4" t="s">
        <v>239</v>
      </c>
      <c r="D282" s="4" t="s">
        <v>1633</v>
      </c>
      <c r="E282" s="4" t="n">
        <v>0</v>
      </c>
      <c r="F282" s="4" t="n">
        <v>1781983122</v>
      </c>
      <c r="G282" s="4" t="n">
        <v>1000000000000000</v>
      </c>
      <c r="H282" s="12" t="n">
        <f aca="false">IF(AND(E282=0,F282&lt;1000000000000000,F282+Cutoff!$B$16&lt;=Cutoff!$D$13),1,0)</f>
        <v>1</v>
      </c>
      <c r="I282" s="12" t="n">
        <f aca="false">IF(AND(H282=1,G282&lt;1000000000000000,G282&gt;=F282,G282&lt;F282+Cutoff!$B$16),1,0)</f>
        <v>0</v>
      </c>
    </row>
    <row r="283" customFormat="false" ht="15" hidden="false" customHeight="false" outlineLevel="0" collapsed="false">
      <c r="A283" s="4" t="s">
        <v>841</v>
      </c>
      <c r="B283" s="4" t="s">
        <v>243</v>
      </c>
      <c r="C283" s="4" t="s">
        <v>240</v>
      </c>
      <c r="D283" s="4" t="s">
        <v>1633</v>
      </c>
      <c r="E283" s="4" t="n">
        <v>0</v>
      </c>
      <c r="F283" s="4" t="n">
        <v>1781984470</v>
      </c>
      <c r="G283" s="4" t="n">
        <v>1782012743</v>
      </c>
      <c r="H283" s="12" t="n">
        <f aca="false">IF(AND(E283=0,F283&lt;1000000000000000,F283+Cutoff!$B$16&lt;=Cutoff!$D$13),1,0)</f>
        <v>1</v>
      </c>
      <c r="I283" s="12" t="n">
        <f aca="false">IF(AND(H283=1,G283&lt;1000000000000000,G283&gt;=F283,G283&lt;F283+Cutoff!$B$16),1,0)</f>
        <v>1</v>
      </c>
    </row>
    <row r="284" customFormat="false" ht="15" hidden="false" customHeight="false" outlineLevel="0" collapsed="false">
      <c r="A284" s="4" t="s">
        <v>843</v>
      </c>
      <c r="B284" s="4" t="s">
        <v>243</v>
      </c>
      <c r="C284" s="4" t="s">
        <v>240</v>
      </c>
      <c r="D284" s="4" t="s">
        <v>1634</v>
      </c>
      <c r="E284" s="4" t="n">
        <v>0</v>
      </c>
      <c r="F284" s="4" t="n">
        <v>1781992918</v>
      </c>
      <c r="G284" s="4" t="n">
        <v>1000000000000000</v>
      </c>
      <c r="H284" s="12" t="n">
        <f aca="false">IF(AND(E284=0,F284&lt;1000000000000000,F284+Cutoff!$B$16&lt;=Cutoff!$D$13),1,0)</f>
        <v>1</v>
      </c>
      <c r="I284" s="12" t="n">
        <f aca="false">IF(AND(H284=1,G284&lt;1000000000000000,G284&gt;=F284,G284&lt;F284+Cutoff!$B$16),1,0)</f>
        <v>0</v>
      </c>
    </row>
    <row r="285" customFormat="false" ht="15" hidden="false" customHeight="false" outlineLevel="0" collapsed="false">
      <c r="A285" s="4" t="s">
        <v>845</v>
      </c>
      <c r="B285" s="4" t="s">
        <v>242</v>
      </c>
      <c r="C285" s="4" t="s">
        <v>240</v>
      </c>
      <c r="D285" s="4" t="s">
        <v>1633</v>
      </c>
      <c r="E285" s="4" t="n">
        <v>0</v>
      </c>
      <c r="F285" s="4" t="n">
        <v>1782141082</v>
      </c>
      <c r="G285" s="4" t="n">
        <v>1000000000000000</v>
      </c>
      <c r="H285" s="12" t="n">
        <f aca="false">IF(AND(E285=0,F285&lt;1000000000000000,F285+Cutoff!$B$16&lt;=Cutoff!$D$13),1,0)</f>
        <v>1</v>
      </c>
      <c r="I285" s="12" t="n">
        <f aca="false">IF(AND(H285=1,G285&lt;1000000000000000,G285&gt;=F285,G285&lt;F285+Cutoff!$B$16),1,0)</f>
        <v>0</v>
      </c>
    </row>
    <row r="286" customFormat="false" ht="15" hidden="false" customHeight="false" outlineLevel="0" collapsed="false">
      <c r="A286" s="4" t="s">
        <v>847</v>
      </c>
      <c r="B286" s="4" t="s">
        <v>243</v>
      </c>
      <c r="C286" s="4" t="s">
        <v>239</v>
      </c>
      <c r="D286" s="4" t="s">
        <v>1633</v>
      </c>
      <c r="E286" s="4" t="n">
        <v>0</v>
      </c>
      <c r="F286" s="4" t="n">
        <v>1782153709</v>
      </c>
      <c r="G286" s="4" t="n">
        <v>1000000000000000</v>
      </c>
      <c r="H286" s="12" t="n">
        <f aca="false">IF(AND(E286=0,F286&lt;1000000000000000,F286+Cutoff!$B$16&lt;=Cutoff!$D$13),1,0)</f>
        <v>1</v>
      </c>
      <c r="I286" s="12" t="n">
        <f aca="false">IF(AND(H286=1,G286&lt;1000000000000000,G286&gt;=F286,G286&lt;F286+Cutoff!$B$16),1,0)</f>
        <v>0</v>
      </c>
    </row>
    <row r="287" customFormat="false" ht="15" hidden="false" customHeight="false" outlineLevel="0" collapsed="false">
      <c r="A287" s="4" t="s">
        <v>849</v>
      </c>
      <c r="B287" s="4" t="s">
        <v>242</v>
      </c>
      <c r="C287" s="4" t="s">
        <v>240</v>
      </c>
      <c r="D287" s="4" t="s">
        <v>1633</v>
      </c>
      <c r="E287" s="4" t="n">
        <v>0</v>
      </c>
      <c r="F287" s="4" t="n">
        <v>1782157175</v>
      </c>
      <c r="G287" s="4" t="n">
        <v>1000000000000000</v>
      </c>
      <c r="H287" s="12" t="n">
        <f aca="false">IF(AND(E287=0,F287&lt;1000000000000000,F287+Cutoff!$B$16&lt;=Cutoff!$D$13),1,0)</f>
        <v>1</v>
      </c>
      <c r="I287" s="12" t="n">
        <f aca="false">IF(AND(H287=1,G287&lt;1000000000000000,G287&gt;=F287,G287&lt;F287+Cutoff!$B$16),1,0)</f>
        <v>0</v>
      </c>
    </row>
    <row r="288" customFormat="false" ht="15" hidden="false" customHeight="false" outlineLevel="0" collapsed="false">
      <c r="A288" s="4" t="s">
        <v>851</v>
      </c>
      <c r="B288" s="4" t="s">
        <v>242</v>
      </c>
      <c r="C288" s="4" t="s">
        <v>240</v>
      </c>
      <c r="D288" s="4" t="s">
        <v>1634</v>
      </c>
      <c r="E288" s="4" t="n">
        <v>0</v>
      </c>
      <c r="F288" s="4" t="n">
        <v>1782158343</v>
      </c>
      <c r="G288" s="4" t="n">
        <v>1000000000000000</v>
      </c>
      <c r="H288" s="12" t="n">
        <f aca="false">IF(AND(E288=0,F288&lt;1000000000000000,F288+Cutoff!$B$16&lt;=Cutoff!$D$13),1,0)</f>
        <v>1</v>
      </c>
      <c r="I288" s="12" t="n">
        <f aca="false">IF(AND(H288=1,G288&lt;1000000000000000,G288&gt;=F288,G288&lt;F288+Cutoff!$B$16),1,0)</f>
        <v>0</v>
      </c>
    </row>
    <row r="289" customFormat="false" ht="15" hidden="false" customHeight="false" outlineLevel="0" collapsed="false">
      <c r="A289" s="4" t="s">
        <v>853</v>
      </c>
      <c r="B289" s="4" t="s">
        <v>242</v>
      </c>
      <c r="C289" s="4" t="s">
        <v>239</v>
      </c>
      <c r="D289" s="4" t="s">
        <v>1634</v>
      </c>
      <c r="E289" s="4" t="n">
        <v>0</v>
      </c>
      <c r="F289" s="4" t="n">
        <v>1782174926</v>
      </c>
      <c r="G289" s="4" t="n">
        <v>1000000000000000</v>
      </c>
      <c r="H289" s="12" t="n">
        <f aca="false">IF(AND(E289=0,F289&lt;1000000000000000,F289+Cutoff!$B$16&lt;=Cutoff!$D$13),1,0)</f>
        <v>1</v>
      </c>
      <c r="I289" s="12" t="n">
        <f aca="false">IF(AND(H289=1,G289&lt;1000000000000000,G289&gt;=F289,G289&lt;F289+Cutoff!$B$16),1,0)</f>
        <v>0</v>
      </c>
    </row>
    <row r="290" customFormat="false" ht="15" hidden="false" customHeight="false" outlineLevel="0" collapsed="false">
      <c r="A290" s="4" t="s">
        <v>855</v>
      </c>
      <c r="B290" s="4" t="s">
        <v>242</v>
      </c>
      <c r="C290" s="4" t="s">
        <v>240</v>
      </c>
      <c r="D290" s="4" t="s">
        <v>1632</v>
      </c>
      <c r="E290" s="4" t="n">
        <v>0</v>
      </c>
      <c r="F290" s="4" t="n">
        <v>1782202376</v>
      </c>
      <c r="G290" s="4" t="n">
        <v>1782282371</v>
      </c>
      <c r="H290" s="12" t="n">
        <f aca="false">IF(AND(E290=0,F290&lt;1000000000000000,F290+Cutoff!$B$16&lt;=Cutoff!$D$13),1,0)</f>
        <v>1</v>
      </c>
      <c r="I290" s="12" t="n">
        <f aca="false">IF(AND(H290=1,G290&lt;1000000000000000,G290&gt;=F290,G290&lt;F290+Cutoff!$B$16),1,0)</f>
        <v>1</v>
      </c>
    </row>
    <row r="291" customFormat="false" ht="15" hidden="false" customHeight="false" outlineLevel="0" collapsed="false">
      <c r="A291" s="4" t="s">
        <v>857</v>
      </c>
      <c r="B291" s="4" t="s">
        <v>243</v>
      </c>
      <c r="C291" s="4" t="s">
        <v>240</v>
      </c>
      <c r="D291" s="4" t="s">
        <v>1634</v>
      </c>
      <c r="E291" s="4" t="n">
        <v>0</v>
      </c>
      <c r="F291" s="4" t="n">
        <v>1782242787</v>
      </c>
      <c r="G291" s="4" t="n">
        <v>1782325412</v>
      </c>
      <c r="H291" s="12" t="n">
        <f aca="false">IF(AND(E291=0,F291&lt;1000000000000000,F291+Cutoff!$B$16&lt;=Cutoff!$D$13),1,0)</f>
        <v>1</v>
      </c>
      <c r="I291" s="12" t="n">
        <f aca="false">IF(AND(H291=1,G291&lt;1000000000000000,G291&gt;=F291,G291&lt;F291+Cutoff!$B$16),1,0)</f>
        <v>1</v>
      </c>
    </row>
    <row r="292" customFormat="false" ht="15" hidden="false" customHeight="false" outlineLevel="0" collapsed="false">
      <c r="A292" s="4" t="s">
        <v>859</v>
      </c>
      <c r="B292" s="4" t="s">
        <v>242</v>
      </c>
      <c r="C292" s="4" t="s">
        <v>240</v>
      </c>
      <c r="D292" s="4" t="s">
        <v>1633</v>
      </c>
      <c r="E292" s="4" t="n">
        <v>0</v>
      </c>
      <c r="F292" s="4" t="n">
        <v>1782246683</v>
      </c>
      <c r="G292" s="4" t="n">
        <v>1782844724</v>
      </c>
      <c r="H292" s="12" t="n">
        <f aca="false">IF(AND(E292=0,F292&lt;1000000000000000,F292+Cutoff!$B$16&lt;=Cutoff!$D$13),1,0)</f>
        <v>1</v>
      </c>
      <c r="I292" s="12" t="n">
        <f aca="false">IF(AND(H292=1,G292&lt;1000000000000000,G292&gt;=F292,G292&lt;F292+Cutoff!$B$16),1,0)</f>
        <v>1</v>
      </c>
    </row>
    <row r="293" customFormat="false" ht="15" hidden="false" customHeight="false" outlineLevel="0" collapsed="false">
      <c r="A293" s="4" t="s">
        <v>861</v>
      </c>
      <c r="B293" s="4" t="s">
        <v>237</v>
      </c>
      <c r="C293" s="4" t="s">
        <v>239</v>
      </c>
      <c r="D293" s="4" t="s">
        <v>1633</v>
      </c>
      <c r="E293" s="4" t="n">
        <v>0</v>
      </c>
      <c r="F293" s="4" t="n">
        <v>1782256132</v>
      </c>
      <c r="G293" s="4" t="n">
        <v>1782267538</v>
      </c>
      <c r="H293" s="12" t="n">
        <f aca="false">IF(AND(E293=0,F293&lt;1000000000000000,F293+Cutoff!$B$16&lt;=Cutoff!$D$13),1,0)</f>
        <v>1</v>
      </c>
      <c r="I293" s="12" t="n">
        <f aca="false">IF(AND(H293=1,G293&lt;1000000000000000,G293&gt;=F293,G293&lt;F293+Cutoff!$B$16),1,0)</f>
        <v>1</v>
      </c>
    </row>
    <row r="294" customFormat="false" ht="15" hidden="false" customHeight="false" outlineLevel="0" collapsed="false">
      <c r="A294" s="4" t="s">
        <v>863</v>
      </c>
      <c r="B294" s="4" t="s">
        <v>242</v>
      </c>
      <c r="C294" s="4" t="s">
        <v>240</v>
      </c>
      <c r="D294" s="4" t="s">
        <v>1632</v>
      </c>
      <c r="E294" s="4" t="n">
        <v>0</v>
      </c>
      <c r="F294" s="4" t="n">
        <v>1782318054</v>
      </c>
      <c r="G294" s="4" t="n">
        <v>1000000000000000</v>
      </c>
      <c r="H294" s="12" t="n">
        <f aca="false">IF(AND(E294=0,F294&lt;1000000000000000,F294+Cutoff!$B$16&lt;=Cutoff!$D$13),1,0)</f>
        <v>1</v>
      </c>
      <c r="I294" s="12" t="n">
        <f aca="false">IF(AND(H294=1,G294&lt;1000000000000000,G294&gt;=F294,G294&lt;F294+Cutoff!$B$16),1,0)</f>
        <v>0</v>
      </c>
    </row>
    <row r="295" customFormat="false" ht="15" hidden="false" customHeight="false" outlineLevel="0" collapsed="false">
      <c r="A295" s="4" t="s">
        <v>865</v>
      </c>
      <c r="B295" s="4" t="s">
        <v>242</v>
      </c>
      <c r="C295" s="4" t="s">
        <v>240</v>
      </c>
      <c r="D295" s="4" t="s">
        <v>1633</v>
      </c>
      <c r="E295" s="4" t="n">
        <v>0</v>
      </c>
      <c r="F295" s="4" t="n">
        <v>1782320618</v>
      </c>
      <c r="G295" s="4" t="n">
        <v>1784404042</v>
      </c>
      <c r="H295" s="12" t="n">
        <f aca="false">IF(AND(E295=0,F295&lt;1000000000000000,F295+Cutoff!$B$16&lt;=Cutoff!$D$13),1,0)</f>
        <v>1</v>
      </c>
      <c r="I295" s="12" t="n">
        <f aca="false">IF(AND(H295=1,G295&lt;1000000000000000,G295&gt;=F295,G295&lt;F295+Cutoff!$B$16),1,0)</f>
        <v>0</v>
      </c>
    </row>
    <row r="296" customFormat="false" ht="15" hidden="false" customHeight="false" outlineLevel="0" collapsed="false">
      <c r="A296" s="4" t="s">
        <v>867</v>
      </c>
      <c r="B296" s="4" t="s">
        <v>242</v>
      </c>
      <c r="C296" s="4" t="s">
        <v>240</v>
      </c>
      <c r="D296" s="4" t="s">
        <v>1633</v>
      </c>
      <c r="E296" s="4" t="n">
        <v>0</v>
      </c>
      <c r="F296" s="4" t="n">
        <v>1782324418</v>
      </c>
      <c r="G296" s="4" t="n">
        <v>1000000000000000</v>
      </c>
      <c r="H296" s="12" t="n">
        <f aca="false">IF(AND(E296=0,F296&lt;1000000000000000,F296+Cutoff!$B$16&lt;=Cutoff!$D$13),1,0)</f>
        <v>1</v>
      </c>
      <c r="I296" s="12" t="n">
        <f aca="false">IF(AND(H296=1,G296&lt;1000000000000000,G296&gt;=F296,G296&lt;F296+Cutoff!$B$16),1,0)</f>
        <v>0</v>
      </c>
    </row>
    <row r="297" customFormat="false" ht="15" hidden="false" customHeight="false" outlineLevel="0" collapsed="false">
      <c r="A297" s="4" t="s">
        <v>869</v>
      </c>
      <c r="B297" s="4" t="s">
        <v>242</v>
      </c>
      <c r="C297" s="4" t="s">
        <v>239</v>
      </c>
      <c r="D297" s="4" t="s">
        <v>1632</v>
      </c>
      <c r="E297" s="4" t="n">
        <v>0</v>
      </c>
      <c r="F297" s="4" t="n">
        <v>1782377186</v>
      </c>
      <c r="G297" s="4" t="n">
        <v>1782468166</v>
      </c>
      <c r="H297" s="12" t="n">
        <f aca="false">IF(AND(E297=0,F297&lt;1000000000000000,F297+Cutoff!$B$16&lt;=Cutoff!$D$13),1,0)</f>
        <v>1</v>
      </c>
      <c r="I297" s="12" t="n">
        <f aca="false">IF(AND(H297=1,G297&lt;1000000000000000,G297&gt;=F297,G297&lt;F297+Cutoff!$B$16),1,0)</f>
        <v>1</v>
      </c>
    </row>
    <row r="298" customFormat="false" ht="15" hidden="false" customHeight="false" outlineLevel="0" collapsed="false">
      <c r="A298" s="4" t="s">
        <v>871</v>
      </c>
      <c r="B298" s="4" t="s">
        <v>243</v>
      </c>
      <c r="C298" s="4" t="s">
        <v>239</v>
      </c>
      <c r="D298" s="4" t="s">
        <v>1632</v>
      </c>
      <c r="E298" s="4" t="n">
        <v>0</v>
      </c>
      <c r="F298" s="4" t="n">
        <v>1782402417</v>
      </c>
      <c r="G298" s="4" t="n">
        <v>1000000000000000</v>
      </c>
      <c r="H298" s="12" t="n">
        <f aca="false">IF(AND(E298=0,F298&lt;1000000000000000,F298+Cutoff!$B$16&lt;=Cutoff!$D$13),1,0)</f>
        <v>1</v>
      </c>
      <c r="I298" s="12" t="n">
        <f aca="false">IF(AND(H298=1,G298&lt;1000000000000000,G298&gt;=F298,G298&lt;F298+Cutoff!$B$16),1,0)</f>
        <v>0</v>
      </c>
    </row>
    <row r="299" customFormat="false" ht="15" hidden="false" customHeight="false" outlineLevel="0" collapsed="false">
      <c r="A299" s="4" t="s">
        <v>873</v>
      </c>
      <c r="B299" s="4" t="s">
        <v>237</v>
      </c>
      <c r="C299" s="4" t="s">
        <v>238</v>
      </c>
      <c r="D299" s="4" t="s">
        <v>1633</v>
      </c>
      <c r="E299" s="4" t="n">
        <v>0</v>
      </c>
      <c r="F299" s="4" t="n">
        <v>1782415051</v>
      </c>
      <c r="G299" s="4" t="n">
        <v>1782458126</v>
      </c>
      <c r="H299" s="12" t="n">
        <f aca="false">IF(AND(E299=0,F299&lt;1000000000000000,F299+Cutoff!$B$16&lt;=Cutoff!$D$13),1,0)</f>
        <v>1</v>
      </c>
      <c r="I299" s="12" t="n">
        <f aca="false">IF(AND(H299=1,G299&lt;1000000000000000,G299&gt;=F299,G299&lt;F299+Cutoff!$B$16),1,0)</f>
        <v>1</v>
      </c>
    </row>
    <row r="300" customFormat="false" ht="15" hidden="false" customHeight="false" outlineLevel="0" collapsed="false">
      <c r="A300" s="4" t="s">
        <v>875</v>
      </c>
      <c r="B300" s="4" t="s">
        <v>242</v>
      </c>
      <c r="C300" s="4" t="s">
        <v>239</v>
      </c>
      <c r="D300" s="4" t="s">
        <v>1633</v>
      </c>
      <c r="E300" s="4" t="n">
        <v>0</v>
      </c>
      <c r="F300" s="4" t="n">
        <v>1782416051</v>
      </c>
      <c r="G300" s="4" t="n">
        <v>1000000000000000</v>
      </c>
      <c r="H300" s="12" t="n">
        <f aca="false">IF(AND(E300=0,F300&lt;1000000000000000,F300+Cutoff!$B$16&lt;=Cutoff!$D$13),1,0)</f>
        <v>1</v>
      </c>
      <c r="I300" s="12" t="n">
        <f aca="false">IF(AND(H300=1,G300&lt;1000000000000000,G300&gt;=F300,G300&lt;F300+Cutoff!$B$16),1,0)</f>
        <v>0</v>
      </c>
    </row>
    <row r="301" customFormat="false" ht="15" hidden="false" customHeight="false" outlineLevel="0" collapsed="false">
      <c r="A301" s="4" t="s">
        <v>877</v>
      </c>
      <c r="B301" s="4" t="s">
        <v>237</v>
      </c>
      <c r="C301" s="4" t="s">
        <v>238</v>
      </c>
      <c r="D301" s="4" t="s">
        <v>1633</v>
      </c>
      <c r="E301" s="4" t="n">
        <v>0</v>
      </c>
      <c r="F301" s="4" t="n">
        <v>1782420578</v>
      </c>
      <c r="G301" s="4" t="n">
        <v>1782475336</v>
      </c>
      <c r="H301" s="12" t="n">
        <f aca="false">IF(AND(E301=0,F301&lt;1000000000000000,F301+Cutoff!$B$16&lt;=Cutoff!$D$13),1,0)</f>
        <v>1</v>
      </c>
      <c r="I301" s="12" t="n">
        <f aca="false">IF(AND(H301=1,G301&lt;1000000000000000,G301&gt;=F301,G301&lt;F301+Cutoff!$B$16),1,0)</f>
        <v>1</v>
      </c>
    </row>
    <row r="302" customFormat="false" ht="15" hidden="false" customHeight="false" outlineLevel="0" collapsed="false">
      <c r="A302" s="4" t="s">
        <v>879</v>
      </c>
      <c r="B302" s="4" t="s">
        <v>242</v>
      </c>
      <c r="C302" s="4" t="s">
        <v>240</v>
      </c>
      <c r="D302" s="4" t="s">
        <v>1634</v>
      </c>
      <c r="E302" s="4" t="n">
        <v>0</v>
      </c>
      <c r="F302" s="4" t="n">
        <v>1782425222</v>
      </c>
      <c r="G302" s="4" t="n">
        <v>1784746503</v>
      </c>
      <c r="H302" s="12" t="n">
        <f aca="false">IF(AND(E302=0,F302&lt;1000000000000000,F302+Cutoff!$B$16&lt;=Cutoff!$D$13),1,0)</f>
        <v>1</v>
      </c>
      <c r="I302" s="12" t="n">
        <f aca="false">IF(AND(H302=1,G302&lt;1000000000000000,G302&gt;=F302,G302&lt;F302+Cutoff!$B$16),1,0)</f>
        <v>0</v>
      </c>
    </row>
    <row r="303" customFormat="false" ht="15" hidden="false" customHeight="false" outlineLevel="0" collapsed="false">
      <c r="A303" s="4" t="s">
        <v>881</v>
      </c>
      <c r="B303" s="4" t="s">
        <v>243</v>
      </c>
      <c r="C303" s="4" t="s">
        <v>239</v>
      </c>
      <c r="D303" s="4" t="s">
        <v>1632</v>
      </c>
      <c r="E303" s="4" t="n">
        <v>0</v>
      </c>
      <c r="F303" s="4" t="n">
        <v>1782474662</v>
      </c>
      <c r="G303" s="4" t="n">
        <v>1000000000000000</v>
      </c>
      <c r="H303" s="12" t="n">
        <f aca="false">IF(AND(E303=0,F303&lt;1000000000000000,F303+Cutoff!$B$16&lt;=Cutoff!$D$13),1,0)</f>
        <v>1</v>
      </c>
      <c r="I303" s="12" t="n">
        <f aca="false">IF(AND(H303=1,G303&lt;1000000000000000,G303&gt;=F303,G303&lt;F303+Cutoff!$B$16),1,0)</f>
        <v>0</v>
      </c>
    </row>
    <row r="304" customFormat="false" ht="15" hidden="false" customHeight="false" outlineLevel="0" collapsed="false">
      <c r="A304" s="4" t="s">
        <v>885</v>
      </c>
      <c r="B304" s="4" t="s">
        <v>243</v>
      </c>
      <c r="C304" s="4" t="s">
        <v>240</v>
      </c>
      <c r="D304" s="4" t="s">
        <v>1634</v>
      </c>
      <c r="E304" s="4" t="n">
        <v>0</v>
      </c>
      <c r="F304" s="4" t="n">
        <v>1782497189</v>
      </c>
      <c r="G304" s="4" t="n">
        <v>1000000000000000</v>
      </c>
      <c r="H304" s="12" t="n">
        <f aca="false">IF(AND(E304=0,F304&lt;1000000000000000,F304+Cutoff!$B$16&lt;=Cutoff!$D$13),1,0)</f>
        <v>1</v>
      </c>
      <c r="I304" s="12" t="n">
        <f aca="false">IF(AND(H304=1,G304&lt;1000000000000000,G304&gt;=F304,G304&lt;F304+Cutoff!$B$16),1,0)</f>
        <v>0</v>
      </c>
    </row>
    <row r="305" customFormat="false" ht="15" hidden="false" customHeight="false" outlineLevel="0" collapsed="false">
      <c r="A305" s="4" t="s">
        <v>883</v>
      </c>
      <c r="B305" s="4" t="s">
        <v>243</v>
      </c>
      <c r="C305" s="4" t="s">
        <v>239</v>
      </c>
      <c r="D305" s="4" t="s">
        <v>1633</v>
      </c>
      <c r="E305" s="4" t="n">
        <v>0</v>
      </c>
      <c r="F305" s="4" t="n">
        <v>1782497190</v>
      </c>
      <c r="G305" s="4" t="n">
        <v>1000000000000000</v>
      </c>
      <c r="H305" s="12" t="n">
        <f aca="false">IF(AND(E305=0,F305&lt;1000000000000000,F305+Cutoff!$B$16&lt;=Cutoff!$D$13),1,0)</f>
        <v>1</v>
      </c>
      <c r="I305" s="12" t="n">
        <f aca="false">IF(AND(H305=1,G305&lt;1000000000000000,G305&gt;=F305,G305&lt;F305+Cutoff!$B$16),1,0)</f>
        <v>0</v>
      </c>
    </row>
    <row r="306" customFormat="false" ht="15" hidden="false" customHeight="false" outlineLevel="0" collapsed="false">
      <c r="A306" s="4" t="s">
        <v>887</v>
      </c>
      <c r="B306" s="4" t="s">
        <v>237</v>
      </c>
      <c r="C306" s="4" t="s">
        <v>238</v>
      </c>
      <c r="D306" s="4" t="s">
        <v>1634</v>
      </c>
      <c r="E306" s="4" t="n">
        <v>0</v>
      </c>
      <c r="F306" s="4" t="n">
        <v>1782501604</v>
      </c>
      <c r="G306" s="4" t="n">
        <v>1782505920</v>
      </c>
      <c r="H306" s="12" t="n">
        <f aca="false">IF(AND(E306=0,F306&lt;1000000000000000,F306+Cutoff!$B$16&lt;=Cutoff!$D$13),1,0)</f>
        <v>1</v>
      </c>
      <c r="I306" s="12" t="n">
        <f aca="false">IF(AND(H306=1,G306&lt;1000000000000000,G306&gt;=F306,G306&lt;F306+Cutoff!$B$16),1,0)</f>
        <v>1</v>
      </c>
    </row>
    <row r="307" customFormat="false" ht="15" hidden="false" customHeight="false" outlineLevel="0" collapsed="false">
      <c r="A307" s="4" t="s">
        <v>889</v>
      </c>
      <c r="B307" s="4" t="s">
        <v>243</v>
      </c>
      <c r="C307" s="4" t="s">
        <v>239</v>
      </c>
      <c r="D307" s="4" t="s">
        <v>1633</v>
      </c>
      <c r="E307" s="4" t="n">
        <v>0</v>
      </c>
      <c r="F307" s="4" t="n">
        <v>1782504438</v>
      </c>
      <c r="G307" s="4" t="n">
        <v>1000000000000000</v>
      </c>
      <c r="H307" s="12" t="n">
        <f aca="false">IF(AND(E307=0,F307&lt;1000000000000000,F307+Cutoff!$B$16&lt;=Cutoff!$D$13),1,0)</f>
        <v>1</v>
      </c>
      <c r="I307" s="12" t="n">
        <f aca="false">IF(AND(H307=1,G307&lt;1000000000000000,G307&gt;=F307,G307&lt;F307+Cutoff!$B$16),1,0)</f>
        <v>0</v>
      </c>
    </row>
    <row r="308" customFormat="false" ht="15" hidden="false" customHeight="false" outlineLevel="0" collapsed="false">
      <c r="A308" s="4" t="s">
        <v>1638</v>
      </c>
      <c r="B308" s="4" t="s">
        <v>242</v>
      </c>
      <c r="C308" s="4" t="s">
        <v>239</v>
      </c>
      <c r="D308" s="4" t="s">
        <v>1634</v>
      </c>
      <c r="E308" s="4" t="n">
        <v>1</v>
      </c>
      <c r="F308" s="4" t="n">
        <v>1000000000000000</v>
      </c>
      <c r="G308" s="4" t="n">
        <v>1000000000000000</v>
      </c>
      <c r="H308" s="12" t="n">
        <f aca="false">IF(AND(E308=0,F308&lt;1000000000000000,F308+Cutoff!$B$16&lt;=Cutoff!$D$13),1,0)</f>
        <v>0</v>
      </c>
      <c r="I308" s="12" t="n">
        <f aca="false">IF(AND(H308=1,G308&lt;1000000000000000,G308&gt;=F308,G308&lt;F308+Cutoff!$B$16),1,0)</f>
        <v>0</v>
      </c>
    </row>
    <row r="309" customFormat="false" ht="15" hidden="false" customHeight="false" outlineLevel="0" collapsed="false">
      <c r="A309" s="4" t="s">
        <v>891</v>
      </c>
      <c r="B309" s="4" t="s">
        <v>242</v>
      </c>
      <c r="C309" s="4" t="s">
        <v>240</v>
      </c>
      <c r="D309" s="4" t="s">
        <v>1633</v>
      </c>
      <c r="E309" s="4" t="n">
        <v>0</v>
      </c>
      <c r="F309" s="4" t="n">
        <v>1782579082</v>
      </c>
      <c r="G309" s="4" t="n">
        <v>1782605036</v>
      </c>
      <c r="H309" s="12" t="n">
        <f aca="false">IF(AND(E309=0,F309&lt;1000000000000000,F309+Cutoff!$B$16&lt;=Cutoff!$D$13),1,0)</f>
        <v>1</v>
      </c>
      <c r="I309" s="12" t="n">
        <f aca="false">IF(AND(H309=1,G309&lt;1000000000000000,G309&gt;=F309,G309&lt;F309+Cutoff!$B$16),1,0)</f>
        <v>1</v>
      </c>
    </row>
    <row r="310" customFormat="false" ht="15" hidden="false" customHeight="false" outlineLevel="0" collapsed="false">
      <c r="A310" s="4" t="s">
        <v>893</v>
      </c>
      <c r="B310" s="4" t="s">
        <v>243</v>
      </c>
      <c r="C310" s="4" t="s">
        <v>240</v>
      </c>
      <c r="D310" s="4" t="s">
        <v>1633</v>
      </c>
      <c r="E310" s="4" t="n">
        <v>0</v>
      </c>
      <c r="F310" s="4" t="n">
        <v>1782584899</v>
      </c>
      <c r="G310" s="4" t="n">
        <v>1782683745</v>
      </c>
      <c r="H310" s="12" t="n">
        <f aca="false">IF(AND(E310=0,F310&lt;1000000000000000,F310+Cutoff!$B$16&lt;=Cutoff!$D$13),1,0)</f>
        <v>1</v>
      </c>
      <c r="I310" s="12" t="n">
        <f aca="false">IF(AND(H310=1,G310&lt;1000000000000000,G310&gt;=F310,G310&lt;F310+Cutoff!$B$16),1,0)</f>
        <v>1</v>
      </c>
    </row>
    <row r="311" customFormat="false" ht="15" hidden="false" customHeight="false" outlineLevel="0" collapsed="false">
      <c r="A311" s="4" t="s">
        <v>895</v>
      </c>
      <c r="B311" s="4" t="s">
        <v>242</v>
      </c>
      <c r="C311" s="4" t="s">
        <v>240</v>
      </c>
      <c r="D311" s="4" t="s">
        <v>1633</v>
      </c>
      <c r="E311" s="4" t="n">
        <v>0</v>
      </c>
      <c r="F311" s="4" t="n">
        <v>1782682205</v>
      </c>
      <c r="G311" s="4" t="n">
        <v>1000000000000000</v>
      </c>
      <c r="H311" s="12" t="n">
        <f aca="false">IF(AND(E311=0,F311&lt;1000000000000000,F311+Cutoff!$B$16&lt;=Cutoff!$D$13),1,0)</f>
        <v>1</v>
      </c>
      <c r="I311" s="12" t="n">
        <f aca="false">IF(AND(H311=1,G311&lt;1000000000000000,G311&gt;=F311,G311&lt;F311+Cutoff!$B$16),1,0)</f>
        <v>0</v>
      </c>
    </row>
    <row r="312" customFormat="false" ht="15" hidden="false" customHeight="false" outlineLevel="0" collapsed="false">
      <c r="A312" s="4" t="s">
        <v>897</v>
      </c>
      <c r="B312" s="4" t="s">
        <v>242</v>
      </c>
      <c r="C312" s="4" t="s">
        <v>240</v>
      </c>
      <c r="D312" s="4" t="s">
        <v>1633</v>
      </c>
      <c r="E312" s="4" t="n">
        <v>0</v>
      </c>
      <c r="F312" s="4" t="n">
        <v>1782750631</v>
      </c>
      <c r="G312" s="4" t="n">
        <v>1000000000000000</v>
      </c>
      <c r="H312" s="12" t="n">
        <f aca="false">IF(AND(E312=0,F312&lt;1000000000000000,F312+Cutoff!$B$16&lt;=Cutoff!$D$13),1,0)</f>
        <v>1</v>
      </c>
      <c r="I312" s="12" t="n">
        <f aca="false">IF(AND(H312=1,G312&lt;1000000000000000,G312&gt;=F312,G312&lt;F312+Cutoff!$B$16),1,0)</f>
        <v>0</v>
      </c>
    </row>
    <row r="313" customFormat="false" ht="15" hidden="false" customHeight="false" outlineLevel="0" collapsed="false">
      <c r="A313" s="4" t="s">
        <v>899</v>
      </c>
      <c r="B313" s="4" t="s">
        <v>242</v>
      </c>
      <c r="C313" s="4" t="s">
        <v>239</v>
      </c>
      <c r="D313" s="4" t="s">
        <v>1633</v>
      </c>
      <c r="E313" s="4" t="n">
        <v>0</v>
      </c>
      <c r="F313" s="4" t="n">
        <v>1782768662</v>
      </c>
      <c r="G313" s="4" t="n">
        <v>1000000000000000</v>
      </c>
      <c r="H313" s="12" t="n">
        <f aca="false">IF(AND(E313=0,F313&lt;1000000000000000,F313+Cutoff!$B$16&lt;=Cutoff!$D$13),1,0)</f>
        <v>1</v>
      </c>
      <c r="I313" s="12" t="n">
        <f aca="false">IF(AND(H313=1,G313&lt;1000000000000000,G313&gt;=F313,G313&lt;F313+Cutoff!$B$16),1,0)</f>
        <v>0</v>
      </c>
    </row>
    <row r="314" customFormat="false" ht="15" hidden="false" customHeight="false" outlineLevel="0" collapsed="false">
      <c r="A314" s="4" t="s">
        <v>901</v>
      </c>
      <c r="B314" s="4" t="s">
        <v>243</v>
      </c>
      <c r="C314" s="4" t="s">
        <v>240</v>
      </c>
      <c r="D314" s="4" t="s">
        <v>1634</v>
      </c>
      <c r="E314" s="4" t="n">
        <v>0</v>
      </c>
      <c r="F314" s="4" t="n">
        <v>1782770903</v>
      </c>
      <c r="G314" s="4" t="n">
        <v>1000000000000000</v>
      </c>
      <c r="H314" s="12" t="n">
        <f aca="false">IF(AND(E314=0,F314&lt;1000000000000000,F314+Cutoff!$B$16&lt;=Cutoff!$D$13),1,0)</f>
        <v>1</v>
      </c>
      <c r="I314" s="12" t="n">
        <f aca="false">IF(AND(H314=1,G314&lt;1000000000000000,G314&gt;=F314,G314&lt;F314+Cutoff!$B$16),1,0)</f>
        <v>0</v>
      </c>
    </row>
    <row r="315" customFormat="false" ht="15" hidden="false" customHeight="false" outlineLevel="0" collapsed="false">
      <c r="A315" s="4" t="s">
        <v>903</v>
      </c>
      <c r="B315" s="4" t="s">
        <v>237</v>
      </c>
      <c r="C315" s="4" t="s">
        <v>239</v>
      </c>
      <c r="D315" s="4" t="s">
        <v>1633</v>
      </c>
      <c r="E315" s="4" t="n">
        <v>0</v>
      </c>
      <c r="F315" s="4" t="n">
        <v>1782831455</v>
      </c>
      <c r="G315" s="4" t="n">
        <v>1782832873</v>
      </c>
      <c r="H315" s="12" t="n">
        <f aca="false">IF(AND(E315=0,F315&lt;1000000000000000,F315+Cutoff!$B$16&lt;=Cutoff!$D$13),1,0)</f>
        <v>1</v>
      </c>
      <c r="I315" s="12" t="n">
        <f aca="false">IF(AND(H315=1,G315&lt;1000000000000000,G315&gt;=F315,G315&lt;F315+Cutoff!$B$16),1,0)</f>
        <v>1</v>
      </c>
    </row>
    <row r="316" customFormat="false" ht="15" hidden="false" customHeight="false" outlineLevel="0" collapsed="false">
      <c r="A316" s="4" t="s">
        <v>905</v>
      </c>
      <c r="B316" s="4" t="s">
        <v>242</v>
      </c>
      <c r="C316" s="4" t="s">
        <v>239</v>
      </c>
      <c r="D316" s="4" t="s">
        <v>1632</v>
      </c>
      <c r="E316" s="4" t="n">
        <v>0</v>
      </c>
      <c r="F316" s="4" t="n">
        <v>1782833539</v>
      </c>
      <c r="G316" s="4" t="n">
        <v>1000000000000000</v>
      </c>
      <c r="H316" s="12" t="n">
        <f aca="false">IF(AND(E316=0,F316&lt;1000000000000000,F316+Cutoff!$B$16&lt;=Cutoff!$D$13),1,0)</f>
        <v>1</v>
      </c>
      <c r="I316" s="12" t="n">
        <f aca="false">IF(AND(H316=1,G316&lt;1000000000000000,G316&gt;=F316,G316&lt;F316+Cutoff!$B$16),1,0)</f>
        <v>0</v>
      </c>
    </row>
    <row r="317" customFormat="false" ht="15" hidden="false" customHeight="false" outlineLevel="0" collapsed="false">
      <c r="A317" s="4" t="s">
        <v>907</v>
      </c>
      <c r="B317" s="4" t="s">
        <v>243</v>
      </c>
      <c r="C317" s="4" t="s">
        <v>239</v>
      </c>
      <c r="D317" s="4" t="s">
        <v>1633</v>
      </c>
      <c r="E317" s="4" t="n">
        <v>0</v>
      </c>
      <c r="F317" s="4" t="n">
        <v>1782852572</v>
      </c>
      <c r="G317" s="4" t="n">
        <v>1782853153</v>
      </c>
      <c r="H317" s="12" t="n">
        <f aca="false">IF(AND(E317=0,F317&lt;1000000000000000,F317+Cutoff!$B$16&lt;=Cutoff!$D$13),1,0)</f>
        <v>1</v>
      </c>
      <c r="I317" s="12" t="n">
        <f aca="false">IF(AND(H317=1,G317&lt;1000000000000000,G317&gt;=F317,G317&lt;F317+Cutoff!$B$16),1,0)</f>
        <v>1</v>
      </c>
    </row>
    <row r="318" customFormat="false" ht="15" hidden="false" customHeight="false" outlineLevel="0" collapsed="false">
      <c r="A318" s="4" t="s">
        <v>909</v>
      </c>
      <c r="B318" s="4" t="s">
        <v>243</v>
      </c>
      <c r="C318" s="4" t="s">
        <v>240</v>
      </c>
      <c r="D318" s="4" t="s">
        <v>1633</v>
      </c>
      <c r="E318" s="4" t="n">
        <v>0</v>
      </c>
      <c r="F318" s="4" t="n">
        <v>1782854423</v>
      </c>
      <c r="G318" s="4" t="n">
        <v>1000000000000000</v>
      </c>
      <c r="H318" s="12" t="n">
        <f aca="false">IF(AND(E318=0,F318&lt;1000000000000000,F318+Cutoff!$B$16&lt;=Cutoff!$D$13),1,0)</f>
        <v>1</v>
      </c>
      <c r="I318" s="12" t="n">
        <f aca="false">IF(AND(H318=1,G318&lt;1000000000000000,G318&gt;=F318,G318&lt;F318+Cutoff!$B$16),1,0)</f>
        <v>0</v>
      </c>
    </row>
    <row r="319" customFormat="false" ht="15" hidden="false" customHeight="false" outlineLevel="0" collapsed="false">
      <c r="A319" s="4" t="s">
        <v>911</v>
      </c>
      <c r="B319" s="4" t="s">
        <v>243</v>
      </c>
      <c r="C319" s="4" t="s">
        <v>239</v>
      </c>
      <c r="D319" s="4" t="s">
        <v>1634</v>
      </c>
      <c r="E319" s="4" t="n">
        <v>0</v>
      </c>
      <c r="F319" s="4" t="n">
        <v>1782863660</v>
      </c>
      <c r="G319" s="4" t="n">
        <v>1782867082</v>
      </c>
      <c r="H319" s="12" t="n">
        <f aca="false">IF(AND(E319=0,F319&lt;1000000000000000,F319+Cutoff!$B$16&lt;=Cutoff!$D$13),1,0)</f>
        <v>1</v>
      </c>
      <c r="I319" s="12" t="n">
        <f aca="false">IF(AND(H319=1,G319&lt;1000000000000000,G319&gt;=F319,G319&lt;F319+Cutoff!$B$16),1,0)</f>
        <v>1</v>
      </c>
    </row>
    <row r="320" customFormat="false" ht="15" hidden="false" customHeight="false" outlineLevel="0" collapsed="false">
      <c r="A320" s="4" t="s">
        <v>913</v>
      </c>
      <c r="B320" s="4" t="s">
        <v>242</v>
      </c>
      <c r="C320" s="4" t="s">
        <v>240</v>
      </c>
      <c r="D320" s="4" t="s">
        <v>1632</v>
      </c>
      <c r="E320" s="4" t="n">
        <v>0</v>
      </c>
      <c r="F320" s="4" t="n">
        <v>1782896962</v>
      </c>
      <c r="G320" s="4" t="n">
        <v>1000000000000000</v>
      </c>
      <c r="H320" s="12" t="n">
        <f aca="false">IF(AND(E320=0,F320&lt;1000000000000000,F320+Cutoff!$B$16&lt;=Cutoff!$D$13),1,0)</f>
        <v>1</v>
      </c>
      <c r="I320" s="12" t="n">
        <f aca="false">IF(AND(H320=1,G320&lt;1000000000000000,G320&gt;=F320,G320&lt;F320+Cutoff!$B$16),1,0)</f>
        <v>0</v>
      </c>
    </row>
    <row r="321" customFormat="false" ht="15" hidden="false" customHeight="false" outlineLevel="0" collapsed="false">
      <c r="A321" s="4" t="s">
        <v>915</v>
      </c>
      <c r="B321" s="4" t="s">
        <v>243</v>
      </c>
      <c r="C321" s="4" t="s">
        <v>239</v>
      </c>
      <c r="D321" s="4" t="s">
        <v>1632</v>
      </c>
      <c r="E321" s="4" t="n">
        <v>0</v>
      </c>
      <c r="F321" s="4" t="n">
        <v>1782903331</v>
      </c>
      <c r="G321" s="4" t="n">
        <v>1000000000000000</v>
      </c>
      <c r="H321" s="12" t="n">
        <f aca="false">IF(AND(E321=0,F321&lt;1000000000000000,F321+Cutoff!$B$16&lt;=Cutoff!$D$13),1,0)</f>
        <v>1</v>
      </c>
      <c r="I321" s="12" t="n">
        <f aca="false">IF(AND(H321=1,G321&lt;1000000000000000,G321&gt;=F321,G321&lt;F321+Cutoff!$B$16),1,0)</f>
        <v>0</v>
      </c>
    </row>
    <row r="322" customFormat="false" ht="15" hidden="false" customHeight="false" outlineLevel="0" collapsed="false">
      <c r="A322" s="4" t="s">
        <v>917</v>
      </c>
      <c r="B322" s="4" t="s">
        <v>242</v>
      </c>
      <c r="C322" s="4" t="s">
        <v>239</v>
      </c>
      <c r="D322" s="4" t="s">
        <v>1634</v>
      </c>
      <c r="E322" s="4" t="n">
        <v>0</v>
      </c>
      <c r="F322" s="4" t="n">
        <v>1782931620</v>
      </c>
      <c r="G322" s="4" t="n">
        <v>1782937371</v>
      </c>
      <c r="H322" s="12" t="n">
        <f aca="false">IF(AND(E322=0,F322&lt;1000000000000000,F322+Cutoff!$B$16&lt;=Cutoff!$D$13),1,0)</f>
        <v>1</v>
      </c>
      <c r="I322" s="12" t="n">
        <f aca="false">IF(AND(H322=1,G322&lt;1000000000000000,G322&gt;=F322,G322&lt;F322+Cutoff!$B$16),1,0)</f>
        <v>1</v>
      </c>
    </row>
    <row r="323" customFormat="false" ht="15" hidden="false" customHeight="false" outlineLevel="0" collapsed="false">
      <c r="A323" s="4" t="s">
        <v>919</v>
      </c>
      <c r="B323" s="4" t="s">
        <v>242</v>
      </c>
      <c r="C323" s="4" t="s">
        <v>240</v>
      </c>
      <c r="D323" s="4" t="s">
        <v>1632</v>
      </c>
      <c r="E323" s="4" t="n">
        <v>0</v>
      </c>
      <c r="F323" s="4" t="n">
        <v>1782983656</v>
      </c>
      <c r="G323" s="4" t="n">
        <v>1784230488</v>
      </c>
      <c r="H323" s="12" t="n">
        <f aca="false">IF(AND(E323=0,F323&lt;1000000000000000,F323+Cutoff!$B$16&lt;=Cutoff!$D$13),1,0)</f>
        <v>1</v>
      </c>
      <c r="I323" s="12" t="n">
        <f aca="false">IF(AND(H323=1,G323&lt;1000000000000000,G323&gt;=F323,G323&lt;F323+Cutoff!$B$16),1,0)</f>
        <v>0</v>
      </c>
    </row>
    <row r="324" customFormat="false" ht="15" hidden="false" customHeight="false" outlineLevel="0" collapsed="false">
      <c r="A324" s="4" t="s">
        <v>921</v>
      </c>
      <c r="B324" s="4" t="s">
        <v>243</v>
      </c>
      <c r="C324" s="4" t="s">
        <v>239</v>
      </c>
      <c r="D324" s="4" t="s">
        <v>1633</v>
      </c>
      <c r="E324" s="4" t="n">
        <v>0</v>
      </c>
      <c r="F324" s="4" t="n">
        <v>1783000929</v>
      </c>
      <c r="G324" s="4" t="n">
        <v>1000000000000000</v>
      </c>
      <c r="H324" s="12" t="n">
        <f aca="false">IF(AND(E324=0,F324&lt;1000000000000000,F324+Cutoff!$B$16&lt;=Cutoff!$D$13),1,0)</f>
        <v>1</v>
      </c>
      <c r="I324" s="12" t="n">
        <f aca="false">IF(AND(H324=1,G324&lt;1000000000000000,G324&gt;=F324,G324&lt;F324+Cutoff!$B$16),1,0)</f>
        <v>0</v>
      </c>
    </row>
    <row r="325" customFormat="false" ht="15" hidden="false" customHeight="false" outlineLevel="0" collapsed="false">
      <c r="A325" s="4" t="s">
        <v>923</v>
      </c>
      <c r="B325" s="4" t="s">
        <v>242</v>
      </c>
      <c r="C325" s="4" t="s">
        <v>240</v>
      </c>
      <c r="D325" s="4" t="s">
        <v>1633</v>
      </c>
      <c r="E325" s="4" t="n">
        <v>0</v>
      </c>
      <c r="F325" s="4" t="n">
        <v>1783024001</v>
      </c>
      <c r="G325" s="4" t="n">
        <v>1783067493</v>
      </c>
      <c r="H325" s="12" t="n">
        <f aca="false">IF(AND(E325=0,F325&lt;1000000000000000,F325+Cutoff!$B$16&lt;=Cutoff!$D$13),1,0)</f>
        <v>1</v>
      </c>
      <c r="I325" s="12" t="n">
        <f aca="false">IF(AND(H325=1,G325&lt;1000000000000000,G325&gt;=F325,G325&lt;F325+Cutoff!$B$16),1,0)</f>
        <v>1</v>
      </c>
    </row>
    <row r="326" customFormat="false" ht="15" hidden="false" customHeight="false" outlineLevel="0" collapsed="false">
      <c r="A326" s="4" t="s">
        <v>925</v>
      </c>
      <c r="B326" s="4" t="s">
        <v>237</v>
      </c>
      <c r="C326" s="4" t="s">
        <v>240</v>
      </c>
      <c r="D326" s="4" t="s">
        <v>1634</v>
      </c>
      <c r="E326" s="4" t="n">
        <v>0</v>
      </c>
      <c r="F326" s="4" t="n">
        <v>1783030052</v>
      </c>
      <c r="G326" s="4" t="n">
        <v>1783178917</v>
      </c>
      <c r="H326" s="12" t="n">
        <f aca="false">IF(AND(E326=0,F326&lt;1000000000000000,F326+Cutoff!$B$16&lt;=Cutoff!$D$13),1,0)</f>
        <v>1</v>
      </c>
      <c r="I326" s="12" t="n">
        <f aca="false">IF(AND(H326=1,G326&lt;1000000000000000,G326&gt;=F326,G326&lt;F326+Cutoff!$B$16),1,0)</f>
        <v>1</v>
      </c>
    </row>
    <row r="327" customFormat="false" ht="15" hidden="false" customHeight="false" outlineLevel="0" collapsed="false">
      <c r="A327" s="4" t="s">
        <v>927</v>
      </c>
      <c r="B327" s="4" t="s">
        <v>243</v>
      </c>
      <c r="C327" s="4" t="s">
        <v>238</v>
      </c>
      <c r="D327" s="4" t="s">
        <v>1632</v>
      </c>
      <c r="E327" s="4" t="n">
        <v>0</v>
      </c>
      <c r="F327" s="4" t="n">
        <v>1783076507</v>
      </c>
      <c r="G327" s="4" t="n">
        <v>1000000000000000</v>
      </c>
      <c r="H327" s="12" t="n">
        <f aca="false">IF(AND(E327=0,F327&lt;1000000000000000,F327+Cutoff!$B$16&lt;=Cutoff!$D$13),1,0)</f>
        <v>1</v>
      </c>
      <c r="I327" s="12" t="n">
        <f aca="false">IF(AND(H327=1,G327&lt;1000000000000000,G327&gt;=F327,G327&lt;F327+Cutoff!$B$16),1,0)</f>
        <v>0</v>
      </c>
    </row>
    <row r="328" customFormat="false" ht="15" hidden="false" customHeight="false" outlineLevel="0" collapsed="false">
      <c r="A328" s="4" t="s">
        <v>929</v>
      </c>
      <c r="B328" s="4" t="s">
        <v>243</v>
      </c>
      <c r="C328" s="4" t="s">
        <v>239</v>
      </c>
      <c r="D328" s="4" t="s">
        <v>1633</v>
      </c>
      <c r="E328" s="4" t="n">
        <v>0</v>
      </c>
      <c r="F328" s="4" t="n">
        <v>1783091535</v>
      </c>
      <c r="G328" s="4" t="n">
        <v>1000000000000000</v>
      </c>
      <c r="H328" s="12" t="n">
        <f aca="false">IF(AND(E328=0,F328&lt;1000000000000000,F328+Cutoff!$B$16&lt;=Cutoff!$D$13),1,0)</f>
        <v>1</v>
      </c>
      <c r="I328" s="12" t="n">
        <f aca="false">IF(AND(H328=1,G328&lt;1000000000000000,G328&gt;=F328,G328&lt;F328+Cutoff!$B$16),1,0)</f>
        <v>0</v>
      </c>
    </row>
    <row r="329" customFormat="false" ht="15" hidden="false" customHeight="false" outlineLevel="0" collapsed="false">
      <c r="A329" s="4" t="s">
        <v>931</v>
      </c>
      <c r="B329" s="4" t="s">
        <v>243</v>
      </c>
      <c r="C329" s="4" t="s">
        <v>239</v>
      </c>
      <c r="D329" s="4" t="s">
        <v>1632</v>
      </c>
      <c r="E329" s="4" t="n">
        <v>0</v>
      </c>
      <c r="F329" s="4" t="n">
        <v>1783091699</v>
      </c>
      <c r="G329" s="4" t="n">
        <v>1000000000000000</v>
      </c>
      <c r="H329" s="12" t="n">
        <f aca="false">IF(AND(E329=0,F329&lt;1000000000000000,F329+Cutoff!$B$16&lt;=Cutoff!$D$13),1,0)</f>
        <v>1</v>
      </c>
      <c r="I329" s="12" t="n">
        <f aca="false">IF(AND(H329=1,G329&lt;1000000000000000,G329&gt;=F329,G329&lt;F329+Cutoff!$B$16),1,0)</f>
        <v>0</v>
      </c>
    </row>
    <row r="330" customFormat="false" ht="15" hidden="false" customHeight="false" outlineLevel="0" collapsed="false">
      <c r="A330" s="4" t="s">
        <v>933</v>
      </c>
      <c r="B330" s="4" t="s">
        <v>242</v>
      </c>
      <c r="C330" s="4" t="s">
        <v>240</v>
      </c>
      <c r="D330" s="4" t="s">
        <v>1633</v>
      </c>
      <c r="E330" s="4" t="n">
        <v>0</v>
      </c>
      <c r="F330" s="4" t="n">
        <v>1783098127</v>
      </c>
      <c r="G330" s="4" t="n">
        <v>1000000000000000</v>
      </c>
      <c r="H330" s="12" t="n">
        <f aca="false">IF(AND(E330=0,F330&lt;1000000000000000,F330+Cutoff!$B$16&lt;=Cutoff!$D$13),1,0)</f>
        <v>1</v>
      </c>
      <c r="I330" s="12" t="n">
        <f aca="false">IF(AND(H330=1,G330&lt;1000000000000000,G330&gt;=F330,G330&lt;F330+Cutoff!$B$16),1,0)</f>
        <v>0</v>
      </c>
    </row>
    <row r="331" customFormat="false" ht="15" hidden="false" customHeight="false" outlineLevel="0" collapsed="false">
      <c r="A331" s="4" t="s">
        <v>935</v>
      </c>
      <c r="B331" s="4" t="s">
        <v>242</v>
      </c>
      <c r="C331" s="4" t="s">
        <v>240</v>
      </c>
      <c r="D331" s="4" t="s">
        <v>1634</v>
      </c>
      <c r="E331" s="4" t="n">
        <v>0</v>
      </c>
      <c r="F331" s="4" t="n">
        <v>1783186134</v>
      </c>
      <c r="G331" s="4" t="n">
        <v>1000000000000000</v>
      </c>
      <c r="H331" s="12" t="n">
        <f aca="false">IF(AND(E331=0,F331&lt;1000000000000000,F331+Cutoff!$B$16&lt;=Cutoff!$D$13),1,0)</f>
        <v>1</v>
      </c>
      <c r="I331" s="12" t="n">
        <f aca="false">IF(AND(H331=1,G331&lt;1000000000000000,G331&gt;=F331,G331&lt;F331+Cutoff!$B$16),1,0)</f>
        <v>0</v>
      </c>
    </row>
    <row r="332" customFormat="false" ht="15" hidden="false" customHeight="false" outlineLevel="0" collapsed="false">
      <c r="A332" s="4" t="s">
        <v>937</v>
      </c>
      <c r="B332" s="4" t="s">
        <v>242</v>
      </c>
      <c r="C332" s="4" t="s">
        <v>240</v>
      </c>
      <c r="D332" s="4" t="s">
        <v>1634</v>
      </c>
      <c r="E332" s="4" t="n">
        <v>0</v>
      </c>
      <c r="F332" s="4" t="n">
        <v>1783274894</v>
      </c>
      <c r="G332" s="4" t="n">
        <v>1000000000000000</v>
      </c>
      <c r="H332" s="12" t="n">
        <f aca="false">IF(AND(E332=0,F332&lt;1000000000000000,F332+Cutoff!$B$16&lt;=Cutoff!$D$13),1,0)</f>
        <v>1</v>
      </c>
      <c r="I332" s="12" t="n">
        <f aca="false">IF(AND(H332=1,G332&lt;1000000000000000,G332&gt;=F332,G332&lt;F332+Cutoff!$B$16),1,0)</f>
        <v>0</v>
      </c>
    </row>
    <row r="333" customFormat="false" ht="15" hidden="false" customHeight="false" outlineLevel="0" collapsed="false">
      <c r="A333" s="4" t="s">
        <v>939</v>
      </c>
      <c r="B333" s="4" t="s">
        <v>242</v>
      </c>
      <c r="C333" s="4" t="s">
        <v>240</v>
      </c>
      <c r="D333" s="4" t="s">
        <v>1633</v>
      </c>
      <c r="E333" s="4" t="n">
        <v>0</v>
      </c>
      <c r="F333" s="4" t="n">
        <v>1783279581</v>
      </c>
      <c r="G333" s="4" t="n">
        <v>1000000000000000</v>
      </c>
      <c r="H333" s="12" t="n">
        <f aca="false">IF(AND(E333=0,F333&lt;1000000000000000,F333+Cutoff!$B$16&lt;=Cutoff!$D$13),1,0)</f>
        <v>1</v>
      </c>
      <c r="I333" s="12" t="n">
        <f aca="false">IF(AND(H333=1,G333&lt;1000000000000000,G333&gt;=F333,G333&lt;F333+Cutoff!$B$16),1,0)</f>
        <v>0</v>
      </c>
    </row>
    <row r="334" customFormat="false" ht="15" hidden="false" customHeight="false" outlineLevel="0" collapsed="false">
      <c r="A334" s="4" t="s">
        <v>941</v>
      </c>
      <c r="B334" s="4" t="s">
        <v>242</v>
      </c>
      <c r="C334" s="4" t="s">
        <v>240</v>
      </c>
      <c r="D334" s="4" t="s">
        <v>1633</v>
      </c>
      <c r="E334" s="4" t="n">
        <v>0</v>
      </c>
      <c r="F334" s="4" t="n">
        <v>1783288380</v>
      </c>
      <c r="G334" s="4" t="n">
        <v>1000000000000000</v>
      </c>
      <c r="H334" s="12" t="n">
        <f aca="false">IF(AND(E334=0,F334&lt;1000000000000000,F334+Cutoff!$B$16&lt;=Cutoff!$D$13),1,0)</f>
        <v>1</v>
      </c>
      <c r="I334" s="12" t="n">
        <f aca="false">IF(AND(H334=1,G334&lt;1000000000000000,G334&gt;=F334,G334&lt;F334+Cutoff!$B$16),1,0)</f>
        <v>0</v>
      </c>
    </row>
    <row r="335" customFormat="false" ht="15" hidden="false" customHeight="false" outlineLevel="0" collapsed="false">
      <c r="A335" s="4" t="s">
        <v>943</v>
      </c>
      <c r="B335" s="4" t="s">
        <v>243</v>
      </c>
      <c r="C335" s="4" t="s">
        <v>239</v>
      </c>
      <c r="D335" s="4" t="s">
        <v>1634</v>
      </c>
      <c r="E335" s="4" t="n">
        <v>0</v>
      </c>
      <c r="F335" s="4" t="n">
        <v>1783290280</v>
      </c>
      <c r="G335" s="4" t="n">
        <v>1783293472</v>
      </c>
      <c r="H335" s="12" t="n">
        <f aca="false">IF(AND(E335=0,F335&lt;1000000000000000,F335+Cutoff!$B$16&lt;=Cutoff!$D$13),1,0)</f>
        <v>1</v>
      </c>
      <c r="I335" s="12" t="n">
        <f aca="false">IF(AND(H335=1,G335&lt;1000000000000000,G335&gt;=F335,G335&lt;F335+Cutoff!$B$16),1,0)</f>
        <v>1</v>
      </c>
    </row>
    <row r="336" customFormat="false" ht="15" hidden="false" customHeight="false" outlineLevel="0" collapsed="false">
      <c r="A336" s="4" t="s">
        <v>945</v>
      </c>
      <c r="B336" s="4" t="s">
        <v>242</v>
      </c>
      <c r="C336" s="4" t="s">
        <v>240</v>
      </c>
      <c r="D336" s="4" t="s">
        <v>1632</v>
      </c>
      <c r="E336" s="4" t="n">
        <v>0</v>
      </c>
      <c r="F336" s="4" t="n">
        <v>1783356620</v>
      </c>
      <c r="G336" s="4" t="n">
        <v>1000000000000000</v>
      </c>
      <c r="H336" s="12" t="n">
        <f aca="false">IF(AND(E336=0,F336&lt;1000000000000000,F336+Cutoff!$B$16&lt;=Cutoff!$D$13),1,0)</f>
        <v>1</v>
      </c>
      <c r="I336" s="12" t="n">
        <f aca="false">IF(AND(H336=1,G336&lt;1000000000000000,G336&gt;=F336,G336&lt;F336+Cutoff!$B$16),1,0)</f>
        <v>0</v>
      </c>
    </row>
    <row r="337" customFormat="false" ht="15" hidden="false" customHeight="false" outlineLevel="0" collapsed="false">
      <c r="A337" s="4" t="s">
        <v>947</v>
      </c>
      <c r="B337" s="4" t="s">
        <v>243</v>
      </c>
      <c r="C337" s="4" t="s">
        <v>240</v>
      </c>
      <c r="D337" s="4" t="s">
        <v>1634</v>
      </c>
      <c r="E337" s="4" t="n">
        <v>0</v>
      </c>
      <c r="F337" s="4" t="n">
        <v>1783362914</v>
      </c>
      <c r="G337" s="4" t="n">
        <v>1783525580</v>
      </c>
      <c r="H337" s="12" t="n">
        <f aca="false">IF(AND(E337=0,F337&lt;1000000000000000,F337+Cutoff!$B$16&lt;=Cutoff!$D$13),1,0)</f>
        <v>1</v>
      </c>
      <c r="I337" s="12" t="n">
        <f aca="false">IF(AND(H337=1,G337&lt;1000000000000000,G337&gt;=F337,G337&lt;F337+Cutoff!$B$16),1,0)</f>
        <v>1</v>
      </c>
    </row>
    <row r="338" customFormat="false" ht="15" hidden="false" customHeight="false" outlineLevel="0" collapsed="false">
      <c r="A338" s="4" t="s">
        <v>949</v>
      </c>
      <c r="B338" s="4" t="s">
        <v>243</v>
      </c>
      <c r="C338" s="4" t="s">
        <v>240</v>
      </c>
      <c r="D338" s="4" t="s">
        <v>1633</v>
      </c>
      <c r="E338" s="4" t="n">
        <v>0</v>
      </c>
      <c r="F338" s="4" t="n">
        <v>1783364953</v>
      </c>
      <c r="G338" s="4" t="n">
        <v>1783379824</v>
      </c>
      <c r="H338" s="12" t="n">
        <f aca="false">IF(AND(E338=0,F338&lt;1000000000000000,F338+Cutoff!$B$16&lt;=Cutoff!$D$13),1,0)</f>
        <v>1</v>
      </c>
      <c r="I338" s="12" t="n">
        <f aca="false">IF(AND(H338=1,G338&lt;1000000000000000,G338&gt;=F338,G338&lt;F338+Cutoff!$B$16),1,0)</f>
        <v>1</v>
      </c>
    </row>
    <row r="339" customFormat="false" ht="15" hidden="false" customHeight="false" outlineLevel="0" collapsed="false">
      <c r="A339" s="4" t="s">
        <v>951</v>
      </c>
      <c r="B339" s="4" t="s">
        <v>243</v>
      </c>
      <c r="C339" s="4" t="s">
        <v>240</v>
      </c>
      <c r="D339" s="4" t="s">
        <v>1634</v>
      </c>
      <c r="E339" s="4" t="n">
        <v>0</v>
      </c>
      <c r="F339" s="4" t="n">
        <v>1783368470</v>
      </c>
      <c r="G339" s="4" t="n">
        <v>1785053977</v>
      </c>
      <c r="H339" s="12" t="n">
        <f aca="false">IF(AND(E339=0,F339&lt;1000000000000000,F339+Cutoff!$B$16&lt;=Cutoff!$D$13),1,0)</f>
        <v>1</v>
      </c>
      <c r="I339" s="12" t="n">
        <f aca="false">IF(AND(H339=1,G339&lt;1000000000000000,G339&gt;=F339,G339&lt;F339+Cutoff!$B$16),1,0)</f>
        <v>0</v>
      </c>
    </row>
    <row r="340" customFormat="false" ht="15" hidden="false" customHeight="false" outlineLevel="0" collapsed="false">
      <c r="A340" s="4" t="s">
        <v>953</v>
      </c>
      <c r="B340" s="4" t="s">
        <v>243</v>
      </c>
      <c r="C340" s="4" t="s">
        <v>240</v>
      </c>
      <c r="D340" s="4" t="s">
        <v>1633</v>
      </c>
      <c r="E340" s="4" t="n">
        <v>0</v>
      </c>
      <c r="F340" s="4" t="n">
        <v>1783370045</v>
      </c>
      <c r="G340" s="4" t="n">
        <v>1000000000000000</v>
      </c>
      <c r="H340" s="12" t="n">
        <f aca="false">IF(AND(E340=0,F340&lt;1000000000000000,F340+Cutoff!$B$16&lt;=Cutoff!$D$13),1,0)</f>
        <v>1</v>
      </c>
      <c r="I340" s="12" t="n">
        <f aca="false">IF(AND(H340=1,G340&lt;1000000000000000,G340&gt;=F340,G340&lt;F340+Cutoff!$B$16),1,0)</f>
        <v>0</v>
      </c>
    </row>
    <row r="341" customFormat="false" ht="15" hidden="false" customHeight="false" outlineLevel="0" collapsed="false">
      <c r="A341" s="4" t="s">
        <v>955</v>
      </c>
      <c r="B341" s="4" t="s">
        <v>243</v>
      </c>
      <c r="C341" s="4" t="s">
        <v>240</v>
      </c>
      <c r="D341" s="4" t="s">
        <v>1633</v>
      </c>
      <c r="E341" s="4" t="n">
        <v>0</v>
      </c>
      <c r="F341" s="4" t="n">
        <v>1783375066</v>
      </c>
      <c r="G341" s="4" t="n">
        <v>1783553174</v>
      </c>
      <c r="H341" s="12" t="n">
        <f aca="false">IF(AND(E341=0,F341&lt;1000000000000000,F341+Cutoff!$B$16&lt;=Cutoff!$D$13),1,0)</f>
        <v>1</v>
      </c>
      <c r="I341" s="12" t="n">
        <f aca="false">IF(AND(H341=1,G341&lt;1000000000000000,G341&gt;=F341,G341&lt;F341+Cutoff!$B$16),1,0)</f>
        <v>1</v>
      </c>
    </row>
    <row r="342" customFormat="false" ht="15" hidden="false" customHeight="false" outlineLevel="0" collapsed="false">
      <c r="A342" s="4" t="s">
        <v>957</v>
      </c>
      <c r="B342" s="4" t="s">
        <v>243</v>
      </c>
      <c r="C342" s="4" t="s">
        <v>238</v>
      </c>
      <c r="D342" s="4" t="s">
        <v>1632</v>
      </c>
      <c r="E342" s="4" t="n">
        <v>0</v>
      </c>
      <c r="F342" s="4" t="n">
        <v>1783416854</v>
      </c>
      <c r="G342" s="4" t="n">
        <v>1000000000000000</v>
      </c>
      <c r="H342" s="12" t="n">
        <f aca="false">IF(AND(E342=0,F342&lt;1000000000000000,F342+Cutoff!$B$16&lt;=Cutoff!$D$13),1,0)</f>
        <v>1</v>
      </c>
      <c r="I342" s="12" t="n">
        <f aca="false">IF(AND(H342=1,G342&lt;1000000000000000,G342&gt;=F342,G342&lt;F342+Cutoff!$B$16),1,0)</f>
        <v>0</v>
      </c>
    </row>
    <row r="343" customFormat="false" ht="15" hidden="false" customHeight="false" outlineLevel="0" collapsed="false">
      <c r="A343" s="4" t="s">
        <v>959</v>
      </c>
      <c r="B343" s="4" t="s">
        <v>242</v>
      </c>
      <c r="C343" s="4" t="s">
        <v>240</v>
      </c>
      <c r="D343" s="4" t="s">
        <v>1632</v>
      </c>
      <c r="E343" s="4" t="n">
        <v>0</v>
      </c>
      <c r="F343" s="4" t="n">
        <v>1783418093</v>
      </c>
      <c r="G343" s="4" t="n">
        <v>1783442389</v>
      </c>
      <c r="H343" s="12" t="n">
        <f aca="false">IF(AND(E343=0,F343&lt;1000000000000000,F343+Cutoff!$B$16&lt;=Cutoff!$D$13),1,0)</f>
        <v>1</v>
      </c>
      <c r="I343" s="12" t="n">
        <f aca="false">IF(AND(H343=1,G343&lt;1000000000000000,G343&gt;=F343,G343&lt;F343+Cutoff!$B$16),1,0)</f>
        <v>1</v>
      </c>
    </row>
    <row r="344" customFormat="false" ht="15" hidden="false" customHeight="false" outlineLevel="0" collapsed="false">
      <c r="A344" s="4" t="s">
        <v>961</v>
      </c>
      <c r="B344" s="4" t="s">
        <v>242</v>
      </c>
      <c r="C344" s="4" t="s">
        <v>240</v>
      </c>
      <c r="D344" s="4" t="s">
        <v>1632</v>
      </c>
      <c r="E344" s="4" t="n">
        <v>0</v>
      </c>
      <c r="F344" s="4" t="n">
        <v>1783420486</v>
      </c>
      <c r="G344" s="4" t="n">
        <v>1000000000000000</v>
      </c>
      <c r="H344" s="12" t="n">
        <f aca="false">IF(AND(E344=0,F344&lt;1000000000000000,F344+Cutoff!$B$16&lt;=Cutoff!$D$13),1,0)</f>
        <v>1</v>
      </c>
      <c r="I344" s="12" t="n">
        <f aca="false">IF(AND(H344=1,G344&lt;1000000000000000,G344&gt;=F344,G344&lt;F344+Cutoff!$B$16),1,0)</f>
        <v>0</v>
      </c>
    </row>
    <row r="345" customFormat="false" ht="15" hidden="false" customHeight="false" outlineLevel="0" collapsed="false">
      <c r="A345" s="4" t="s">
        <v>963</v>
      </c>
      <c r="B345" s="4" t="s">
        <v>242</v>
      </c>
      <c r="C345" s="4" t="s">
        <v>240</v>
      </c>
      <c r="D345" s="4" t="s">
        <v>1632</v>
      </c>
      <c r="E345" s="4" t="n">
        <v>0</v>
      </c>
      <c r="F345" s="4" t="n">
        <v>1783421794</v>
      </c>
      <c r="G345" s="4" t="n">
        <v>1000000000000000</v>
      </c>
      <c r="H345" s="12" t="n">
        <f aca="false">IF(AND(E345=0,F345&lt;1000000000000000,F345+Cutoff!$B$16&lt;=Cutoff!$D$13),1,0)</f>
        <v>1</v>
      </c>
      <c r="I345" s="12" t="n">
        <f aca="false">IF(AND(H345=1,G345&lt;1000000000000000,G345&gt;=F345,G345&lt;F345+Cutoff!$B$16),1,0)</f>
        <v>0</v>
      </c>
    </row>
    <row r="346" customFormat="false" ht="15" hidden="false" customHeight="false" outlineLevel="0" collapsed="false">
      <c r="A346" s="4" t="s">
        <v>965</v>
      </c>
      <c r="B346" s="4" t="s">
        <v>242</v>
      </c>
      <c r="C346" s="4" t="s">
        <v>240</v>
      </c>
      <c r="D346" s="4" t="s">
        <v>1633</v>
      </c>
      <c r="E346" s="4" t="n">
        <v>0</v>
      </c>
      <c r="F346" s="4" t="n">
        <v>1783446499</v>
      </c>
      <c r="G346" s="4" t="n">
        <v>1783500966</v>
      </c>
      <c r="H346" s="12" t="n">
        <f aca="false">IF(AND(E346=0,F346&lt;1000000000000000,F346+Cutoff!$B$16&lt;=Cutoff!$D$13),1,0)</f>
        <v>1</v>
      </c>
      <c r="I346" s="12" t="n">
        <f aca="false">IF(AND(H346=1,G346&lt;1000000000000000,G346&gt;=F346,G346&lt;F346+Cutoff!$B$16),1,0)</f>
        <v>1</v>
      </c>
    </row>
    <row r="347" customFormat="false" ht="15" hidden="false" customHeight="false" outlineLevel="0" collapsed="false">
      <c r="A347" s="4" t="s">
        <v>967</v>
      </c>
      <c r="B347" s="4" t="s">
        <v>243</v>
      </c>
      <c r="C347" s="4" t="s">
        <v>239</v>
      </c>
      <c r="D347" s="4" t="s">
        <v>1633</v>
      </c>
      <c r="E347" s="4" t="n">
        <v>0</v>
      </c>
      <c r="F347" s="4" t="n">
        <v>1783450144</v>
      </c>
      <c r="G347" s="4" t="n">
        <v>1000000000000000</v>
      </c>
      <c r="H347" s="12" t="n">
        <f aca="false">IF(AND(E347=0,F347&lt;1000000000000000,F347+Cutoff!$B$16&lt;=Cutoff!$D$13),1,0)</f>
        <v>1</v>
      </c>
      <c r="I347" s="12" t="n">
        <f aca="false">IF(AND(H347=1,G347&lt;1000000000000000,G347&gt;=F347,G347&lt;F347+Cutoff!$B$16),1,0)</f>
        <v>0</v>
      </c>
    </row>
    <row r="348" customFormat="false" ht="15" hidden="false" customHeight="false" outlineLevel="0" collapsed="false">
      <c r="A348" s="4" t="s">
        <v>969</v>
      </c>
      <c r="B348" s="4" t="s">
        <v>243</v>
      </c>
      <c r="C348" s="4" t="s">
        <v>239</v>
      </c>
      <c r="D348" s="4" t="s">
        <v>1633</v>
      </c>
      <c r="E348" s="4" t="n">
        <v>0</v>
      </c>
      <c r="F348" s="4" t="n">
        <v>1783522855</v>
      </c>
      <c r="G348" s="4" t="n">
        <v>1000000000000000</v>
      </c>
      <c r="H348" s="12" t="n">
        <f aca="false">IF(AND(E348=0,F348&lt;1000000000000000,F348+Cutoff!$B$16&lt;=Cutoff!$D$13),1,0)</f>
        <v>1</v>
      </c>
      <c r="I348" s="12" t="n">
        <f aca="false">IF(AND(H348=1,G348&lt;1000000000000000,G348&gt;=F348,G348&lt;F348+Cutoff!$B$16),1,0)</f>
        <v>0</v>
      </c>
    </row>
    <row r="349" customFormat="false" ht="15" hidden="false" customHeight="false" outlineLevel="0" collapsed="false">
      <c r="A349" s="4" t="s">
        <v>971</v>
      </c>
      <c r="B349" s="4" t="s">
        <v>242</v>
      </c>
      <c r="C349" s="4" t="s">
        <v>240</v>
      </c>
      <c r="D349" s="4" t="s">
        <v>1632</v>
      </c>
      <c r="E349" s="4" t="n">
        <v>0</v>
      </c>
      <c r="F349" s="4" t="n">
        <v>1783526753</v>
      </c>
      <c r="G349" s="4" t="n">
        <v>1000000000000000</v>
      </c>
      <c r="H349" s="12" t="n">
        <f aca="false">IF(AND(E349=0,F349&lt;1000000000000000,F349+Cutoff!$B$16&lt;=Cutoff!$D$13),1,0)</f>
        <v>1</v>
      </c>
      <c r="I349" s="12" t="n">
        <f aca="false">IF(AND(H349=1,G349&lt;1000000000000000,G349&gt;=F349,G349&lt;F349+Cutoff!$B$16),1,0)</f>
        <v>0</v>
      </c>
    </row>
    <row r="350" customFormat="false" ht="15" hidden="false" customHeight="false" outlineLevel="0" collapsed="false">
      <c r="A350" s="4" t="s">
        <v>1639</v>
      </c>
      <c r="B350" s="4" t="s">
        <v>242</v>
      </c>
      <c r="C350" s="4" t="s">
        <v>240</v>
      </c>
      <c r="D350" s="4" t="s">
        <v>1633</v>
      </c>
      <c r="E350" s="4" t="n">
        <v>1</v>
      </c>
      <c r="F350" s="4" t="n">
        <v>1000000000000000</v>
      </c>
      <c r="G350" s="4" t="n">
        <v>1000000000000000</v>
      </c>
      <c r="H350" s="12" t="n">
        <f aca="false">IF(AND(E350=0,F350&lt;1000000000000000,F350+Cutoff!$B$16&lt;=Cutoff!$D$13),1,0)</f>
        <v>0</v>
      </c>
      <c r="I350" s="12" t="n">
        <f aca="false">IF(AND(H350=1,G350&lt;1000000000000000,G350&gt;=F350,G350&lt;F350+Cutoff!$B$16),1,0)</f>
        <v>0</v>
      </c>
    </row>
    <row r="351" customFormat="false" ht="15" hidden="false" customHeight="false" outlineLevel="0" collapsed="false">
      <c r="A351" s="4" t="s">
        <v>973</v>
      </c>
      <c r="B351" s="4" t="s">
        <v>237</v>
      </c>
      <c r="C351" s="4" t="s">
        <v>240</v>
      </c>
      <c r="D351" s="4" t="s">
        <v>1633</v>
      </c>
      <c r="E351" s="4" t="n">
        <v>0</v>
      </c>
      <c r="F351" s="4" t="n">
        <v>1783547243</v>
      </c>
      <c r="G351" s="4" t="n">
        <v>1783552002</v>
      </c>
      <c r="H351" s="12" t="n">
        <f aca="false">IF(AND(E351=0,F351&lt;1000000000000000,F351+Cutoff!$B$16&lt;=Cutoff!$D$13),1,0)</f>
        <v>1</v>
      </c>
      <c r="I351" s="12" t="n">
        <f aca="false">IF(AND(H351=1,G351&lt;1000000000000000,G351&gt;=F351,G351&lt;F351+Cutoff!$B$16),1,0)</f>
        <v>1</v>
      </c>
    </row>
    <row r="352" customFormat="false" ht="15" hidden="false" customHeight="false" outlineLevel="0" collapsed="false">
      <c r="A352" s="4" t="s">
        <v>975</v>
      </c>
      <c r="B352" s="4" t="s">
        <v>242</v>
      </c>
      <c r="C352" s="4" t="s">
        <v>240</v>
      </c>
      <c r="D352" s="4" t="s">
        <v>1633</v>
      </c>
      <c r="E352" s="4" t="n">
        <v>0</v>
      </c>
      <c r="F352" s="4" t="n">
        <v>1783548991</v>
      </c>
      <c r="G352" s="4" t="n">
        <v>1000000000000000</v>
      </c>
      <c r="H352" s="12" t="n">
        <f aca="false">IF(AND(E352=0,F352&lt;1000000000000000,F352+Cutoff!$B$16&lt;=Cutoff!$D$13),1,0)</f>
        <v>1</v>
      </c>
      <c r="I352" s="12" t="n">
        <f aca="false">IF(AND(H352=1,G352&lt;1000000000000000,G352&gt;=F352,G352&lt;F352+Cutoff!$B$16),1,0)</f>
        <v>0</v>
      </c>
    </row>
    <row r="353" customFormat="false" ht="15" hidden="false" customHeight="false" outlineLevel="0" collapsed="false">
      <c r="A353" s="4" t="s">
        <v>977</v>
      </c>
      <c r="B353" s="4" t="s">
        <v>243</v>
      </c>
      <c r="C353" s="4" t="s">
        <v>240</v>
      </c>
      <c r="D353" s="4" t="s">
        <v>1633</v>
      </c>
      <c r="E353" s="4" t="n">
        <v>0</v>
      </c>
      <c r="F353" s="4" t="n">
        <v>1783614032</v>
      </c>
      <c r="G353" s="4" t="n">
        <v>1000000000000000</v>
      </c>
      <c r="H353" s="12" t="n">
        <f aca="false">IF(AND(E353=0,F353&lt;1000000000000000,F353+Cutoff!$B$16&lt;=Cutoff!$D$13),1,0)</f>
        <v>1</v>
      </c>
      <c r="I353" s="12" t="n">
        <f aca="false">IF(AND(H353=1,G353&lt;1000000000000000,G353&gt;=F353,G353&lt;F353+Cutoff!$B$16),1,0)</f>
        <v>0</v>
      </c>
    </row>
    <row r="354" customFormat="false" ht="15" hidden="false" customHeight="false" outlineLevel="0" collapsed="false">
      <c r="A354" s="4" t="s">
        <v>979</v>
      </c>
      <c r="B354" s="4" t="s">
        <v>243</v>
      </c>
      <c r="C354" s="4" t="s">
        <v>240</v>
      </c>
      <c r="D354" s="4" t="s">
        <v>1633</v>
      </c>
      <c r="E354" s="4" t="n">
        <v>0</v>
      </c>
      <c r="F354" s="4" t="n">
        <v>1783635680</v>
      </c>
      <c r="G354" s="4" t="n">
        <v>1000000000000000</v>
      </c>
      <c r="H354" s="12" t="n">
        <f aca="false">IF(AND(E354=0,F354&lt;1000000000000000,F354+Cutoff!$B$16&lt;=Cutoff!$D$13),1,0)</f>
        <v>1</v>
      </c>
      <c r="I354" s="12" t="n">
        <f aca="false">IF(AND(H354=1,G354&lt;1000000000000000,G354&gt;=F354,G354&lt;F354+Cutoff!$B$16),1,0)</f>
        <v>0</v>
      </c>
    </row>
    <row r="355" customFormat="false" ht="15" hidden="false" customHeight="false" outlineLevel="0" collapsed="false">
      <c r="A355" s="4" t="s">
        <v>981</v>
      </c>
      <c r="B355" s="4" t="s">
        <v>243</v>
      </c>
      <c r="C355" s="4" t="s">
        <v>240</v>
      </c>
      <c r="D355" s="4" t="s">
        <v>1632</v>
      </c>
      <c r="E355" s="4" t="n">
        <v>0</v>
      </c>
      <c r="F355" s="4" t="n">
        <v>1783681946</v>
      </c>
      <c r="G355" s="4" t="n">
        <v>1783693862</v>
      </c>
      <c r="H355" s="12" t="n">
        <f aca="false">IF(AND(E355=0,F355&lt;1000000000000000,F355+Cutoff!$B$16&lt;=Cutoff!$D$13),1,0)</f>
        <v>1</v>
      </c>
      <c r="I355" s="12" t="n">
        <f aca="false">IF(AND(H355=1,G355&lt;1000000000000000,G355&gt;=F355,G355&lt;F355+Cutoff!$B$16),1,0)</f>
        <v>1</v>
      </c>
    </row>
    <row r="356" customFormat="false" ht="15" hidden="false" customHeight="false" outlineLevel="0" collapsed="false">
      <c r="A356" s="4" t="s">
        <v>983</v>
      </c>
      <c r="B356" s="4" t="s">
        <v>242</v>
      </c>
      <c r="C356" s="4" t="s">
        <v>240</v>
      </c>
      <c r="D356" s="4" t="s">
        <v>1633</v>
      </c>
      <c r="E356" s="4" t="n">
        <v>0</v>
      </c>
      <c r="F356" s="4" t="n">
        <v>1783695954</v>
      </c>
      <c r="G356" s="4" t="n">
        <v>1784384239</v>
      </c>
      <c r="H356" s="12" t="n">
        <f aca="false">IF(AND(E356=0,F356&lt;1000000000000000,F356+Cutoff!$B$16&lt;=Cutoff!$D$13),1,0)</f>
        <v>1</v>
      </c>
      <c r="I356" s="12" t="n">
        <f aca="false">IF(AND(H356=1,G356&lt;1000000000000000,G356&gt;=F356,G356&lt;F356+Cutoff!$B$16),1,0)</f>
        <v>0</v>
      </c>
    </row>
    <row r="357" customFormat="false" ht="15" hidden="false" customHeight="false" outlineLevel="0" collapsed="false">
      <c r="A357" s="4" t="s">
        <v>985</v>
      </c>
      <c r="B357" s="4" t="s">
        <v>242</v>
      </c>
      <c r="C357" s="4" t="s">
        <v>240</v>
      </c>
      <c r="D357" s="4" t="s">
        <v>1634</v>
      </c>
      <c r="E357" s="4" t="n">
        <v>0</v>
      </c>
      <c r="F357" s="4" t="n">
        <v>1783707253</v>
      </c>
      <c r="G357" s="4" t="n">
        <v>1000000000000000</v>
      </c>
      <c r="H357" s="12" t="n">
        <f aca="false">IF(AND(E357=0,F357&lt;1000000000000000,F357+Cutoff!$B$16&lt;=Cutoff!$D$13),1,0)</f>
        <v>1</v>
      </c>
      <c r="I357" s="12" t="n">
        <f aca="false">IF(AND(H357=1,G357&lt;1000000000000000,G357&gt;=F357,G357&lt;F357+Cutoff!$B$16),1,0)</f>
        <v>0</v>
      </c>
    </row>
    <row r="358" customFormat="false" ht="15" hidden="false" customHeight="false" outlineLevel="0" collapsed="false">
      <c r="A358" s="4" t="s">
        <v>987</v>
      </c>
      <c r="B358" s="4" t="s">
        <v>242</v>
      </c>
      <c r="C358" s="4" t="s">
        <v>240</v>
      </c>
      <c r="D358" s="4" t="s">
        <v>1633</v>
      </c>
      <c r="E358" s="4" t="n">
        <v>0</v>
      </c>
      <c r="F358" s="4" t="n">
        <v>1783712975</v>
      </c>
      <c r="G358" s="4" t="n">
        <v>1000000000000000</v>
      </c>
      <c r="H358" s="12" t="n">
        <f aca="false">IF(AND(E358=0,F358&lt;1000000000000000,F358+Cutoff!$B$16&lt;=Cutoff!$D$13),1,0)</f>
        <v>1</v>
      </c>
      <c r="I358" s="12" t="n">
        <f aca="false">IF(AND(H358=1,G358&lt;1000000000000000,G358&gt;=F358,G358&lt;F358+Cutoff!$B$16),1,0)</f>
        <v>0</v>
      </c>
    </row>
    <row r="359" customFormat="false" ht="15" hidden="false" customHeight="false" outlineLevel="0" collapsed="false">
      <c r="A359" s="4" t="s">
        <v>989</v>
      </c>
      <c r="B359" s="4" t="s">
        <v>237</v>
      </c>
      <c r="C359" s="4" t="s">
        <v>238</v>
      </c>
      <c r="D359" s="4" t="s">
        <v>1632</v>
      </c>
      <c r="E359" s="4" t="n">
        <v>0</v>
      </c>
      <c r="F359" s="4" t="n">
        <v>1783783829</v>
      </c>
      <c r="G359" s="4" t="n">
        <v>1783798518</v>
      </c>
      <c r="H359" s="12" t="n">
        <f aca="false">IF(AND(E359=0,F359&lt;1000000000000000,F359+Cutoff!$B$16&lt;=Cutoff!$D$13),1,0)</f>
        <v>1</v>
      </c>
      <c r="I359" s="12" t="n">
        <f aca="false">IF(AND(H359=1,G359&lt;1000000000000000,G359&gt;=F359,G359&lt;F359+Cutoff!$B$16),1,0)</f>
        <v>1</v>
      </c>
    </row>
    <row r="360" customFormat="false" ht="15" hidden="false" customHeight="false" outlineLevel="0" collapsed="false">
      <c r="A360" s="4" t="s">
        <v>991</v>
      </c>
      <c r="B360" s="4" t="s">
        <v>242</v>
      </c>
      <c r="C360" s="4" t="s">
        <v>240</v>
      </c>
      <c r="D360" s="4" t="s">
        <v>1632</v>
      </c>
      <c r="E360" s="4" t="n">
        <v>0</v>
      </c>
      <c r="F360" s="4" t="n">
        <v>1783784010</v>
      </c>
      <c r="G360" s="4" t="n">
        <v>1000000000000000</v>
      </c>
      <c r="H360" s="12" t="n">
        <f aca="false">IF(AND(E360=0,F360&lt;1000000000000000,F360+Cutoff!$B$16&lt;=Cutoff!$D$13),1,0)</f>
        <v>1</v>
      </c>
      <c r="I360" s="12" t="n">
        <f aca="false">IF(AND(H360=1,G360&lt;1000000000000000,G360&gt;=F360,G360&lt;F360+Cutoff!$B$16),1,0)</f>
        <v>0</v>
      </c>
    </row>
    <row r="361" customFormat="false" ht="15" hidden="false" customHeight="false" outlineLevel="0" collapsed="false">
      <c r="A361" s="4" t="s">
        <v>993</v>
      </c>
      <c r="B361" s="4" t="s">
        <v>242</v>
      </c>
      <c r="C361" s="4" t="s">
        <v>240</v>
      </c>
      <c r="D361" s="4" t="s">
        <v>1633</v>
      </c>
      <c r="E361" s="4" t="n">
        <v>0</v>
      </c>
      <c r="F361" s="4" t="n">
        <v>1783803932</v>
      </c>
      <c r="G361" s="4" t="n">
        <v>1000000000000000</v>
      </c>
      <c r="H361" s="12" t="n">
        <f aca="false">IF(AND(E361=0,F361&lt;1000000000000000,F361+Cutoff!$B$16&lt;=Cutoff!$D$13),1,0)</f>
        <v>1</v>
      </c>
      <c r="I361" s="12" t="n">
        <f aca="false">IF(AND(H361=1,G361&lt;1000000000000000,G361&gt;=F361,G361&lt;F361+Cutoff!$B$16),1,0)</f>
        <v>0</v>
      </c>
    </row>
    <row r="362" customFormat="false" ht="15" hidden="false" customHeight="false" outlineLevel="0" collapsed="false">
      <c r="A362" s="4" t="s">
        <v>995</v>
      </c>
      <c r="B362" s="4" t="s">
        <v>243</v>
      </c>
      <c r="C362" s="4" t="s">
        <v>239</v>
      </c>
      <c r="D362" s="4" t="s">
        <v>1633</v>
      </c>
      <c r="E362" s="4" t="n">
        <v>0</v>
      </c>
      <c r="F362" s="4" t="n">
        <v>1783947462</v>
      </c>
      <c r="G362" s="4" t="n">
        <v>1000000000000000</v>
      </c>
      <c r="H362" s="12" t="n">
        <f aca="false">IF(AND(E362=0,F362&lt;1000000000000000,F362+Cutoff!$B$16&lt;=Cutoff!$D$13),1,0)</f>
        <v>1</v>
      </c>
      <c r="I362" s="12" t="n">
        <f aca="false">IF(AND(H362=1,G362&lt;1000000000000000,G362&gt;=F362,G362&lt;F362+Cutoff!$B$16),1,0)</f>
        <v>0</v>
      </c>
    </row>
    <row r="363" customFormat="false" ht="15" hidden="false" customHeight="false" outlineLevel="0" collapsed="false">
      <c r="A363" s="4" t="s">
        <v>997</v>
      </c>
      <c r="B363" s="4" t="s">
        <v>237</v>
      </c>
      <c r="C363" s="4" t="s">
        <v>238</v>
      </c>
      <c r="D363" s="4" t="s">
        <v>1633</v>
      </c>
      <c r="E363" s="4" t="n">
        <v>0</v>
      </c>
      <c r="F363" s="4" t="n">
        <v>1783963447</v>
      </c>
      <c r="G363" s="4" t="n">
        <v>1783964309</v>
      </c>
      <c r="H363" s="12" t="n">
        <f aca="false">IF(AND(E363=0,F363&lt;1000000000000000,F363+Cutoff!$B$16&lt;=Cutoff!$D$13),1,0)</f>
        <v>1</v>
      </c>
      <c r="I363" s="12" t="n">
        <f aca="false">IF(AND(H363=1,G363&lt;1000000000000000,G363&gt;=F363,G363&lt;F363+Cutoff!$B$16),1,0)</f>
        <v>1</v>
      </c>
    </row>
    <row r="364" customFormat="false" ht="15" hidden="false" customHeight="false" outlineLevel="0" collapsed="false">
      <c r="A364" s="4" t="s">
        <v>999</v>
      </c>
      <c r="B364" s="4" t="s">
        <v>242</v>
      </c>
      <c r="C364" s="4" t="s">
        <v>240</v>
      </c>
      <c r="D364" s="4" t="s">
        <v>1634</v>
      </c>
      <c r="E364" s="4" t="n">
        <v>0</v>
      </c>
      <c r="F364" s="4" t="n">
        <v>1783965825</v>
      </c>
      <c r="G364" s="4" t="n">
        <v>1783998393</v>
      </c>
      <c r="H364" s="12" t="n">
        <f aca="false">IF(AND(E364=0,F364&lt;1000000000000000,F364+Cutoff!$B$16&lt;=Cutoff!$D$13),1,0)</f>
        <v>1</v>
      </c>
      <c r="I364" s="12" t="n">
        <f aca="false">IF(AND(H364=1,G364&lt;1000000000000000,G364&gt;=F364,G364&lt;F364+Cutoff!$B$16),1,0)</f>
        <v>1</v>
      </c>
    </row>
    <row r="365" customFormat="false" ht="15" hidden="false" customHeight="false" outlineLevel="0" collapsed="false">
      <c r="A365" s="4" t="s">
        <v>1001</v>
      </c>
      <c r="B365" s="4" t="s">
        <v>243</v>
      </c>
      <c r="C365" s="4" t="s">
        <v>239</v>
      </c>
      <c r="D365" s="4" t="s">
        <v>1634</v>
      </c>
      <c r="E365" s="4" t="n">
        <v>0</v>
      </c>
      <c r="F365" s="4" t="n">
        <v>1783966940</v>
      </c>
      <c r="G365" s="4" t="n">
        <v>1000000000000000</v>
      </c>
      <c r="H365" s="12" t="n">
        <f aca="false">IF(AND(E365=0,F365&lt;1000000000000000,F365+Cutoff!$B$16&lt;=Cutoff!$D$13),1,0)</f>
        <v>1</v>
      </c>
      <c r="I365" s="12" t="n">
        <f aca="false">IF(AND(H365=1,G365&lt;1000000000000000,G365&gt;=F365,G365&lt;F365+Cutoff!$B$16),1,0)</f>
        <v>0</v>
      </c>
    </row>
    <row r="366" customFormat="false" ht="15" hidden="false" customHeight="false" outlineLevel="0" collapsed="false">
      <c r="A366" s="4" t="s">
        <v>1003</v>
      </c>
      <c r="B366" s="4" t="s">
        <v>243</v>
      </c>
      <c r="C366" s="4" t="s">
        <v>240</v>
      </c>
      <c r="D366" s="4" t="s">
        <v>1632</v>
      </c>
      <c r="E366" s="4" t="n">
        <v>0</v>
      </c>
      <c r="F366" s="4" t="n">
        <v>1783968806</v>
      </c>
      <c r="G366" s="4" t="n">
        <v>1000000000000000</v>
      </c>
      <c r="H366" s="12" t="n">
        <f aca="false">IF(AND(E366=0,F366&lt;1000000000000000,F366+Cutoff!$B$16&lt;=Cutoff!$D$13),1,0)</f>
        <v>1</v>
      </c>
      <c r="I366" s="12" t="n">
        <f aca="false">IF(AND(H366=1,G366&lt;1000000000000000,G366&gt;=F366,G366&lt;F366+Cutoff!$B$16),1,0)</f>
        <v>0</v>
      </c>
    </row>
    <row r="367" customFormat="false" ht="15" hidden="false" customHeight="false" outlineLevel="0" collapsed="false">
      <c r="A367" s="4" t="s">
        <v>1005</v>
      </c>
      <c r="B367" s="4" t="s">
        <v>242</v>
      </c>
      <c r="C367" s="4" t="s">
        <v>240</v>
      </c>
      <c r="D367" s="4" t="s">
        <v>1633</v>
      </c>
      <c r="E367" s="4" t="n">
        <v>0</v>
      </c>
      <c r="F367" s="4" t="n">
        <v>1783977439</v>
      </c>
      <c r="G367" s="4" t="n">
        <v>1784017422</v>
      </c>
      <c r="H367" s="12" t="n">
        <f aca="false">IF(AND(E367=0,F367&lt;1000000000000000,F367+Cutoff!$B$16&lt;=Cutoff!$D$13),1,0)</f>
        <v>1</v>
      </c>
      <c r="I367" s="12" t="n">
        <f aca="false">IF(AND(H367=1,G367&lt;1000000000000000,G367&gt;=F367,G367&lt;F367+Cutoff!$B$16),1,0)</f>
        <v>1</v>
      </c>
    </row>
    <row r="368" customFormat="false" ht="15" hidden="false" customHeight="false" outlineLevel="0" collapsed="false">
      <c r="A368" s="4" t="s">
        <v>1007</v>
      </c>
      <c r="B368" s="4" t="s">
        <v>242</v>
      </c>
      <c r="C368" s="4" t="s">
        <v>240</v>
      </c>
      <c r="D368" s="4" t="s">
        <v>1633</v>
      </c>
      <c r="E368" s="4" t="n">
        <v>0</v>
      </c>
      <c r="F368" s="4" t="n">
        <v>1784031246</v>
      </c>
      <c r="G368" s="4" t="n">
        <v>1000000000000000</v>
      </c>
      <c r="H368" s="12" t="n">
        <f aca="false">IF(AND(E368=0,F368&lt;1000000000000000,F368+Cutoff!$B$16&lt;=Cutoff!$D$13),1,0)</f>
        <v>1</v>
      </c>
      <c r="I368" s="12" t="n">
        <f aca="false">IF(AND(H368=1,G368&lt;1000000000000000,G368&gt;=F368,G368&lt;F368+Cutoff!$B$16),1,0)</f>
        <v>0</v>
      </c>
    </row>
    <row r="369" customFormat="false" ht="15" hidden="false" customHeight="false" outlineLevel="0" collapsed="false">
      <c r="A369" s="4" t="s">
        <v>1009</v>
      </c>
      <c r="B369" s="4" t="s">
        <v>242</v>
      </c>
      <c r="C369" s="4" t="s">
        <v>240</v>
      </c>
      <c r="D369" s="4" t="s">
        <v>1632</v>
      </c>
      <c r="E369" s="4" t="n">
        <v>0</v>
      </c>
      <c r="F369" s="4" t="n">
        <v>1784036206</v>
      </c>
      <c r="G369" s="4" t="n">
        <v>1000000000000000</v>
      </c>
      <c r="H369" s="12" t="n">
        <f aca="false">IF(AND(E369=0,F369&lt;1000000000000000,F369+Cutoff!$B$16&lt;=Cutoff!$D$13),1,0)</f>
        <v>1</v>
      </c>
      <c r="I369" s="12" t="n">
        <f aca="false">IF(AND(H369=1,G369&lt;1000000000000000,G369&gt;=F369,G369&lt;F369+Cutoff!$B$16),1,0)</f>
        <v>0</v>
      </c>
    </row>
    <row r="370" customFormat="false" ht="15" hidden="false" customHeight="false" outlineLevel="0" collapsed="false">
      <c r="A370" s="4" t="s">
        <v>1011</v>
      </c>
      <c r="B370" s="4" t="s">
        <v>237</v>
      </c>
      <c r="C370" s="4" t="s">
        <v>238</v>
      </c>
      <c r="D370" s="4" t="s">
        <v>1633</v>
      </c>
      <c r="E370" s="4" t="n">
        <v>0</v>
      </c>
      <c r="F370" s="4" t="n">
        <v>1784042545</v>
      </c>
      <c r="G370" s="4" t="n">
        <v>1784046888</v>
      </c>
      <c r="H370" s="12" t="n">
        <f aca="false">IF(AND(E370=0,F370&lt;1000000000000000,F370+Cutoff!$B$16&lt;=Cutoff!$D$13),1,0)</f>
        <v>1</v>
      </c>
      <c r="I370" s="12" t="n">
        <f aca="false">IF(AND(H370=1,G370&lt;1000000000000000,G370&gt;=F370,G370&lt;F370+Cutoff!$B$16),1,0)</f>
        <v>1</v>
      </c>
    </row>
    <row r="371" customFormat="false" ht="15" hidden="false" customHeight="false" outlineLevel="0" collapsed="false">
      <c r="A371" s="4" t="s">
        <v>1013</v>
      </c>
      <c r="B371" s="4" t="s">
        <v>243</v>
      </c>
      <c r="C371" s="4" t="s">
        <v>238</v>
      </c>
      <c r="D371" s="4" t="s">
        <v>1633</v>
      </c>
      <c r="E371" s="4" t="n">
        <v>0</v>
      </c>
      <c r="F371" s="4" t="n">
        <v>1784048505</v>
      </c>
      <c r="G371" s="4" t="n">
        <v>1784641737</v>
      </c>
      <c r="H371" s="12" t="n">
        <f aca="false">IF(AND(E371=0,F371&lt;1000000000000000,F371+Cutoff!$B$16&lt;=Cutoff!$D$13),1,0)</f>
        <v>1</v>
      </c>
      <c r="I371" s="12" t="n">
        <f aca="false">IF(AND(H371=1,G371&lt;1000000000000000,G371&gt;=F371,G371&lt;F371+Cutoff!$B$16),1,0)</f>
        <v>1</v>
      </c>
    </row>
    <row r="372" customFormat="false" ht="15" hidden="false" customHeight="false" outlineLevel="0" collapsed="false">
      <c r="A372" s="4" t="s">
        <v>1015</v>
      </c>
      <c r="B372" s="4" t="s">
        <v>243</v>
      </c>
      <c r="C372" s="4" t="s">
        <v>240</v>
      </c>
      <c r="D372" s="4" t="s">
        <v>1633</v>
      </c>
      <c r="E372" s="4" t="n">
        <v>0</v>
      </c>
      <c r="F372" s="4" t="n">
        <v>1784057194</v>
      </c>
      <c r="G372" s="4" t="n">
        <v>1000000000000000</v>
      </c>
      <c r="H372" s="12" t="n">
        <f aca="false">IF(AND(E372=0,F372&lt;1000000000000000,F372+Cutoff!$B$16&lt;=Cutoff!$D$13),1,0)</f>
        <v>1</v>
      </c>
      <c r="I372" s="12" t="n">
        <f aca="false">IF(AND(H372=1,G372&lt;1000000000000000,G372&gt;=F372,G372&lt;F372+Cutoff!$B$16),1,0)</f>
        <v>0</v>
      </c>
    </row>
    <row r="373" customFormat="false" ht="15" hidden="false" customHeight="false" outlineLevel="0" collapsed="false">
      <c r="A373" s="4" t="s">
        <v>1017</v>
      </c>
      <c r="B373" s="4" t="s">
        <v>237</v>
      </c>
      <c r="C373" s="4" t="s">
        <v>239</v>
      </c>
      <c r="D373" s="4" t="s">
        <v>1633</v>
      </c>
      <c r="E373" s="4" t="n">
        <v>0</v>
      </c>
      <c r="F373" s="4" t="n">
        <v>1784060590</v>
      </c>
      <c r="G373" s="4" t="n">
        <v>1784201249</v>
      </c>
      <c r="H373" s="12" t="n">
        <f aca="false">IF(AND(E373=0,F373&lt;1000000000000000,F373+Cutoff!$B$16&lt;=Cutoff!$D$13),1,0)</f>
        <v>1</v>
      </c>
      <c r="I373" s="12" t="n">
        <f aca="false">IF(AND(H373=1,G373&lt;1000000000000000,G373&gt;=F373,G373&lt;F373+Cutoff!$B$16),1,0)</f>
        <v>1</v>
      </c>
    </row>
    <row r="374" customFormat="false" ht="15" hidden="false" customHeight="false" outlineLevel="0" collapsed="false">
      <c r="A374" s="4" t="s">
        <v>1019</v>
      </c>
      <c r="B374" s="4" t="s">
        <v>243</v>
      </c>
      <c r="C374" s="4" t="s">
        <v>239</v>
      </c>
      <c r="D374" s="4" t="s">
        <v>1632</v>
      </c>
      <c r="E374" s="4" t="n">
        <v>0</v>
      </c>
      <c r="F374" s="4" t="n">
        <v>1784115155</v>
      </c>
      <c r="G374" s="4" t="n">
        <v>1000000000000000</v>
      </c>
      <c r="H374" s="12" t="n">
        <f aca="false">IF(AND(E374=0,F374&lt;1000000000000000,F374+Cutoff!$B$16&lt;=Cutoff!$D$13),1,0)</f>
        <v>1</v>
      </c>
      <c r="I374" s="12" t="n">
        <f aca="false">IF(AND(H374=1,G374&lt;1000000000000000,G374&gt;=F374,G374&lt;F374+Cutoff!$B$16),1,0)</f>
        <v>0</v>
      </c>
    </row>
    <row r="375" customFormat="false" ht="15" hidden="false" customHeight="false" outlineLevel="0" collapsed="false">
      <c r="A375" s="4" t="s">
        <v>1021</v>
      </c>
      <c r="B375" s="4" t="s">
        <v>237</v>
      </c>
      <c r="C375" s="4" t="s">
        <v>238</v>
      </c>
      <c r="D375" s="4" t="s">
        <v>1632</v>
      </c>
      <c r="E375" s="4" t="n">
        <v>0</v>
      </c>
      <c r="F375" s="4" t="n">
        <v>1784135521</v>
      </c>
      <c r="G375" s="4" t="n">
        <v>1784138320</v>
      </c>
      <c r="H375" s="12" t="n">
        <f aca="false">IF(AND(E375=0,F375&lt;1000000000000000,F375+Cutoff!$B$16&lt;=Cutoff!$D$13),1,0)</f>
        <v>1</v>
      </c>
      <c r="I375" s="12" t="n">
        <f aca="false">IF(AND(H375=1,G375&lt;1000000000000000,G375&gt;=F375,G375&lt;F375+Cutoff!$B$16),1,0)</f>
        <v>1</v>
      </c>
    </row>
    <row r="376" customFormat="false" ht="15" hidden="false" customHeight="false" outlineLevel="0" collapsed="false">
      <c r="A376" s="4" t="s">
        <v>1023</v>
      </c>
      <c r="B376" s="4" t="s">
        <v>242</v>
      </c>
      <c r="C376" s="4" t="s">
        <v>240</v>
      </c>
      <c r="D376" s="4" t="s">
        <v>1634</v>
      </c>
      <c r="E376" s="4" t="n">
        <v>0</v>
      </c>
      <c r="F376" s="4" t="n">
        <v>1784141852</v>
      </c>
      <c r="G376" s="4" t="n">
        <v>1000000000000000</v>
      </c>
      <c r="H376" s="12" t="n">
        <f aca="false">IF(AND(E376=0,F376&lt;1000000000000000,F376+Cutoff!$B$16&lt;=Cutoff!$D$13),1,0)</f>
        <v>1</v>
      </c>
      <c r="I376" s="12" t="n">
        <f aca="false">IF(AND(H376=1,G376&lt;1000000000000000,G376&gt;=F376,G376&lt;F376+Cutoff!$B$16),1,0)</f>
        <v>0</v>
      </c>
    </row>
    <row r="377" customFormat="false" ht="15" hidden="false" customHeight="false" outlineLevel="0" collapsed="false">
      <c r="A377" s="4" t="s">
        <v>1025</v>
      </c>
      <c r="B377" s="4" t="s">
        <v>237</v>
      </c>
      <c r="C377" s="4" t="s">
        <v>238</v>
      </c>
      <c r="D377" s="4" t="s">
        <v>1634</v>
      </c>
      <c r="E377" s="4" t="n">
        <v>0</v>
      </c>
      <c r="F377" s="4" t="n">
        <v>1784252782</v>
      </c>
      <c r="G377" s="4" t="n">
        <v>1000000000000000</v>
      </c>
      <c r="H377" s="12" t="n">
        <f aca="false">IF(AND(E377=0,F377&lt;1000000000000000,F377+Cutoff!$B$16&lt;=Cutoff!$D$13),1,0)</f>
        <v>1</v>
      </c>
      <c r="I377" s="12" t="n">
        <f aca="false">IF(AND(H377=1,G377&lt;1000000000000000,G377&gt;=F377,G377&lt;F377+Cutoff!$B$16),1,0)</f>
        <v>0</v>
      </c>
    </row>
    <row r="378" customFormat="false" ht="15" hidden="false" customHeight="false" outlineLevel="0" collapsed="false">
      <c r="A378" s="4" t="s">
        <v>1027</v>
      </c>
      <c r="B378" s="4" t="s">
        <v>242</v>
      </c>
      <c r="C378" s="4" t="s">
        <v>240</v>
      </c>
      <c r="D378" s="4" t="s">
        <v>1632</v>
      </c>
      <c r="E378" s="4" t="n">
        <v>0</v>
      </c>
      <c r="F378" s="4" t="n">
        <v>1784294096</v>
      </c>
      <c r="G378" s="4" t="n">
        <v>1000000000000000</v>
      </c>
      <c r="H378" s="12" t="n">
        <f aca="false">IF(AND(E378=0,F378&lt;1000000000000000,F378+Cutoff!$B$16&lt;=Cutoff!$D$13),1,0)</f>
        <v>1</v>
      </c>
      <c r="I378" s="12" t="n">
        <f aca="false">IF(AND(H378=1,G378&lt;1000000000000000,G378&gt;=F378,G378&lt;F378+Cutoff!$B$16),1,0)</f>
        <v>0</v>
      </c>
    </row>
    <row r="379" customFormat="false" ht="15" hidden="false" customHeight="false" outlineLevel="0" collapsed="false">
      <c r="A379" s="4" t="s">
        <v>1029</v>
      </c>
      <c r="B379" s="4" t="s">
        <v>242</v>
      </c>
      <c r="C379" s="4" t="s">
        <v>239</v>
      </c>
      <c r="D379" s="4" t="s">
        <v>1633</v>
      </c>
      <c r="E379" s="4" t="n">
        <v>0</v>
      </c>
      <c r="F379" s="4" t="n">
        <v>1784301070</v>
      </c>
      <c r="G379" s="4" t="n">
        <v>1784421464</v>
      </c>
      <c r="H379" s="12" t="n">
        <f aca="false">IF(AND(E379=0,F379&lt;1000000000000000,F379+Cutoff!$B$16&lt;=Cutoff!$D$13),1,0)</f>
        <v>1</v>
      </c>
      <c r="I379" s="12" t="n">
        <f aca="false">IF(AND(H379=1,G379&lt;1000000000000000,G379&gt;=F379,G379&lt;F379+Cutoff!$B$16),1,0)</f>
        <v>1</v>
      </c>
    </row>
    <row r="380" customFormat="false" ht="15" hidden="false" customHeight="false" outlineLevel="0" collapsed="false">
      <c r="A380" s="4" t="s">
        <v>1031</v>
      </c>
      <c r="B380" s="4" t="s">
        <v>242</v>
      </c>
      <c r="C380" s="4" t="s">
        <v>240</v>
      </c>
      <c r="D380" s="4" t="s">
        <v>1633</v>
      </c>
      <c r="E380" s="4" t="n">
        <v>0</v>
      </c>
      <c r="F380" s="4" t="n">
        <v>1784320917</v>
      </c>
      <c r="G380" s="4" t="n">
        <v>1000000000000000</v>
      </c>
      <c r="H380" s="12" t="n">
        <f aca="false">IF(AND(E380=0,F380&lt;1000000000000000,F380+Cutoff!$B$16&lt;=Cutoff!$D$13),1,0)</f>
        <v>1</v>
      </c>
      <c r="I380" s="12" t="n">
        <f aca="false">IF(AND(H380=1,G380&lt;1000000000000000,G380&gt;=F380,G380&lt;F380+Cutoff!$B$16),1,0)</f>
        <v>0</v>
      </c>
    </row>
    <row r="381" customFormat="false" ht="15" hidden="false" customHeight="false" outlineLevel="0" collapsed="false">
      <c r="A381" s="4" t="s">
        <v>1033</v>
      </c>
      <c r="B381" s="4" t="s">
        <v>242</v>
      </c>
      <c r="C381" s="4" t="s">
        <v>240</v>
      </c>
      <c r="D381" s="4" t="s">
        <v>1633</v>
      </c>
      <c r="E381" s="4" t="n">
        <v>0</v>
      </c>
      <c r="F381" s="4" t="n">
        <v>1784322902</v>
      </c>
      <c r="G381" s="4" t="n">
        <v>1000000000000000</v>
      </c>
      <c r="H381" s="12" t="n">
        <f aca="false">IF(AND(E381=0,F381&lt;1000000000000000,F381+Cutoff!$B$16&lt;=Cutoff!$D$13),1,0)</f>
        <v>1</v>
      </c>
      <c r="I381" s="12" t="n">
        <f aca="false">IF(AND(H381=1,G381&lt;1000000000000000,G381&gt;=F381,G381&lt;F381+Cutoff!$B$16),1,0)</f>
        <v>0</v>
      </c>
    </row>
    <row r="382" customFormat="false" ht="15" hidden="false" customHeight="false" outlineLevel="0" collapsed="false">
      <c r="A382" s="4" t="s">
        <v>1035</v>
      </c>
      <c r="B382" s="4" t="s">
        <v>242</v>
      </c>
      <c r="C382" s="4" t="s">
        <v>240</v>
      </c>
      <c r="D382" s="4" t="s">
        <v>1634</v>
      </c>
      <c r="E382" s="4" t="n">
        <v>0</v>
      </c>
      <c r="F382" s="4" t="n">
        <v>1784332511</v>
      </c>
      <c r="G382" s="4" t="n">
        <v>1784407030</v>
      </c>
      <c r="H382" s="12" t="n">
        <f aca="false">IF(AND(E382=0,F382&lt;1000000000000000,F382+Cutoff!$B$16&lt;=Cutoff!$D$13),1,0)</f>
        <v>1</v>
      </c>
      <c r="I382" s="12" t="n">
        <f aca="false">IF(AND(H382=1,G382&lt;1000000000000000,G382&gt;=F382,G382&lt;F382+Cutoff!$B$16),1,0)</f>
        <v>1</v>
      </c>
    </row>
    <row r="383" customFormat="false" ht="15" hidden="false" customHeight="false" outlineLevel="0" collapsed="false">
      <c r="A383" s="4" t="s">
        <v>1037</v>
      </c>
      <c r="B383" s="4" t="s">
        <v>243</v>
      </c>
      <c r="C383" s="4" t="s">
        <v>240</v>
      </c>
      <c r="D383" s="4" t="s">
        <v>1632</v>
      </c>
      <c r="E383" s="4" t="n">
        <v>0</v>
      </c>
      <c r="F383" s="4" t="n">
        <v>1784364241</v>
      </c>
      <c r="G383" s="4" t="n">
        <v>1000000000000000</v>
      </c>
      <c r="H383" s="12" t="n">
        <f aca="false">IF(AND(E383=0,F383&lt;1000000000000000,F383+Cutoff!$B$16&lt;=Cutoff!$D$13),1,0)</f>
        <v>1</v>
      </c>
      <c r="I383" s="12" t="n">
        <f aca="false">IF(AND(H383=1,G383&lt;1000000000000000,G383&gt;=F383,G383&lt;F383+Cutoff!$B$16),1,0)</f>
        <v>0</v>
      </c>
    </row>
    <row r="384" customFormat="false" ht="15" hidden="false" customHeight="false" outlineLevel="0" collapsed="false">
      <c r="A384" s="4" t="s">
        <v>1039</v>
      </c>
      <c r="B384" s="4" t="s">
        <v>242</v>
      </c>
      <c r="C384" s="4" t="s">
        <v>240</v>
      </c>
      <c r="D384" s="4" t="s">
        <v>1633</v>
      </c>
      <c r="E384" s="4" t="n">
        <v>0</v>
      </c>
      <c r="F384" s="4" t="n">
        <v>1784490814</v>
      </c>
      <c r="G384" s="4" t="n">
        <v>1000000000000000</v>
      </c>
      <c r="H384" s="12" t="n">
        <f aca="false">IF(AND(E384=0,F384&lt;1000000000000000,F384+Cutoff!$B$16&lt;=Cutoff!$D$13),1,0)</f>
        <v>1</v>
      </c>
      <c r="I384" s="12" t="n">
        <f aca="false">IF(AND(H384=1,G384&lt;1000000000000000,G384&gt;=F384,G384&lt;F384+Cutoff!$B$16),1,0)</f>
        <v>0</v>
      </c>
    </row>
    <row r="385" customFormat="false" ht="15" hidden="false" customHeight="false" outlineLevel="0" collapsed="false">
      <c r="A385" s="4" t="s">
        <v>1041</v>
      </c>
      <c r="B385" s="4" t="s">
        <v>243</v>
      </c>
      <c r="C385" s="4" t="s">
        <v>240</v>
      </c>
      <c r="D385" s="4" t="s">
        <v>1633</v>
      </c>
      <c r="E385" s="4" t="n">
        <v>0</v>
      </c>
      <c r="F385" s="4" t="n">
        <v>1784495043</v>
      </c>
      <c r="G385" s="4" t="n">
        <v>1000000000000000</v>
      </c>
      <c r="H385" s="12" t="n">
        <f aca="false">IF(AND(E385=0,F385&lt;1000000000000000,F385+Cutoff!$B$16&lt;=Cutoff!$D$13),1,0)</f>
        <v>1</v>
      </c>
      <c r="I385" s="12" t="n">
        <f aca="false">IF(AND(H385=1,G385&lt;1000000000000000,G385&gt;=F385,G385&lt;F385+Cutoff!$B$16),1,0)</f>
        <v>0</v>
      </c>
    </row>
    <row r="386" customFormat="false" ht="15" hidden="false" customHeight="false" outlineLevel="0" collapsed="false">
      <c r="A386" s="4" t="s">
        <v>1043</v>
      </c>
      <c r="B386" s="4" t="s">
        <v>242</v>
      </c>
      <c r="C386" s="4" t="s">
        <v>240</v>
      </c>
      <c r="D386" s="4" t="s">
        <v>1634</v>
      </c>
      <c r="E386" s="4" t="n">
        <v>0</v>
      </c>
      <c r="F386" s="4" t="n">
        <v>1784499489</v>
      </c>
      <c r="G386" s="4" t="n">
        <v>1000000000000000</v>
      </c>
      <c r="H386" s="12" t="n">
        <f aca="false">IF(AND(E386=0,F386&lt;1000000000000000,F386+Cutoff!$B$16&lt;=Cutoff!$D$13),1,0)</f>
        <v>1</v>
      </c>
      <c r="I386" s="12" t="n">
        <f aca="false">IF(AND(H386=1,G386&lt;1000000000000000,G386&gt;=F386,G386&lt;F386+Cutoff!$B$16),1,0)</f>
        <v>0</v>
      </c>
    </row>
    <row r="387" customFormat="false" ht="15" hidden="false" customHeight="false" outlineLevel="0" collapsed="false">
      <c r="A387" s="4" t="s">
        <v>1045</v>
      </c>
      <c r="B387" s="4" t="s">
        <v>242</v>
      </c>
      <c r="C387" s="4" t="s">
        <v>240</v>
      </c>
      <c r="D387" s="4" t="s">
        <v>1633</v>
      </c>
      <c r="E387" s="4" t="n">
        <v>0</v>
      </c>
      <c r="F387" s="4" t="n">
        <v>1784563071</v>
      </c>
      <c r="G387" s="4" t="n">
        <v>1000000000000000</v>
      </c>
      <c r="H387" s="12" t="n">
        <f aca="false">IF(AND(E387=0,F387&lt;1000000000000000,F387+Cutoff!$B$16&lt;=Cutoff!$D$13),1,0)</f>
        <v>1</v>
      </c>
      <c r="I387" s="12" t="n">
        <f aca="false">IF(AND(H387=1,G387&lt;1000000000000000,G387&gt;=F387,G387&lt;F387+Cutoff!$B$16),1,0)</f>
        <v>0</v>
      </c>
    </row>
    <row r="388" customFormat="false" ht="15" hidden="false" customHeight="false" outlineLevel="0" collapsed="false">
      <c r="A388" s="4" t="s">
        <v>1047</v>
      </c>
      <c r="B388" s="4" t="s">
        <v>243</v>
      </c>
      <c r="C388" s="4" t="s">
        <v>238</v>
      </c>
      <c r="D388" s="4" t="s">
        <v>1633</v>
      </c>
      <c r="E388" s="4" t="n">
        <v>0</v>
      </c>
      <c r="F388" s="4" t="n">
        <v>1784564253</v>
      </c>
      <c r="G388" s="4" t="n">
        <v>1784583486</v>
      </c>
      <c r="H388" s="12" t="n">
        <f aca="false">IF(AND(E388=0,F388&lt;1000000000000000,F388+Cutoff!$B$16&lt;=Cutoff!$D$13),1,0)</f>
        <v>1</v>
      </c>
      <c r="I388" s="12" t="n">
        <f aca="false">IF(AND(H388=1,G388&lt;1000000000000000,G388&gt;=F388,G388&lt;F388+Cutoff!$B$16),1,0)</f>
        <v>1</v>
      </c>
    </row>
    <row r="389" customFormat="false" ht="15" hidden="false" customHeight="false" outlineLevel="0" collapsed="false">
      <c r="A389" s="4" t="s">
        <v>1049</v>
      </c>
      <c r="B389" s="4" t="s">
        <v>237</v>
      </c>
      <c r="C389" s="4" t="s">
        <v>238</v>
      </c>
      <c r="D389" s="4" t="s">
        <v>1634</v>
      </c>
      <c r="E389" s="4" t="n">
        <v>0</v>
      </c>
      <c r="F389" s="4" t="n">
        <v>1784573138</v>
      </c>
      <c r="G389" s="4" t="n">
        <v>1784582832</v>
      </c>
      <c r="H389" s="12" t="n">
        <f aca="false">IF(AND(E389=0,F389&lt;1000000000000000,F389+Cutoff!$B$16&lt;=Cutoff!$D$13),1,0)</f>
        <v>1</v>
      </c>
      <c r="I389" s="12" t="n">
        <f aca="false">IF(AND(H389=1,G389&lt;1000000000000000,G389&gt;=F389,G389&lt;F389+Cutoff!$B$16),1,0)</f>
        <v>1</v>
      </c>
    </row>
    <row r="390" customFormat="false" ht="15" hidden="false" customHeight="false" outlineLevel="0" collapsed="false">
      <c r="A390" s="4" t="s">
        <v>1051</v>
      </c>
      <c r="B390" s="4" t="s">
        <v>242</v>
      </c>
      <c r="C390" s="4" t="s">
        <v>240</v>
      </c>
      <c r="D390" s="4" t="s">
        <v>1634</v>
      </c>
      <c r="E390" s="4" t="n">
        <v>0</v>
      </c>
      <c r="F390" s="4" t="n">
        <v>1784588909</v>
      </c>
      <c r="G390" s="4" t="n">
        <v>1784590424</v>
      </c>
      <c r="H390" s="12" t="n">
        <f aca="false">IF(AND(E390=0,F390&lt;1000000000000000,F390+Cutoff!$B$16&lt;=Cutoff!$D$13),1,0)</f>
        <v>1</v>
      </c>
      <c r="I390" s="12" t="n">
        <f aca="false">IF(AND(H390=1,G390&lt;1000000000000000,G390&gt;=F390,G390&lt;F390+Cutoff!$B$16),1,0)</f>
        <v>1</v>
      </c>
    </row>
    <row r="391" customFormat="false" ht="15" hidden="false" customHeight="false" outlineLevel="0" collapsed="false">
      <c r="A391" s="4" t="s">
        <v>1053</v>
      </c>
      <c r="B391" s="4" t="s">
        <v>242</v>
      </c>
      <c r="C391" s="4" t="s">
        <v>239</v>
      </c>
      <c r="D391" s="4" t="s">
        <v>1632</v>
      </c>
      <c r="E391" s="4" t="n">
        <v>0</v>
      </c>
      <c r="F391" s="4" t="n">
        <v>1784631494</v>
      </c>
      <c r="G391" s="4" t="n">
        <v>1000000000000000</v>
      </c>
      <c r="H391" s="12" t="n">
        <f aca="false">IF(AND(E391=0,F391&lt;1000000000000000,F391+Cutoff!$B$16&lt;=Cutoff!$D$13),1,0)</f>
        <v>1</v>
      </c>
      <c r="I391" s="12" t="n">
        <f aca="false">IF(AND(H391=1,G391&lt;1000000000000000,G391&gt;=F391,G391&lt;F391+Cutoff!$B$16),1,0)</f>
        <v>0</v>
      </c>
    </row>
    <row r="392" customFormat="false" ht="15" hidden="false" customHeight="false" outlineLevel="0" collapsed="false">
      <c r="A392" s="4" t="s">
        <v>1055</v>
      </c>
      <c r="B392" s="4" t="s">
        <v>242</v>
      </c>
      <c r="C392" s="4" t="s">
        <v>240</v>
      </c>
      <c r="D392" s="4" t="s">
        <v>1634</v>
      </c>
      <c r="E392" s="4" t="n">
        <v>0</v>
      </c>
      <c r="F392" s="4" t="n">
        <v>1784657858</v>
      </c>
      <c r="G392" s="4" t="n">
        <v>1000000000000000</v>
      </c>
      <c r="H392" s="12" t="n">
        <f aca="false">IF(AND(E392=0,F392&lt;1000000000000000,F392+Cutoff!$B$16&lt;=Cutoff!$D$13),1,0)</f>
        <v>1</v>
      </c>
      <c r="I392" s="12" t="n">
        <f aca="false">IF(AND(H392=1,G392&lt;1000000000000000,G392&gt;=F392,G392&lt;F392+Cutoff!$B$16),1,0)</f>
        <v>0</v>
      </c>
    </row>
    <row r="393" customFormat="false" ht="15" hidden="false" customHeight="false" outlineLevel="0" collapsed="false">
      <c r="A393" s="4" t="s">
        <v>1057</v>
      </c>
      <c r="B393" s="4" t="s">
        <v>242</v>
      </c>
      <c r="C393" s="4" t="s">
        <v>239</v>
      </c>
      <c r="D393" s="4" t="s">
        <v>1634</v>
      </c>
      <c r="E393" s="4" t="n">
        <v>0</v>
      </c>
      <c r="F393" s="4" t="n">
        <v>1784660640</v>
      </c>
      <c r="G393" s="4" t="n">
        <v>1000000000000000</v>
      </c>
      <c r="H393" s="12" t="n">
        <f aca="false">IF(AND(E393=0,F393&lt;1000000000000000,F393+Cutoff!$B$16&lt;=Cutoff!$D$13),1,0)</f>
        <v>1</v>
      </c>
      <c r="I393" s="12" t="n">
        <f aca="false">IF(AND(H393=1,G393&lt;1000000000000000,G393&gt;=F393,G393&lt;F393+Cutoff!$B$16),1,0)</f>
        <v>0</v>
      </c>
    </row>
    <row r="394" customFormat="false" ht="15" hidden="false" customHeight="false" outlineLevel="0" collapsed="false">
      <c r="A394" s="4" t="s">
        <v>1059</v>
      </c>
      <c r="B394" s="4" t="s">
        <v>243</v>
      </c>
      <c r="C394" s="4" t="s">
        <v>239</v>
      </c>
      <c r="D394" s="4" t="s">
        <v>1634</v>
      </c>
      <c r="E394" s="4" t="n">
        <v>0</v>
      </c>
      <c r="F394" s="4" t="n">
        <v>1784667080</v>
      </c>
      <c r="G394" s="4" t="n">
        <v>1000000000000000</v>
      </c>
      <c r="H394" s="12" t="n">
        <f aca="false">IF(AND(E394=0,F394&lt;1000000000000000,F394+Cutoff!$B$16&lt;=Cutoff!$D$13),1,0)</f>
        <v>1</v>
      </c>
      <c r="I394" s="12" t="n">
        <f aca="false">IF(AND(H394=1,G394&lt;1000000000000000,G394&gt;=F394,G394&lt;F394+Cutoff!$B$16),1,0)</f>
        <v>0</v>
      </c>
    </row>
    <row r="395" customFormat="false" ht="15" hidden="false" customHeight="false" outlineLevel="0" collapsed="false">
      <c r="A395" s="4" t="s">
        <v>1061</v>
      </c>
      <c r="B395" s="4" t="s">
        <v>237</v>
      </c>
      <c r="C395" s="4" t="s">
        <v>240</v>
      </c>
      <c r="D395" s="4" t="s">
        <v>1632</v>
      </c>
      <c r="E395" s="4" t="n">
        <v>0</v>
      </c>
      <c r="F395" s="4" t="n">
        <v>1784718410</v>
      </c>
      <c r="G395" s="4" t="n">
        <v>1000000000000000</v>
      </c>
      <c r="H395" s="12" t="n">
        <f aca="false">IF(AND(E395=0,F395&lt;1000000000000000,F395+Cutoff!$B$16&lt;=Cutoff!$D$13),1,0)</f>
        <v>1</v>
      </c>
      <c r="I395" s="12" t="n">
        <f aca="false">IF(AND(H395=1,G395&lt;1000000000000000,G395&gt;=F395,G395&lt;F395+Cutoff!$B$16),1,0)</f>
        <v>0</v>
      </c>
    </row>
    <row r="396" customFormat="false" ht="15" hidden="false" customHeight="false" outlineLevel="0" collapsed="false">
      <c r="A396" s="4" t="s">
        <v>1063</v>
      </c>
      <c r="B396" s="4" t="s">
        <v>243</v>
      </c>
      <c r="C396" s="4" t="s">
        <v>238</v>
      </c>
      <c r="D396" s="4" t="s">
        <v>1632</v>
      </c>
      <c r="E396" s="4" t="n">
        <v>0</v>
      </c>
      <c r="F396" s="4" t="n">
        <v>1784730115</v>
      </c>
      <c r="G396" s="4" t="n">
        <v>1784825298</v>
      </c>
      <c r="H396" s="12" t="n">
        <f aca="false">IF(AND(E396=0,F396&lt;1000000000000000,F396+Cutoff!$B$16&lt;=Cutoff!$D$13),1,0)</f>
        <v>1</v>
      </c>
      <c r="I396" s="12" t="n">
        <f aca="false">IF(AND(H396=1,G396&lt;1000000000000000,G396&gt;=F396,G396&lt;F396+Cutoff!$B$16),1,0)</f>
        <v>1</v>
      </c>
    </row>
    <row r="397" customFormat="false" ht="15" hidden="false" customHeight="false" outlineLevel="0" collapsed="false">
      <c r="A397" s="4" t="s">
        <v>1065</v>
      </c>
      <c r="B397" s="4" t="s">
        <v>243</v>
      </c>
      <c r="C397" s="4" t="s">
        <v>239</v>
      </c>
      <c r="D397" s="4" t="s">
        <v>1633</v>
      </c>
      <c r="E397" s="4" t="n">
        <v>0</v>
      </c>
      <c r="F397" s="4" t="n">
        <v>1784746980</v>
      </c>
      <c r="G397" s="4" t="n">
        <v>1000000000000000</v>
      </c>
      <c r="H397" s="12" t="n">
        <f aca="false">IF(AND(E397=0,F397&lt;1000000000000000,F397+Cutoff!$B$16&lt;=Cutoff!$D$13),1,0)</f>
        <v>1</v>
      </c>
      <c r="I397" s="12" t="n">
        <f aca="false">IF(AND(H397=1,G397&lt;1000000000000000,G397&gt;=F397,G397&lt;F397+Cutoff!$B$16),1,0)</f>
        <v>0</v>
      </c>
    </row>
    <row r="398" customFormat="false" ht="15" hidden="false" customHeight="false" outlineLevel="0" collapsed="false">
      <c r="A398" s="4" t="s">
        <v>1067</v>
      </c>
      <c r="B398" s="4" t="s">
        <v>243</v>
      </c>
      <c r="C398" s="4" t="s">
        <v>238</v>
      </c>
      <c r="D398" s="4" t="s">
        <v>1633</v>
      </c>
      <c r="E398" s="4" t="n">
        <v>0</v>
      </c>
      <c r="F398" s="4" t="n">
        <v>1784747504</v>
      </c>
      <c r="G398" s="4" t="n">
        <v>1784762175</v>
      </c>
      <c r="H398" s="12" t="n">
        <f aca="false">IF(AND(E398=0,F398&lt;1000000000000000,F398+Cutoff!$B$16&lt;=Cutoff!$D$13),1,0)</f>
        <v>1</v>
      </c>
      <c r="I398" s="12" t="n">
        <f aca="false">IF(AND(H398=1,G398&lt;1000000000000000,G398&gt;=F398,G398&lt;F398+Cutoff!$B$16),1,0)</f>
        <v>1</v>
      </c>
    </row>
    <row r="399" customFormat="false" ht="15" hidden="false" customHeight="false" outlineLevel="0" collapsed="false">
      <c r="A399" s="4" t="s">
        <v>1069</v>
      </c>
      <c r="B399" s="4" t="s">
        <v>242</v>
      </c>
      <c r="C399" s="4" t="s">
        <v>239</v>
      </c>
      <c r="D399" s="4" t="s">
        <v>1633</v>
      </c>
      <c r="E399" s="4" t="n">
        <v>0</v>
      </c>
      <c r="F399" s="4" t="n">
        <v>1784748990</v>
      </c>
      <c r="G399" s="4" t="n">
        <v>1784757791</v>
      </c>
      <c r="H399" s="12" t="n">
        <f aca="false">IF(AND(E399=0,F399&lt;1000000000000000,F399+Cutoff!$B$16&lt;=Cutoff!$D$13),1,0)</f>
        <v>1</v>
      </c>
      <c r="I399" s="12" t="n">
        <f aca="false">IF(AND(H399=1,G399&lt;1000000000000000,G399&gt;=F399,G399&lt;F399+Cutoff!$B$16),1,0)</f>
        <v>1</v>
      </c>
    </row>
    <row r="400" customFormat="false" ht="15" hidden="false" customHeight="false" outlineLevel="0" collapsed="false">
      <c r="A400" s="4" t="s">
        <v>1071</v>
      </c>
      <c r="B400" s="4" t="s">
        <v>242</v>
      </c>
      <c r="C400" s="4" t="s">
        <v>240</v>
      </c>
      <c r="D400" s="4" t="s">
        <v>1634</v>
      </c>
      <c r="E400" s="4" t="n">
        <v>0</v>
      </c>
      <c r="F400" s="4" t="n">
        <v>1784753358</v>
      </c>
      <c r="G400" s="4" t="n">
        <v>1000000000000000</v>
      </c>
      <c r="H400" s="12" t="n">
        <f aca="false">IF(AND(E400=0,F400&lt;1000000000000000,F400+Cutoff!$B$16&lt;=Cutoff!$D$13),1,0)</f>
        <v>1</v>
      </c>
      <c r="I400" s="12" t="n">
        <f aca="false">IF(AND(H400=1,G400&lt;1000000000000000,G400&gt;=F400,G400&lt;F400+Cutoff!$B$16),1,0)</f>
        <v>0</v>
      </c>
    </row>
    <row r="401" customFormat="false" ht="15" hidden="false" customHeight="false" outlineLevel="0" collapsed="false">
      <c r="A401" s="4" t="s">
        <v>1073</v>
      </c>
      <c r="B401" s="4" t="s">
        <v>243</v>
      </c>
      <c r="C401" s="4" t="s">
        <v>240</v>
      </c>
      <c r="D401" s="4" t="s">
        <v>1634</v>
      </c>
      <c r="E401" s="4" t="n">
        <v>0</v>
      </c>
      <c r="F401" s="4" t="n">
        <v>1784830202</v>
      </c>
      <c r="G401" s="4" t="n">
        <v>1000000000000000</v>
      </c>
      <c r="H401" s="12" t="n">
        <f aca="false">IF(AND(E401=0,F401&lt;1000000000000000,F401+Cutoff!$B$16&lt;=Cutoff!$D$13),1,0)</f>
        <v>1</v>
      </c>
      <c r="I401" s="12" t="n">
        <f aca="false">IF(AND(H401=1,G401&lt;1000000000000000,G401&gt;=F401,G401&lt;F401+Cutoff!$B$16),1,0)</f>
        <v>0</v>
      </c>
    </row>
    <row r="402" customFormat="false" ht="15" hidden="false" customHeight="false" outlineLevel="0" collapsed="false">
      <c r="A402" s="4" t="s">
        <v>1075</v>
      </c>
      <c r="B402" s="4" t="s">
        <v>237</v>
      </c>
      <c r="C402" s="4" t="s">
        <v>239</v>
      </c>
      <c r="D402" s="4" t="s">
        <v>1634</v>
      </c>
      <c r="E402" s="4" t="n">
        <v>0</v>
      </c>
      <c r="F402" s="4" t="n">
        <v>1784834998</v>
      </c>
      <c r="G402" s="4" t="n">
        <v>1000000000000000</v>
      </c>
      <c r="H402" s="12" t="n">
        <f aca="false">IF(AND(E402=0,F402&lt;1000000000000000,F402+Cutoff!$B$16&lt;=Cutoff!$D$13),1,0)</f>
        <v>1</v>
      </c>
      <c r="I402" s="12" t="n">
        <f aca="false">IF(AND(H402=1,G402&lt;1000000000000000,G402&gt;=F402,G402&lt;F402+Cutoff!$B$16),1,0)</f>
        <v>0</v>
      </c>
    </row>
    <row r="403" customFormat="false" ht="15" hidden="false" customHeight="false" outlineLevel="0" collapsed="false">
      <c r="A403" s="4" t="s">
        <v>1077</v>
      </c>
      <c r="B403" s="4" t="s">
        <v>242</v>
      </c>
      <c r="C403" s="4" t="s">
        <v>240</v>
      </c>
      <c r="D403" s="4" t="s">
        <v>1634</v>
      </c>
      <c r="E403" s="4" t="n">
        <v>0</v>
      </c>
      <c r="F403" s="4" t="n">
        <v>1784836095</v>
      </c>
      <c r="G403" s="4" t="n">
        <v>1000000000000000</v>
      </c>
      <c r="H403" s="12" t="n">
        <f aca="false">IF(AND(E403=0,F403&lt;1000000000000000,F403+Cutoff!$B$16&lt;=Cutoff!$D$13),1,0)</f>
        <v>1</v>
      </c>
      <c r="I403" s="12" t="n">
        <f aca="false">IF(AND(H403=1,G403&lt;1000000000000000,G403&gt;=F403,G403&lt;F403+Cutoff!$B$16),1,0)</f>
        <v>0</v>
      </c>
    </row>
    <row r="404" customFormat="false" ht="15" hidden="false" customHeight="false" outlineLevel="0" collapsed="false">
      <c r="A404" s="4" t="s">
        <v>1079</v>
      </c>
      <c r="B404" s="4" t="s">
        <v>243</v>
      </c>
      <c r="C404" s="4" t="s">
        <v>240</v>
      </c>
      <c r="D404" s="4" t="s">
        <v>1634</v>
      </c>
      <c r="E404" s="4" t="n">
        <v>0</v>
      </c>
      <c r="F404" s="4" t="n">
        <v>1784860647</v>
      </c>
      <c r="G404" s="4" t="n">
        <v>1000000000000000</v>
      </c>
      <c r="H404" s="12" t="n">
        <f aca="false">IF(AND(E404=0,F404&lt;1000000000000000,F404+Cutoff!$B$16&lt;=Cutoff!$D$13),1,0)</f>
        <v>1</v>
      </c>
      <c r="I404" s="12" t="n">
        <f aca="false">IF(AND(H404=1,G404&lt;1000000000000000,G404&gt;=F404,G404&lt;F404+Cutoff!$B$16),1,0)</f>
        <v>0</v>
      </c>
    </row>
    <row r="405" customFormat="false" ht="15" hidden="false" customHeight="false" outlineLevel="0" collapsed="false">
      <c r="A405" s="4" t="s">
        <v>1640</v>
      </c>
      <c r="B405" s="4" t="s">
        <v>242</v>
      </c>
      <c r="C405" s="4" t="s">
        <v>238</v>
      </c>
      <c r="D405" s="4" t="s">
        <v>1632</v>
      </c>
      <c r="E405" s="4" t="n">
        <v>1</v>
      </c>
      <c r="F405" s="4" t="n">
        <v>1000000000000000</v>
      </c>
      <c r="G405" s="4" t="n">
        <v>1000000000000000</v>
      </c>
      <c r="H405" s="12" t="n">
        <f aca="false">IF(AND(E405=0,F405&lt;1000000000000000,F405+Cutoff!$B$16&lt;=Cutoff!$D$13),1,0)</f>
        <v>0</v>
      </c>
      <c r="I405" s="12" t="n">
        <f aca="false">IF(AND(H405=1,G405&lt;1000000000000000,G405&gt;=F405,G405&lt;F405+Cutoff!$B$16),1,0)</f>
        <v>0</v>
      </c>
    </row>
    <row r="406" customFormat="false" ht="15" hidden="false" customHeight="false" outlineLevel="0" collapsed="false">
      <c r="A406" s="4" t="s">
        <v>1081</v>
      </c>
      <c r="B406" s="4" t="s">
        <v>243</v>
      </c>
      <c r="C406" s="4" t="s">
        <v>239</v>
      </c>
      <c r="D406" s="4" t="s">
        <v>1633</v>
      </c>
      <c r="E406" s="4" t="n">
        <v>0</v>
      </c>
      <c r="F406" s="4" t="n">
        <v>1784922423</v>
      </c>
      <c r="G406" s="4" t="n">
        <v>1784922841</v>
      </c>
      <c r="H406" s="12" t="n">
        <f aca="false">IF(AND(E406=0,F406&lt;1000000000000000,F406+Cutoff!$B$16&lt;=Cutoff!$D$13),1,0)</f>
        <v>1</v>
      </c>
      <c r="I406" s="12" t="n">
        <f aca="false">IF(AND(H406=1,G406&lt;1000000000000000,G406&gt;=F406,G406&lt;F406+Cutoff!$B$16),1,0)</f>
        <v>1</v>
      </c>
    </row>
    <row r="407" customFormat="false" ht="15" hidden="false" customHeight="false" outlineLevel="0" collapsed="false">
      <c r="A407" s="4" t="s">
        <v>1083</v>
      </c>
      <c r="B407" s="4" t="s">
        <v>243</v>
      </c>
      <c r="C407" s="4" t="s">
        <v>239</v>
      </c>
      <c r="D407" s="4" t="s">
        <v>1634</v>
      </c>
      <c r="E407" s="4" t="n">
        <v>0</v>
      </c>
      <c r="F407" s="4" t="n">
        <v>1784936649</v>
      </c>
      <c r="G407" s="4" t="n">
        <v>1000000000000000</v>
      </c>
      <c r="H407" s="12" t="n">
        <f aca="false">IF(AND(E407=0,F407&lt;1000000000000000,F407+Cutoff!$B$16&lt;=Cutoff!$D$13),1,0)</f>
        <v>1</v>
      </c>
      <c r="I407" s="12" t="n">
        <f aca="false">IF(AND(H407=1,G407&lt;1000000000000000,G407&gt;=F407,G407&lt;F407+Cutoff!$B$16),1,0)</f>
        <v>0</v>
      </c>
    </row>
    <row r="408" customFormat="false" ht="15" hidden="false" customHeight="false" outlineLevel="0" collapsed="false">
      <c r="A408" s="4" t="s">
        <v>1085</v>
      </c>
      <c r="B408" s="4" t="s">
        <v>243</v>
      </c>
      <c r="C408" s="4" t="s">
        <v>240</v>
      </c>
      <c r="D408" s="4" t="s">
        <v>1634</v>
      </c>
      <c r="E408" s="4" t="n">
        <v>0</v>
      </c>
      <c r="F408" s="4" t="n">
        <v>1784937264</v>
      </c>
      <c r="G408" s="4" t="n">
        <v>1000000000000000</v>
      </c>
      <c r="H408" s="12" t="n">
        <f aca="false">IF(AND(E408=0,F408&lt;1000000000000000,F408+Cutoff!$B$16&lt;=Cutoff!$D$13),1,0)</f>
        <v>1</v>
      </c>
      <c r="I408" s="12" t="n">
        <f aca="false">IF(AND(H408=1,G408&lt;1000000000000000,G408&gt;=F408,G408&lt;F408+Cutoff!$B$16),1,0)</f>
        <v>0</v>
      </c>
    </row>
    <row r="409" customFormat="false" ht="15" hidden="false" customHeight="false" outlineLevel="0" collapsed="false">
      <c r="A409" s="4" t="s">
        <v>1087</v>
      </c>
      <c r="B409" s="4" t="s">
        <v>237</v>
      </c>
      <c r="C409" s="4" t="s">
        <v>238</v>
      </c>
      <c r="D409" s="4" t="s">
        <v>1633</v>
      </c>
      <c r="E409" s="4" t="n">
        <v>0</v>
      </c>
      <c r="F409" s="4" t="n">
        <v>1785013107</v>
      </c>
      <c r="G409" s="4" t="n">
        <v>1000000000000000</v>
      </c>
      <c r="H409" s="12" t="n">
        <f aca="false">IF(AND(E409=0,F409&lt;1000000000000000,F409+Cutoff!$B$16&lt;=Cutoff!$D$13),1,0)</f>
        <v>1</v>
      </c>
      <c r="I409" s="12" t="n">
        <f aca="false">IF(AND(H409=1,G409&lt;1000000000000000,G409&gt;=F409,G409&lt;F409+Cutoff!$B$16),1,0)</f>
        <v>0</v>
      </c>
    </row>
    <row r="410" customFormat="false" ht="15" hidden="false" customHeight="false" outlineLevel="0" collapsed="false">
      <c r="A410" s="4" t="s">
        <v>1582</v>
      </c>
      <c r="B410" s="4" t="s">
        <v>237</v>
      </c>
      <c r="C410" s="4" t="s">
        <v>238</v>
      </c>
      <c r="D410" s="4" t="s">
        <v>1632</v>
      </c>
      <c r="E410" s="4" t="n">
        <v>0</v>
      </c>
      <c r="F410" s="4" t="n">
        <v>1785157563</v>
      </c>
      <c r="G410" s="4" t="n">
        <v>1000000000000000</v>
      </c>
      <c r="H410" s="12" t="n">
        <f aca="false">IF(AND(E410=0,F410&lt;1000000000000000,F410+Cutoff!$B$16&lt;=Cutoff!$D$13),1,0)</f>
        <v>1</v>
      </c>
      <c r="I410" s="12" t="n">
        <f aca="false">IF(AND(H410=1,G410&lt;1000000000000000,G410&gt;=F410,G410&lt;F410+Cutoff!$B$16),1,0)</f>
        <v>0</v>
      </c>
    </row>
    <row r="411" customFormat="false" ht="15" hidden="false" customHeight="false" outlineLevel="0" collapsed="false">
      <c r="A411" s="4" t="s">
        <v>1540</v>
      </c>
      <c r="B411" s="4" t="s">
        <v>243</v>
      </c>
      <c r="C411" s="4" t="s">
        <v>239</v>
      </c>
      <c r="D411" s="4" t="s">
        <v>1633</v>
      </c>
      <c r="E411" s="4" t="n">
        <v>0</v>
      </c>
      <c r="F411" s="4" t="n">
        <v>1785178449</v>
      </c>
      <c r="G411" s="4" t="n">
        <v>1785179496</v>
      </c>
      <c r="H411" s="12" t="n">
        <f aca="false">IF(AND(E411=0,F411&lt;1000000000000000,F411+Cutoff!$B$16&lt;=Cutoff!$D$13),1,0)</f>
        <v>1</v>
      </c>
      <c r="I411" s="12" t="n">
        <f aca="false">IF(AND(H411=1,G411&lt;1000000000000000,G411&gt;=F411,G411&lt;F411+Cutoff!$B$16),1,0)</f>
        <v>1</v>
      </c>
    </row>
    <row r="412" customFormat="false" ht="15" hidden="false" customHeight="false" outlineLevel="0" collapsed="false">
      <c r="A412" s="4" t="s">
        <v>1641</v>
      </c>
      <c r="B412" s="4" t="s">
        <v>242</v>
      </c>
      <c r="C412" s="4" t="s">
        <v>240</v>
      </c>
      <c r="D412" s="4" t="s">
        <v>1634</v>
      </c>
      <c r="E412" s="4" t="n">
        <v>0</v>
      </c>
      <c r="F412" s="4" t="n">
        <v>1785179827</v>
      </c>
      <c r="G412" s="4" t="n">
        <v>1000000000000000</v>
      </c>
      <c r="H412" s="12" t="n">
        <f aca="false">IF(AND(E412=0,F412&lt;1000000000000000,F412+Cutoff!$B$16&lt;=Cutoff!$D$13),1,0)</f>
        <v>1</v>
      </c>
      <c r="I412" s="12" t="n">
        <f aca="false">IF(AND(H412=1,G412&lt;1000000000000000,G412&gt;=F412,G412&lt;F412+Cutoff!$B$16),1,0)</f>
        <v>0</v>
      </c>
    </row>
    <row r="413" customFormat="false" ht="15" hidden="false" customHeight="false" outlineLevel="0" collapsed="false">
      <c r="A413" s="4" t="s">
        <v>1642</v>
      </c>
      <c r="B413" s="4" t="s">
        <v>242</v>
      </c>
      <c r="C413" s="4" t="s">
        <v>240</v>
      </c>
      <c r="D413" s="4" t="s">
        <v>1634</v>
      </c>
      <c r="E413" s="4" t="n">
        <v>0</v>
      </c>
      <c r="F413" s="4" t="n">
        <v>1785189514</v>
      </c>
      <c r="G413" s="4" t="n">
        <v>1000000000000000</v>
      </c>
      <c r="H413" s="12" t="n">
        <f aca="false">IF(AND(E413=0,F413&lt;1000000000000000,F413+Cutoff!$B$16&lt;=Cutoff!$D$13),1,0)</f>
        <v>1</v>
      </c>
      <c r="I413" s="12" t="n">
        <f aca="false">IF(AND(H413=1,G413&lt;1000000000000000,G413&gt;=F413,G413&lt;F413+Cutoff!$B$16),1,0)</f>
        <v>0</v>
      </c>
    </row>
    <row r="414" customFormat="false" ht="15" hidden="false" customHeight="false" outlineLevel="0" collapsed="false">
      <c r="A414" s="4" t="s">
        <v>1543</v>
      </c>
      <c r="B414" s="4" t="s">
        <v>243</v>
      </c>
      <c r="C414" s="4" t="s">
        <v>240</v>
      </c>
      <c r="D414" s="4" t="s">
        <v>1633</v>
      </c>
      <c r="E414" s="4" t="n">
        <v>0</v>
      </c>
      <c r="F414" s="4" t="n">
        <v>1785255282</v>
      </c>
      <c r="G414" s="4" t="n">
        <v>1785664997</v>
      </c>
      <c r="H414" s="12" t="n">
        <f aca="false">IF(AND(E414=0,F414&lt;1000000000000000,F414+Cutoff!$B$16&lt;=Cutoff!$D$13),1,0)</f>
        <v>1</v>
      </c>
      <c r="I414" s="12" t="n">
        <f aca="false">IF(AND(H414=1,G414&lt;1000000000000000,G414&gt;=F414,G414&lt;F414+Cutoff!$B$16),1,0)</f>
        <v>1</v>
      </c>
    </row>
    <row r="415" customFormat="false" ht="15" hidden="false" customHeight="false" outlineLevel="0" collapsed="false">
      <c r="A415" s="4" t="s">
        <v>1547</v>
      </c>
      <c r="B415" s="4" t="s">
        <v>237</v>
      </c>
      <c r="C415" s="4" t="s">
        <v>238</v>
      </c>
      <c r="D415" s="4" t="s">
        <v>1634</v>
      </c>
      <c r="E415" s="4" t="n">
        <v>0</v>
      </c>
      <c r="F415" s="4" t="n">
        <v>1785285427</v>
      </c>
      <c r="G415" s="4" t="n">
        <v>1785354083</v>
      </c>
      <c r="H415" s="12" t="n">
        <f aca="false">IF(AND(E415=0,F415&lt;1000000000000000,F415+Cutoff!$B$16&lt;=Cutoff!$D$13),1,0)</f>
        <v>1</v>
      </c>
      <c r="I415" s="12" t="n">
        <f aca="false">IF(AND(H415=1,G415&lt;1000000000000000,G415&gt;=F415,G415&lt;F415+Cutoff!$B$16),1,0)</f>
        <v>1</v>
      </c>
    </row>
    <row r="416" customFormat="false" ht="15" hidden="false" customHeight="false" outlineLevel="0" collapsed="false">
      <c r="A416" s="4" t="s">
        <v>1643</v>
      </c>
      <c r="B416" s="4" t="s">
        <v>242</v>
      </c>
      <c r="C416" s="4" t="s">
        <v>238</v>
      </c>
      <c r="D416" s="4" t="s">
        <v>1632</v>
      </c>
      <c r="E416" s="4" t="n">
        <v>0</v>
      </c>
      <c r="F416" s="4" t="n">
        <v>1785326455</v>
      </c>
      <c r="G416" s="4" t="n">
        <v>1000000000000000</v>
      </c>
      <c r="H416" s="12" t="n">
        <f aca="false">IF(AND(E416=0,F416&lt;1000000000000000,F416+Cutoff!$B$16&lt;=Cutoff!$D$13),1,0)</f>
        <v>1</v>
      </c>
      <c r="I416" s="12" t="n">
        <f aca="false">IF(AND(H416=1,G416&lt;1000000000000000,G416&gt;=F416,G416&lt;F416+Cutoff!$B$16),1,0)</f>
        <v>0</v>
      </c>
    </row>
    <row r="417" customFormat="false" ht="15" hidden="false" customHeight="false" outlineLevel="0" collapsed="false">
      <c r="A417" s="4" t="s">
        <v>1644</v>
      </c>
      <c r="B417" s="4" t="s">
        <v>242</v>
      </c>
      <c r="C417" s="4" t="s">
        <v>239</v>
      </c>
      <c r="D417" s="4" t="s">
        <v>1632</v>
      </c>
      <c r="E417" s="4" t="n">
        <v>0</v>
      </c>
      <c r="F417" s="4" t="n">
        <v>1785332947</v>
      </c>
      <c r="G417" s="4" t="n">
        <v>1000000000000000</v>
      </c>
      <c r="H417" s="12" t="n">
        <f aca="false">IF(AND(E417=0,F417&lt;1000000000000000,F417+Cutoff!$B$16&lt;=Cutoff!$D$13),1,0)</f>
        <v>1</v>
      </c>
      <c r="I417" s="12" t="n">
        <f aca="false">IF(AND(H417=1,G417&lt;1000000000000000,G417&gt;=F417,G417&lt;F417+Cutoff!$B$16),1,0)</f>
        <v>0</v>
      </c>
    </row>
    <row r="418" customFormat="false" ht="15" hidden="false" customHeight="false" outlineLevel="0" collapsed="false">
      <c r="A418" s="4" t="s">
        <v>1645</v>
      </c>
      <c r="B418" s="4" t="s">
        <v>242</v>
      </c>
      <c r="C418" s="4" t="s">
        <v>240</v>
      </c>
      <c r="D418" s="4" t="s">
        <v>1633</v>
      </c>
      <c r="E418" s="4" t="n">
        <v>0</v>
      </c>
      <c r="F418" s="4" t="n">
        <v>1785341107</v>
      </c>
      <c r="G418" s="4" t="n">
        <v>1000000000000000</v>
      </c>
      <c r="H418" s="12" t="n">
        <f aca="false">IF(AND(E418=0,F418&lt;1000000000000000,F418+Cutoff!$B$16&lt;=Cutoff!$D$13),1,0)</f>
        <v>1</v>
      </c>
      <c r="I418" s="12" t="n">
        <f aca="false">IF(AND(H418=1,G418&lt;1000000000000000,G418&gt;=F418,G418&lt;F418+Cutoff!$B$16),1,0)</f>
        <v>0</v>
      </c>
    </row>
    <row r="419" customFormat="false" ht="15" hidden="false" customHeight="false" outlineLevel="0" collapsed="false">
      <c r="A419" s="4" t="s">
        <v>1646</v>
      </c>
      <c r="B419" s="4" t="s">
        <v>243</v>
      </c>
      <c r="C419" s="4" t="s">
        <v>240</v>
      </c>
      <c r="D419" s="4" t="s">
        <v>1634</v>
      </c>
      <c r="E419" s="4" t="n">
        <v>0</v>
      </c>
      <c r="F419" s="4" t="n">
        <v>1785346462</v>
      </c>
      <c r="G419" s="4" t="n">
        <v>1785362737</v>
      </c>
      <c r="H419" s="12" t="n">
        <f aca="false">IF(AND(E419=0,F419&lt;1000000000000000,F419+Cutoff!$B$16&lt;=Cutoff!$D$13),1,0)</f>
        <v>1</v>
      </c>
      <c r="I419" s="12" t="n">
        <f aca="false">IF(AND(H419=1,G419&lt;1000000000000000,G419&gt;=F419,G419&lt;F419+Cutoff!$B$16),1,0)</f>
        <v>1</v>
      </c>
    </row>
    <row r="420" customFormat="false" ht="15" hidden="false" customHeight="false" outlineLevel="0" collapsed="false">
      <c r="A420" s="4" t="s">
        <v>1647</v>
      </c>
      <c r="B420" s="4" t="s">
        <v>242</v>
      </c>
      <c r="C420" s="4" t="s">
        <v>240</v>
      </c>
      <c r="D420" s="4" t="s">
        <v>1632</v>
      </c>
      <c r="E420" s="4" t="n">
        <v>0</v>
      </c>
      <c r="F420" s="4" t="n">
        <v>1785349428</v>
      </c>
      <c r="G420" s="4" t="n">
        <v>1785368287</v>
      </c>
      <c r="H420" s="12" t="n">
        <f aca="false">IF(AND(E420=0,F420&lt;1000000000000000,F420+Cutoff!$B$16&lt;=Cutoff!$D$13),1,0)</f>
        <v>1</v>
      </c>
      <c r="I420" s="12" t="n">
        <f aca="false">IF(AND(H420=1,G420&lt;1000000000000000,G420&gt;=F420,G420&lt;F420+Cutoff!$B$16),1,0)</f>
        <v>1</v>
      </c>
    </row>
    <row r="421" customFormat="false" ht="15" hidden="false" customHeight="false" outlineLevel="0" collapsed="false">
      <c r="A421" s="4" t="s">
        <v>1648</v>
      </c>
      <c r="B421" s="4" t="s">
        <v>243</v>
      </c>
      <c r="C421" s="4" t="s">
        <v>240</v>
      </c>
      <c r="D421" s="4" t="s">
        <v>1634</v>
      </c>
      <c r="E421" s="4" t="n">
        <v>0</v>
      </c>
      <c r="F421" s="4" t="n">
        <v>1785363283</v>
      </c>
      <c r="G421" s="4" t="n">
        <v>1000000000000000</v>
      </c>
      <c r="H421" s="12" t="n">
        <f aca="false">IF(AND(E421=0,F421&lt;1000000000000000,F421+Cutoff!$B$16&lt;=Cutoff!$D$13),1,0)</f>
        <v>1</v>
      </c>
      <c r="I421" s="12" t="n">
        <f aca="false">IF(AND(H421=1,G421&lt;1000000000000000,G421&gt;=F421,G421&lt;F421+Cutoff!$B$16),1,0)</f>
        <v>0</v>
      </c>
    </row>
    <row r="422" customFormat="false" ht="15" hidden="false" customHeight="false" outlineLevel="0" collapsed="false">
      <c r="A422" s="4" t="s">
        <v>1649</v>
      </c>
      <c r="B422" s="4" t="s">
        <v>242</v>
      </c>
      <c r="C422" s="4" t="s">
        <v>239</v>
      </c>
      <c r="D422" s="4" t="s">
        <v>1632</v>
      </c>
      <c r="E422" s="4" t="n">
        <v>0</v>
      </c>
      <c r="F422" s="4" t="n">
        <v>1785395299</v>
      </c>
      <c r="G422" s="4" t="n">
        <v>1000000000000000</v>
      </c>
      <c r="H422" s="12" t="n">
        <f aca="false">IF(AND(E422=0,F422&lt;1000000000000000,F422+Cutoff!$B$16&lt;=Cutoff!$D$13),1,0)</f>
        <v>1</v>
      </c>
      <c r="I422" s="12" t="n">
        <f aca="false">IF(AND(H422=1,G422&lt;1000000000000000,G422&gt;=F422,G422&lt;F422+Cutoff!$B$16),1,0)</f>
        <v>0</v>
      </c>
    </row>
    <row r="423" customFormat="false" ht="15" hidden="false" customHeight="false" outlineLevel="0" collapsed="false">
      <c r="A423" s="4" t="s">
        <v>1650</v>
      </c>
      <c r="B423" s="4" t="s">
        <v>243</v>
      </c>
      <c r="C423" s="4" t="s">
        <v>239</v>
      </c>
      <c r="D423" s="4" t="s">
        <v>1634</v>
      </c>
      <c r="E423" s="4" t="n">
        <v>0</v>
      </c>
      <c r="F423" s="4" t="n">
        <v>1785456389</v>
      </c>
      <c r="G423" s="4" t="n">
        <v>1785915970</v>
      </c>
      <c r="H423" s="12" t="n">
        <f aca="false">IF(AND(E423=0,F423&lt;1000000000000000,F423+Cutoff!$B$16&lt;=Cutoff!$D$13),1,0)</f>
        <v>1</v>
      </c>
      <c r="I423" s="12" t="n">
        <f aca="false">IF(AND(H423=1,G423&lt;1000000000000000,G423&gt;=F423,G423&lt;F423+Cutoff!$B$16),1,0)</f>
        <v>1</v>
      </c>
    </row>
    <row r="424" customFormat="false" ht="15" hidden="false" customHeight="false" outlineLevel="0" collapsed="false">
      <c r="A424" s="4" t="s">
        <v>1651</v>
      </c>
      <c r="B424" s="4" t="s">
        <v>242</v>
      </c>
      <c r="C424" s="4" t="s">
        <v>240</v>
      </c>
      <c r="D424" s="4" t="s">
        <v>1633</v>
      </c>
      <c r="E424" s="4" t="n">
        <v>0</v>
      </c>
      <c r="F424" s="4" t="n">
        <v>1785518150</v>
      </c>
      <c r="G424" s="4" t="n">
        <v>1000000000000000</v>
      </c>
      <c r="H424" s="12" t="n">
        <f aca="false">IF(AND(E424=0,F424&lt;1000000000000000,F424+Cutoff!$B$16&lt;=Cutoff!$D$13),1,0)</f>
        <v>1</v>
      </c>
      <c r="I424" s="12" t="n">
        <f aca="false">IF(AND(H424=1,G424&lt;1000000000000000,G424&gt;=F424,G424&lt;F424+Cutoff!$B$16),1,0)</f>
        <v>0</v>
      </c>
    </row>
    <row r="425" customFormat="false" ht="15" hidden="false" customHeight="false" outlineLevel="0" collapsed="false">
      <c r="A425" s="4" t="s">
        <v>1652</v>
      </c>
      <c r="B425" s="4" t="s">
        <v>242</v>
      </c>
      <c r="C425" s="4" t="s">
        <v>240</v>
      </c>
      <c r="D425" s="4" t="s">
        <v>1633</v>
      </c>
      <c r="E425" s="4" t="n">
        <v>0</v>
      </c>
      <c r="F425" s="4" t="n">
        <v>1785520346</v>
      </c>
      <c r="G425" s="4" t="n">
        <v>1000000000000000</v>
      </c>
      <c r="H425" s="12" t="n">
        <f aca="false">IF(AND(E425=0,F425&lt;1000000000000000,F425+Cutoff!$B$16&lt;=Cutoff!$D$13),1,0)</f>
        <v>1</v>
      </c>
      <c r="I425" s="12" t="n">
        <f aca="false">IF(AND(H425=1,G425&lt;1000000000000000,G425&gt;=F425,G425&lt;F425+Cutoff!$B$16),1,0)</f>
        <v>0</v>
      </c>
    </row>
    <row r="426" customFormat="false" ht="15" hidden="false" customHeight="false" outlineLevel="0" collapsed="false">
      <c r="A426" s="4" t="s">
        <v>1653</v>
      </c>
      <c r="B426" s="4" t="s">
        <v>242</v>
      </c>
      <c r="C426" s="4" t="s">
        <v>240</v>
      </c>
      <c r="D426" s="4" t="s">
        <v>1633</v>
      </c>
      <c r="E426" s="4" t="n">
        <v>0</v>
      </c>
      <c r="F426" s="4" t="n">
        <v>1785524388</v>
      </c>
      <c r="G426" s="4" t="n">
        <v>1000000000000000</v>
      </c>
      <c r="H426" s="12" t="n">
        <f aca="false">IF(AND(E426=0,F426&lt;1000000000000000,F426+Cutoff!$B$16&lt;=Cutoff!$D$13),1,0)</f>
        <v>1</v>
      </c>
      <c r="I426" s="12" t="n">
        <f aca="false">IF(AND(H426=1,G426&lt;1000000000000000,G426&gt;=F426,G426&lt;F426+Cutoff!$B$16),1,0)</f>
        <v>0</v>
      </c>
    </row>
    <row r="427" customFormat="false" ht="15" hidden="false" customHeight="false" outlineLevel="0" collapsed="false">
      <c r="A427" s="4" t="s">
        <v>1567</v>
      </c>
      <c r="B427" s="4" t="s">
        <v>243</v>
      </c>
      <c r="C427" s="4" t="s">
        <v>240</v>
      </c>
      <c r="D427" s="4" t="s">
        <v>1634</v>
      </c>
      <c r="E427" s="4" t="n">
        <v>0</v>
      </c>
      <c r="F427" s="4" t="n">
        <v>1785540929</v>
      </c>
      <c r="G427" s="4" t="n">
        <v>1785541240</v>
      </c>
      <c r="H427" s="12" t="n">
        <f aca="false">IF(AND(E427=0,F427&lt;1000000000000000,F427+Cutoff!$B$16&lt;=Cutoff!$D$13),1,0)</f>
        <v>1</v>
      </c>
      <c r="I427" s="12" t="n">
        <f aca="false">IF(AND(H427=1,G427&lt;1000000000000000,G427&gt;=F427,G427&lt;F427+Cutoff!$B$16),1,0)</f>
        <v>1</v>
      </c>
    </row>
    <row r="428" customFormat="false" ht="15" hidden="false" customHeight="false" outlineLevel="0" collapsed="false">
      <c r="A428" s="4" t="s">
        <v>1555</v>
      </c>
      <c r="B428" s="4" t="s">
        <v>243</v>
      </c>
      <c r="C428" s="4" t="s">
        <v>240</v>
      </c>
      <c r="D428" s="4" t="s">
        <v>1634</v>
      </c>
      <c r="E428" s="4" t="n">
        <v>0</v>
      </c>
      <c r="F428" s="4" t="n">
        <v>1785604224</v>
      </c>
      <c r="G428" s="4" t="n">
        <v>1000000000000000</v>
      </c>
      <c r="H428" s="12" t="n">
        <f aca="false">IF(AND(E428=0,F428&lt;1000000000000000,F428+Cutoff!$B$16&lt;=Cutoff!$D$13),1,0)</f>
        <v>1</v>
      </c>
      <c r="I428" s="12" t="n">
        <f aca="false">IF(AND(H428=1,G428&lt;1000000000000000,G428&gt;=F428,G428&lt;F428+Cutoff!$B$16),1,0)</f>
        <v>0</v>
      </c>
    </row>
    <row r="429" customFormat="false" ht="15" hidden="false" customHeight="false" outlineLevel="0" collapsed="false">
      <c r="A429" s="4" t="s">
        <v>1560</v>
      </c>
      <c r="B429" s="4" t="s">
        <v>243</v>
      </c>
      <c r="C429" s="4" t="s">
        <v>239</v>
      </c>
      <c r="D429" s="4" t="s">
        <v>1632</v>
      </c>
      <c r="E429" s="4" t="n">
        <v>0</v>
      </c>
      <c r="F429" s="4" t="n">
        <v>1785685137</v>
      </c>
      <c r="G429" s="4" t="n">
        <v>1786213662</v>
      </c>
      <c r="H429" s="12" t="n">
        <f aca="false">IF(AND(E429=0,F429&lt;1000000000000000,F429+Cutoff!$B$16&lt;=Cutoff!$D$13),1,0)</f>
        <v>1</v>
      </c>
      <c r="I429" s="12" t="n">
        <f aca="false">IF(AND(H429=1,G429&lt;1000000000000000,G429&gt;=F429,G429&lt;F429+Cutoff!$B$16),1,0)</f>
        <v>1</v>
      </c>
    </row>
    <row r="430" customFormat="false" ht="15" hidden="false" customHeight="false" outlineLevel="0" collapsed="false">
      <c r="A430" s="4" t="s">
        <v>1654</v>
      </c>
      <c r="B430" s="4" t="s">
        <v>242</v>
      </c>
      <c r="C430" s="4" t="s">
        <v>240</v>
      </c>
      <c r="D430" s="4" t="s">
        <v>1632</v>
      </c>
      <c r="E430" s="4" t="n">
        <v>0</v>
      </c>
      <c r="F430" s="4" t="n">
        <v>1785748505</v>
      </c>
      <c r="G430" s="4" t="n">
        <v>1000000000000000</v>
      </c>
      <c r="H430" s="12" t="n">
        <f aca="false">IF(AND(E430=0,F430&lt;1000000000000000,F430+Cutoff!$B$16&lt;=Cutoff!$D$13),1,0)</f>
        <v>1</v>
      </c>
      <c r="I430" s="12" t="n">
        <f aca="false">IF(AND(H430=1,G430&lt;1000000000000000,G430&gt;=F430,G430&lt;F430+Cutoff!$B$16),1,0)</f>
        <v>0</v>
      </c>
    </row>
    <row r="431" customFormat="false" ht="15" hidden="false" customHeight="false" outlineLevel="0" collapsed="false">
      <c r="A431" s="4" t="s">
        <v>1655</v>
      </c>
      <c r="B431" s="4" t="s">
        <v>242</v>
      </c>
      <c r="C431" s="4" t="s">
        <v>240</v>
      </c>
      <c r="D431" s="4" t="s">
        <v>1632</v>
      </c>
      <c r="E431" s="4" t="n">
        <v>0</v>
      </c>
      <c r="F431" s="4" t="n">
        <v>1785753253</v>
      </c>
      <c r="G431" s="4" t="n">
        <v>1000000000000000</v>
      </c>
      <c r="H431" s="12" t="n">
        <f aca="false">IF(AND(E431=0,F431&lt;1000000000000000,F431+Cutoff!$B$16&lt;=Cutoff!$D$13),1,0)</f>
        <v>1</v>
      </c>
      <c r="I431" s="12" t="n">
        <f aca="false">IF(AND(H431=1,G431&lt;1000000000000000,G431&gt;=F431,G431&lt;F431+Cutoff!$B$16),1,0)</f>
        <v>0</v>
      </c>
    </row>
    <row r="432" customFormat="false" ht="15" hidden="false" customHeight="false" outlineLevel="0" collapsed="false">
      <c r="A432" s="4" t="s">
        <v>1656</v>
      </c>
      <c r="B432" s="4" t="s">
        <v>242</v>
      </c>
      <c r="C432" s="4" t="s">
        <v>240</v>
      </c>
      <c r="D432" s="4" t="s">
        <v>1632</v>
      </c>
      <c r="E432" s="4" t="n">
        <v>0</v>
      </c>
      <c r="F432" s="4" t="n">
        <v>1785758444</v>
      </c>
      <c r="G432" s="4" t="n">
        <v>1785827694</v>
      </c>
      <c r="H432" s="12" t="n">
        <f aca="false">IF(AND(E432=0,F432&lt;1000000000000000,F432+Cutoff!$B$16&lt;=Cutoff!$D$13),1,0)</f>
        <v>1</v>
      </c>
      <c r="I432" s="12" t="n">
        <f aca="false">IF(AND(H432=1,G432&lt;1000000000000000,G432&gt;=F432,G432&lt;F432+Cutoff!$B$16),1,0)</f>
        <v>1</v>
      </c>
    </row>
    <row r="433" customFormat="false" ht="15" hidden="false" customHeight="false" outlineLevel="0" collapsed="false">
      <c r="A433" s="4" t="s">
        <v>1657</v>
      </c>
      <c r="B433" s="4" t="s">
        <v>243</v>
      </c>
      <c r="C433" s="4" t="s">
        <v>239</v>
      </c>
      <c r="D433" s="4" t="s">
        <v>1633</v>
      </c>
      <c r="E433" s="4" t="n">
        <v>0</v>
      </c>
      <c r="F433" s="4" t="n">
        <v>1785789724</v>
      </c>
      <c r="G433" s="4" t="n">
        <v>1785802897</v>
      </c>
      <c r="H433" s="12" t="n">
        <f aca="false">IF(AND(E433=0,F433&lt;1000000000000000,F433+Cutoff!$B$16&lt;=Cutoff!$D$13),1,0)</f>
        <v>1</v>
      </c>
      <c r="I433" s="12" t="n">
        <f aca="false">IF(AND(H433=1,G433&lt;1000000000000000,G433&gt;=F433,G433&lt;F433+Cutoff!$B$16),1,0)</f>
        <v>1</v>
      </c>
    </row>
    <row r="434" customFormat="false" ht="15" hidden="false" customHeight="false" outlineLevel="0" collapsed="false">
      <c r="A434" s="4" t="s">
        <v>1557</v>
      </c>
      <c r="B434" s="4" t="s">
        <v>243</v>
      </c>
      <c r="C434" s="4" t="s">
        <v>240</v>
      </c>
      <c r="D434" s="4" t="s">
        <v>1633</v>
      </c>
      <c r="E434" s="4" t="n">
        <v>0</v>
      </c>
      <c r="F434" s="4" t="n">
        <v>1785855883</v>
      </c>
      <c r="G434" s="4" t="n">
        <v>1000000000000000</v>
      </c>
      <c r="H434" s="12" t="n">
        <f aca="false">IF(AND(E434=0,F434&lt;1000000000000000,F434+Cutoff!$B$16&lt;=Cutoff!$D$13),1,0)</f>
        <v>1</v>
      </c>
      <c r="I434" s="12" t="n">
        <f aca="false">IF(AND(H434=1,G434&lt;1000000000000000,G434&gt;=F434,G434&lt;F434+Cutoff!$B$16),1,0)</f>
        <v>0</v>
      </c>
    </row>
    <row r="435" customFormat="false" ht="15" hidden="false" customHeight="false" outlineLevel="0" collapsed="false">
      <c r="A435" s="4" t="s">
        <v>1658</v>
      </c>
      <c r="B435" s="4" t="s">
        <v>237</v>
      </c>
      <c r="C435" s="4" t="s">
        <v>239</v>
      </c>
      <c r="D435" s="4" t="s">
        <v>1633</v>
      </c>
      <c r="E435" s="4" t="n">
        <v>0</v>
      </c>
      <c r="F435" s="4" t="n">
        <v>1785859241</v>
      </c>
      <c r="G435" s="4" t="n">
        <v>1000000000000000</v>
      </c>
      <c r="H435" s="12" t="n">
        <f aca="false">IF(AND(E435=0,F435&lt;1000000000000000,F435+Cutoff!$B$16&lt;=Cutoff!$D$13),1,0)</f>
        <v>1</v>
      </c>
      <c r="I435" s="12" t="n">
        <f aca="false">IF(AND(H435=1,G435&lt;1000000000000000,G435&gt;=F435,G435&lt;F435+Cutoff!$B$16),1,0)</f>
        <v>0</v>
      </c>
    </row>
    <row r="436" customFormat="false" ht="15" hidden="false" customHeight="false" outlineLevel="0" collapsed="false">
      <c r="A436" s="4" t="s">
        <v>1552</v>
      </c>
      <c r="B436" s="4" t="s">
        <v>237</v>
      </c>
      <c r="C436" s="4" t="s">
        <v>239</v>
      </c>
      <c r="D436" s="4" t="s">
        <v>1633</v>
      </c>
      <c r="E436" s="4" t="n">
        <v>0</v>
      </c>
      <c r="F436" s="4" t="n">
        <v>1785875317</v>
      </c>
      <c r="G436" s="4" t="n">
        <v>1785892647</v>
      </c>
      <c r="H436" s="12" t="n">
        <f aca="false">IF(AND(E436=0,F436&lt;1000000000000000,F436+Cutoff!$B$16&lt;=Cutoff!$D$13),1,0)</f>
        <v>1</v>
      </c>
      <c r="I436" s="12" t="n">
        <f aca="false">IF(AND(H436=1,G436&lt;1000000000000000,G436&gt;=F436,G436&lt;F436+Cutoff!$B$16),1,0)</f>
        <v>1</v>
      </c>
    </row>
    <row r="437" customFormat="false" ht="15" hidden="false" customHeight="false" outlineLevel="0" collapsed="false">
      <c r="A437" s="4" t="s">
        <v>1090</v>
      </c>
      <c r="B437" s="4" t="s">
        <v>242</v>
      </c>
      <c r="C437" s="4" t="s">
        <v>239</v>
      </c>
      <c r="D437" s="4" t="s">
        <v>1633</v>
      </c>
      <c r="E437" s="4" t="n">
        <v>0</v>
      </c>
      <c r="F437" s="4" t="n">
        <v>1785950287</v>
      </c>
      <c r="G437" s="4" t="n">
        <v>1786121304</v>
      </c>
      <c r="H437" s="12" t="n">
        <f aca="false">IF(AND(E437=0,F437&lt;1000000000000000,F437+Cutoff!$B$16&lt;=Cutoff!$D$13),1,0)</f>
        <v>1</v>
      </c>
      <c r="I437" s="12" t="n">
        <f aca="false">IF(AND(H437=1,G437&lt;1000000000000000,G437&gt;=F437,G437&lt;F437+Cutoff!$B$16),1,0)</f>
        <v>1</v>
      </c>
    </row>
    <row r="438" customFormat="false" ht="15" hidden="false" customHeight="false" outlineLevel="0" collapsed="false">
      <c r="A438" s="4" t="s">
        <v>1092</v>
      </c>
      <c r="B438" s="4" t="s">
        <v>237</v>
      </c>
      <c r="C438" s="4" t="s">
        <v>240</v>
      </c>
      <c r="D438" s="4" t="s">
        <v>1633</v>
      </c>
      <c r="E438" s="4" t="n">
        <v>0</v>
      </c>
      <c r="F438" s="4" t="n">
        <v>1785958537</v>
      </c>
      <c r="G438" s="4" t="n">
        <v>1000000000000000</v>
      </c>
      <c r="H438" s="12" t="n">
        <f aca="false">IF(AND(E438=0,F438&lt;1000000000000000,F438+Cutoff!$B$16&lt;=Cutoff!$D$13),1,0)</f>
        <v>1</v>
      </c>
      <c r="I438" s="12" t="n">
        <f aca="false">IF(AND(H438=1,G438&lt;1000000000000000,G438&gt;=F438,G438&lt;F438+Cutoff!$B$16),1,0)</f>
        <v>0</v>
      </c>
    </row>
    <row r="439" customFormat="false" ht="15" hidden="false" customHeight="false" outlineLevel="0" collapsed="false">
      <c r="A439" s="4" t="s">
        <v>1094</v>
      </c>
      <c r="B439" s="4" t="s">
        <v>242</v>
      </c>
      <c r="C439" s="4" t="s">
        <v>240</v>
      </c>
      <c r="D439" s="4" t="s">
        <v>1633</v>
      </c>
      <c r="E439" s="4" t="n">
        <v>0</v>
      </c>
      <c r="F439" s="4" t="n">
        <v>1785963985</v>
      </c>
      <c r="G439" s="4" t="n">
        <v>1786067923</v>
      </c>
      <c r="H439" s="12" t="n">
        <f aca="false">IF(AND(E439=0,F439&lt;1000000000000000,F439+Cutoff!$B$16&lt;=Cutoff!$D$13),1,0)</f>
        <v>1</v>
      </c>
      <c r="I439" s="12" t="n">
        <f aca="false">IF(AND(H439=1,G439&lt;1000000000000000,G439&gt;=F439,G439&lt;F439+Cutoff!$B$16),1,0)</f>
        <v>1</v>
      </c>
    </row>
    <row r="440" customFormat="false" ht="15" hidden="false" customHeight="false" outlineLevel="0" collapsed="false">
      <c r="A440" s="4" t="s">
        <v>1096</v>
      </c>
      <c r="B440" s="4" t="s">
        <v>237</v>
      </c>
      <c r="C440" s="4" t="s">
        <v>240</v>
      </c>
      <c r="D440" s="4" t="s">
        <v>1632</v>
      </c>
      <c r="E440" s="4" t="n">
        <v>0</v>
      </c>
      <c r="F440" s="4" t="n">
        <v>1786011275</v>
      </c>
      <c r="G440" s="4" t="n">
        <v>1787070395</v>
      </c>
      <c r="H440" s="12" t="n">
        <f aca="false">IF(AND(E440=0,F440&lt;1000000000000000,F440+Cutoff!$B$16&lt;=Cutoff!$D$13),1,0)</f>
        <v>1</v>
      </c>
      <c r="I440" s="12" t="n">
        <f aca="false">IF(AND(H440=1,G440&lt;1000000000000000,G440&gt;=F440,G440&lt;F440+Cutoff!$B$16),1,0)</f>
        <v>0</v>
      </c>
    </row>
    <row r="441" customFormat="false" ht="15" hidden="false" customHeight="false" outlineLevel="0" collapsed="false">
      <c r="A441" s="4" t="s">
        <v>1098</v>
      </c>
      <c r="B441" s="4" t="s">
        <v>242</v>
      </c>
      <c r="C441" s="4" t="s">
        <v>239</v>
      </c>
      <c r="D441" s="4" t="s">
        <v>1633</v>
      </c>
      <c r="E441" s="4" t="n">
        <v>0</v>
      </c>
      <c r="F441" s="4" t="n">
        <v>1786035217</v>
      </c>
      <c r="G441" s="4" t="n">
        <v>1000000000000000</v>
      </c>
      <c r="H441" s="12" t="n">
        <f aca="false">IF(AND(E441=0,F441&lt;1000000000000000,F441+Cutoff!$B$16&lt;=Cutoff!$D$13),1,0)</f>
        <v>1</v>
      </c>
      <c r="I441" s="12" t="n">
        <f aca="false">IF(AND(H441=1,G441&lt;1000000000000000,G441&gt;=F441,G441&lt;F441+Cutoff!$B$16),1,0)</f>
        <v>0</v>
      </c>
    </row>
    <row r="442" customFormat="false" ht="15" hidden="false" customHeight="false" outlineLevel="0" collapsed="false">
      <c r="A442" s="4" t="s">
        <v>1100</v>
      </c>
      <c r="B442" s="4" t="s">
        <v>242</v>
      </c>
      <c r="C442" s="4" t="s">
        <v>240</v>
      </c>
      <c r="D442" s="4" t="s">
        <v>1634</v>
      </c>
      <c r="E442" s="4" t="n">
        <v>0</v>
      </c>
      <c r="F442" s="4" t="n">
        <v>1786041687</v>
      </c>
      <c r="G442" s="4" t="n">
        <v>1786055574</v>
      </c>
      <c r="H442" s="12" t="n">
        <f aca="false">IF(AND(E442=0,F442&lt;1000000000000000,F442+Cutoff!$B$16&lt;=Cutoff!$D$13),1,0)</f>
        <v>1</v>
      </c>
      <c r="I442" s="12" t="n">
        <f aca="false">IF(AND(H442=1,G442&lt;1000000000000000,G442&gt;=F442,G442&lt;F442+Cutoff!$B$16),1,0)</f>
        <v>1</v>
      </c>
    </row>
    <row r="443" customFormat="false" ht="15" hidden="false" customHeight="false" outlineLevel="0" collapsed="false">
      <c r="A443" s="4" t="s">
        <v>1102</v>
      </c>
      <c r="B443" s="4" t="s">
        <v>237</v>
      </c>
      <c r="C443" s="4" t="s">
        <v>238</v>
      </c>
      <c r="D443" s="4" t="s">
        <v>1633</v>
      </c>
      <c r="E443" s="4" t="n">
        <v>0</v>
      </c>
      <c r="F443" s="4" t="n">
        <v>1786054530</v>
      </c>
      <c r="G443" s="4" t="n">
        <v>1786056167</v>
      </c>
      <c r="H443" s="12" t="n">
        <f aca="false">IF(AND(E443=0,F443&lt;1000000000000000,F443+Cutoff!$B$16&lt;=Cutoff!$D$13),1,0)</f>
        <v>1</v>
      </c>
      <c r="I443" s="12" t="n">
        <f aca="false">IF(AND(H443=1,G443&lt;1000000000000000,G443&gt;=F443,G443&lt;F443+Cutoff!$B$16),1,0)</f>
        <v>1</v>
      </c>
    </row>
    <row r="444" customFormat="false" ht="15" hidden="false" customHeight="false" outlineLevel="0" collapsed="false">
      <c r="A444" s="4" t="s">
        <v>1104</v>
      </c>
      <c r="B444" s="4" t="s">
        <v>242</v>
      </c>
      <c r="C444" s="4" t="s">
        <v>240</v>
      </c>
      <c r="D444" s="4" t="s">
        <v>1632</v>
      </c>
      <c r="E444" s="4" t="n">
        <v>0</v>
      </c>
      <c r="F444" s="4" t="n">
        <v>1786115263</v>
      </c>
      <c r="G444" s="4" t="n">
        <v>1000000000000000</v>
      </c>
      <c r="H444" s="12" t="n">
        <f aca="false">IF(AND(E444=0,F444&lt;1000000000000000,F444+Cutoff!$B$16&lt;=Cutoff!$D$13),1,0)</f>
        <v>1</v>
      </c>
      <c r="I444" s="12" t="n">
        <f aca="false">IF(AND(H444=1,G444&lt;1000000000000000,G444&gt;=F444,G444&lt;F444+Cutoff!$B$16),1,0)</f>
        <v>0</v>
      </c>
    </row>
    <row r="445" customFormat="false" ht="15" hidden="false" customHeight="false" outlineLevel="0" collapsed="false">
      <c r="A445" s="4" t="s">
        <v>1106</v>
      </c>
      <c r="B445" s="4" t="s">
        <v>242</v>
      </c>
      <c r="C445" s="4" t="s">
        <v>240</v>
      </c>
      <c r="D445" s="4" t="s">
        <v>1632</v>
      </c>
      <c r="E445" s="4" t="n">
        <v>0</v>
      </c>
      <c r="F445" s="4" t="n">
        <v>1786119709</v>
      </c>
      <c r="G445" s="4" t="n">
        <v>1000000000000000</v>
      </c>
      <c r="H445" s="12" t="n">
        <f aca="false">IF(AND(E445=0,F445&lt;1000000000000000,F445+Cutoff!$B$16&lt;=Cutoff!$D$13),1,0)</f>
        <v>1</v>
      </c>
      <c r="I445" s="12" t="n">
        <f aca="false">IF(AND(H445=1,G445&lt;1000000000000000,G445&gt;=F445,G445&lt;F445+Cutoff!$B$16),1,0)</f>
        <v>0</v>
      </c>
    </row>
    <row r="446" customFormat="false" ht="15" hidden="false" customHeight="false" outlineLevel="0" collapsed="false">
      <c r="A446" s="4" t="s">
        <v>1108</v>
      </c>
      <c r="B446" s="4" t="s">
        <v>237</v>
      </c>
      <c r="C446" s="4" t="s">
        <v>238</v>
      </c>
      <c r="D446" s="4" t="s">
        <v>1634</v>
      </c>
      <c r="E446" s="4" t="n">
        <v>0</v>
      </c>
      <c r="F446" s="4" t="n">
        <v>1786129852</v>
      </c>
      <c r="G446" s="4" t="n">
        <v>1786346142</v>
      </c>
      <c r="H446" s="12" t="n">
        <f aca="false">IF(AND(E446=0,F446&lt;1000000000000000,F446+Cutoff!$B$16&lt;=Cutoff!$D$13),1,0)</f>
        <v>1</v>
      </c>
      <c r="I446" s="12" t="n">
        <f aca="false">IF(AND(H446=1,G446&lt;1000000000000000,G446&gt;=F446,G446&lt;F446+Cutoff!$B$16),1,0)</f>
        <v>1</v>
      </c>
    </row>
    <row r="447" customFormat="false" ht="15" hidden="false" customHeight="false" outlineLevel="0" collapsed="false">
      <c r="A447" s="4" t="s">
        <v>1110</v>
      </c>
      <c r="B447" s="4" t="s">
        <v>243</v>
      </c>
      <c r="C447" s="4" t="s">
        <v>240</v>
      </c>
      <c r="D447" s="4" t="s">
        <v>1633</v>
      </c>
      <c r="E447" s="4" t="n">
        <v>0</v>
      </c>
      <c r="F447" s="4" t="n">
        <v>1786305694</v>
      </c>
      <c r="G447" s="4" t="n">
        <v>1786381094</v>
      </c>
      <c r="H447" s="12" t="n">
        <f aca="false">IF(AND(E447=0,F447&lt;1000000000000000,F447+Cutoff!$B$16&lt;=Cutoff!$D$13),1,0)</f>
        <v>1</v>
      </c>
      <c r="I447" s="12" t="n">
        <f aca="false">IF(AND(H447=1,G447&lt;1000000000000000,G447&gt;=F447,G447&lt;F447+Cutoff!$B$16),1,0)</f>
        <v>1</v>
      </c>
    </row>
    <row r="448" customFormat="false" ht="15" hidden="false" customHeight="false" outlineLevel="0" collapsed="false">
      <c r="A448" s="4" t="s">
        <v>1112</v>
      </c>
      <c r="B448" s="4" t="s">
        <v>237</v>
      </c>
      <c r="C448" s="4" t="s">
        <v>238</v>
      </c>
      <c r="D448" s="4" t="s">
        <v>1632</v>
      </c>
      <c r="E448" s="4" t="n">
        <v>0</v>
      </c>
      <c r="F448" s="4" t="n">
        <v>1786360744</v>
      </c>
      <c r="G448" s="4" t="n">
        <v>1000000000000000</v>
      </c>
      <c r="H448" s="12" t="n">
        <f aca="false">IF(AND(E448=0,F448&lt;1000000000000000,F448+Cutoff!$B$16&lt;=Cutoff!$D$13),1,0)</f>
        <v>1</v>
      </c>
      <c r="I448" s="12" t="n">
        <f aca="false">IF(AND(H448=1,G448&lt;1000000000000000,G448&gt;=F448,G448&lt;F448+Cutoff!$B$16),1,0)</f>
        <v>0</v>
      </c>
    </row>
    <row r="449" customFormat="false" ht="15" hidden="false" customHeight="false" outlineLevel="0" collapsed="false">
      <c r="A449" s="4" t="s">
        <v>1114</v>
      </c>
      <c r="B449" s="4" t="s">
        <v>243</v>
      </c>
      <c r="C449" s="4" t="s">
        <v>240</v>
      </c>
      <c r="D449" s="4" t="s">
        <v>1633</v>
      </c>
      <c r="E449" s="4" t="n">
        <v>0</v>
      </c>
      <c r="F449" s="4" t="n">
        <v>1786376927</v>
      </c>
      <c r="G449" s="4" t="n">
        <v>1000000000000000</v>
      </c>
      <c r="H449" s="12" t="n">
        <f aca="false">IF(AND(E449=0,F449&lt;1000000000000000,F449+Cutoff!$B$16&lt;=Cutoff!$D$13),1,0)</f>
        <v>1</v>
      </c>
      <c r="I449" s="12" t="n">
        <f aca="false">IF(AND(H449=1,G449&lt;1000000000000000,G449&gt;=F449,G449&lt;F449+Cutoff!$B$16),1,0)</f>
        <v>0</v>
      </c>
    </row>
    <row r="450" customFormat="false" ht="15" hidden="false" customHeight="false" outlineLevel="0" collapsed="false">
      <c r="A450" s="4" t="s">
        <v>1116</v>
      </c>
      <c r="B450" s="4" t="s">
        <v>243</v>
      </c>
      <c r="C450" s="4" t="s">
        <v>239</v>
      </c>
      <c r="D450" s="4" t="s">
        <v>1634</v>
      </c>
      <c r="E450" s="4" t="n">
        <v>0</v>
      </c>
      <c r="F450" s="4" t="n">
        <v>1786385626</v>
      </c>
      <c r="G450" s="4" t="n">
        <v>1000000000000000</v>
      </c>
      <c r="H450" s="12" t="n">
        <f aca="false">IF(AND(E450=0,F450&lt;1000000000000000,F450+Cutoff!$B$16&lt;=Cutoff!$D$13),1,0)</f>
        <v>1</v>
      </c>
      <c r="I450" s="12" t="n">
        <f aca="false">IF(AND(H450=1,G450&lt;1000000000000000,G450&gt;=F450,G450&lt;F450+Cutoff!$B$16),1,0)</f>
        <v>0</v>
      </c>
    </row>
    <row r="451" customFormat="false" ht="15" hidden="false" customHeight="false" outlineLevel="0" collapsed="false">
      <c r="A451" s="4" t="s">
        <v>1118</v>
      </c>
      <c r="B451" s="4" t="s">
        <v>242</v>
      </c>
      <c r="C451" s="4" t="s">
        <v>238</v>
      </c>
      <c r="D451" s="4" t="s">
        <v>1632</v>
      </c>
      <c r="E451" s="4" t="n">
        <v>0</v>
      </c>
      <c r="F451" s="4" t="n">
        <v>1786437926</v>
      </c>
      <c r="G451" s="4" t="n">
        <v>1786542253</v>
      </c>
      <c r="H451" s="12" t="n">
        <f aca="false">IF(AND(E451=0,F451&lt;1000000000000000,F451+Cutoff!$B$16&lt;=Cutoff!$D$13),1,0)</f>
        <v>1</v>
      </c>
      <c r="I451" s="12" t="n">
        <f aca="false">IF(AND(H451=1,G451&lt;1000000000000000,G451&gt;=F451,G451&lt;F451+Cutoff!$B$16),1,0)</f>
        <v>1</v>
      </c>
    </row>
    <row r="452" customFormat="false" ht="15" hidden="false" customHeight="false" outlineLevel="0" collapsed="false">
      <c r="A452" s="4" t="s">
        <v>1120</v>
      </c>
      <c r="B452" s="4" t="s">
        <v>243</v>
      </c>
      <c r="C452" s="4" t="s">
        <v>240</v>
      </c>
      <c r="D452" s="4" t="s">
        <v>1632</v>
      </c>
      <c r="E452" s="4" t="n">
        <v>0</v>
      </c>
      <c r="F452" s="4" t="n">
        <v>1786439104</v>
      </c>
      <c r="G452" s="4" t="n">
        <v>1786489917</v>
      </c>
      <c r="H452" s="12" t="n">
        <f aca="false">IF(AND(E452=0,F452&lt;1000000000000000,F452+Cutoff!$B$16&lt;=Cutoff!$D$13),1,0)</f>
        <v>1</v>
      </c>
      <c r="I452" s="12" t="n">
        <f aca="false">IF(AND(H452=1,G452&lt;1000000000000000,G452&gt;=F452,G452&lt;F452+Cutoff!$B$16),1,0)</f>
        <v>1</v>
      </c>
    </row>
    <row r="453" customFormat="false" ht="15" hidden="false" customHeight="false" outlineLevel="0" collapsed="false">
      <c r="A453" s="4" t="s">
        <v>1122</v>
      </c>
      <c r="B453" s="4" t="s">
        <v>242</v>
      </c>
      <c r="C453" s="4" t="s">
        <v>240</v>
      </c>
      <c r="D453" s="4" t="s">
        <v>1633</v>
      </c>
      <c r="E453" s="4" t="n">
        <v>0</v>
      </c>
      <c r="F453" s="4" t="n">
        <v>1786450962</v>
      </c>
      <c r="G453" s="4" t="n">
        <v>1786833143</v>
      </c>
      <c r="H453" s="12" t="n">
        <f aca="false">IF(AND(E453=0,F453&lt;1000000000000000,F453+Cutoff!$B$16&lt;=Cutoff!$D$13),1,0)</f>
        <v>1</v>
      </c>
      <c r="I453" s="12" t="n">
        <f aca="false">IF(AND(H453=1,G453&lt;1000000000000000,G453&gt;=F453,G453&lt;F453+Cutoff!$B$16),1,0)</f>
        <v>1</v>
      </c>
    </row>
    <row r="454" customFormat="false" ht="15" hidden="false" customHeight="false" outlineLevel="0" collapsed="false">
      <c r="A454" s="4" t="s">
        <v>1124</v>
      </c>
      <c r="B454" s="4" t="s">
        <v>243</v>
      </c>
      <c r="C454" s="4" t="s">
        <v>239</v>
      </c>
      <c r="D454" s="4" t="s">
        <v>1632</v>
      </c>
      <c r="E454" s="4" t="n">
        <v>0</v>
      </c>
      <c r="F454" s="4" t="n">
        <v>1786462359</v>
      </c>
      <c r="G454" s="4" t="n">
        <v>1000000000000000</v>
      </c>
      <c r="H454" s="12" t="n">
        <f aca="false">IF(AND(E454=0,F454&lt;1000000000000000,F454+Cutoff!$B$16&lt;=Cutoff!$D$13),1,0)</f>
        <v>1</v>
      </c>
      <c r="I454" s="12" t="n">
        <f aca="false">IF(AND(H454=1,G454&lt;1000000000000000,G454&gt;=F454,G454&lt;F454+Cutoff!$B$16),1,0)</f>
        <v>0</v>
      </c>
    </row>
    <row r="455" customFormat="false" ht="15" hidden="false" customHeight="false" outlineLevel="0" collapsed="false">
      <c r="A455" s="4" t="s">
        <v>1126</v>
      </c>
      <c r="B455" s="4" t="s">
        <v>242</v>
      </c>
      <c r="C455" s="4" t="s">
        <v>240</v>
      </c>
      <c r="D455" s="4" t="s">
        <v>1633</v>
      </c>
      <c r="E455" s="4" t="n">
        <v>0</v>
      </c>
      <c r="F455" s="4" t="n">
        <v>1786469999</v>
      </c>
      <c r="G455" s="4" t="n">
        <v>1786518179</v>
      </c>
      <c r="H455" s="12" t="n">
        <f aca="false">IF(AND(E455=0,F455&lt;1000000000000000,F455+Cutoff!$B$16&lt;=Cutoff!$D$13),1,0)</f>
        <v>1</v>
      </c>
      <c r="I455" s="12" t="n">
        <f aca="false">IF(AND(H455=1,G455&lt;1000000000000000,G455&gt;=F455,G455&lt;F455+Cutoff!$B$16),1,0)</f>
        <v>1</v>
      </c>
    </row>
    <row r="456" customFormat="false" ht="15" hidden="false" customHeight="false" outlineLevel="0" collapsed="false">
      <c r="A456" s="4" t="s">
        <v>1128</v>
      </c>
      <c r="B456" s="4" t="s">
        <v>242</v>
      </c>
      <c r="C456" s="4" t="s">
        <v>240</v>
      </c>
      <c r="D456" s="4" t="s">
        <v>1634</v>
      </c>
      <c r="E456" s="4" t="n">
        <v>0</v>
      </c>
      <c r="F456" s="4" t="n">
        <v>1786481491</v>
      </c>
      <c r="G456" s="4" t="n">
        <v>1000000000000000</v>
      </c>
      <c r="H456" s="12" t="n">
        <f aca="false">IF(AND(E456=0,F456&lt;1000000000000000,F456+Cutoff!$B$16&lt;=Cutoff!$D$13),1,0)</f>
        <v>1</v>
      </c>
      <c r="I456" s="12" t="n">
        <f aca="false">IF(AND(H456=1,G456&lt;1000000000000000,G456&gt;=F456,G456&lt;F456+Cutoff!$B$16),1,0)</f>
        <v>0</v>
      </c>
    </row>
    <row r="457" customFormat="false" ht="15" hidden="false" customHeight="false" outlineLevel="0" collapsed="false">
      <c r="A457" s="4" t="s">
        <v>1130</v>
      </c>
      <c r="B457" s="4" t="s">
        <v>242</v>
      </c>
      <c r="C457" s="4" t="s">
        <v>240</v>
      </c>
      <c r="D457" s="4" t="s">
        <v>1634</v>
      </c>
      <c r="E457" s="4" t="n">
        <v>0</v>
      </c>
      <c r="F457" s="4" t="n">
        <v>1786564406</v>
      </c>
      <c r="G457" s="4" t="n">
        <v>1786647559</v>
      </c>
      <c r="H457" s="12" t="n">
        <f aca="false">IF(AND(E457=0,F457&lt;1000000000000000,F457+Cutoff!$B$16&lt;=Cutoff!$D$13),1,0)</f>
        <v>1</v>
      </c>
      <c r="I457" s="12" t="n">
        <f aca="false">IF(AND(H457=1,G457&lt;1000000000000000,G457&gt;=F457,G457&lt;F457+Cutoff!$B$16),1,0)</f>
        <v>1</v>
      </c>
    </row>
    <row r="458" customFormat="false" ht="15" hidden="false" customHeight="false" outlineLevel="0" collapsed="false">
      <c r="A458" s="4" t="s">
        <v>1132</v>
      </c>
      <c r="B458" s="4" t="s">
        <v>243</v>
      </c>
      <c r="C458" s="4" t="s">
        <v>240</v>
      </c>
      <c r="D458" s="4" t="s">
        <v>1633</v>
      </c>
      <c r="E458" s="4" t="n">
        <v>0</v>
      </c>
      <c r="F458" s="4" t="n">
        <v>1786564632</v>
      </c>
      <c r="G458" s="4" t="n">
        <v>1000000000000000</v>
      </c>
      <c r="H458" s="12" t="n">
        <f aca="false">IF(AND(E458=0,F458&lt;1000000000000000,F458+Cutoff!$B$16&lt;=Cutoff!$D$13),1,0)</f>
        <v>1</v>
      </c>
      <c r="I458" s="12" t="n">
        <f aca="false">IF(AND(H458=1,G458&lt;1000000000000000,G458&gt;=F458,G458&lt;F458+Cutoff!$B$16),1,0)</f>
        <v>0</v>
      </c>
    </row>
    <row r="459" customFormat="false" ht="15" hidden="false" customHeight="false" outlineLevel="0" collapsed="false">
      <c r="A459" s="4" t="s">
        <v>1134</v>
      </c>
      <c r="B459" s="4" t="s">
        <v>243</v>
      </c>
      <c r="C459" s="4" t="s">
        <v>240</v>
      </c>
      <c r="D459" s="4" t="s">
        <v>1634</v>
      </c>
      <c r="E459" s="4" t="n">
        <v>0</v>
      </c>
      <c r="F459" s="4" t="n">
        <v>1786569448</v>
      </c>
      <c r="G459" s="4" t="n">
        <v>1786592675</v>
      </c>
      <c r="H459" s="12" t="n">
        <f aca="false">IF(AND(E459=0,F459&lt;1000000000000000,F459+Cutoff!$B$16&lt;=Cutoff!$D$13),1,0)</f>
        <v>1</v>
      </c>
      <c r="I459" s="12" t="n">
        <f aca="false">IF(AND(H459=1,G459&lt;1000000000000000,G459&gt;=F459,G459&lt;F459+Cutoff!$B$16),1,0)</f>
        <v>1</v>
      </c>
    </row>
    <row r="460" customFormat="false" ht="15" hidden="false" customHeight="false" outlineLevel="0" collapsed="false">
      <c r="A460" s="4" t="s">
        <v>1136</v>
      </c>
      <c r="B460" s="4" t="s">
        <v>242</v>
      </c>
      <c r="C460" s="4" t="s">
        <v>240</v>
      </c>
      <c r="D460" s="4" t="s">
        <v>1632</v>
      </c>
      <c r="E460" s="4" t="n">
        <v>0</v>
      </c>
      <c r="F460" s="4" t="n">
        <v>1786612114</v>
      </c>
      <c r="G460" s="4" t="n">
        <v>1786630008</v>
      </c>
      <c r="H460" s="12" t="n">
        <f aca="false">IF(AND(E460=0,F460&lt;1000000000000000,F460+Cutoff!$B$16&lt;=Cutoff!$D$13),1,0)</f>
        <v>1</v>
      </c>
      <c r="I460" s="12" t="n">
        <f aca="false">IF(AND(H460=1,G460&lt;1000000000000000,G460&gt;=F460,G460&lt;F460+Cutoff!$B$16),1,0)</f>
        <v>1</v>
      </c>
    </row>
    <row r="461" customFormat="false" ht="15" hidden="false" customHeight="false" outlineLevel="0" collapsed="false">
      <c r="A461" s="4" t="s">
        <v>1138</v>
      </c>
      <c r="B461" s="4" t="s">
        <v>243</v>
      </c>
      <c r="C461" s="4" t="s">
        <v>239</v>
      </c>
      <c r="D461" s="4" t="s">
        <v>1632</v>
      </c>
      <c r="E461" s="4" t="n">
        <v>0</v>
      </c>
      <c r="F461" s="4" t="n">
        <v>1786625745</v>
      </c>
      <c r="G461" s="4" t="n">
        <v>1000000000000000</v>
      </c>
      <c r="H461" s="12" t="n">
        <f aca="false">IF(AND(E461=0,F461&lt;1000000000000000,F461+Cutoff!$B$16&lt;=Cutoff!$D$13),1,0)</f>
        <v>1</v>
      </c>
      <c r="I461" s="12" t="n">
        <f aca="false">IF(AND(H461=1,G461&lt;1000000000000000,G461&gt;=F461,G461&lt;F461+Cutoff!$B$16),1,0)</f>
        <v>0</v>
      </c>
    </row>
    <row r="462" customFormat="false" ht="15" hidden="false" customHeight="false" outlineLevel="0" collapsed="false">
      <c r="A462" s="4" t="s">
        <v>1140</v>
      </c>
      <c r="B462" s="4" t="s">
        <v>242</v>
      </c>
      <c r="C462" s="4" t="s">
        <v>239</v>
      </c>
      <c r="D462" s="4" t="s">
        <v>1634</v>
      </c>
      <c r="E462" s="4" t="n">
        <v>0</v>
      </c>
      <c r="F462" s="4" t="n">
        <v>1786641983</v>
      </c>
      <c r="G462" s="4" t="n">
        <v>1000000000000000</v>
      </c>
      <c r="H462" s="12" t="n">
        <f aca="false">IF(AND(E462=0,F462&lt;1000000000000000,F462+Cutoff!$B$16&lt;=Cutoff!$D$13),1,0)</f>
        <v>1</v>
      </c>
      <c r="I462" s="12" t="n">
        <f aca="false">IF(AND(H462=1,G462&lt;1000000000000000,G462&gt;=F462,G462&lt;F462+Cutoff!$B$16),1,0)</f>
        <v>0</v>
      </c>
    </row>
    <row r="463" customFormat="false" ht="15" hidden="false" customHeight="false" outlineLevel="0" collapsed="false">
      <c r="A463" s="4" t="s">
        <v>1142</v>
      </c>
      <c r="B463" s="4" t="s">
        <v>243</v>
      </c>
      <c r="C463" s="4" t="s">
        <v>239</v>
      </c>
      <c r="D463" s="4" t="s">
        <v>1634</v>
      </c>
      <c r="E463" s="4" t="n">
        <v>0</v>
      </c>
      <c r="F463" s="4" t="n">
        <v>1786647727</v>
      </c>
      <c r="G463" s="4" t="n">
        <v>1786752659</v>
      </c>
      <c r="H463" s="12" t="n">
        <f aca="false">IF(AND(E463=0,F463&lt;1000000000000000,F463+Cutoff!$B$16&lt;=Cutoff!$D$13),1,0)</f>
        <v>1</v>
      </c>
      <c r="I463" s="12" t="n">
        <f aca="false">IF(AND(H463=1,G463&lt;1000000000000000,G463&gt;=F463,G463&lt;F463+Cutoff!$B$16),1,0)</f>
        <v>1</v>
      </c>
    </row>
    <row r="464" customFormat="false" ht="15" hidden="false" customHeight="false" outlineLevel="0" collapsed="false">
      <c r="A464" s="4" t="s">
        <v>1144</v>
      </c>
      <c r="B464" s="4" t="s">
        <v>243</v>
      </c>
      <c r="C464" s="4" t="s">
        <v>240</v>
      </c>
      <c r="D464" s="4" t="s">
        <v>1633</v>
      </c>
      <c r="E464" s="4" t="n">
        <v>0</v>
      </c>
      <c r="F464" s="4" t="n">
        <v>1786740716</v>
      </c>
      <c r="G464" s="4" t="n">
        <v>1786753205</v>
      </c>
      <c r="H464" s="12" t="n">
        <f aca="false">IF(AND(E464=0,F464&lt;1000000000000000,F464+Cutoff!$B$16&lt;=Cutoff!$D$13),1,0)</f>
        <v>1</v>
      </c>
      <c r="I464" s="12" t="n">
        <f aca="false">IF(AND(H464=1,G464&lt;1000000000000000,G464&gt;=F464,G464&lt;F464+Cutoff!$B$16),1,0)</f>
        <v>1</v>
      </c>
    </row>
    <row r="465" customFormat="false" ht="15" hidden="false" customHeight="false" outlineLevel="0" collapsed="false">
      <c r="A465" s="4" t="s">
        <v>1146</v>
      </c>
      <c r="B465" s="4" t="s">
        <v>243</v>
      </c>
      <c r="C465" s="4" t="s">
        <v>240</v>
      </c>
      <c r="D465" s="4" t="s">
        <v>1634</v>
      </c>
      <c r="E465" s="4" t="n">
        <v>0</v>
      </c>
      <c r="F465" s="4" t="n">
        <v>1786744764</v>
      </c>
      <c r="G465" s="4" t="n">
        <v>1000000000000000</v>
      </c>
      <c r="H465" s="12" t="n">
        <f aca="false">IF(AND(E465=0,F465&lt;1000000000000000,F465+Cutoff!$B$16&lt;=Cutoff!$D$13),1,0)</f>
        <v>1</v>
      </c>
      <c r="I465" s="12" t="n">
        <f aca="false">IF(AND(H465=1,G465&lt;1000000000000000,G465&gt;=F465,G465&lt;F465+Cutoff!$B$16),1,0)</f>
        <v>0</v>
      </c>
    </row>
    <row r="466" customFormat="false" ht="15" hidden="false" customHeight="false" outlineLevel="0" collapsed="false">
      <c r="A466" s="4" t="s">
        <v>1148</v>
      </c>
      <c r="B466" s="4" t="s">
        <v>243</v>
      </c>
      <c r="C466" s="4" t="s">
        <v>240</v>
      </c>
      <c r="D466" s="4" t="s">
        <v>1632</v>
      </c>
      <c r="E466" s="4" t="n">
        <v>0</v>
      </c>
      <c r="F466" s="4" t="n">
        <v>1786888728</v>
      </c>
      <c r="G466" s="4" t="n">
        <v>1000000000000000</v>
      </c>
      <c r="H466" s="12" t="n">
        <f aca="false">IF(AND(E466=0,F466&lt;1000000000000000,F466+Cutoff!$B$16&lt;=Cutoff!$D$13),1,0)</f>
        <v>1</v>
      </c>
      <c r="I466" s="12" t="n">
        <f aca="false">IF(AND(H466=1,G466&lt;1000000000000000,G466&gt;=F466,G466&lt;F466+Cutoff!$B$16),1,0)</f>
        <v>0</v>
      </c>
    </row>
    <row r="467" customFormat="false" ht="15" hidden="false" customHeight="false" outlineLevel="0" collapsed="false">
      <c r="A467" s="4" t="s">
        <v>1150</v>
      </c>
      <c r="B467" s="4" t="s">
        <v>237</v>
      </c>
      <c r="C467" s="4" t="s">
        <v>238</v>
      </c>
      <c r="D467" s="4" t="s">
        <v>1633</v>
      </c>
      <c r="E467" s="4" t="n">
        <v>0</v>
      </c>
      <c r="F467" s="4" t="n">
        <v>1786981213</v>
      </c>
      <c r="G467" s="4" t="n">
        <v>1786993950</v>
      </c>
      <c r="H467" s="12" t="n">
        <f aca="false">IF(AND(E467=0,F467&lt;1000000000000000,F467+Cutoff!$B$16&lt;=Cutoff!$D$13),1,0)</f>
        <v>1</v>
      </c>
      <c r="I467" s="12" t="n">
        <f aca="false">IF(AND(H467=1,G467&lt;1000000000000000,G467&gt;=F467,G467&lt;F467+Cutoff!$B$16),1,0)</f>
        <v>1</v>
      </c>
    </row>
    <row r="468" customFormat="false" ht="15" hidden="false" customHeight="false" outlineLevel="0" collapsed="false">
      <c r="A468" s="4" t="s">
        <v>1152</v>
      </c>
      <c r="B468" s="4" t="s">
        <v>237</v>
      </c>
      <c r="C468" s="4" t="s">
        <v>239</v>
      </c>
      <c r="D468" s="4" t="s">
        <v>1633</v>
      </c>
      <c r="E468" s="4" t="n">
        <v>0</v>
      </c>
      <c r="F468" s="4" t="n">
        <v>1786998114</v>
      </c>
      <c r="G468" s="4" t="n">
        <v>1000000000000000</v>
      </c>
      <c r="H468" s="12" t="n">
        <f aca="false">IF(AND(E468=0,F468&lt;1000000000000000,F468+Cutoff!$B$16&lt;=Cutoff!$D$13),1,0)</f>
        <v>1</v>
      </c>
      <c r="I468" s="12" t="n">
        <f aca="false">IF(AND(H468=1,G468&lt;1000000000000000,G468&gt;=F468,G468&lt;F468+Cutoff!$B$16),1,0)</f>
        <v>0</v>
      </c>
    </row>
    <row r="469" customFormat="false" ht="15" hidden="false" customHeight="false" outlineLevel="0" collapsed="false">
      <c r="A469" s="4" t="s">
        <v>1154</v>
      </c>
      <c r="B469" s="4" t="s">
        <v>242</v>
      </c>
      <c r="C469" s="4" t="s">
        <v>240</v>
      </c>
      <c r="D469" s="4" t="s">
        <v>1632</v>
      </c>
      <c r="E469" s="4" t="n">
        <v>0</v>
      </c>
      <c r="F469" s="4" t="n">
        <v>1787053217</v>
      </c>
      <c r="G469" s="4" t="n">
        <v>1000000000000000</v>
      </c>
      <c r="H469" s="12" t="n">
        <f aca="false">IF(AND(E469=0,F469&lt;1000000000000000,F469+Cutoff!$B$16&lt;=Cutoff!$D$13),1,0)</f>
        <v>1</v>
      </c>
      <c r="I469" s="12" t="n">
        <f aca="false">IF(AND(H469=1,G469&lt;1000000000000000,G469&gt;=F469,G469&lt;F469+Cutoff!$B$16),1,0)</f>
        <v>0</v>
      </c>
    </row>
    <row r="470" customFormat="false" ht="15" hidden="false" customHeight="false" outlineLevel="0" collapsed="false">
      <c r="A470" s="4" t="s">
        <v>1156</v>
      </c>
      <c r="B470" s="4" t="s">
        <v>237</v>
      </c>
      <c r="C470" s="4" t="s">
        <v>240</v>
      </c>
      <c r="D470" s="4" t="s">
        <v>1633</v>
      </c>
      <c r="E470" s="4" t="n">
        <v>0</v>
      </c>
      <c r="F470" s="4" t="n">
        <v>1787061705</v>
      </c>
      <c r="G470" s="4" t="n">
        <v>1000000000000000</v>
      </c>
      <c r="H470" s="12" t="n">
        <f aca="false">IF(AND(E470=0,F470&lt;1000000000000000,F470+Cutoff!$B$16&lt;=Cutoff!$D$13),1,0)</f>
        <v>1</v>
      </c>
      <c r="I470" s="12" t="n">
        <f aca="false">IF(AND(H470=1,G470&lt;1000000000000000,G470&gt;=F470,G470&lt;F470+Cutoff!$B$16),1,0)</f>
        <v>0</v>
      </c>
    </row>
    <row r="471" customFormat="false" ht="15" hidden="false" customHeight="false" outlineLevel="0" collapsed="false">
      <c r="A471" s="4" t="s">
        <v>1158</v>
      </c>
      <c r="B471" s="4" t="s">
        <v>242</v>
      </c>
      <c r="C471" s="4" t="s">
        <v>239</v>
      </c>
      <c r="D471" s="4" t="s">
        <v>1632</v>
      </c>
      <c r="E471" s="4" t="n">
        <v>0</v>
      </c>
      <c r="F471" s="4" t="n">
        <v>1787074720</v>
      </c>
      <c r="G471" s="4" t="n">
        <v>1000000000000000</v>
      </c>
      <c r="H471" s="12" t="n">
        <f aca="false">IF(AND(E471=0,F471&lt;1000000000000000,F471+Cutoff!$B$16&lt;=Cutoff!$D$13),1,0)</f>
        <v>1</v>
      </c>
      <c r="I471" s="12" t="n">
        <f aca="false">IF(AND(H471=1,G471&lt;1000000000000000,G471&gt;=F471,G471&lt;F471+Cutoff!$B$16),1,0)</f>
        <v>0</v>
      </c>
    </row>
    <row r="472" customFormat="false" ht="15" hidden="false" customHeight="false" outlineLevel="0" collapsed="false">
      <c r="A472" s="4" t="s">
        <v>1160</v>
      </c>
      <c r="B472" s="4" t="s">
        <v>242</v>
      </c>
      <c r="C472" s="4" t="s">
        <v>240</v>
      </c>
      <c r="D472" s="4" t="s">
        <v>1634</v>
      </c>
      <c r="E472" s="4" t="n">
        <v>0</v>
      </c>
      <c r="F472" s="4" t="n">
        <v>1787094310</v>
      </c>
      <c r="G472" s="4" t="n">
        <v>1000000000000000</v>
      </c>
      <c r="H472" s="12" t="n">
        <f aca="false">IF(AND(E472=0,F472&lt;1000000000000000,F472+Cutoff!$B$16&lt;=Cutoff!$D$13),1,0)</f>
        <v>1</v>
      </c>
      <c r="I472" s="12" t="n">
        <f aca="false">IF(AND(H472=1,G472&lt;1000000000000000,G472&gt;=F472,G472&lt;F472+Cutoff!$B$16),1,0)</f>
        <v>0</v>
      </c>
    </row>
    <row r="473" customFormat="false" ht="15" hidden="false" customHeight="false" outlineLevel="0" collapsed="false">
      <c r="A473" s="4" t="s">
        <v>1162</v>
      </c>
      <c r="B473" s="4" t="s">
        <v>237</v>
      </c>
      <c r="C473" s="4" t="s">
        <v>239</v>
      </c>
      <c r="D473" s="4" t="s">
        <v>1632</v>
      </c>
      <c r="E473" s="4" t="n">
        <v>0</v>
      </c>
      <c r="F473" s="4" t="n">
        <v>1787134064</v>
      </c>
      <c r="G473" s="4" t="n">
        <v>1000000000000000</v>
      </c>
      <c r="H473" s="12" t="n">
        <f aca="false">IF(AND(E473=0,F473&lt;1000000000000000,F473+Cutoff!$B$16&lt;=Cutoff!$D$13),1,0)</f>
        <v>1</v>
      </c>
      <c r="I473" s="12" t="n">
        <f aca="false">IF(AND(H473=1,G473&lt;1000000000000000,G473&gt;=F473,G473&lt;F473+Cutoff!$B$16),1,0)</f>
        <v>0</v>
      </c>
    </row>
    <row r="474" customFormat="false" ht="15" hidden="false" customHeight="false" outlineLevel="0" collapsed="false">
      <c r="A474" s="4" t="s">
        <v>1164</v>
      </c>
      <c r="B474" s="4" t="s">
        <v>243</v>
      </c>
      <c r="C474" s="4" t="s">
        <v>240</v>
      </c>
      <c r="D474" s="4" t="s">
        <v>1632</v>
      </c>
      <c r="E474" s="4" t="n">
        <v>0</v>
      </c>
      <c r="F474" s="4" t="n">
        <v>1787141211</v>
      </c>
      <c r="G474" s="4" t="n">
        <v>1000000000000000</v>
      </c>
      <c r="H474" s="12" t="n">
        <f aca="false">IF(AND(E474=0,F474&lt;1000000000000000,F474+Cutoff!$B$16&lt;=Cutoff!$D$13),1,0)</f>
        <v>1</v>
      </c>
      <c r="I474" s="12" t="n">
        <f aca="false">IF(AND(H474=1,G474&lt;1000000000000000,G474&gt;=F474,G474&lt;F474+Cutoff!$B$16),1,0)</f>
        <v>0</v>
      </c>
    </row>
    <row r="475" customFormat="false" ht="15" hidden="false" customHeight="false" outlineLevel="0" collapsed="false">
      <c r="A475" s="4" t="s">
        <v>1166</v>
      </c>
      <c r="B475" s="4" t="s">
        <v>237</v>
      </c>
      <c r="C475" s="4" t="s">
        <v>238</v>
      </c>
      <c r="D475" s="4" t="s">
        <v>1633</v>
      </c>
      <c r="E475" s="4" t="n">
        <v>0</v>
      </c>
      <c r="F475" s="4" t="n">
        <v>1787155435</v>
      </c>
      <c r="G475" s="4" t="n">
        <v>1000000000000000</v>
      </c>
      <c r="H475" s="12" t="n">
        <f aca="false">IF(AND(E475=0,F475&lt;1000000000000000,F475+Cutoff!$B$16&lt;=Cutoff!$D$13),1,0)</f>
        <v>1</v>
      </c>
      <c r="I475" s="12" t="n">
        <f aca="false">IF(AND(H475=1,G475&lt;1000000000000000,G475&gt;=F475,G475&lt;F475+Cutoff!$B$16),1,0)</f>
        <v>0</v>
      </c>
    </row>
    <row r="476" customFormat="false" ht="15" hidden="false" customHeight="false" outlineLevel="0" collapsed="false">
      <c r="A476" s="4" t="s">
        <v>1168</v>
      </c>
      <c r="B476" s="4" t="s">
        <v>243</v>
      </c>
      <c r="C476" s="4" t="s">
        <v>239</v>
      </c>
      <c r="D476" s="4" t="s">
        <v>1633</v>
      </c>
      <c r="E476" s="4" t="n">
        <v>0</v>
      </c>
      <c r="F476" s="4" t="n">
        <v>1787159728</v>
      </c>
      <c r="G476" s="4" t="n">
        <v>1000000000000000</v>
      </c>
      <c r="H476" s="12" t="n">
        <f aca="false">IF(AND(E476=0,F476&lt;1000000000000000,F476+Cutoff!$B$16&lt;=Cutoff!$D$13),1,0)</f>
        <v>1</v>
      </c>
      <c r="I476" s="12" t="n">
        <f aca="false">IF(AND(H476=1,G476&lt;1000000000000000,G476&gt;=F476,G476&lt;F476+Cutoff!$B$16),1,0)</f>
        <v>0</v>
      </c>
    </row>
    <row r="477" customFormat="false" ht="15" hidden="false" customHeight="false" outlineLevel="0" collapsed="false">
      <c r="A477" s="4" t="s">
        <v>1170</v>
      </c>
      <c r="B477" s="4" t="s">
        <v>242</v>
      </c>
      <c r="C477" s="4" t="s">
        <v>240</v>
      </c>
      <c r="D477" s="4" t="s">
        <v>1634</v>
      </c>
      <c r="E477" s="4" t="n">
        <v>0</v>
      </c>
      <c r="F477" s="4" t="n">
        <v>1787165024</v>
      </c>
      <c r="G477" s="4" t="n">
        <v>1000000000000000</v>
      </c>
      <c r="H477" s="12" t="n">
        <f aca="false">IF(AND(E477=0,F477&lt;1000000000000000,F477+Cutoff!$B$16&lt;=Cutoff!$D$13),1,0)</f>
        <v>1</v>
      </c>
      <c r="I477" s="12" t="n">
        <f aca="false">IF(AND(H477=1,G477&lt;1000000000000000,G477&gt;=F477,G477&lt;F477+Cutoff!$B$16),1,0)</f>
        <v>0</v>
      </c>
    </row>
    <row r="478" customFormat="false" ht="15" hidden="false" customHeight="false" outlineLevel="0" collapsed="false">
      <c r="A478" s="4" t="s">
        <v>1172</v>
      </c>
      <c r="B478" s="4" t="s">
        <v>243</v>
      </c>
      <c r="C478" s="4" t="s">
        <v>239</v>
      </c>
      <c r="D478" s="4" t="s">
        <v>1633</v>
      </c>
      <c r="E478" s="4" t="n">
        <v>0</v>
      </c>
      <c r="F478" s="4" t="n">
        <v>1787180940</v>
      </c>
      <c r="G478" s="4" t="n">
        <v>1000000000000000</v>
      </c>
      <c r="H478" s="12" t="n">
        <f aca="false">IF(AND(E478=0,F478&lt;1000000000000000,F478+Cutoff!$B$16&lt;=Cutoff!$D$13),1,0)</f>
        <v>1</v>
      </c>
      <c r="I478" s="12" t="n">
        <f aca="false">IF(AND(H478=1,G478&lt;1000000000000000,G478&gt;=F478,G478&lt;F478+Cutoff!$B$16),1,0)</f>
        <v>0</v>
      </c>
    </row>
    <row r="479" customFormat="false" ht="15" hidden="false" customHeight="false" outlineLevel="0" collapsed="false">
      <c r="A479" s="4" t="s">
        <v>1174</v>
      </c>
      <c r="B479" s="4" t="s">
        <v>243</v>
      </c>
      <c r="C479" s="4" t="s">
        <v>239</v>
      </c>
      <c r="D479" s="4" t="s">
        <v>1633</v>
      </c>
      <c r="E479" s="4" t="n">
        <v>0</v>
      </c>
      <c r="F479" s="4" t="n">
        <v>1787183359</v>
      </c>
      <c r="G479" s="4" t="n">
        <v>1787204517</v>
      </c>
      <c r="H479" s="12" t="n">
        <f aca="false">IF(AND(E479=0,F479&lt;1000000000000000,F479+Cutoff!$B$16&lt;=Cutoff!$D$13),1,0)</f>
        <v>1</v>
      </c>
      <c r="I479" s="12" t="n">
        <f aca="false">IF(AND(H479=1,G479&lt;1000000000000000,G479&gt;=F479,G479&lt;F479+Cutoff!$B$16),1,0)</f>
        <v>1</v>
      </c>
    </row>
    <row r="480" customFormat="false" ht="15" hidden="false" customHeight="false" outlineLevel="0" collapsed="false">
      <c r="A480" s="4" t="s">
        <v>1176</v>
      </c>
      <c r="B480" s="4" t="s">
        <v>243</v>
      </c>
      <c r="C480" s="4" t="s">
        <v>240</v>
      </c>
      <c r="D480" s="4" t="s">
        <v>1634</v>
      </c>
      <c r="E480" s="4" t="n">
        <v>0</v>
      </c>
      <c r="F480" s="4" t="n">
        <v>1787184001</v>
      </c>
      <c r="G480" s="4" t="n">
        <v>1000000000000000</v>
      </c>
      <c r="H480" s="12" t="n">
        <f aca="false">IF(AND(E480=0,F480&lt;1000000000000000,F480+Cutoff!$B$16&lt;=Cutoff!$D$13),1,0)</f>
        <v>1</v>
      </c>
      <c r="I480" s="12" t="n">
        <f aca="false">IF(AND(H480=1,G480&lt;1000000000000000,G480&gt;=F480,G480&lt;F480+Cutoff!$B$16),1,0)</f>
        <v>0</v>
      </c>
    </row>
    <row r="481" customFormat="false" ht="15" hidden="false" customHeight="false" outlineLevel="0" collapsed="false">
      <c r="A481" s="4" t="s">
        <v>1659</v>
      </c>
      <c r="B481" s="4" t="s">
        <v>243</v>
      </c>
      <c r="C481" s="4" t="s">
        <v>239</v>
      </c>
      <c r="D481" s="4" t="s">
        <v>1632</v>
      </c>
      <c r="E481" s="4" t="n">
        <v>1</v>
      </c>
      <c r="F481" s="4" t="n">
        <v>1000000000000000</v>
      </c>
      <c r="G481" s="4" t="n">
        <v>1000000000000000</v>
      </c>
      <c r="H481" s="12" t="n">
        <f aca="false">IF(AND(E481=0,F481&lt;1000000000000000,F481+Cutoff!$B$16&lt;=Cutoff!$D$13),1,0)</f>
        <v>0</v>
      </c>
      <c r="I481" s="12" t="n">
        <f aca="false">IF(AND(H481=1,G481&lt;1000000000000000,G481&gt;=F481,G481&lt;F481+Cutoff!$B$16),1,0)</f>
        <v>0</v>
      </c>
    </row>
    <row r="482" customFormat="false" ht="15" hidden="false" customHeight="false" outlineLevel="0" collapsed="false">
      <c r="A482" s="4" t="s">
        <v>1178</v>
      </c>
      <c r="B482" s="4" t="s">
        <v>242</v>
      </c>
      <c r="C482" s="4" t="s">
        <v>240</v>
      </c>
      <c r="D482" s="4" t="s">
        <v>1634</v>
      </c>
      <c r="E482" s="4" t="n">
        <v>0</v>
      </c>
      <c r="F482" s="4" t="n">
        <v>1787256624</v>
      </c>
      <c r="G482" s="4" t="n">
        <v>1000000000000000</v>
      </c>
      <c r="H482" s="12" t="n">
        <f aca="false">IF(AND(E482=0,F482&lt;1000000000000000,F482+Cutoff!$B$16&lt;=Cutoff!$D$13),1,0)</f>
        <v>1</v>
      </c>
      <c r="I482" s="12" t="n">
        <f aca="false">IF(AND(H482=1,G482&lt;1000000000000000,G482&gt;=F482,G482&lt;F482+Cutoff!$B$16),1,0)</f>
        <v>0</v>
      </c>
    </row>
    <row r="483" customFormat="false" ht="15" hidden="false" customHeight="false" outlineLevel="0" collapsed="false">
      <c r="A483" s="4" t="s">
        <v>1180</v>
      </c>
      <c r="B483" s="4" t="s">
        <v>242</v>
      </c>
      <c r="C483" s="4" t="s">
        <v>240</v>
      </c>
      <c r="D483" s="4" t="s">
        <v>1632</v>
      </c>
      <c r="E483" s="4" t="n">
        <v>0</v>
      </c>
      <c r="F483" s="4" t="n">
        <v>1787307985</v>
      </c>
      <c r="G483" s="4" t="n">
        <v>1787344229</v>
      </c>
      <c r="H483" s="12" t="n">
        <f aca="false">IF(AND(E483=0,F483&lt;1000000000000000,F483+Cutoff!$B$16&lt;=Cutoff!$D$13),1,0)</f>
        <v>1</v>
      </c>
      <c r="I483" s="12" t="n">
        <f aca="false">IF(AND(H483=1,G483&lt;1000000000000000,G483&gt;=F483,G483&lt;F483+Cutoff!$B$16),1,0)</f>
        <v>1</v>
      </c>
    </row>
    <row r="484" customFormat="false" ht="15" hidden="false" customHeight="false" outlineLevel="0" collapsed="false">
      <c r="A484" s="4" t="s">
        <v>1182</v>
      </c>
      <c r="B484" s="4" t="s">
        <v>243</v>
      </c>
      <c r="C484" s="4" t="s">
        <v>240</v>
      </c>
      <c r="D484" s="4" t="s">
        <v>1632</v>
      </c>
      <c r="E484" s="4" t="n">
        <v>0</v>
      </c>
      <c r="F484" s="4" t="n">
        <v>1787331617</v>
      </c>
      <c r="G484" s="4" t="n">
        <v>1000000000000000</v>
      </c>
      <c r="H484" s="12" t="n">
        <f aca="false">IF(AND(E484=0,F484&lt;1000000000000000,F484+Cutoff!$B$16&lt;=Cutoff!$D$13),1,0)</f>
        <v>1</v>
      </c>
      <c r="I484" s="12" t="n">
        <f aca="false">IF(AND(H484=1,G484&lt;1000000000000000,G484&gt;=F484,G484&lt;F484+Cutoff!$B$16),1,0)</f>
        <v>0</v>
      </c>
    </row>
    <row r="485" customFormat="false" ht="15" hidden="false" customHeight="false" outlineLevel="0" collapsed="false">
      <c r="A485" s="4" t="s">
        <v>1184</v>
      </c>
      <c r="B485" s="4" t="s">
        <v>237</v>
      </c>
      <c r="C485" s="4" t="s">
        <v>239</v>
      </c>
      <c r="D485" s="4" t="s">
        <v>1634</v>
      </c>
      <c r="E485" s="4" t="n">
        <v>0</v>
      </c>
      <c r="F485" s="4" t="n">
        <v>1787422683</v>
      </c>
      <c r="G485" s="4" t="n">
        <v>1000000000000000</v>
      </c>
      <c r="H485" s="12" t="n">
        <f aca="false">IF(AND(E485=0,F485&lt;1000000000000000,F485+Cutoff!$B$16&lt;=Cutoff!$D$13),1,0)</f>
        <v>1</v>
      </c>
      <c r="I485" s="12" t="n">
        <f aca="false">IF(AND(H485=1,G485&lt;1000000000000000,G485&gt;=F485,G485&lt;F485+Cutoff!$B$16),1,0)</f>
        <v>0</v>
      </c>
    </row>
    <row r="486" customFormat="false" ht="15" hidden="false" customHeight="false" outlineLevel="0" collapsed="false">
      <c r="A486" s="4" t="s">
        <v>1186</v>
      </c>
      <c r="B486" s="4" t="s">
        <v>242</v>
      </c>
      <c r="C486" s="4" t="s">
        <v>240</v>
      </c>
      <c r="D486" s="4" t="s">
        <v>1633</v>
      </c>
      <c r="E486" s="4" t="n">
        <v>0</v>
      </c>
      <c r="F486" s="4" t="n">
        <v>1787501124</v>
      </c>
      <c r="G486" s="4" t="n">
        <v>1000000000000000</v>
      </c>
      <c r="H486" s="12" t="n">
        <f aca="false">IF(AND(E486=0,F486&lt;1000000000000000,F486+Cutoff!$B$16&lt;=Cutoff!$D$13),1,0)</f>
        <v>1</v>
      </c>
      <c r="I486" s="12" t="n">
        <f aca="false">IF(AND(H486=1,G486&lt;1000000000000000,G486&gt;=F486,G486&lt;F486+Cutoff!$B$16),1,0)</f>
        <v>0</v>
      </c>
    </row>
    <row r="487" customFormat="false" ht="15" hidden="false" customHeight="false" outlineLevel="0" collapsed="false">
      <c r="A487" s="4" t="s">
        <v>1188</v>
      </c>
      <c r="B487" s="4" t="s">
        <v>242</v>
      </c>
      <c r="C487" s="4" t="s">
        <v>240</v>
      </c>
      <c r="D487" s="4" t="s">
        <v>1634</v>
      </c>
      <c r="E487" s="4" t="n">
        <v>0</v>
      </c>
      <c r="F487" s="4" t="n">
        <v>1787528055</v>
      </c>
      <c r="G487" s="4" t="n">
        <v>1000000000000000</v>
      </c>
      <c r="H487" s="12" t="n">
        <f aca="false">IF(AND(E487=0,F487&lt;1000000000000000,F487+Cutoff!$B$16&lt;=Cutoff!$D$13),1,0)</f>
        <v>1</v>
      </c>
      <c r="I487" s="12" t="n">
        <f aca="false">IF(AND(H487=1,G487&lt;1000000000000000,G487&gt;=F487,G487&lt;F487+Cutoff!$B$16),1,0)</f>
        <v>0</v>
      </c>
    </row>
    <row r="488" customFormat="false" ht="15" hidden="false" customHeight="false" outlineLevel="0" collapsed="false">
      <c r="A488" s="4" t="s">
        <v>1190</v>
      </c>
      <c r="B488" s="4" t="s">
        <v>237</v>
      </c>
      <c r="C488" s="4" t="s">
        <v>239</v>
      </c>
      <c r="D488" s="4" t="s">
        <v>1632</v>
      </c>
      <c r="E488" s="4" t="n">
        <v>0</v>
      </c>
      <c r="F488" s="4" t="n">
        <v>1787570000</v>
      </c>
      <c r="G488" s="4" t="n">
        <v>1787572528</v>
      </c>
      <c r="H488" s="12" t="n">
        <f aca="false">IF(AND(E488=0,F488&lt;1000000000000000,F488+Cutoff!$B$16&lt;=Cutoff!$D$13),1,0)</f>
        <v>1</v>
      </c>
      <c r="I488" s="12" t="n">
        <f aca="false">IF(AND(H488=1,G488&lt;1000000000000000,G488&gt;=F488,G488&lt;F488+Cutoff!$B$16),1,0)</f>
        <v>1</v>
      </c>
    </row>
    <row r="489" customFormat="false" ht="15" hidden="false" customHeight="false" outlineLevel="0" collapsed="false">
      <c r="A489" s="4" t="s">
        <v>1192</v>
      </c>
      <c r="B489" s="4" t="s">
        <v>237</v>
      </c>
      <c r="C489" s="4" t="s">
        <v>239</v>
      </c>
      <c r="D489" s="4" t="s">
        <v>1632</v>
      </c>
      <c r="E489" s="4" t="n">
        <v>0</v>
      </c>
      <c r="F489" s="4" t="n">
        <v>1787571237</v>
      </c>
      <c r="G489" s="4" t="n">
        <v>1000000000000000</v>
      </c>
      <c r="H489" s="12" t="n">
        <f aca="false">IF(AND(E489=0,F489&lt;1000000000000000,F489+Cutoff!$B$16&lt;=Cutoff!$D$13),1,0)</f>
        <v>1</v>
      </c>
      <c r="I489" s="12" t="n">
        <f aca="false">IF(AND(H489=1,G489&lt;1000000000000000,G489&gt;=F489,G489&lt;F489+Cutoff!$B$16),1,0)</f>
        <v>0</v>
      </c>
    </row>
    <row r="490" customFormat="false" ht="15" hidden="false" customHeight="false" outlineLevel="0" collapsed="false">
      <c r="A490" s="4" t="s">
        <v>1194</v>
      </c>
      <c r="B490" s="4" t="s">
        <v>243</v>
      </c>
      <c r="C490" s="4" t="s">
        <v>240</v>
      </c>
      <c r="D490" s="4" t="s">
        <v>1632</v>
      </c>
      <c r="E490" s="4" t="n">
        <v>0</v>
      </c>
      <c r="F490" s="4" t="n">
        <v>1787576130</v>
      </c>
      <c r="G490" s="4" t="n">
        <v>1788096327</v>
      </c>
      <c r="H490" s="12" t="n">
        <f aca="false">IF(AND(E490=0,F490&lt;1000000000000000,F490+Cutoff!$B$16&lt;=Cutoff!$D$13),1,0)</f>
        <v>1</v>
      </c>
      <c r="I490" s="12" t="n">
        <f aca="false">IF(AND(H490=1,G490&lt;1000000000000000,G490&gt;=F490,G490&lt;F490+Cutoff!$B$16),1,0)</f>
        <v>1</v>
      </c>
    </row>
    <row r="491" customFormat="false" ht="15" hidden="false" customHeight="false" outlineLevel="0" collapsed="false">
      <c r="A491" s="4" t="s">
        <v>1196</v>
      </c>
      <c r="B491" s="4" t="s">
        <v>242</v>
      </c>
      <c r="C491" s="4" t="s">
        <v>240</v>
      </c>
      <c r="D491" s="4" t="s">
        <v>1632</v>
      </c>
      <c r="E491" s="4" t="n">
        <v>0</v>
      </c>
      <c r="F491" s="4" t="n">
        <v>1787577192</v>
      </c>
      <c r="G491" s="4" t="n">
        <v>1000000000000000</v>
      </c>
      <c r="H491" s="12" t="n">
        <f aca="false">IF(AND(E491=0,F491&lt;1000000000000000,F491+Cutoff!$B$16&lt;=Cutoff!$D$13),1,0)</f>
        <v>1</v>
      </c>
      <c r="I491" s="12" t="n">
        <f aca="false">IF(AND(H491=1,G491&lt;1000000000000000,G491&gt;=F491,G491&lt;F491+Cutoff!$B$16),1,0)</f>
        <v>0</v>
      </c>
    </row>
    <row r="492" customFormat="false" ht="15" hidden="false" customHeight="false" outlineLevel="0" collapsed="false">
      <c r="A492" s="4" t="s">
        <v>1198</v>
      </c>
      <c r="B492" s="4" t="s">
        <v>243</v>
      </c>
      <c r="C492" s="4" t="s">
        <v>239</v>
      </c>
      <c r="D492" s="4" t="s">
        <v>1633</v>
      </c>
      <c r="E492" s="4" t="n">
        <v>0</v>
      </c>
      <c r="F492" s="4" t="n">
        <v>1787682944</v>
      </c>
      <c r="G492" s="4" t="n">
        <v>1787898729</v>
      </c>
      <c r="H492" s="12" t="n">
        <f aca="false">IF(AND(E492=0,F492&lt;1000000000000000,F492+Cutoff!$B$16&lt;=Cutoff!$D$13),1,0)</f>
        <v>1</v>
      </c>
      <c r="I492" s="12" t="n">
        <f aca="false">IF(AND(H492=1,G492&lt;1000000000000000,G492&gt;=F492,G492&lt;F492+Cutoff!$B$16),1,0)</f>
        <v>1</v>
      </c>
    </row>
    <row r="493" customFormat="false" ht="15" hidden="false" customHeight="false" outlineLevel="0" collapsed="false">
      <c r="A493" s="4" t="s">
        <v>1200</v>
      </c>
      <c r="B493" s="4" t="s">
        <v>243</v>
      </c>
      <c r="C493" s="4" t="s">
        <v>240</v>
      </c>
      <c r="D493" s="4" t="s">
        <v>1634</v>
      </c>
      <c r="E493" s="4" t="n">
        <v>0</v>
      </c>
      <c r="F493" s="4" t="n">
        <v>1787688465</v>
      </c>
      <c r="G493" s="4" t="n">
        <v>1000000000000000</v>
      </c>
      <c r="H493" s="12" t="n">
        <f aca="false">IF(AND(E493=0,F493&lt;1000000000000000,F493+Cutoff!$B$16&lt;=Cutoff!$D$13),1,0)</f>
        <v>1</v>
      </c>
      <c r="I493" s="12" t="n">
        <f aca="false">IF(AND(H493=1,G493&lt;1000000000000000,G493&gt;=F493,G493&lt;F493+Cutoff!$B$16),1,0)</f>
        <v>0</v>
      </c>
    </row>
    <row r="494" customFormat="false" ht="15" hidden="false" customHeight="false" outlineLevel="0" collapsed="false">
      <c r="A494" s="4" t="s">
        <v>1202</v>
      </c>
      <c r="B494" s="4" t="s">
        <v>243</v>
      </c>
      <c r="C494" s="4" t="s">
        <v>239</v>
      </c>
      <c r="D494" s="4" t="s">
        <v>1634</v>
      </c>
      <c r="E494" s="4" t="n">
        <v>0</v>
      </c>
      <c r="F494" s="4" t="n">
        <v>1787697009</v>
      </c>
      <c r="G494" s="4" t="n">
        <v>1000000000000000</v>
      </c>
      <c r="H494" s="12" t="n">
        <f aca="false">IF(AND(E494=0,F494&lt;1000000000000000,F494+Cutoff!$B$16&lt;=Cutoff!$D$13),1,0)</f>
        <v>1</v>
      </c>
      <c r="I494" s="12" t="n">
        <f aca="false">IF(AND(H494=1,G494&lt;1000000000000000,G494&gt;=F494,G494&lt;F494+Cutoff!$B$16),1,0)</f>
        <v>0</v>
      </c>
    </row>
    <row r="495" customFormat="false" ht="15" hidden="false" customHeight="false" outlineLevel="0" collapsed="false">
      <c r="A495" s="4" t="s">
        <v>1204</v>
      </c>
      <c r="B495" s="4" t="s">
        <v>243</v>
      </c>
      <c r="C495" s="4" t="s">
        <v>240</v>
      </c>
      <c r="D495" s="4" t="s">
        <v>1634</v>
      </c>
      <c r="E495" s="4" t="n">
        <v>0</v>
      </c>
      <c r="F495" s="4" t="n">
        <v>1787697402</v>
      </c>
      <c r="G495" s="4" t="n">
        <v>1000000000000000</v>
      </c>
      <c r="H495" s="12" t="n">
        <f aca="false">IF(AND(E495=0,F495&lt;1000000000000000,F495+Cutoff!$B$16&lt;=Cutoff!$D$13),1,0)</f>
        <v>1</v>
      </c>
      <c r="I495" s="12" t="n">
        <f aca="false">IF(AND(H495=1,G495&lt;1000000000000000,G495&gt;=F495,G495&lt;F495+Cutoff!$B$16),1,0)</f>
        <v>0</v>
      </c>
    </row>
    <row r="496" customFormat="false" ht="15" hidden="false" customHeight="false" outlineLevel="0" collapsed="false">
      <c r="A496" s="4" t="s">
        <v>1206</v>
      </c>
      <c r="B496" s="4" t="s">
        <v>243</v>
      </c>
      <c r="C496" s="4" t="s">
        <v>239</v>
      </c>
      <c r="D496" s="4" t="s">
        <v>1634</v>
      </c>
      <c r="E496" s="4" t="n">
        <v>0</v>
      </c>
      <c r="F496" s="4" t="n">
        <v>1787700953</v>
      </c>
      <c r="G496" s="4" t="n">
        <v>1787711025</v>
      </c>
      <c r="H496" s="12" t="n">
        <f aca="false">IF(AND(E496=0,F496&lt;1000000000000000,F496+Cutoff!$B$16&lt;=Cutoff!$D$13),1,0)</f>
        <v>1</v>
      </c>
      <c r="I496" s="12" t="n">
        <f aca="false">IF(AND(H496=1,G496&lt;1000000000000000,G496&gt;=F496,G496&lt;F496+Cutoff!$B$16),1,0)</f>
        <v>1</v>
      </c>
    </row>
    <row r="497" customFormat="false" ht="15" hidden="false" customHeight="false" outlineLevel="0" collapsed="false">
      <c r="A497" s="4" t="s">
        <v>1208</v>
      </c>
      <c r="B497" s="4" t="s">
        <v>243</v>
      </c>
      <c r="C497" s="4" t="s">
        <v>240</v>
      </c>
      <c r="D497" s="4" t="s">
        <v>1633</v>
      </c>
      <c r="E497" s="4" t="n">
        <v>0</v>
      </c>
      <c r="F497" s="4" t="n">
        <v>1787748607</v>
      </c>
      <c r="G497" s="4" t="n">
        <v>1787840112</v>
      </c>
      <c r="H497" s="12" t="n">
        <f aca="false">IF(AND(E497=0,F497&lt;1000000000000000,F497+Cutoff!$B$16&lt;=Cutoff!$D$13),1,0)</f>
        <v>1</v>
      </c>
      <c r="I497" s="12" t="n">
        <f aca="false">IF(AND(H497=1,G497&lt;1000000000000000,G497&gt;=F497,G497&lt;F497+Cutoff!$B$16),1,0)</f>
        <v>1</v>
      </c>
    </row>
    <row r="498" customFormat="false" ht="15" hidden="false" customHeight="false" outlineLevel="0" collapsed="false">
      <c r="A498" s="4" t="s">
        <v>1210</v>
      </c>
      <c r="B498" s="4" t="s">
        <v>242</v>
      </c>
      <c r="C498" s="4" t="s">
        <v>240</v>
      </c>
      <c r="D498" s="4" t="s">
        <v>1632</v>
      </c>
      <c r="E498" s="4" t="n">
        <v>0</v>
      </c>
      <c r="F498" s="4" t="n">
        <v>1787758224</v>
      </c>
      <c r="G498" s="4" t="n">
        <v>1000000000000000</v>
      </c>
      <c r="H498" s="12" t="n">
        <f aca="false">IF(AND(E498=0,F498&lt;1000000000000000,F498+Cutoff!$B$16&lt;=Cutoff!$D$13),1,0)</f>
        <v>1</v>
      </c>
      <c r="I498" s="12" t="n">
        <f aca="false">IF(AND(H498=1,G498&lt;1000000000000000,G498&gt;=F498,G498&lt;F498+Cutoff!$B$16),1,0)</f>
        <v>0</v>
      </c>
    </row>
    <row r="499" customFormat="false" ht="15" hidden="false" customHeight="false" outlineLevel="0" collapsed="false">
      <c r="A499" s="4" t="s">
        <v>1212</v>
      </c>
      <c r="B499" s="4" t="s">
        <v>242</v>
      </c>
      <c r="C499" s="4" t="s">
        <v>240</v>
      </c>
      <c r="D499" s="4" t="s">
        <v>1633</v>
      </c>
      <c r="E499" s="4" t="n">
        <v>0</v>
      </c>
      <c r="F499" s="4" t="n">
        <v>1787849940</v>
      </c>
      <c r="G499" s="4" t="n">
        <v>1787853106</v>
      </c>
      <c r="H499" s="12" t="n">
        <f aca="false">IF(AND(E499=0,F499&lt;1000000000000000,F499+Cutoff!$B$16&lt;=Cutoff!$D$13),1,0)</f>
        <v>1</v>
      </c>
      <c r="I499" s="12" t="n">
        <f aca="false">IF(AND(H499=1,G499&lt;1000000000000000,G499&gt;=F499,G499&lt;F499+Cutoff!$B$16),1,0)</f>
        <v>1</v>
      </c>
    </row>
    <row r="500" customFormat="false" ht="15" hidden="false" customHeight="false" outlineLevel="0" collapsed="false">
      <c r="A500" s="4" t="s">
        <v>1660</v>
      </c>
      <c r="B500" s="4" t="s">
        <v>242</v>
      </c>
      <c r="C500" s="4" t="s">
        <v>239</v>
      </c>
      <c r="D500" s="4" t="s">
        <v>1634</v>
      </c>
      <c r="E500" s="4" t="n">
        <v>1</v>
      </c>
      <c r="F500" s="4" t="n">
        <v>1000000000000000</v>
      </c>
      <c r="G500" s="4" t="n">
        <v>1000000000000000</v>
      </c>
      <c r="H500" s="12" t="n">
        <f aca="false">IF(AND(E500=0,F500&lt;1000000000000000,F500+Cutoff!$B$16&lt;=Cutoff!$D$13),1,0)</f>
        <v>0</v>
      </c>
      <c r="I500" s="12" t="n">
        <f aca="false">IF(AND(H500=1,G500&lt;1000000000000000,G500&gt;=F500,G500&lt;F500+Cutoff!$B$16),1,0)</f>
        <v>0</v>
      </c>
    </row>
    <row r="501" customFormat="false" ht="15" hidden="false" customHeight="false" outlineLevel="0" collapsed="false">
      <c r="A501" s="4" t="s">
        <v>1214</v>
      </c>
      <c r="B501" s="4" t="s">
        <v>242</v>
      </c>
      <c r="C501" s="4" t="s">
        <v>239</v>
      </c>
      <c r="D501" s="4" t="s">
        <v>1632</v>
      </c>
      <c r="E501" s="4" t="n">
        <v>0</v>
      </c>
      <c r="F501" s="4" t="n">
        <v>1787914163</v>
      </c>
      <c r="G501" s="4" t="n">
        <v>1787917514</v>
      </c>
      <c r="H501" s="12" t="n">
        <f aca="false">IF(AND(E501=0,F501&lt;1000000000000000,F501+Cutoff!$B$16&lt;=Cutoff!$D$13),1,0)</f>
        <v>1</v>
      </c>
      <c r="I501" s="12" t="n">
        <f aca="false">IF(AND(H501=1,G501&lt;1000000000000000,G501&gt;=F501,G501&lt;F501+Cutoff!$B$16),1,0)</f>
        <v>1</v>
      </c>
    </row>
    <row r="502" customFormat="false" ht="15" hidden="false" customHeight="false" outlineLevel="0" collapsed="false">
      <c r="A502" s="4" t="s">
        <v>1216</v>
      </c>
      <c r="B502" s="4" t="s">
        <v>243</v>
      </c>
      <c r="C502" s="4" t="s">
        <v>240</v>
      </c>
      <c r="D502" s="4" t="s">
        <v>1633</v>
      </c>
      <c r="E502" s="4" t="n">
        <v>0</v>
      </c>
      <c r="F502" s="4" t="n">
        <v>1787926145</v>
      </c>
      <c r="G502" s="4" t="n">
        <v>1788039425</v>
      </c>
      <c r="H502" s="12" t="n">
        <f aca="false">IF(AND(E502=0,F502&lt;1000000000000000,F502+Cutoff!$B$16&lt;=Cutoff!$D$13),1,0)</f>
        <v>1</v>
      </c>
      <c r="I502" s="12" t="n">
        <f aca="false">IF(AND(H502=1,G502&lt;1000000000000000,G502&gt;=F502,G502&lt;F502+Cutoff!$B$16),1,0)</f>
        <v>1</v>
      </c>
    </row>
    <row r="503" customFormat="false" ht="15" hidden="false" customHeight="false" outlineLevel="0" collapsed="false">
      <c r="A503" s="4" t="s">
        <v>1218</v>
      </c>
      <c r="B503" s="4" t="s">
        <v>242</v>
      </c>
      <c r="C503" s="4" t="s">
        <v>240</v>
      </c>
      <c r="D503" s="4" t="s">
        <v>1633</v>
      </c>
      <c r="E503" s="4" t="n">
        <v>0</v>
      </c>
      <c r="F503" s="4" t="n">
        <v>1787927334</v>
      </c>
      <c r="G503" s="4" t="n">
        <v>1788463571</v>
      </c>
      <c r="H503" s="12" t="n">
        <f aca="false">IF(AND(E503=0,F503&lt;1000000000000000,F503+Cutoff!$B$16&lt;=Cutoff!$D$13),1,0)</f>
        <v>1</v>
      </c>
      <c r="I503" s="12" t="n">
        <f aca="false">IF(AND(H503=1,G503&lt;1000000000000000,G503&gt;=F503,G503&lt;F503+Cutoff!$B$16),1,0)</f>
        <v>1</v>
      </c>
    </row>
    <row r="504" customFormat="false" ht="15" hidden="false" customHeight="false" outlineLevel="0" collapsed="false">
      <c r="A504" s="4" t="s">
        <v>1220</v>
      </c>
      <c r="B504" s="4" t="s">
        <v>242</v>
      </c>
      <c r="C504" s="4" t="s">
        <v>239</v>
      </c>
      <c r="D504" s="4" t="s">
        <v>1633</v>
      </c>
      <c r="E504" s="4" t="n">
        <v>0</v>
      </c>
      <c r="F504" s="4" t="n">
        <v>1787937871</v>
      </c>
      <c r="G504" s="4" t="n">
        <v>1000000000000000</v>
      </c>
      <c r="H504" s="12" t="n">
        <f aca="false">IF(AND(E504=0,F504&lt;1000000000000000,F504+Cutoff!$B$16&lt;=Cutoff!$D$13),1,0)</f>
        <v>1</v>
      </c>
      <c r="I504" s="12" t="n">
        <f aca="false">IF(AND(H504=1,G504&lt;1000000000000000,G504&gt;=F504,G504&lt;F504+Cutoff!$B$16),1,0)</f>
        <v>0</v>
      </c>
    </row>
    <row r="505" customFormat="false" ht="15" hidden="false" customHeight="false" outlineLevel="0" collapsed="false">
      <c r="A505" s="4" t="s">
        <v>1222</v>
      </c>
      <c r="B505" s="4" t="s">
        <v>243</v>
      </c>
      <c r="C505" s="4" t="s">
        <v>240</v>
      </c>
      <c r="D505" s="4" t="s">
        <v>1633</v>
      </c>
      <c r="E505" s="4" t="n">
        <v>0</v>
      </c>
      <c r="F505" s="4" t="n">
        <v>1788181972</v>
      </c>
      <c r="G505" s="4" t="n">
        <v>1788360574</v>
      </c>
      <c r="H505" s="12" t="n">
        <f aca="false">IF(AND(E505=0,F505&lt;1000000000000000,F505+Cutoff!$B$16&lt;=Cutoff!$D$13),1,0)</f>
        <v>1</v>
      </c>
      <c r="I505" s="12" t="n">
        <f aca="false">IF(AND(H505=1,G505&lt;1000000000000000,G505&gt;=F505,G505&lt;F505+Cutoff!$B$16),1,0)</f>
        <v>1</v>
      </c>
    </row>
    <row r="506" customFormat="false" ht="15" hidden="false" customHeight="false" outlineLevel="0" collapsed="false">
      <c r="A506" s="4" t="s">
        <v>1224</v>
      </c>
      <c r="B506" s="4" t="s">
        <v>243</v>
      </c>
      <c r="C506" s="4" t="s">
        <v>238</v>
      </c>
      <c r="D506" s="4" t="s">
        <v>1633</v>
      </c>
      <c r="E506" s="4" t="n">
        <v>0</v>
      </c>
      <c r="F506" s="4" t="n">
        <v>1788191230</v>
      </c>
      <c r="G506" s="4" t="n">
        <v>1000000000000000</v>
      </c>
      <c r="H506" s="12" t="n">
        <f aca="false">IF(AND(E506=0,F506&lt;1000000000000000,F506+Cutoff!$B$16&lt;=Cutoff!$D$13),1,0)</f>
        <v>1</v>
      </c>
      <c r="I506" s="12" t="n">
        <f aca="false">IF(AND(H506=1,G506&lt;1000000000000000,G506&gt;=F506,G506&lt;F506+Cutoff!$B$16),1,0)</f>
        <v>0</v>
      </c>
    </row>
    <row r="507" customFormat="false" ht="15" hidden="false" customHeight="false" outlineLevel="0" collapsed="false">
      <c r="A507" s="4" t="s">
        <v>1226</v>
      </c>
      <c r="B507" s="4" t="s">
        <v>243</v>
      </c>
      <c r="C507" s="4" t="s">
        <v>240</v>
      </c>
      <c r="D507" s="4" t="s">
        <v>1633</v>
      </c>
      <c r="E507" s="4" t="n">
        <v>0</v>
      </c>
      <c r="F507" s="4" t="n">
        <v>1788191671</v>
      </c>
      <c r="G507" s="4" t="n">
        <v>1000000000000000</v>
      </c>
      <c r="H507" s="12" t="n">
        <f aca="false">IF(AND(E507=0,F507&lt;1000000000000000,F507+Cutoff!$B$16&lt;=Cutoff!$D$13),1,0)</f>
        <v>1</v>
      </c>
      <c r="I507" s="12" t="n">
        <f aca="false">IF(AND(H507=1,G507&lt;1000000000000000,G507&gt;=F507,G507&lt;F507+Cutoff!$B$16),1,0)</f>
        <v>0</v>
      </c>
    </row>
    <row r="508" customFormat="false" ht="15" hidden="false" customHeight="false" outlineLevel="0" collapsed="false">
      <c r="A508" s="4" t="s">
        <v>1228</v>
      </c>
      <c r="B508" s="4" t="s">
        <v>242</v>
      </c>
      <c r="C508" s="4" t="s">
        <v>239</v>
      </c>
      <c r="D508" s="4" t="s">
        <v>1633</v>
      </c>
      <c r="E508" s="4" t="n">
        <v>0</v>
      </c>
      <c r="F508" s="4" t="n">
        <v>1788203682</v>
      </c>
      <c r="G508" s="4" t="n">
        <v>1788237610</v>
      </c>
      <c r="H508" s="12" t="n">
        <f aca="false">IF(AND(E508=0,F508&lt;1000000000000000,F508+Cutoff!$B$16&lt;=Cutoff!$D$13),1,0)</f>
        <v>1</v>
      </c>
      <c r="I508" s="12" t="n">
        <f aca="false">IF(AND(H508=1,G508&lt;1000000000000000,G508&gt;=F508,G508&lt;F508+Cutoff!$B$16),1,0)</f>
        <v>1</v>
      </c>
    </row>
    <row r="509" customFormat="false" ht="15" hidden="false" customHeight="false" outlineLevel="0" collapsed="false">
      <c r="A509" s="4" t="s">
        <v>1230</v>
      </c>
      <c r="B509" s="4" t="s">
        <v>243</v>
      </c>
      <c r="C509" s="4" t="s">
        <v>239</v>
      </c>
      <c r="D509" s="4" t="s">
        <v>1633</v>
      </c>
      <c r="E509" s="4" t="n">
        <v>0</v>
      </c>
      <c r="F509" s="4" t="n">
        <v>1788276014</v>
      </c>
      <c r="G509" s="4" t="n">
        <v>1788355868</v>
      </c>
      <c r="H509" s="12" t="n">
        <f aca="false">IF(AND(E509=0,F509&lt;1000000000000000,F509+Cutoff!$B$16&lt;=Cutoff!$D$13),1,0)</f>
        <v>1</v>
      </c>
      <c r="I509" s="12" t="n">
        <f aca="false">IF(AND(H509=1,G509&lt;1000000000000000,G509&gt;=F509,G509&lt;F509+Cutoff!$B$16),1,0)</f>
        <v>1</v>
      </c>
    </row>
    <row r="510" customFormat="false" ht="15" hidden="false" customHeight="false" outlineLevel="0" collapsed="false">
      <c r="A510" s="4" t="s">
        <v>1232</v>
      </c>
      <c r="B510" s="4" t="s">
        <v>242</v>
      </c>
      <c r="C510" s="4" t="s">
        <v>239</v>
      </c>
      <c r="D510" s="4" t="s">
        <v>1633</v>
      </c>
      <c r="E510" s="4" t="n">
        <v>0</v>
      </c>
      <c r="F510" s="4" t="n">
        <v>1788276189</v>
      </c>
      <c r="G510" s="4" t="n">
        <v>1000000000000000</v>
      </c>
      <c r="H510" s="12" t="n">
        <f aca="false">IF(AND(E510=0,F510&lt;1000000000000000,F510+Cutoff!$B$16&lt;=Cutoff!$D$13),1,0)</f>
        <v>1</v>
      </c>
      <c r="I510" s="12" t="n">
        <f aca="false">IF(AND(H510=1,G510&lt;1000000000000000,G510&gt;=F510,G510&lt;F510+Cutoff!$B$16),1,0)</f>
        <v>0</v>
      </c>
    </row>
    <row r="511" customFormat="false" ht="15" hidden="false" customHeight="false" outlineLevel="0" collapsed="false">
      <c r="A511" s="4" t="s">
        <v>1234</v>
      </c>
      <c r="B511" s="4" t="s">
        <v>243</v>
      </c>
      <c r="C511" s="4" t="s">
        <v>240</v>
      </c>
      <c r="D511" s="4" t="s">
        <v>1633</v>
      </c>
      <c r="E511" s="4" t="n">
        <v>0</v>
      </c>
      <c r="F511" s="4" t="n">
        <v>1788281986</v>
      </c>
      <c r="G511" s="4" t="n">
        <v>1788752438</v>
      </c>
      <c r="H511" s="12" t="n">
        <f aca="false">IF(AND(E511=0,F511&lt;1000000000000000,F511+Cutoff!$B$16&lt;=Cutoff!$D$13),1,0)</f>
        <v>1</v>
      </c>
      <c r="I511" s="12" t="n">
        <f aca="false">IF(AND(H511=1,G511&lt;1000000000000000,G511&gt;=F511,G511&lt;F511+Cutoff!$B$16),1,0)</f>
        <v>1</v>
      </c>
    </row>
    <row r="512" customFormat="false" ht="15" hidden="false" customHeight="false" outlineLevel="0" collapsed="false">
      <c r="A512" s="4" t="s">
        <v>1236</v>
      </c>
      <c r="B512" s="4" t="s">
        <v>243</v>
      </c>
      <c r="C512" s="4" t="s">
        <v>239</v>
      </c>
      <c r="D512" s="4" t="s">
        <v>1633</v>
      </c>
      <c r="E512" s="4" t="n">
        <v>0</v>
      </c>
      <c r="F512" s="4" t="n">
        <v>1788286538</v>
      </c>
      <c r="G512" s="4" t="n">
        <v>1788346959</v>
      </c>
      <c r="H512" s="12" t="n">
        <f aca="false">IF(AND(E512=0,F512&lt;1000000000000000,F512+Cutoff!$B$16&lt;=Cutoff!$D$13),1,0)</f>
        <v>1</v>
      </c>
      <c r="I512" s="12" t="n">
        <f aca="false">IF(AND(H512=1,G512&lt;1000000000000000,G512&gt;=F512,G512&lt;F512+Cutoff!$B$16),1,0)</f>
        <v>1</v>
      </c>
    </row>
    <row r="513" customFormat="false" ht="15" hidden="false" customHeight="false" outlineLevel="0" collapsed="false">
      <c r="A513" s="4" t="s">
        <v>1238</v>
      </c>
      <c r="B513" s="4" t="s">
        <v>237</v>
      </c>
      <c r="C513" s="4" t="s">
        <v>238</v>
      </c>
      <c r="D513" s="4" t="s">
        <v>1633</v>
      </c>
      <c r="E513" s="4" t="n">
        <v>0</v>
      </c>
      <c r="F513" s="4" t="n">
        <v>1788287220</v>
      </c>
      <c r="G513" s="4" t="n">
        <v>1788543664</v>
      </c>
      <c r="H513" s="12" t="n">
        <f aca="false">IF(AND(E513=0,F513&lt;1000000000000000,F513+Cutoff!$B$16&lt;=Cutoff!$D$13),1,0)</f>
        <v>1</v>
      </c>
      <c r="I513" s="12" t="n">
        <f aca="false">IF(AND(H513=1,G513&lt;1000000000000000,G513&gt;=F513,G513&lt;F513+Cutoff!$B$16),1,0)</f>
        <v>1</v>
      </c>
    </row>
    <row r="514" customFormat="false" ht="15" hidden="false" customHeight="false" outlineLevel="0" collapsed="false">
      <c r="A514" s="4" t="s">
        <v>1240</v>
      </c>
      <c r="B514" s="4" t="s">
        <v>242</v>
      </c>
      <c r="C514" s="4" t="s">
        <v>240</v>
      </c>
      <c r="D514" s="4" t="s">
        <v>1634</v>
      </c>
      <c r="E514" s="4" t="n">
        <v>0</v>
      </c>
      <c r="F514" s="4" t="n">
        <v>1788288582</v>
      </c>
      <c r="G514" s="4" t="n">
        <v>1788391107</v>
      </c>
      <c r="H514" s="12" t="n">
        <f aca="false">IF(AND(E514=0,F514&lt;1000000000000000,F514+Cutoff!$B$16&lt;=Cutoff!$D$13),1,0)</f>
        <v>1</v>
      </c>
      <c r="I514" s="12" t="n">
        <f aca="false">IF(AND(H514=1,G514&lt;1000000000000000,G514&gt;=F514,G514&lt;F514+Cutoff!$B$16),1,0)</f>
        <v>1</v>
      </c>
    </row>
    <row r="515" customFormat="false" ht="15" hidden="false" customHeight="false" outlineLevel="0" collapsed="false">
      <c r="A515" s="4" t="s">
        <v>1242</v>
      </c>
      <c r="B515" s="4" t="s">
        <v>243</v>
      </c>
      <c r="C515" s="4" t="s">
        <v>238</v>
      </c>
      <c r="D515" s="4" t="s">
        <v>1632</v>
      </c>
      <c r="E515" s="4" t="n">
        <v>0</v>
      </c>
      <c r="F515" s="4" t="n">
        <v>1788358132</v>
      </c>
      <c r="G515" s="4" t="n">
        <v>1789870336</v>
      </c>
      <c r="H515" s="12" t="n">
        <f aca="false">IF(AND(E515=0,F515&lt;1000000000000000,F515+Cutoff!$B$16&lt;=Cutoff!$D$13),1,0)</f>
        <v>1</v>
      </c>
      <c r="I515" s="12" t="n">
        <f aca="false">IF(AND(H515=1,G515&lt;1000000000000000,G515&gt;=F515,G515&lt;F515+Cutoff!$B$16),1,0)</f>
        <v>0</v>
      </c>
    </row>
    <row r="516" customFormat="false" ht="15" hidden="false" customHeight="false" outlineLevel="0" collapsed="false">
      <c r="A516" s="4" t="s">
        <v>1244</v>
      </c>
      <c r="B516" s="4" t="s">
        <v>237</v>
      </c>
      <c r="C516" s="4" t="s">
        <v>238</v>
      </c>
      <c r="D516" s="4" t="s">
        <v>1633</v>
      </c>
      <c r="E516" s="4" t="n">
        <v>0</v>
      </c>
      <c r="F516" s="4" t="n">
        <v>1788377938</v>
      </c>
      <c r="G516" s="4" t="n">
        <v>1000000000000000</v>
      </c>
      <c r="H516" s="12" t="n">
        <f aca="false">IF(AND(E516=0,F516&lt;1000000000000000,F516+Cutoff!$B$16&lt;=Cutoff!$D$13),1,0)</f>
        <v>1</v>
      </c>
      <c r="I516" s="12" t="n">
        <f aca="false">IF(AND(H516=1,G516&lt;1000000000000000,G516&gt;=F516,G516&lt;F516+Cutoff!$B$16),1,0)</f>
        <v>0</v>
      </c>
    </row>
    <row r="517" customFormat="false" ht="15" hidden="false" customHeight="false" outlineLevel="0" collapsed="false">
      <c r="A517" s="4" t="s">
        <v>1246</v>
      </c>
      <c r="B517" s="4" t="s">
        <v>242</v>
      </c>
      <c r="C517" s="4" t="s">
        <v>239</v>
      </c>
      <c r="D517" s="4" t="s">
        <v>1634</v>
      </c>
      <c r="E517" s="4" t="n">
        <v>0</v>
      </c>
      <c r="F517" s="4" t="n">
        <v>1788456282</v>
      </c>
      <c r="G517" s="4" t="n">
        <v>1000000000000000</v>
      </c>
      <c r="H517" s="12" t="n">
        <f aca="false">IF(AND(E517=0,F517&lt;1000000000000000,F517+Cutoff!$B$16&lt;=Cutoff!$D$13),1,0)</f>
        <v>1</v>
      </c>
      <c r="I517" s="12" t="n">
        <f aca="false">IF(AND(H517=1,G517&lt;1000000000000000,G517&gt;=F517,G517&lt;F517+Cutoff!$B$16),1,0)</f>
        <v>0</v>
      </c>
    </row>
    <row r="518" customFormat="false" ht="15" hidden="false" customHeight="false" outlineLevel="0" collapsed="false">
      <c r="A518" s="4" t="s">
        <v>1248</v>
      </c>
      <c r="B518" s="4" t="s">
        <v>242</v>
      </c>
      <c r="C518" s="4" t="s">
        <v>240</v>
      </c>
      <c r="D518" s="4" t="s">
        <v>1633</v>
      </c>
      <c r="E518" s="4" t="n">
        <v>0</v>
      </c>
      <c r="F518" s="4" t="n">
        <v>1788545814</v>
      </c>
      <c r="G518" s="4" t="n">
        <v>1789241511</v>
      </c>
      <c r="H518" s="12" t="n">
        <f aca="false">IF(AND(E518=0,F518&lt;1000000000000000,F518+Cutoff!$B$16&lt;=Cutoff!$D$13),1,0)</f>
        <v>1</v>
      </c>
      <c r="I518" s="12" t="n">
        <f aca="false">IF(AND(H518=1,G518&lt;1000000000000000,G518&gt;=F518,G518&lt;F518+Cutoff!$B$16),1,0)</f>
        <v>0</v>
      </c>
    </row>
    <row r="519" customFormat="false" ht="15" hidden="false" customHeight="false" outlineLevel="0" collapsed="false">
      <c r="A519" s="4" t="s">
        <v>1250</v>
      </c>
      <c r="B519" s="4" t="s">
        <v>243</v>
      </c>
      <c r="C519" s="4" t="s">
        <v>240</v>
      </c>
      <c r="D519" s="4" t="s">
        <v>1632</v>
      </c>
      <c r="E519" s="4" t="n">
        <v>0</v>
      </c>
      <c r="F519" s="4" t="n">
        <v>1788603735</v>
      </c>
      <c r="G519" s="4" t="n">
        <v>1788626458</v>
      </c>
      <c r="H519" s="12" t="n">
        <f aca="false">IF(AND(E519=0,F519&lt;1000000000000000,F519+Cutoff!$B$16&lt;=Cutoff!$D$13),1,0)</f>
        <v>1</v>
      </c>
      <c r="I519" s="12" t="n">
        <f aca="false">IF(AND(H519=1,G519&lt;1000000000000000,G519&gt;=F519,G519&lt;F519+Cutoff!$B$16),1,0)</f>
        <v>1</v>
      </c>
    </row>
    <row r="520" customFormat="false" ht="15" hidden="false" customHeight="false" outlineLevel="0" collapsed="false">
      <c r="A520" s="4" t="s">
        <v>1252</v>
      </c>
      <c r="B520" s="4" t="s">
        <v>243</v>
      </c>
      <c r="C520" s="4" t="s">
        <v>240</v>
      </c>
      <c r="D520" s="4" t="s">
        <v>1632</v>
      </c>
      <c r="E520" s="4" t="n">
        <v>0</v>
      </c>
      <c r="F520" s="4" t="n">
        <v>1788622237</v>
      </c>
      <c r="G520" s="4" t="n">
        <v>1788854303</v>
      </c>
      <c r="H520" s="12" t="n">
        <f aca="false">IF(AND(E520=0,F520&lt;1000000000000000,F520+Cutoff!$B$16&lt;=Cutoff!$D$13),1,0)</f>
        <v>1</v>
      </c>
      <c r="I520" s="12" t="n">
        <f aca="false">IF(AND(H520=1,G520&lt;1000000000000000,G520&gt;=F520,G520&lt;F520+Cutoff!$B$16),1,0)</f>
        <v>1</v>
      </c>
    </row>
    <row r="521" customFormat="false" ht="15" hidden="false" customHeight="false" outlineLevel="0" collapsed="false">
      <c r="A521" s="4" t="s">
        <v>1254</v>
      </c>
      <c r="B521" s="4" t="s">
        <v>243</v>
      </c>
      <c r="C521" s="4" t="s">
        <v>239</v>
      </c>
      <c r="D521" s="4" t="s">
        <v>1633</v>
      </c>
      <c r="E521" s="4" t="n">
        <v>0</v>
      </c>
      <c r="F521" s="4" t="n">
        <v>1788636193</v>
      </c>
      <c r="G521" s="4" t="n">
        <v>1000000000000000</v>
      </c>
      <c r="H521" s="12" t="n">
        <f aca="false">IF(AND(E521=0,F521&lt;1000000000000000,F521+Cutoff!$B$16&lt;=Cutoff!$D$13),1,0)</f>
        <v>1</v>
      </c>
      <c r="I521" s="12" t="n">
        <f aca="false">IF(AND(H521=1,G521&lt;1000000000000000,G521&gt;=F521,G521&lt;F521+Cutoff!$B$16),1,0)</f>
        <v>0</v>
      </c>
    </row>
    <row r="522" customFormat="false" ht="15" hidden="false" customHeight="false" outlineLevel="0" collapsed="false">
      <c r="A522" s="4" t="s">
        <v>1256</v>
      </c>
      <c r="B522" s="4" t="s">
        <v>242</v>
      </c>
      <c r="C522" s="4" t="s">
        <v>240</v>
      </c>
      <c r="D522" s="4" t="s">
        <v>1633</v>
      </c>
      <c r="E522" s="4" t="n">
        <v>0</v>
      </c>
      <c r="F522" s="4" t="n">
        <v>1788640931</v>
      </c>
      <c r="G522" s="4" t="n">
        <v>1000000000000000</v>
      </c>
      <c r="H522" s="12" t="n">
        <f aca="false">IF(AND(E522=0,F522&lt;1000000000000000,F522+Cutoff!$B$16&lt;=Cutoff!$D$13),1,0)</f>
        <v>1</v>
      </c>
      <c r="I522" s="12" t="n">
        <f aca="false">IF(AND(H522=1,G522&lt;1000000000000000,G522&gt;=F522,G522&lt;F522+Cutoff!$B$16),1,0)</f>
        <v>0</v>
      </c>
    </row>
    <row r="523" customFormat="false" ht="15" hidden="false" customHeight="false" outlineLevel="0" collapsed="false">
      <c r="A523" s="4" t="s">
        <v>1258</v>
      </c>
      <c r="B523" s="4" t="s">
        <v>242</v>
      </c>
      <c r="C523" s="4" t="s">
        <v>240</v>
      </c>
      <c r="D523" s="4" t="s">
        <v>1632</v>
      </c>
      <c r="E523" s="4" t="n">
        <v>0</v>
      </c>
      <c r="F523" s="4" t="n">
        <v>1788690134</v>
      </c>
      <c r="G523" s="4" t="n">
        <v>1788694214</v>
      </c>
      <c r="H523" s="12" t="n">
        <f aca="false">IF(AND(E523=0,F523&lt;1000000000000000,F523+Cutoff!$B$16&lt;=Cutoff!$D$13),1,0)</f>
        <v>1</v>
      </c>
      <c r="I523" s="12" t="n">
        <f aca="false">IF(AND(H523=1,G523&lt;1000000000000000,G523&gt;=F523,G523&lt;F523+Cutoff!$B$16),1,0)</f>
        <v>1</v>
      </c>
    </row>
    <row r="524" customFormat="false" ht="15" hidden="false" customHeight="false" outlineLevel="0" collapsed="false">
      <c r="A524" s="4" t="s">
        <v>1260</v>
      </c>
      <c r="B524" s="4" t="s">
        <v>242</v>
      </c>
      <c r="C524" s="4" t="s">
        <v>240</v>
      </c>
      <c r="D524" s="4" t="s">
        <v>1632</v>
      </c>
      <c r="E524" s="4" t="n">
        <v>0</v>
      </c>
      <c r="F524" s="4" t="n">
        <v>1788779811</v>
      </c>
      <c r="G524" s="4" t="n">
        <v>1789366077</v>
      </c>
      <c r="H524" s="12" t="n">
        <f aca="false">IF(AND(E524=0,F524&lt;1000000000000000,F524+Cutoff!$B$16&lt;=Cutoff!$D$13),1,0)</f>
        <v>1</v>
      </c>
      <c r="I524" s="12" t="n">
        <f aca="false">IF(AND(H524=1,G524&lt;1000000000000000,G524&gt;=F524,G524&lt;F524+Cutoff!$B$16),1,0)</f>
        <v>1</v>
      </c>
    </row>
    <row r="525" customFormat="false" ht="15" hidden="false" customHeight="false" outlineLevel="0" collapsed="false">
      <c r="A525" s="4" t="s">
        <v>1262</v>
      </c>
      <c r="B525" s="4" t="s">
        <v>242</v>
      </c>
      <c r="C525" s="4" t="s">
        <v>240</v>
      </c>
      <c r="D525" s="4" t="s">
        <v>1632</v>
      </c>
      <c r="E525" s="4" t="n">
        <v>0</v>
      </c>
      <c r="F525" s="4" t="n">
        <v>1788788352</v>
      </c>
      <c r="G525" s="4" t="n">
        <v>1000000000000000</v>
      </c>
      <c r="H525" s="12" t="n">
        <f aca="false">IF(AND(E525=0,F525&lt;1000000000000000,F525+Cutoff!$B$16&lt;=Cutoff!$D$13),1,0)</f>
        <v>1</v>
      </c>
      <c r="I525" s="12" t="n">
        <f aca="false">IF(AND(H525=1,G525&lt;1000000000000000,G525&gt;=F525,G525&lt;F525+Cutoff!$B$16),1,0)</f>
        <v>0</v>
      </c>
    </row>
    <row r="526" customFormat="false" ht="15" hidden="false" customHeight="false" outlineLevel="0" collapsed="false">
      <c r="A526" s="4" t="s">
        <v>1264</v>
      </c>
      <c r="B526" s="4" t="s">
        <v>242</v>
      </c>
      <c r="C526" s="4" t="s">
        <v>240</v>
      </c>
      <c r="D526" s="4" t="s">
        <v>1634</v>
      </c>
      <c r="E526" s="4" t="n">
        <v>0</v>
      </c>
      <c r="F526" s="4" t="n">
        <v>1788805241</v>
      </c>
      <c r="G526" s="4" t="n">
        <v>1000000000000000</v>
      </c>
      <c r="H526" s="12" t="n">
        <f aca="false">IF(AND(E526=0,F526&lt;1000000000000000,F526+Cutoff!$B$16&lt;=Cutoff!$D$13),1,0)</f>
        <v>1</v>
      </c>
      <c r="I526" s="12" t="n">
        <f aca="false">IF(AND(H526=1,G526&lt;1000000000000000,G526&gt;=F526,G526&lt;F526+Cutoff!$B$16),1,0)</f>
        <v>0</v>
      </c>
    </row>
    <row r="527" customFormat="false" ht="15" hidden="false" customHeight="false" outlineLevel="0" collapsed="false">
      <c r="A527" s="4" t="s">
        <v>1266</v>
      </c>
      <c r="B527" s="4" t="s">
        <v>243</v>
      </c>
      <c r="C527" s="4" t="s">
        <v>239</v>
      </c>
      <c r="D527" s="4" t="s">
        <v>1634</v>
      </c>
      <c r="E527" s="4" t="n">
        <v>0</v>
      </c>
      <c r="F527" s="4" t="n">
        <v>1788810394</v>
      </c>
      <c r="G527" s="4" t="n">
        <v>1000000000000000</v>
      </c>
      <c r="H527" s="12" t="n">
        <f aca="false">IF(AND(E527=0,F527&lt;1000000000000000,F527+Cutoff!$B$16&lt;=Cutoff!$D$13),1,0)</f>
        <v>1</v>
      </c>
      <c r="I527" s="12" t="n">
        <f aca="false">IF(AND(H527=1,G527&lt;1000000000000000,G527&gt;=F527,G527&lt;F527+Cutoff!$B$16),1,0)</f>
        <v>0</v>
      </c>
    </row>
    <row r="528" customFormat="false" ht="15" hidden="false" customHeight="false" outlineLevel="0" collapsed="false">
      <c r="A528" s="4" t="s">
        <v>1268</v>
      </c>
      <c r="B528" s="4" t="s">
        <v>242</v>
      </c>
      <c r="C528" s="4" t="s">
        <v>239</v>
      </c>
      <c r="D528" s="4" t="s">
        <v>1634</v>
      </c>
      <c r="E528" s="4" t="n">
        <v>0</v>
      </c>
      <c r="F528" s="4" t="n">
        <v>1788825207</v>
      </c>
      <c r="G528" s="4" t="n">
        <v>1788830044</v>
      </c>
      <c r="H528" s="12" t="n">
        <f aca="false">IF(AND(E528=0,F528&lt;1000000000000000,F528+Cutoff!$B$16&lt;=Cutoff!$D$13),1,0)</f>
        <v>1</v>
      </c>
      <c r="I528" s="12" t="n">
        <f aca="false">IF(AND(H528=1,G528&lt;1000000000000000,G528&gt;=F528,G528&lt;F528+Cutoff!$B$16),1,0)</f>
        <v>1</v>
      </c>
    </row>
    <row r="529" customFormat="false" ht="15" hidden="false" customHeight="false" outlineLevel="0" collapsed="false">
      <c r="A529" s="4" t="s">
        <v>1270</v>
      </c>
      <c r="B529" s="4" t="s">
        <v>242</v>
      </c>
      <c r="C529" s="4" t="s">
        <v>240</v>
      </c>
      <c r="D529" s="4" t="s">
        <v>1634</v>
      </c>
      <c r="E529" s="4" t="n">
        <v>0</v>
      </c>
      <c r="F529" s="4" t="n">
        <v>1788832524</v>
      </c>
      <c r="G529" s="4" t="n">
        <v>1000000000000000</v>
      </c>
      <c r="H529" s="12" t="n">
        <f aca="false">IF(AND(E529=0,F529&lt;1000000000000000,F529+Cutoff!$B$16&lt;=Cutoff!$D$13),1,0)</f>
        <v>1</v>
      </c>
      <c r="I529" s="12" t="n">
        <f aca="false">IF(AND(H529=1,G529&lt;1000000000000000,G529&gt;=F529,G529&lt;F529+Cutoff!$B$16),1,0)</f>
        <v>0</v>
      </c>
    </row>
    <row r="530" customFormat="false" ht="15" hidden="false" customHeight="false" outlineLevel="0" collapsed="false">
      <c r="A530" s="4" t="s">
        <v>1272</v>
      </c>
      <c r="B530" s="4" t="s">
        <v>243</v>
      </c>
      <c r="C530" s="4" t="s">
        <v>238</v>
      </c>
      <c r="D530" s="4" t="s">
        <v>1632</v>
      </c>
      <c r="E530" s="4" t="n">
        <v>0</v>
      </c>
      <c r="F530" s="4" t="n">
        <v>1788867200</v>
      </c>
      <c r="G530" s="4" t="n">
        <v>1000000000000000</v>
      </c>
      <c r="H530" s="12" t="n">
        <f aca="false">IF(AND(E530=0,F530&lt;1000000000000000,F530+Cutoff!$B$16&lt;=Cutoff!$D$13),1,0)</f>
        <v>1</v>
      </c>
      <c r="I530" s="12" t="n">
        <f aca="false">IF(AND(H530=1,G530&lt;1000000000000000,G530&gt;=F530,G530&lt;F530+Cutoff!$B$16),1,0)</f>
        <v>0</v>
      </c>
    </row>
    <row r="531" customFormat="false" ht="15" hidden="false" customHeight="false" outlineLevel="0" collapsed="false">
      <c r="A531" s="4" t="s">
        <v>1274</v>
      </c>
      <c r="B531" s="4" t="s">
        <v>242</v>
      </c>
      <c r="C531" s="4" t="s">
        <v>240</v>
      </c>
      <c r="D531" s="4" t="s">
        <v>1632</v>
      </c>
      <c r="E531" s="4" t="n">
        <v>0</v>
      </c>
      <c r="F531" s="4" t="n">
        <v>1788877584</v>
      </c>
      <c r="G531" s="4" t="n">
        <v>1789047015</v>
      </c>
      <c r="H531" s="12" t="n">
        <f aca="false">IF(AND(E531=0,F531&lt;1000000000000000,F531+Cutoff!$B$16&lt;=Cutoff!$D$13),1,0)</f>
        <v>1</v>
      </c>
      <c r="I531" s="12" t="n">
        <f aca="false">IF(AND(H531=1,G531&lt;1000000000000000,G531&gt;=F531,G531&lt;F531+Cutoff!$B$16),1,0)</f>
        <v>1</v>
      </c>
    </row>
    <row r="532" customFormat="false" ht="15" hidden="false" customHeight="false" outlineLevel="0" collapsed="false">
      <c r="A532" s="4" t="s">
        <v>1276</v>
      </c>
      <c r="B532" s="4" t="s">
        <v>243</v>
      </c>
      <c r="C532" s="4" t="s">
        <v>240</v>
      </c>
      <c r="D532" s="4" t="s">
        <v>1634</v>
      </c>
      <c r="E532" s="4" t="n">
        <v>0</v>
      </c>
      <c r="F532" s="4" t="n">
        <v>1788890583</v>
      </c>
      <c r="G532" s="4" t="n">
        <v>1789565155</v>
      </c>
      <c r="H532" s="12" t="n">
        <f aca="false">IF(AND(E532=0,F532&lt;1000000000000000,F532+Cutoff!$B$16&lt;=Cutoff!$D$13),1,0)</f>
        <v>1</v>
      </c>
      <c r="I532" s="12" t="n">
        <f aca="false">IF(AND(H532=1,G532&lt;1000000000000000,G532&gt;=F532,G532&lt;F532+Cutoff!$B$16),1,0)</f>
        <v>0</v>
      </c>
    </row>
    <row r="533" customFormat="false" ht="15" hidden="false" customHeight="false" outlineLevel="0" collapsed="false">
      <c r="A533" s="4" t="s">
        <v>1278</v>
      </c>
      <c r="B533" s="4" t="s">
        <v>242</v>
      </c>
      <c r="C533" s="4" t="s">
        <v>240</v>
      </c>
      <c r="D533" s="4" t="s">
        <v>1633</v>
      </c>
      <c r="E533" s="4" t="n">
        <v>0</v>
      </c>
      <c r="F533" s="4" t="n">
        <v>1788896062</v>
      </c>
      <c r="G533" s="4" t="n">
        <v>1000000000000000</v>
      </c>
      <c r="H533" s="12" t="n">
        <f aca="false">IF(AND(E533=0,F533&lt;1000000000000000,F533+Cutoff!$B$16&lt;=Cutoff!$D$13),1,0)</f>
        <v>1</v>
      </c>
      <c r="I533" s="12" t="n">
        <f aca="false">IF(AND(H533=1,G533&lt;1000000000000000,G533&gt;=F533,G533&lt;F533+Cutoff!$B$16),1,0)</f>
        <v>0</v>
      </c>
    </row>
    <row r="534" customFormat="false" ht="15" hidden="false" customHeight="false" outlineLevel="0" collapsed="false">
      <c r="A534" s="4" t="s">
        <v>1280</v>
      </c>
      <c r="B534" s="4" t="s">
        <v>242</v>
      </c>
      <c r="C534" s="4" t="s">
        <v>240</v>
      </c>
      <c r="D534" s="4" t="s">
        <v>1633</v>
      </c>
      <c r="E534" s="4" t="n">
        <v>0</v>
      </c>
      <c r="F534" s="4" t="n">
        <v>1788903275</v>
      </c>
      <c r="G534" s="4" t="n">
        <v>1788935034</v>
      </c>
      <c r="H534" s="12" t="n">
        <f aca="false">IF(AND(E534=0,F534&lt;1000000000000000,F534+Cutoff!$B$16&lt;=Cutoff!$D$13),1,0)</f>
        <v>1</v>
      </c>
      <c r="I534" s="12" t="n">
        <f aca="false">IF(AND(H534=1,G534&lt;1000000000000000,G534&gt;=F534,G534&lt;F534+Cutoff!$B$16),1,0)</f>
        <v>1</v>
      </c>
    </row>
    <row r="535" customFormat="false" ht="15" hidden="false" customHeight="false" outlineLevel="0" collapsed="false">
      <c r="A535" s="4" t="s">
        <v>1282</v>
      </c>
      <c r="B535" s="4" t="s">
        <v>237</v>
      </c>
      <c r="C535" s="4" t="s">
        <v>238</v>
      </c>
      <c r="D535" s="4" t="s">
        <v>1632</v>
      </c>
      <c r="E535" s="4" t="n">
        <v>0</v>
      </c>
      <c r="F535" s="4" t="n">
        <v>1788944439</v>
      </c>
      <c r="G535" s="4" t="n">
        <v>1788970692</v>
      </c>
      <c r="H535" s="12" t="n">
        <f aca="false">IF(AND(E535=0,F535&lt;1000000000000000,F535+Cutoff!$B$16&lt;=Cutoff!$D$13),1,0)</f>
        <v>1</v>
      </c>
      <c r="I535" s="12" t="n">
        <f aca="false">IF(AND(H535=1,G535&lt;1000000000000000,G535&gt;=F535,G535&lt;F535+Cutoff!$B$16),1,0)</f>
        <v>1</v>
      </c>
    </row>
    <row r="536" customFormat="false" ht="15" hidden="false" customHeight="false" outlineLevel="0" collapsed="false">
      <c r="A536" s="4" t="s">
        <v>1284</v>
      </c>
      <c r="B536" s="4" t="s">
        <v>243</v>
      </c>
      <c r="C536" s="4" t="s">
        <v>238</v>
      </c>
      <c r="D536" s="4" t="s">
        <v>1632</v>
      </c>
      <c r="E536" s="4" t="n">
        <v>0</v>
      </c>
      <c r="F536" s="4" t="n">
        <v>1788967101</v>
      </c>
      <c r="G536" s="4" t="n">
        <v>1000000000000000</v>
      </c>
      <c r="H536" s="12" t="n">
        <f aca="false">IF(AND(E536=0,F536&lt;1000000000000000,F536+Cutoff!$B$16&lt;=Cutoff!$D$13),1,0)</f>
        <v>1</v>
      </c>
      <c r="I536" s="12" t="n">
        <f aca="false">IF(AND(H536=1,G536&lt;1000000000000000,G536&gt;=F536,G536&lt;F536+Cutoff!$B$16),1,0)</f>
        <v>0</v>
      </c>
    </row>
    <row r="537" customFormat="false" ht="15" hidden="false" customHeight="false" outlineLevel="0" collapsed="false">
      <c r="A537" s="4" t="s">
        <v>1286</v>
      </c>
      <c r="B537" s="4" t="s">
        <v>243</v>
      </c>
      <c r="C537" s="4" t="s">
        <v>239</v>
      </c>
      <c r="D537" s="4" t="s">
        <v>1633</v>
      </c>
      <c r="E537" s="4" t="n">
        <v>0</v>
      </c>
      <c r="F537" s="4" t="n">
        <v>1789053324</v>
      </c>
      <c r="G537" s="4" t="n">
        <v>1000000000000000</v>
      </c>
      <c r="H537" s="12" t="n">
        <f aca="false">IF(AND(E537=0,F537&lt;1000000000000000,F537+Cutoff!$B$16&lt;=Cutoff!$D$13),1,0)</f>
        <v>1</v>
      </c>
      <c r="I537" s="12" t="n">
        <f aca="false">IF(AND(H537=1,G537&lt;1000000000000000,G537&gt;=F537,G537&lt;F537+Cutoff!$B$16),1,0)</f>
        <v>0</v>
      </c>
    </row>
    <row r="538" customFormat="false" ht="15" hidden="false" customHeight="false" outlineLevel="0" collapsed="false">
      <c r="A538" s="4" t="s">
        <v>1288</v>
      </c>
      <c r="B538" s="4" t="s">
        <v>243</v>
      </c>
      <c r="C538" s="4" t="s">
        <v>240</v>
      </c>
      <c r="D538" s="4" t="s">
        <v>1632</v>
      </c>
      <c r="E538" s="4" t="n">
        <v>0</v>
      </c>
      <c r="F538" s="4" t="n">
        <v>1789061378</v>
      </c>
      <c r="G538" s="4" t="n">
        <v>1000000000000000</v>
      </c>
      <c r="H538" s="12" t="n">
        <f aca="false">IF(AND(E538=0,F538&lt;1000000000000000,F538+Cutoff!$B$16&lt;=Cutoff!$D$13),1,0)</f>
        <v>1</v>
      </c>
      <c r="I538" s="12" t="n">
        <f aca="false">IF(AND(H538=1,G538&lt;1000000000000000,G538&gt;=F538,G538&lt;F538+Cutoff!$B$16),1,0)</f>
        <v>0</v>
      </c>
    </row>
    <row r="539" customFormat="false" ht="15" hidden="false" customHeight="false" outlineLevel="0" collapsed="false">
      <c r="A539" s="4" t="s">
        <v>1290</v>
      </c>
      <c r="B539" s="4" t="s">
        <v>242</v>
      </c>
      <c r="C539" s="4" t="s">
        <v>240</v>
      </c>
      <c r="D539" s="4" t="s">
        <v>1632</v>
      </c>
      <c r="E539" s="4" t="n">
        <v>0</v>
      </c>
      <c r="F539" s="4" t="n">
        <v>1789121376</v>
      </c>
      <c r="G539" s="4" t="n">
        <v>1789277488</v>
      </c>
      <c r="H539" s="12" t="n">
        <f aca="false">IF(AND(E539=0,F539&lt;1000000000000000,F539+Cutoff!$B$16&lt;=Cutoff!$D$13),1,0)</f>
        <v>1</v>
      </c>
      <c r="I539" s="12" t="n">
        <f aca="false">IF(AND(H539=1,G539&lt;1000000000000000,G539&gt;=F539,G539&lt;F539+Cutoff!$B$16),1,0)</f>
        <v>1</v>
      </c>
    </row>
    <row r="540" customFormat="false" ht="15" hidden="false" customHeight="false" outlineLevel="0" collapsed="false">
      <c r="A540" s="4" t="s">
        <v>1292</v>
      </c>
      <c r="B540" s="4" t="s">
        <v>237</v>
      </c>
      <c r="C540" s="4" t="s">
        <v>239</v>
      </c>
      <c r="D540" s="4" t="s">
        <v>1632</v>
      </c>
      <c r="E540" s="4" t="n">
        <v>0</v>
      </c>
      <c r="F540" s="4" t="n">
        <v>1789134663</v>
      </c>
      <c r="G540" s="4" t="n">
        <v>1000000000000000</v>
      </c>
      <c r="H540" s="12" t="n">
        <f aca="false">IF(AND(E540=0,F540&lt;1000000000000000,F540+Cutoff!$B$16&lt;=Cutoff!$D$13),1,0)</f>
        <v>1</v>
      </c>
      <c r="I540" s="12" t="n">
        <f aca="false">IF(AND(H540=1,G540&lt;1000000000000000,G540&gt;=F540,G540&lt;F540+Cutoff!$B$16),1,0)</f>
        <v>0</v>
      </c>
    </row>
    <row r="541" customFormat="false" ht="15" hidden="false" customHeight="false" outlineLevel="0" collapsed="false">
      <c r="A541" s="4" t="s">
        <v>1294</v>
      </c>
      <c r="B541" s="4" t="s">
        <v>243</v>
      </c>
      <c r="C541" s="4" t="s">
        <v>239</v>
      </c>
      <c r="D541" s="4" t="s">
        <v>1633</v>
      </c>
      <c r="E541" s="4" t="n">
        <v>0</v>
      </c>
      <c r="F541" s="4" t="n">
        <v>1789220310</v>
      </c>
      <c r="G541" s="4" t="n">
        <v>1789222881</v>
      </c>
      <c r="H541" s="12" t="n">
        <f aca="false">IF(AND(E541=0,F541&lt;1000000000000000,F541+Cutoff!$B$16&lt;=Cutoff!$D$13),1,0)</f>
        <v>1</v>
      </c>
      <c r="I541" s="12" t="n">
        <f aca="false">IF(AND(H541=1,G541&lt;1000000000000000,G541&gt;=F541,G541&lt;F541+Cutoff!$B$16),1,0)</f>
        <v>1</v>
      </c>
    </row>
    <row r="542" customFormat="false" ht="15" hidden="false" customHeight="false" outlineLevel="0" collapsed="false">
      <c r="A542" s="4" t="s">
        <v>1296</v>
      </c>
      <c r="B542" s="4" t="s">
        <v>242</v>
      </c>
      <c r="C542" s="4" t="s">
        <v>240</v>
      </c>
      <c r="D542" s="4" t="s">
        <v>1633</v>
      </c>
      <c r="E542" s="4" t="n">
        <v>0</v>
      </c>
      <c r="F542" s="4" t="n">
        <v>1789240393</v>
      </c>
      <c r="G542" s="4" t="n">
        <v>1789258508</v>
      </c>
      <c r="H542" s="12" t="n">
        <f aca="false">IF(AND(E542=0,F542&lt;1000000000000000,F542+Cutoff!$B$16&lt;=Cutoff!$D$13),1,0)</f>
        <v>1</v>
      </c>
      <c r="I542" s="12" t="n">
        <f aca="false">IF(AND(H542=1,G542&lt;1000000000000000,G542&gt;=F542,G542&lt;F542+Cutoff!$B$16),1,0)</f>
        <v>1</v>
      </c>
    </row>
    <row r="543" customFormat="false" ht="15" hidden="false" customHeight="false" outlineLevel="0" collapsed="false">
      <c r="A543" s="4" t="s">
        <v>1298</v>
      </c>
      <c r="B543" s="4" t="s">
        <v>243</v>
      </c>
      <c r="C543" s="4" t="s">
        <v>238</v>
      </c>
      <c r="D543" s="4" t="s">
        <v>1633</v>
      </c>
      <c r="E543" s="4" t="n">
        <v>0</v>
      </c>
      <c r="F543" s="4" t="n">
        <v>1789309288</v>
      </c>
      <c r="G543" s="4" t="n">
        <v>1789564508</v>
      </c>
      <c r="H543" s="12" t="n">
        <f aca="false">IF(AND(E543=0,F543&lt;1000000000000000,F543+Cutoff!$B$16&lt;=Cutoff!$D$13),1,0)</f>
        <v>1</v>
      </c>
      <c r="I543" s="12" t="n">
        <f aca="false">IF(AND(H543=1,G543&lt;1000000000000000,G543&gt;=F543,G543&lt;F543+Cutoff!$B$16),1,0)</f>
        <v>1</v>
      </c>
    </row>
    <row r="544" customFormat="false" ht="15" hidden="false" customHeight="false" outlineLevel="0" collapsed="false">
      <c r="A544" s="4" t="s">
        <v>1300</v>
      </c>
      <c r="B544" s="4" t="s">
        <v>242</v>
      </c>
      <c r="C544" s="4" t="s">
        <v>240</v>
      </c>
      <c r="D544" s="4" t="s">
        <v>1634</v>
      </c>
      <c r="E544" s="4" t="n">
        <v>0</v>
      </c>
      <c r="F544" s="4" t="n">
        <v>1789413526</v>
      </c>
      <c r="G544" s="4" t="n">
        <v>1000000000000000</v>
      </c>
      <c r="H544" s="12" t="n">
        <f aca="false">IF(AND(E544=0,F544&lt;1000000000000000,F544+Cutoff!$B$16&lt;=Cutoff!$D$13),1,0)</f>
        <v>1</v>
      </c>
      <c r="I544" s="12" t="n">
        <f aca="false">IF(AND(H544=1,G544&lt;1000000000000000,G544&gt;=F544,G544&lt;F544+Cutoff!$B$16),1,0)</f>
        <v>0</v>
      </c>
    </row>
    <row r="545" customFormat="false" ht="15" hidden="false" customHeight="false" outlineLevel="0" collapsed="false">
      <c r="A545" s="4" t="s">
        <v>1302</v>
      </c>
      <c r="B545" s="4" t="s">
        <v>242</v>
      </c>
      <c r="C545" s="4" t="s">
        <v>240</v>
      </c>
      <c r="D545" s="4" t="s">
        <v>1633</v>
      </c>
      <c r="E545" s="4" t="n">
        <v>0</v>
      </c>
      <c r="F545" s="4" t="n">
        <v>1789422323</v>
      </c>
      <c r="G545" s="4" t="n">
        <v>1000000000000000</v>
      </c>
      <c r="H545" s="12" t="n">
        <f aca="false">IF(AND(E545=0,F545&lt;1000000000000000,F545+Cutoff!$B$16&lt;=Cutoff!$D$13),1,0)</f>
        <v>1</v>
      </c>
      <c r="I545" s="12" t="n">
        <f aca="false">IF(AND(H545=1,G545&lt;1000000000000000,G545&gt;=F545,G545&lt;F545+Cutoff!$B$16),1,0)</f>
        <v>0</v>
      </c>
    </row>
    <row r="546" customFormat="false" ht="15" hidden="false" customHeight="false" outlineLevel="0" collapsed="false">
      <c r="A546" s="4" t="s">
        <v>1304</v>
      </c>
      <c r="B546" s="4" t="s">
        <v>242</v>
      </c>
      <c r="C546" s="4" t="s">
        <v>240</v>
      </c>
      <c r="D546" s="4" t="s">
        <v>1632</v>
      </c>
      <c r="E546" s="4" t="n">
        <v>0</v>
      </c>
      <c r="F546" s="4" t="n">
        <v>1789466765</v>
      </c>
      <c r="G546" s="4" t="n">
        <v>1789900793</v>
      </c>
      <c r="H546" s="12" t="n">
        <f aca="false">IF(AND(E546=0,F546&lt;1000000000000000,F546+Cutoff!$B$16&lt;=Cutoff!$D$13),1,0)</f>
        <v>1</v>
      </c>
      <c r="I546" s="12" t="n">
        <f aca="false">IF(AND(H546=1,G546&lt;1000000000000000,G546&gt;=F546,G546&lt;F546+Cutoff!$B$16),1,0)</f>
        <v>1</v>
      </c>
    </row>
    <row r="547" customFormat="false" ht="15" hidden="false" customHeight="false" outlineLevel="0" collapsed="false">
      <c r="A547" s="4" t="s">
        <v>1306</v>
      </c>
      <c r="B547" s="4" t="s">
        <v>242</v>
      </c>
      <c r="C547" s="4" t="s">
        <v>240</v>
      </c>
      <c r="D547" s="4" t="s">
        <v>1632</v>
      </c>
      <c r="E547" s="4" t="n">
        <v>0</v>
      </c>
      <c r="F547" s="4" t="n">
        <v>1789469345</v>
      </c>
      <c r="G547" s="4" t="n">
        <v>1000000000000000</v>
      </c>
      <c r="H547" s="12" t="n">
        <f aca="false">IF(AND(E547=0,F547&lt;1000000000000000,F547+Cutoff!$B$16&lt;=Cutoff!$D$13),1,0)</f>
        <v>1</v>
      </c>
      <c r="I547" s="12" t="n">
        <f aca="false">IF(AND(H547=1,G547&lt;1000000000000000,G547&gt;=F547,G547&lt;F547+Cutoff!$B$16),1,0)</f>
        <v>0</v>
      </c>
    </row>
    <row r="548" customFormat="false" ht="15" hidden="false" customHeight="false" outlineLevel="0" collapsed="false">
      <c r="A548" s="4" t="s">
        <v>1308</v>
      </c>
      <c r="B548" s="4" t="s">
        <v>242</v>
      </c>
      <c r="C548" s="4" t="s">
        <v>240</v>
      </c>
      <c r="D548" s="4" t="s">
        <v>1633</v>
      </c>
      <c r="E548" s="4" t="n">
        <v>0</v>
      </c>
      <c r="F548" s="4" t="n">
        <v>1789489738</v>
      </c>
      <c r="G548" s="4" t="n">
        <v>1789532238</v>
      </c>
      <c r="H548" s="12" t="n">
        <f aca="false">IF(AND(E548=0,F548&lt;1000000000000000,F548+Cutoff!$B$16&lt;=Cutoff!$D$13),1,0)</f>
        <v>1</v>
      </c>
      <c r="I548" s="12" t="n">
        <f aca="false">IF(AND(H548=1,G548&lt;1000000000000000,G548&gt;=F548,G548&lt;F548+Cutoff!$B$16),1,0)</f>
        <v>1</v>
      </c>
    </row>
    <row r="549" customFormat="false" ht="15" hidden="false" customHeight="false" outlineLevel="0" collapsed="false">
      <c r="A549" s="4" t="s">
        <v>1310</v>
      </c>
      <c r="B549" s="4" t="s">
        <v>243</v>
      </c>
      <c r="C549" s="4" t="s">
        <v>240</v>
      </c>
      <c r="D549" s="4" t="s">
        <v>1632</v>
      </c>
      <c r="E549" s="4" t="n">
        <v>0</v>
      </c>
      <c r="F549" s="4" t="n">
        <v>1789490785</v>
      </c>
      <c r="G549" s="4" t="n">
        <v>1789555123</v>
      </c>
      <c r="H549" s="12" t="n">
        <f aca="false">IF(AND(E549=0,F549&lt;1000000000000000,F549+Cutoff!$B$16&lt;=Cutoff!$D$13),1,0)</f>
        <v>1</v>
      </c>
      <c r="I549" s="12" t="n">
        <f aca="false">IF(AND(H549=1,G549&lt;1000000000000000,G549&gt;=F549,G549&lt;F549+Cutoff!$B$16),1,0)</f>
        <v>1</v>
      </c>
    </row>
    <row r="550" customFormat="false" ht="15" hidden="false" customHeight="false" outlineLevel="0" collapsed="false">
      <c r="A550" s="4" t="s">
        <v>1661</v>
      </c>
      <c r="B550" s="4" t="s">
        <v>242</v>
      </c>
      <c r="C550" s="4" t="s">
        <v>240</v>
      </c>
      <c r="D550" s="4" t="s">
        <v>1634</v>
      </c>
      <c r="E550" s="4" t="n">
        <v>1</v>
      </c>
      <c r="F550" s="4" t="n">
        <v>1000000000000000</v>
      </c>
      <c r="G550" s="4" t="n">
        <v>1000000000000000</v>
      </c>
      <c r="H550" s="12" t="n">
        <f aca="false">IF(AND(E550=0,F550&lt;1000000000000000,F550+Cutoff!$B$16&lt;=Cutoff!$D$13),1,0)</f>
        <v>0</v>
      </c>
      <c r="I550" s="12" t="n">
        <f aca="false">IF(AND(H550=1,G550&lt;1000000000000000,G550&gt;=F550,G550&lt;F550+Cutoff!$B$16),1,0)</f>
        <v>0</v>
      </c>
    </row>
    <row r="551" customFormat="false" ht="15" hidden="false" customHeight="false" outlineLevel="0" collapsed="false">
      <c r="A551" s="4" t="s">
        <v>1312</v>
      </c>
      <c r="B551" s="4" t="s">
        <v>242</v>
      </c>
      <c r="C551" s="4" t="s">
        <v>239</v>
      </c>
      <c r="D551" s="4" t="s">
        <v>1633</v>
      </c>
      <c r="E551" s="4" t="n">
        <v>0</v>
      </c>
      <c r="F551" s="4" t="n">
        <v>1789497633</v>
      </c>
      <c r="G551" s="4" t="n">
        <v>1000000000000000</v>
      </c>
      <c r="H551" s="12" t="n">
        <f aca="false">IF(AND(E551=0,F551&lt;1000000000000000,F551+Cutoff!$B$16&lt;=Cutoff!$D$13),1,0)</f>
        <v>1</v>
      </c>
      <c r="I551" s="12" t="n">
        <f aca="false">IF(AND(H551=1,G551&lt;1000000000000000,G551&gt;=F551,G551&lt;F551+Cutoff!$B$16),1,0)</f>
        <v>0</v>
      </c>
    </row>
    <row r="552" customFormat="false" ht="15" hidden="false" customHeight="false" outlineLevel="0" collapsed="false">
      <c r="A552" s="4" t="s">
        <v>1314</v>
      </c>
      <c r="B552" s="4" t="s">
        <v>243</v>
      </c>
      <c r="C552" s="4" t="s">
        <v>240</v>
      </c>
      <c r="D552" s="4" t="s">
        <v>1634</v>
      </c>
      <c r="E552" s="4" t="n">
        <v>0</v>
      </c>
      <c r="F552" s="4" t="n">
        <v>1789509822</v>
      </c>
      <c r="G552" s="4" t="n">
        <v>1789509991</v>
      </c>
      <c r="H552" s="12" t="n">
        <f aca="false">IF(AND(E552=0,F552&lt;1000000000000000,F552+Cutoff!$B$16&lt;=Cutoff!$D$13),1,0)</f>
        <v>1</v>
      </c>
      <c r="I552" s="12" t="n">
        <f aca="false">IF(AND(H552=1,G552&lt;1000000000000000,G552&gt;=F552,G552&lt;F552+Cutoff!$B$16),1,0)</f>
        <v>1</v>
      </c>
    </row>
    <row r="553" customFormat="false" ht="15" hidden="false" customHeight="false" outlineLevel="0" collapsed="false">
      <c r="A553" s="4" t="s">
        <v>1316</v>
      </c>
      <c r="B553" s="4" t="s">
        <v>242</v>
      </c>
      <c r="C553" s="4" t="s">
        <v>240</v>
      </c>
      <c r="D553" s="4" t="s">
        <v>1632</v>
      </c>
      <c r="E553" s="4" t="n">
        <v>0</v>
      </c>
      <c r="F553" s="4" t="n">
        <v>1789561734</v>
      </c>
      <c r="G553" s="4" t="n">
        <v>1000000000000000</v>
      </c>
      <c r="H553" s="12" t="n">
        <f aca="false">IF(AND(E553=0,F553&lt;1000000000000000,F553+Cutoff!$B$16&lt;=Cutoff!$D$13),1,0)</f>
        <v>1</v>
      </c>
      <c r="I553" s="12" t="n">
        <f aca="false">IF(AND(H553=1,G553&lt;1000000000000000,G553&gt;=F553,G553&lt;F553+Cutoff!$B$16),1,0)</f>
        <v>0</v>
      </c>
    </row>
    <row r="554" customFormat="false" ht="15" hidden="false" customHeight="false" outlineLevel="0" collapsed="false">
      <c r="A554" s="4" t="s">
        <v>1318</v>
      </c>
      <c r="B554" s="4" t="s">
        <v>243</v>
      </c>
      <c r="C554" s="4" t="s">
        <v>240</v>
      </c>
      <c r="D554" s="4" t="s">
        <v>1633</v>
      </c>
      <c r="E554" s="4" t="n">
        <v>0</v>
      </c>
      <c r="F554" s="4" t="n">
        <v>1789591073</v>
      </c>
      <c r="G554" s="4" t="n">
        <v>1000000000000000</v>
      </c>
      <c r="H554" s="12" t="n">
        <f aca="false">IF(AND(E554=0,F554&lt;1000000000000000,F554+Cutoff!$B$16&lt;=Cutoff!$D$13),1,0)</f>
        <v>1</v>
      </c>
      <c r="I554" s="12" t="n">
        <f aca="false">IF(AND(H554=1,G554&lt;1000000000000000,G554&gt;=F554,G554&lt;F554+Cutoff!$B$16),1,0)</f>
        <v>0</v>
      </c>
    </row>
    <row r="555" customFormat="false" ht="15" hidden="false" customHeight="false" outlineLevel="0" collapsed="false">
      <c r="A555" s="4" t="s">
        <v>1320</v>
      </c>
      <c r="B555" s="4" t="s">
        <v>237</v>
      </c>
      <c r="C555" s="4" t="s">
        <v>238</v>
      </c>
      <c r="D555" s="4" t="s">
        <v>1633</v>
      </c>
      <c r="E555" s="4" t="n">
        <v>0</v>
      </c>
      <c r="F555" s="4" t="n">
        <v>1789652159</v>
      </c>
      <c r="G555" s="4" t="n">
        <v>1789938233</v>
      </c>
      <c r="H555" s="12" t="n">
        <f aca="false">IF(AND(E555=0,F555&lt;1000000000000000,F555+Cutoff!$B$16&lt;=Cutoff!$D$13),1,0)</f>
        <v>1</v>
      </c>
      <c r="I555" s="12" t="n">
        <f aca="false">IF(AND(H555=1,G555&lt;1000000000000000,G555&gt;=F555,G555&lt;F555+Cutoff!$B$16),1,0)</f>
        <v>1</v>
      </c>
    </row>
    <row r="556" customFormat="false" ht="15" hidden="false" customHeight="false" outlineLevel="0" collapsed="false">
      <c r="A556" s="4" t="s">
        <v>1322</v>
      </c>
      <c r="B556" s="4" t="s">
        <v>243</v>
      </c>
      <c r="C556" s="4" t="s">
        <v>239</v>
      </c>
      <c r="D556" s="4" t="s">
        <v>1633</v>
      </c>
      <c r="E556" s="4" t="n">
        <v>0</v>
      </c>
      <c r="F556" s="4" t="n">
        <v>1789658182</v>
      </c>
      <c r="G556" s="4" t="n">
        <v>1000000000000000</v>
      </c>
      <c r="H556" s="12" t="n">
        <f aca="false">IF(AND(E556=0,F556&lt;1000000000000000,F556+Cutoff!$B$16&lt;=Cutoff!$D$13),1,0)</f>
        <v>1</v>
      </c>
      <c r="I556" s="12" t="n">
        <f aca="false">IF(AND(H556=1,G556&lt;1000000000000000,G556&gt;=F556,G556&lt;F556+Cutoff!$B$16),1,0)</f>
        <v>0</v>
      </c>
    </row>
    <row r="557" customFormat="false" ht="15" hidden="false" customHeight="false" outlineLevel="0" collapsed="false">
      <c r="A557" s="4" t="s">
        <v>1324</v>
      </c>
      <c r="B557" s="4" t="s">
        <v>242</v>
      </c>
      <c r="C557" s="4" t="s">
        <v>238</v>
      </c>
      <c r="D557" s="4" t="s">
        <v>1633</v>
      </c>
      <c r="E557" s="4" t="n">
        <v>0</v>
      </c>
      <c r="F557" s="4" t="n">
        <v>1789661940</v>
      </c>
      <c r="G557" s="4" t="n">
        <v>1789747604</v>
      </c>
      <c r="H557" s="12" t="n">
        <f aca="false">IF(AND(E557=0,F557&lt;1000000000000000,F557+Cutoff!$B$16&lt;=Cutoff!$D$13),1,0)</f>
        <v>1</v>
      </c>
      <c r="I557" s="12" t="n">
        <f aca="false">IF(AND(H557=1,G557&lt;1000000000000000,G557&gt;=F557,G557&lt;F557+Cutoff!$B$16),1,0)</f>
        <v>1</v>
      </c>
    </row>
    <row r="558" customFormat="false" ht="15" hidden="false" customHeight="false" outlineLevel="0" collapsed="false">
      <c r="A558" s="4" t="s">
        <v>1326</v>
      </c>
      <c r="B558" s="4" t="s">
        <v>242</v>
      </c>
      <c r="C558" s="4" t="s">
        <v>240</v>
      </c>
      <c r="D558" s="4" t="s">
        <v>1632</v>
      </c>
      <c r="E558" s="4" t="n">
        <v>0</v>
      </c>
      <c r="F558" s="4" t="n">
        <v>1789742007</v>
      </c>
      <c r="G558" s="4" t="n">
        <v>1789761826</v>
      </c>
      <c r="H558" s="12" t="n">
        <f aca="false">IF(AND(E558=0,F558&lt;1000000000000000,F558+Cutoff!$B$16&lt;=Cutoff!$D$13),1,0)</f>
        <v>1</v>
      </c>
      <c r="I558" s="12" t="n">
        <f aca="false">IF(AND(H558=1,G558&lt;1000000000000000,G558&gt;=F558,G558&lt;F558+Cutoff!$B$16),1,0)</f>
        <v>1</v>
      </c>
    </row>
    <row r="559" customFormat="false" ht="15" hidden="false" customHeight="false" outlineLevel="0" collapsed="false">
      <c r="A559" s="4" t="s">
        <v>1328</v>
      </c>
      <c r="B559" s="4" t="s">
        <v>242</v>
      </c>
      <c r="C559" s="4" t="s">
        <v>240</v>
      </c>
      <c r="D559" s="4" t="s">
        <v>1633</v>
      </c>
      <c r="E559" s="4" t="n">
        <v>0</v>
      </c>
      <c r="F559" s="4" t="n">
        <v>1789742575</v>
      </c>
      <c r="G559" s="4" t="n">
        <v>1000000000000000</v>
      </c>
      <c r="H559" s="12" t="n">
        <f aca="false">IF(AND(E559=0,F559&lt;1000000000000000,F559+Cutoff!$B$16&lt;=Cutoff!$D$13),1,0)</f>
        <v>1</v>
      </c>
      <c r="I559" s="12" t="n">
        <f aca="false">IF(AND(H559=1,G559&lt;1000000000000000,G559&gt;=F559,G559&lt;F559+Cutoff!$B$16),1,0)</f>
        <v>0</v>
      </c>
    </row>
    <row r="560" customFormat="false" ht="15" hidden="false" customHeight="false" outlineLevel="0" collapsed="false">
      <c r="A560" s="4" t="s">
        <v>1330</v>
      </c>
      <c r="B560" s="4" t="s">
        <v>243</v>
      </c>
      <c r="C560" s="4" t="s">
        <v>240</v>
      </c>
      <c r="D560" s="4" t="s">
        <v>1633</v>
      </c>
      <c r="E560" s="4" t="n">
        <v>0</v>
      </c>
      <c r="F560" s="4" t="n">
        <v>1789747289</v>
      </c>
      <c r="G560" s="4" t="n">
        <v>1000000000000000</v>
      </c>
      <c r="H560" s="12" t="n">
        <f aca="false">IF(AND(E560=0,F560&lt;1000000000000000,F560+Cutoff!$B$16&lt;=Cutoff!$D$13),1,0)</f>
        <v>1</v>
      </c>
      <c r="I560" s="12" t="n">
        <f aca="false">IF(AND(H560=1,G560&lt;1000000000000000,G560&gt;=F560,G560&lt;F560+Cutoff!$B$16),1,0)</f>
        <v>0</v>
      </c>
    </row>
    <row r="561" customFormat="false" ht="15" hidden="false" customHeight="false" outlineLevel="0" collapsed="false">
      <c r="A561" s="4" t="s">
        <v>1332</v>
      </c>
      <c r="B561" s="4" t="s">
        <v>242</v>
      </c>
      <c r="C561" s="4" t="s">
        <v>240</v>
      </c>
      <c r="D561" s="4" t="s">
        <v>1634</v>
      </c>
      <c r="E561" s="4" t="n">
        <v>0</v>
      </c>
      <c r="F561" s="4" t="n">
        <v>1789929661</v>
      </c>
      <c r="G561" s="4" t="n">
        <v>1000000000000000</v>
      </c>
      <c r="H561" s="12" t="n">
        <f aca="false">IF(AND(E561=0,F561&lt;1000000000000000,F561+Cutoff!$B$16&lt;=Cutoff!$D$13),1,0)</f>
        <v>1</v>
      </c>
      <c r="I561" s="12" t="n">
        <f aca="false">IF(AND(H561=1,G561&lt;1000000000000000,G561&gt;=F561,G561&lt;F561+Cutoff!$B$16),1,0)</f>
        <v>0</v>
      </c>
    </row>
    <row r="562" customFormat="false" ht="15" hidden="false" customHeight="false" outlineLevel="0" collapsed="false">
      <c r="A562" s="4" t="s">
        <v>1334</v>
      </c>
      <c r="B562" s="4" t="s">
        <v>243</v>
      </c>
      <c r="C562" s="4" t="s">
        <v>240</v>
      </c>
      <c r="D562" s="4" t="s">
        <v>1632</v>
      </c>
      <c r="E562" s="4" t="n">
        <v>0</v>
      </c>
      <c r="F562" s="4" t="n">
        <v>1789998413</v>
      </c>
      <c r="G562" s="4" t="n">
        <v>1000000000000000</v>
      </c>
      <c r="H562" s="12" t="n">
        <f aca="false">IF(AND(E562=0,F562&lt;1000000000000000,F562+Cutoff!$B$16&lt;=Cutoff!$D$13),1,0)</f>
        <v>1</v>
      </c>
      <c r="I562" s="12" t="n">
        <f aca="false">IF(AND(H562=1,G562&lt;1000000000000000,G562&gt;=F562,G562&lt;F562+Cutoff!$B$16),1,0)</f>
        <v>0</v>
      </c>
    </row>
    <row r="563" customFormat="false" ht="15" hidden="false" customHeight="false" outlineLevel="0" collapsed="false">
      <c r="A563" s="4" t="s">
        <v>1336</v>
      </c>
      <c r="B563" s="4" t="s">
        <v>243</v>
      </c>
      <c r="C563" s="4" t="s">
        <v>239</v>
      </c>
      <c r="D563" s="4" t="s">
        <v>1632</v>
      </c>
      <c r="E563" s="4" t="n">
        <v>0</v>
      </c>
      <c r="F563" s="4" t="n">
        <v>1789999199</v>
      </c>
      <c r="G563" s="4" t="n">
        <v>1000000000000000</v>
      </c>
      <c r="H563" s="12" t="n">
        <f aca="false">IF(AND(E563=0,F563&lt;1000000000000000,F563+Cutoff!$B$16&lt;=Cutoff!$D$13),1,0)</f>
        <v>1</v>
      </c>
      <c r="I563" s="12" t="n">
        <f aca="false">IF(AND(H563=1,G563&lt;1000000000000000,G563&gt;=F563,G563&lt;F563+Cutoff!$B$16),1,0)</f>
        <v>0</v>
      </c>
    </row>
    <row r="564" customFormat="false" ht="15" hidden="false" customHeight="false" outlineLevel="0" collapsed="false">
      <c r="A564" s="4" t="s">
        <v>1338</v>
      </c>
      <c r="B564" s="4" t="s">
        <v>243</v>
      </c>
      <c r="C564" s="4" t="s">
        <v>240</v>
      </c>
      <c r="D564" s="4" t="s">
        <v>1633</v>
      </c>
      <c r="E564" s="4" t="n">
        <v>0</v>
      </c>
      <c r="F564" s="4" t="n">
        <v>1790019076</v>
      </c>
      <c r="G564" s="4" t="n">
        <v>1000000000000000</v>
      </c>
      <c r="H564" s="12" t="n">
        <f aca="false">IF(AND(E564=0,F564&lt;1000000000000000,F564+Cutoff!$B$16&lt;=Cutoff!$D$13),1,0)</f>
        <v>1</v>
      </c>
      <c r="I564" s="12" t="n">
        <f aca="false">IF(AND(H564=1,G564&lt;1000000000000000,G564&gt;=F564,G564&lt;F564+Cutoff!$B$16),1,0)</f>
        <v>0</v>
      </c>
    </row>
    <row r="565" customFormat="false" ht="15" hidden="false" customHeight="false" outlineLevel="0" collapsed="false">
      <c r="A565" s="4" t="s">
        <v>1340</v>
      </c>
      <c r="B565" s="4" t="s">
        <v>242</v>
      </c>
      <c r="C565" s="4" t="s">
        <v>240</v>
      </c>
      <c r="D565" s="4" t="s">
        <v>1633</v>
      </c>
      <c r="E565" s="4" t="n">
        <v>0</v>
      </c>
      <c r="F565" s="4" t="n">
        <v>1790096456</v>
      </c>
      <c r="G565" s="4" t="n">
        <v>1000000000000000</v>
      </c>
      <c r="H565" s="12" t="n">
        <f aca="false">IF(AND(E565=0,F565&lt;1000000000000000,F565+Cutoff!$B$16&lt;=Cutoff!$D$13),1,0)</f>
        <v>1</v>
      </c>
      <c r="I565" s="12" t="n">
        <f aca="false">IF(AND(H565=1,G565&lt;1000000000000000,G565&gt;=F565,G565&lt;F565+Cutoff!$B$16),1,0)</f>
        <v>0</v>
      </c>
    </row>
    <row r="566" customFormat="false" ht="15" hidden="false" customHeight="false" outlineLevel="0" collapsed="false">
      <c r="A566" s="4" t="s">
        <v>1342</v>
      </c>
      <c r="B566" s="4" t="s">
        <v>243</v>
      </c>
      <c r="C566" s="4" t="s">
        <v>239</v>
      </c>
      <c r="D566" s="4" t="s">
        <v>1633</v>
      </c>
      <c r="E566" s="4" t="n">
        <v>0</v>
      </c>
      <c r="F566" s="4" t="n">
        <v>1790099492</v>
      </c>
      <c r="G566" s="4" t="n">
        <v>1000000000000000</v>
      </c>
      <c r="H566" s="12" t="n">
        <f aca="false">IF(AND(E566=0,F566&lt;1000000000000000,F566+Cutoff!$B$16&lt;=Cutoff!$D$13),1,0)</f>
        <v>1</v>
      </c>
      <c r="I566" s="12" t="n">
        <f aca="false">IF(AND(H566=1,G566&lt;1000000000000000,G566&gt;=F566,G566&lt;F566+Cutoff!$B$16),1,0)</f>
        <v>0</v>
      </c>
    </row>
    <row r="567" customFormat="false" ht="15" hidden="false" customHeight="false" outlineLevel="0" collapsed="false">
      <c r="A567" s="4" t="s">
        <v>1344</v>
      </c>
      <c r="B567" s="4" t="s">
        <v>243</v>
      </c>
      <c r="C567" s="4" t="s">
        <v>238</v>
      </c>
      <c r="D567" s="4" t="s">
        <v>1633</v>
      </c>
      <c r="E567" s="4" t="n">
        <v>0</v>
      </c>
      <c r="F567" s="4" t="n">
        <v>1790111126</v>
      </c>
      <c r="G567" s="4" t="n">
        <v>1000000000000000</v>
      </c>
      <c r="H567" s="12" t="n">
        <f aca="false">IF(AND(E567=0,F567&lt;1000000000000000,F567+Cutoff!$B$16&lt;=Cutoff!$D$13),1,0)</f>
        <v>1</v>
      </c>
      <c r="I567" s="12" t="n">
        <f aca="false">IF(AND(H567=1,G567&lt;1000000000000000,G567&gt;=F567,G567&lt;F567+Cutoff!$B$16),1,0)</f>
        <v>0</v>
      </c>
    </row>
    <row r="568" customFormat="false" ht="15" hidden="false" customHeight="false" outlineLevel="0" collapsed="false">
      <c r="A568" s="4" t="s">
        <v>1346</v>
      </c>
      <c r="B568" s="4" t="s">
        <v>242</v>
      </c>
      <c r="C568" s="4" t="s">
        <v>240</v>
      </c>
      <c r="D568" s="4" t="s">
        <v>1634</v>
      </c>
      <c r="E568" s="4" t="n">
        <v>0</v>
      </c>
      <c r="F568" s="4" t="n">
        <v>1790116326</v>
      </c>
      <c r="G568" s="4" t="n">
        <v>1000000000000000</v>
      </c>
      <c r="H568" s="12" t="n">
        <f aca="false">IF(AND(E568=0,F568&lt;1000000000000000,F568+Cutoff!$B$16&lt;=Cutoff!$D$13),1,0)</f>
        <v>1</v>
      </c>
      <c r="I568" s="12" t="n">
        <f aca="false">IF(AND(H568=1,G568&lt;1000000000000000,G568&gt;=F568,G568&lt;F568+Cutoff!$B$16),1,0)</f>
        <v>0</v>
      </c>
    </row>
    <row r="569" customFormat="false" ht="15" hidden="false" customHeight="false" outlineLevel="0" collapsed="false">
      <c r="A569" s="4" t="s">
        <v>1348</v>
      </c>
      <c r="B569" s="4" t="s">
        <v>242</v>
      </c>
      <c r="C569" s="4" t="s">
        <v>240</v>
      </c>
      <c r="D569" s="4" t="s">
        <v>1634</v>
      </c>
      <c r="E569" s="4" t="n">
        <v>0</v>
      </c>
      <c r="F569" s="4" t="n">
        <v>1790121598</v>
      </c>
      <c r="G569" s="4" t="n">
        <v>1790230516</v>
      </c>
      <c r="H569" s="12" t="n">
        <f aca="false">IF(AND(E569=0,F569&lt;1000000000000000,F569+Cutoff!$B$16&lt;=Cutoff!$D$13),1,0)</f>
        <v>1</v>
      </c>
      <c r="I569" s="12" t="n">
        <f aca="false">IF(AND(H569=1,G569&lt;1000000000000000,G569&gt;=F569,G569&lt;F569+Cutoff!$B$16),1,0)</f>
        <v>1</v>
      </c>
    </row>
    <row r="570" customFormat="false" ht="15" hidden="false" customHeight="false" outlineLevel="0" collapsed="false">
      <c r="A570" s="4" t="s">
        <v>1350</v>
      </c>
      <c r="B570" s="4" t="s">
        <v>242</v>
      </c>
      <c r="C570" s="4" t="s">
        <v>239</v>
      </c>
      <c r="D570" s="4" t="s">
        <v>1634</v>
      </c>
      <c r="E570" s="4" t="n">
        <v>0</v>
      </c>
      <c r="F570" s="4" t="n">
        <v>1790128241</v>
      </c>
      <c r="G570" s="4" t="n">
        <v>1000000000000000</v>
      </c>
      <c r="H570" s="12" t="n">
        <f aca="false">IF(AND(E570=0,F570&lt;1000000000000000,F570+Cutoff!$B$16&lt;=Cutoff!$D$13),1,0)</f>
        <v>1</v>
      </c>
      <c r="I570" s="12" t="n">
        <f aca="false">IF(AND(H570=1,G570&lt;1000000000000000,G570&gt;=F570,G570&lt;F570+Cutoff!$B$16),1,0)</f>
        <v>0</v>
      </c>
    </row>
    <row r="571" customFormat="false" ht="15" hidden="false" customHeight="false" outlineLevel="0" collapsed="false">
      <c r="A571" s="4" t="s">
        <v>1352</v>
      </c>
      <c r="B571" s="4" t="s">
        <v>243</v>
      </c>
      <c r="C571" s="4" t="s">
        <v>240</v>
      </c>
      <c r="D571" s="4" t="s">
        <v>1633</v>
      </c>
      <c r="E571" s="4" t="n">
        <v>0</v>
      </c>
      <c r="F571" s="4" t="n">
        <v>1790184329</v>
      </c>
      <c r="G571" s="4" t="n">
        <v>1000000000000000</v>
      </c>
      <c r="H571" s="12" t="n">
        <f aca="false">IF(AND(E571=0,F571&lt;1000000000000000,F571+Cutoff!$B$16&lt;=Cutoff!$D$13),1,0)</f>
        <v>1</v>
      </c>
      <c r="I571" s="12" t="n">
        <f aca="false">IF(AND(H571=1,G571&lt;1000000000000000,G571&gt;=F571,G571&lt;F571+Cutoff!$B$16),1,0)</f>
        <v>0</v>
      </c>
    </row>
    <row r="572" customFormat="false" ht="15" hidden="false" customHeight="false" outlineLevel="0" collapsed="false">
      <c r="A572" s="4" t="s">
        <v>1354</v>
      </c>
      <c r="B572" s="4" t="s">
        <v>243</v>
      </c>
      <c r="C572" s="4" t="s">
        <v>239</v>
      </c>
      <c r="D572" s="4" t="s">
        <v>1634</v>
      </c>
      <c r="E572" s="4" t="n">
        <v>0</v>
      </c>
      <c r="F572" s="4" t="n">
        <v>1790190964</v>
      </c>
      <c r="G572" s="4" t="n">
        <v>1790739119</v>
      </c>
      <c r="H572" s="12" t="n">
        <f aca="false">IF(AND(E572=0,F572&lt;1000000000000000,F572+Cutoff!$B$16&lt;=Cutoff!$D$13),1,0)</f>
        <v>1</v>
      </c>
      <c r="I572" s="12" t="n">
        <f aca="false">IF(AND(H572=1,G572&lt;1000000000000000,G572&gt;=F572,G572&lt;F572+Cutoff!$B$16),1,0)</f>
        <v>1</v>
      </c>
    </row>
    <row r="573" customFormat="false" ht="15" hidden="false" customHeight="false" outlineLevel="0" collapsed="false">
      <c r="A573" s="4" t="s">
        <v>1356</v>
      </c>
      <c r="B573" s="4" t="s">
        <v>243</v>
      </c>
      <c r="C573" s="4" t="s">
        <v>240</v>
      </c>
      <c r="D573" s="4" t="s">
        <v>1634</v>
      </c>
      <c r="E573" s="4" t="n">
        <v>0</v>
      </c>
      <c r="F573" s="4" t="n">
        <v>1790199939</v>
      </c>
      <c r="G573" s="4" t="n">
        <v>1000000000000000</v>
      </c>
      <c r="H573" s="12" t="n">
        <f aca="false">IF(AND(E573=0,F573&lt;1000000000000000,F573+Cutoff!$B$16&lt;=Cutoff!$D$13),1,0)</f>
        <v>1</v>
      </c>
      <c r="I573" s="12" t="n">
        <f aca="false">IF(AND(H573=1,G573&lt;1000000000000000,G573&gt;=F573,G573&lt;F573+Cutoff!$B$16),1,0)</f>
        <v>0</v>
      </c>
    </row>
    <row r="574" customFormat="false" ht="15" hidden="false" customHeight="false" outlineLevel="0" collapsed="false">
      <c r="A574" s="4" t="s">
        <v>1358</v>
      </c>
      <c r="B574" s="4" t="s">
        <v>242</v>
      </c>
      <c r="C574" s="4" t="s">
        <v>240</v>
      </c>
      <c r="D574" s="4" t="s">
        <v>1634</v>
      </c>
      <c r="E574" s="4" t="n">
        <v>0</v>
      </c>
      <c r="F574" s="4" t="n">
        <v>1790203584</v>
      </c>
      <c r="G574" s="4" t="n">
        <v>1790232370</v>
      </c>
      <c r="H574" s="12" t="n">
        <f aca="false">IF(AND(E574=0,F574&lt;1000000000000000,F574+Cutoff!$B$16&lt;=Cutoff!$D$13),1,0)</f>
        <v>1</v>
      </c>
      <c r="I574" s="12" t="n">
        <f aca="false">IF(AND(H574=1,G574&lt;1000000000000000,G574&gt;=F574,G574&lt;F574+Cutoff!$B$16),1,0)</f>
        <v>1</v>
      </c>
    </row>
    <row r="575" customFormat="false" ht="15" hidden="false" customHeight="false" outlineLevel="0" collapsed="false">
      <c r="A575" s="4" t="s">
        <v>1360</v>
      </c>
      <c r="B575" s="4" t="s">
        <v>242</v>
      </c>
      <c r="C575" s="4" t="s">
        <v>240</v>
      </c>
      <c r="D575" s="4" t="s">
        <v>1633</v>
      </c>
      <c r="E575" s="4" t="n">
        <v>0</v>
      </c>
      <c r="F575" s="4" t="n">
        <v>1790283953</v>
      </c>
      <c r="G575" s="4" t="n">
        <v>1000000000000000</v>
      </c>
      <c r="H575" s="12" t="n">
        <f aca="false">IF(AND(E575=0,F575&lt;1000000000000000,F575+Cutoff!$B$16&lt;=Cutoff!$D$13),1,0)</f>
        <v>1</v>
      </c>
      <c r="I575" s="12" t="n">
        <f aca="false">IF(AND(H575=1,G575&lt;1000000000000000,G575&gt;=F575,G575&lt;F575+Cutoff!$B$16),1,0)</f>
        <v>0</v>
      </c>
    </row>
    <row r="576" customFormat="false" ht="15" hidden="false" customHeight="false" outlineLevel="0" collapsed="false">
      <c r="A576" s="4" t="s">
        <v>1362</v>
      </c>
      <c r="B576" s="4" t="s">
        <v>243</v>
      </c>
      <c r="C576" s="4" t="s">
        <v>239</v>
      </c>
      <c r="D576" s="4" t="s">
        <v>1633</v>
      </c>
      <c r="E576" s="4" t="n">
        <v>0</v>
      </c>
      <c r="F576" s="4" t="n">
        <v>1790284606</v>
      </c>
      <c r="G576" s="4" t="n">
        <v>1000000000000000</v>
      </c>
      <c r="H576" s="12" t="n">
        <f aca="false">IF(AND(E576=0,F576&lt;1000000000000000,F576+Cutoff!$B$16&lt;=Cutoff!$D$13),1,0)</f>
        <v>1</v>
      </c>
      <c r="I576" s="12" t="n">
        <f aca="false">IF(AND(H576=1,G576&lt;1000000000000000,G576&gt;=F576,G576&lt;F576+Cutoff!$B$16),1,0)</f>
        <v>0</v>
      </c>
    </row>
    <row r="577" customFormat="false" ht="15" hidden="false" customHeight="false" outlineLevel="0" collapsed="false">
      <c r="A577" s="4" t="s">
        <v>1364</v>
      </c>
      <c r="B577" s="4" t="s">
        <v>243</v>
      </c>
      <c r="C577" s="4" t="s">
        <v>240</v>
      </c>
      <c r="D577" s="4" t="s">
        <v>1632</v>
      </c>
      <c r="E577" s="4" t="n">
        <v>0</v>
      </c>
      <c r="F577" s="4" t="n">
        <v>1790321526</v>
      </c>
      <c r="G577" s="4" t="n">
        <v>1000000000000000</v>
      </c>
      <c r="H577" s="12" t="n">
        <f aca="false">IF(AND(E577=0,F577&lt;1000000000000000,F577+Cutoff!$B$16&lt;=Cutoff!$D$13),1,0)</f>
        <v>1</v>
      </c>
      <c r="I577" s="12" t="n">
        <f aca="false">IF(AND(H577=1,G577&lt;1000000000000000,G577&gt;=F577,G577&lt;F577+Cutoff!$B$16),1,0)</f>
        <v>0</v>
      </c>
    </row>
    <row r="578" customFormat="false" ht="15" hidden="false" customHeight="false" outlineLevel="0" collapsed="false">
      <c r="A578" s="4" t="s">
        <v>1366</v>
      </c>
      <c r="B578" s="4" t="s">
        <v>243</v>
      </c>
      <c r="C578" s="4" t="s">
        <v>240</v>
      </c>
      <c r="D578" s="4" t="s">
        <v>1633</v>
      </c>
      <c r="E578" s="4" t="n">
        <v>0</v>
      </c>
      <c r="F578" s="4" t="n">
        <v>1790345773</v>
      </c>
      <c r="G578" s="4" t="n">
        <v>1000000000000000</v>
      </c>
      <c r="H578" s="12" t="n">
        <f aca="false">IF(AND(E578=0,F578&lt;1000000000000000,F578+Cutoff!$B$16&lt;=Cutoff!$D$13),1,0)</f>
        <v>1</v>
      </c>
      <c r="I578" s="12" t="n">
        <f aca="false">IF(AND(H578=1,G578&lt;1000000000000000,G578&gt;=F578,G578&lt;F578+Cutoff!$B$16),1,0)</f>
        <v>0</v>
      </c>
    </row>
    <row r="579" customFormat="false" ht="15" hidden="false" customHeight="false" outlineLevel="0" collapsed="false">
      <c r="A579" s="4" t="s">
        <v>1368</v>
      </c>
      <c r="B579" s="4" t="s">
        <v>237</v>
      </c>
      <c r="C579" s="4" t="s">
        <v>239</v>
      </c>
      <c r="D579" s="4" t="s">
        <v>1633</v>
      </c>
      <c r="E579" s="4" t="n">
        <v>0</v>
      </c>
      <c r="F579" s="4" t="n">
        <v>1790362119</v>
      </c>
      <c r="G579" s="4" t="n">
        <v>1790362652</v>
      </c>
      <c r="H579" s="12" t="n">
        <f aca="false">IF(AND(E579=0,F579&lt;1000000000000000,F579+Cutoff!$B$16&lt;=Cutoff!$D$13),1,0)</f>
        <v>1</v>
      </c>
      <c r="I579" s="12" t="n">
        <f aca="false">IF(AND(H579=1,G579&lt;1000000000000000,G579&gt;=F579,G579&lt;F579+Cutoff!$B$16),1,0)</f>
        <v>1</v>
      </c>
    </row>
    <row r="580" customFormat="false" ht="15" hidden="false" customHeight="false" outlineLevel="0" collapsed="false">
      <c r="A580" s="4" t="s">
        <v>1370</v>
      </c>
      <c r="B580" s="4" t="s">
        <v>242</v>
      </c>
      <c r="C580" s="4" t="s">
        <v>240</v>
      </c>
      <c r="D580" s="4" t="s">
        <v>1634</v>
      </c>
      <c r="E580" s="4" t="n">
        <v>0</v>
      </c>
      <c r="F580" s="4" t="n">
        <v>1790377753</v>
      </c>
      <c r="G580" s="4" t="n">
        <v>1000000000000000</v>
      </c>
      <c r="H580" s="12" t="n">
        <f aca="false">IF(AND(E580=0,F580&lt;1000000000000000,F580+Cutoff!$B$16&lt;=Cutoff!$D$13),1,0)</f>
        <v>1</v>
      </c>
      <c r="I580" s="12" t="n">
        <f aca="false">IF(AND(H580=1,G580&lt;1000000000000000,G580&gt;=F580,G580&lt;F580+Cutoff!$B$16),1,0)</f>
        <v>0</v>
      </c>
    </row>
    <row r="581" customFormat="false" ht="15" hidden="false" customHeight="false" outlineLevel="0" collapsed="false">
      <c r="A581" s="4" t="s">
        <v>1372</v>
      </c>
      <c r="B581" s="4" t="s">
        <v>242</v>
      </c>
      <c r="C581" s="4" t="s">
        <v>240</v>
      </c>
      <c r="D581" s="4" t="s">
        <v>1632</v>
      </c>
      <c r="E581" s="4" t="n">
        <v>0</v>
      </c>
      <c r="F581" s="4" t="n">
        <v>1790421410</v>
      </c>
      <c r="G581" s="4" t="n">
        <v>1000000000000000</v>
      </c>
      <c r="H581" s="12" t="n">
        <f aca="false">IF(AND(E581=0,F581&lt;1000000000000000,F581+Cutoff!$B$16&lt;=Cutoff!$D$13),1,0)</f>
        <v>1</v>
      </c>
      <c r="I581" s="12" t="n">
        <f aca="false">IF(AND(H581=1,G581&lt;1000000000000000,G581&gt;=F581,G581&lt;F581+Cutoff!$B$16),1,0)</f>
        <v>0</v>
      </c>
    </row>
    <row r="582" customFormat="false" ht="15" hidden="false" customHeight="false" outlineLevel="0" collapsed="false">
      <c r="A582" s="4" t="s">
        <v>1374</v>
      </c>
      <c r="B582" s="4" t="s">
        <v>242</v>
      </c>
      <c r="C582" s="4" t="s">
        <v>238</v>
      </c>
      <c r="D582" s="4" t="s">
        <v>1632</v>
      </c>
      <c r="E582" s="4" t="n">
        <v>0</v>
      </c>
      <c r="F582" s="4" t="n">
        <v>1790445425</v>
      </c>
      <c r="G582" s="4" t="n">
        <v>1790470584</v>
      </c>
      <c r="H582" s="12" t="n">
        <f aca="false">IF(AND(E582=0,F582&lt;1000000000000000,F582+Cutoff!$B$16&lt;=Cutoff!$D$13),1,0)</f>
        <v>1</v>
      </c>
      <c r="I582" s="12" t="n">
        <f aca="false">IF(AND(H582=1,G582&lt;1000000000000000,G582&gt;=F582,G582&lt;F582+Cutoff!$B$16),1,0)</f>
        <v>1</v>
      </c>
    </row>
    <row r="583" customFormat="false" ht="15" hidden="false" customHeight="false" outlineLevel="0" collapsed="false">
      <c r="A583" s="4" t="s">
        <v>1376</v>
      </c>
      <c r="B583" s="4" t="s">
        <v>243</v>
      </c>
      <c r="C583" s="4" t="s">
        <v>240</v>
      </c>
      <c r="D583" s="4" t="s">
        <v>1632</v>
      </c>
      <c r="E583" s="4" t="n">
        <v>0</v>
      </c>
      <c r="F583" s="4" t="n">
        <v>1790506188</v>
      </c>
      <c r="G583" s="4" t="n">
        <v>1000000000000000</v>
      </c>
      <c r="H583" s="12" t="n">
        <f aca="false">IF(AND(E583=0,F583&lt;1000000000000000,F583+Cutoff!$B$16&lt;=Cutoff!$D$13),1,0)</f>
        <v>1</v>
      </c>
      <c r="I583" s="12" t="n">
        <f aca="false">IF(AND(H583=1,G583&lt;1000000000000000,G583&gt;=F583,G583&lt;F583+Cutoff!$B$16),1,0)</f>
        <v>0</v>
      </c>
    </row>
    <row r="584" customFormat="false" ht="15" hidden="false" customHeight="false" outlineLevel="0" collapsed="false">
      <c r="A584" s="4" t="s">
        <v>1662</v>
      </c>
      <c r="B584" s="4" t="s">
        <v>242</v>
      </c>
      <c r="C584" s="4" t="s">
        <v>240</v>
      </c>
      <c r="D584" s="4" t="s">
        <v>1632</v>
      </c>
      <c r="E584" s="4" t="n">
        <v>1</v>
      </c>
      <c r="F584" s="4" t="n">
        <v>1000000000000000</v>
      </c>
      <c r="G584" s="4" t="n">
        <v>1000000000000000</v>
      </c>
      <c r="H584" s="12" t="n">
        <f aca="false">IF(AND(E584=0,F584&lt;1000000000000000,F584+Cutoff!$B$16&lt;=Cutoff!$D$13),1,0)</f>
        <v>0</v>
      </c>
      <c r="I584" s="12" t="n">
        <f aca="false">IF(AND(H584=1,G584&lt;1000000000000000,G584&gt;=F584,G584&lt;F584+Cutoff!$B$16),1,0)</f>
        <v>0</v>
      </c>
    </row>
    <row r="585" customFormat="false" ht="15" hidden="false" customHeight="false" outlineLevel="0" collapsed="false">
      <c r="A585" s="4" t="s">
        <v>1380</v>
      </c>
      <c r="B585" s="4" t="s">
        <v>242</v>
      </c>
      <c r="C585" s="4" t="s">
        <v>240</v>
      </c>
      <c r="D585" s="4" t="s">
        <v>1632</v>
      </c>
      <c r="E585" s="4" t="n">
        <v>0</v>
      </c>
      <c r="F585" s="4" t="n">
        <v>1790604177</v>
      </c>
      <c r="G585" s="4" t="n">
        <v>1791092459</v>
      </c>
      <c r="H585" s="12" t="n">
        <f aca="false">IF(AND(E585=0,F585&lt;1000000000000000,F585+Cutoff!$B$16&lt;=Cutoff!$D$13),1,0)</f>
        <v>0</v>
      </c>
      <c r="I585" s="12" t="n">
        <f aca="false">IF(AND(H585=1,G585&lt;1000000000000000,G585&gt;=F585,G585&lt;F585+Cutoff!$B$16),1,0)</f>
        <v>0</v>
      </c>
    </row>
    <row r="586" customFormat="false" ht="15" hidden="false" customHeight="false" outlineLevel="0" collapsed="false">
      <c r="A586" s="4" t="s">
        <v>1378</v>
      </c>
      <c r="B586" s="4" t="s">
        <v>243</v>
      </c>
      <c r="C586" s="4" t="s">
        <v>240</v>
      </c>
      <c r="D586" s="4" t="s">
        <v>1633</v>
      </c>
      <c r="E586" s="4" t="n">
        <v>0</v>
      </c>
      <c r="F586" s="4" t="n">
        <v>1790604333</v>
      </c>
      <c r="G586" s="4" t="n">
        <v>1790631358</v>
      </c>
      <c r="H586" s="12" t="n">
        <f aca="false">IF(AND(E586=0,F586&lt;1000000000000000,F586+Cutoff!$B$16&lt;=Cutoff!$D$13),1,0)</f>
        <v>0</v>
      </c>
      <c r="I586" s="12" t="n">
        <f aca="false">IF(AND(H586=1,G586&lt;1000000000000000,G586&gt;=F586,G586&lt;F586+Cutoff!$B$16),1,0)</f>
        <v>0</v>
      </c>
    </row>
    <row r="587" customFormat="false" ht="15" hidden="false" customHeight="false" outlineLevel="0" collapsed="false">
      <c r="A587" s="4" t="s">
        <v>1382</v>
      </c>
      <c r="B587" s="4" t="s">
        <v>243</v>
      </c>
      <c r="C587" s="4" t="s">
        <v>238</v>
      </c>
      <c r="D587" s="4" t="s">
        <v>1633</v>
      </c>
      <c r="E587" s="4" t="n">
        <v>0</v>
      </c>
      <c r="F587" s="4" t="n">
        <v>1790614340</v>
      </c>
      <c r="G587" s="4" t="n">
        <v>1790676349</v>
      </c>
      <c r="H587" s="12" t="n">
        <f aca="false">IF(AND(E587=0,F587&lt;1000000000000000,F587+Cutoff!$B$16&lt;=Cutoff!$D$13),1,0)</f>
        <v>0</v>
      </c>
      <c r="I587" s="12" t="n">
        <f aca="false">IF(AND(H587=1,G587&lt;1000000000000000,G587&gt;=F587,G587&lt;F587+Cutoff!$B$16),1,0)</f>
        <v>0</v>
      </c>
    </row>
    <row r="588" customFormat="false" ht="15" hidden="false" customHeight="false" outlineLevel="0" collapsed="false">
      <c r="A588" s="4" t="s">
        <v>1384</v>
      </c>
      <c r="B588" s="4" t="s">
        <v>243</v>
      </c>
      <c r="C588" s="4" t="s">
        <v>239</v>
      </c>
      <c r="D588" s="4" t="s">
        <v>1632</v>
      </c>
      <c r="E588" s="4" t="n">
        <v>0</v>
      </c>
      <c r="F588" s="4" t="n">
        <v>1790676354</v>
      </c>
      <c r="G588" s="4" t="n">
        <v>1790699938</v>
      </c>
      <c r="H588" s="12" t="n">
        <f aca="false">IF(AND(E588=0,F588&lt;1000000000000000,F588+Cutoff!$B$16&lt;=Cutoff!$D$13),1,0)</f>
        <v>0</v>
      </c>
      <c r="I588" s="12" t="n">
        <f aca="false">IF(AND(H588=1,G588&lt;1000000000000000,G588&gt;=F588,G588&lt;F588+Cutoff!$B$16),1,0)</f>
        <v>0</v>
      </c>
    </row>
    <row r="589" customFormat="false" ht="15" hidden="false" customHeight="false" outlineLevel="0" collapsed="false">
      <c r="A589" s="4" t="s">
        <v>1386</v>
      </c>
      <c r="B589" s="4" t="s">
        <v>243</v>
      </c>
      <c r="C589" s="4" t="s">
        <v>240</v>
      </c>
      <c r="D589" s="4" t="s">
        <v>1634</v>
      </c>
      <c r="E589" s="4" t="n">
        <v>0</v>
      </c>
      <c r="F589" s="4" t="n">
        <v>1790704686</v>
      </c>
      <c r="G589" s="4" t="n">
        <v>1000000000000000</v>
      </c>
      <c r="H589" s="12" t="n">
        <f aca="false">IF(AND(E589=0,F589&lt;1000000000000000,F589+Cutoff!$B$16&lt;=Cutoff!$D$13),1,0)</f>
        <v>0</v>
      </c>
      <c r="I589" s="12" t="n">
        <f aca="false">IF(AND(H589=1,G589&lt;1000000000000000,G589&gt;=F589,G589&lt;F589+Cutoff!$B$16),1,0)</f>
        <v>0</v>
      </c>
    </row>
    <row r="590" customFormat="false" ht="15" hidden="false" customHeight="false" outlineLevel="0" collapsed="false">
      <c r="A590" s="4" t="s">
        <v>1388</v>
      </c>
      <c r="B590" s="4" t="s">
        <v>242</v>
      </c>
      <c r="C590" s="4" t="s">
        <v>240</v>
      </c>
      <c r="D590" s="4" t="s">
        <v>1634</v>
      </c>
      <c r="E590" s="4" t="n">
        <v>0</v>
      </c>
      <c r="F590" s="4" t="n">
        <v>1790715124</v>
      </c>
      <c r="G590" s="4" t="n">
        <v>1790771286</v>
      </c>
      <c r="H590" s="12" t="n">
        <f aca="false">IF(AND(E590=0,F590&lt;1000000000000000,F590+Cutoff!$B$16&lt;=Cutoff!$D$13),1,0)</f>
        <v>0</v>
      </c>
      <c r="I590" s="12" t="n">
        <f aca="false">IF(AND(H590=1,G590&lt;1000000000000000,G590&gt;=F590,G590&lt;F590+Cutoff!$B$16),1,0)</f>
        <v>0</v>
      </c>
    </row>
    <row r="591" customFormat="false" ht="15" hidden="false" customHeight="false" outlineLevel="0" collapsed="false">
      <c r="A591" s="4" t="s">
        <v>1390</v>
      </c>
      <c r="B591" s="4" t="s">
        <v>242</v>
      </c>
      <c r="C591" s="4" t="s">
        <v>240</v>
      </c>
      <c r="D591" s="4" t="s">
        <v>1633</v>
      </c>
      <c r="E591" s="4" t="n">
        <v>0</v>
      </c>
      <c r="F591" s="4" t="n">
        <v>1790721022</v>
      </c>
      <c r="G591" s="4" t="n">
        <v>1000000000000000</v>
      </c>
      <c r="H591" s="12" t="n">
        <f aca="false">IF(AND(E591=0,F591&lt;1000000000000000,F591+Cutoff!$B$16&lt;=Cutoff!$D$13),1,0)</f>
        <v>0</v>
      </c>
      <c r="I591" s="12" t="n">
        <f aca="false">IF(AND(H591=1,G591&lt;1000000000000000,G591&gt;=F591,G591&lt;F591+Cutoff!$B$16),1,0)</f>
        <v>0</v>
      </c>
    </row>
    <row r="592" customFormat="false" ht="15" hidden="false" customHeight="false" outlineLevel="0" collapsed="false">
      <c r="A592" s="4" t="s">
        <v>1392</v>
      </c>
      <c r="B592" s="4" t="s">
        <v>242</v>
      </c>
      <c r="C592" s="4" t="s">
        <v>240</v>
      </c>
      <c r="D592" s="4" t="s">
        <v>1632</v>
      </c>
      <c r="E592" s="4" t="n">
        <v>0</v>
      </c>
      <c r="F592" s="4" t="n">
        <v>1790758980</v>
      </c>
      <c r="G592" s="4" t="n">
        <v>1000000000000000</v>
      </c>
      <c r="H592" s="12" t="n">
        <f aca="false">IF(AND(E592=0,F592&lt;1000000000000000,F592+Cutoff!$B$16&lt;=Cutoff!$D$13),1,0)</f>
        <v>0</v>
      </c>
      <c r="I592" s="12" t="n">
        <f aca="false">IF(AND(H592=1,G592&lt;1000000000000000,G592&gt;=F592,G592&lt;F592+Cutoff!$B$16),1,0)</f>
        <v>0</v>
      </c>
    </row>
    <row r="593" customFormat="false" ht="15" hidden="false" customHeight="false" outlineLevel="0" collapsed="false">
      <c r="A593" s="4" t="s">
        <v>1394</v>
      </c>
      <c r="B593" s="4" t="s">
        <v>242</v>
      </c>
      <c r="C593" s="4" t="s">
        <v>240</v>
      </c>
      <c r="D593" s="4" t="s">
        <v>1633</v>
      </c>
      <c r="E593" s="4" t="n">
        <v>0</v>
      </c>
      <c r="F593" s="4" t="n">
        <v>1790775221</v>
      </c>
      <c r="G593" s="4" t="n">
        <v>1000000000000000</v>
      </c>
      <c r="H593" s="12" t="n">
        <f aca="false">IF(AND(E593=0,F593&lt;1000000000000000,F593+Cutoff!$B$16&lt;=Cutoff!$D$13),1,0)</f>
        <v>0</v>
      </c>
      <c r="I593" s="12" t="n">
        <f aca="false">IF(AND(H593=1,G593&lt;1000000000000000,G593&gt;=F593,G593&lt;F593+Cutoff!$B$16),1,0)</f>
        <v>0</v>
      </c>
    </row>
    <row r="594" customFormat="false" ht="15" hidden="false" customHeight="false" outlineLevel="0" collapsed="false">
      <c r="A594" s="4" t="s">
        <v>1396</v>
      </c>
      <c r="B594" s="4" t="s">
        <v>243</v>
      </c>
      <c r="C594" s="4" t="s">
        <v>238</v>
      </c>
      <c r="D594" s="4" t="s">
        <v>1634</v>
      </c>
      <c r="E594" s="4" t="n">
        <v>0</v>
      </c>
      <c r="F594" s="4" t="n">
        <v>1790805549</v>
      </c>
      <c r="G594" s="4" t="n">
        <v>1000000000000000</v>
      </c>
      <c r="H594" s="12" t="n">
        <f aca="false">IF(AND(E594=0,F594&lt;1000000000000000,F594+Cutoff!$B$16&lt;=Cutoff!$D$13),1,0)</f>
        <v>0</v>
      </c>
      <c r="I594" s="12" t="n">
        <f aca="false">IF(AND(H594=1,G594&lt;1000000000000000,G594&gt;=F594,G594&lt;F594+Cutoff!$B$16),1,0)</f>
        <v>0</v>
      </c>
    </row>
    <row r="595" customFormat="false" ht="15" hidden="false" customHeight="false" outlineLevel="0" collapsed="false">
      <c r="A595" s="4" t="s">
        <v>1663</v>
      </c>
      <c r="B595" s="4" t="s">
        <v>242</v>
      </c>
      <c r="C595" s="4" t="s">
        <v>239</v>
      </c>
      <c r="D595" s="4" t="s">
        <v>1634</v>
      </c>
      <c r="E595" s="4" t="n">
        <v>0</v>
      </c>
      <c r="F595" s="4" t="n">
        <v>1790813475</v>
      </c>
      <c r="G595" s="4" t="n">
        <v>1000000000000000</v>
      </c>
      <c r="H595" s="12" t="n">
        <f aca="false">IF(AND(E595=0,F595&lt;1000000000000000,F595+Cutoff!$B$16&lt;=Cutoff!$D$13),1,0)</f>
        <v>0</v>
      </c>
      <c r="I595" s="12" t="n">
        <f aca="false">IF(AND(H595=1,G595&lt;1000000000000000,G595&gt;=F595,G595&lt;F595+Cutoff!$B$16),1,0)</f>
        <v>0</v>
      </c>
    </row>
    <row r="596" customFormat="false" ht="15" hidden="false" customHeight="false" outlineLevel="0" collapsed="false">
      <c r="A596" s="4" t="s">
        <v>1664</v>
      </c>
      <c r="B596" s="4" t="s">
        <v>237</v>
      </c>
      <c r="C596" s="4" t="s">
        <v>239</v>
      </c>
      <c r="D596" s="4" t="s">
        <v>1633</v>
      </c>
      <c r="E596" s="4" t="n">
        <v>0</v>
      </c>
      <c r="F596" s="4" t="n">
        <v>1790880580</v>
      </c>
      <c r="G596" s="4" t="n">
        <v>1000000000000000</v>
      </c>
      <c r="H596" s="12" t="n">
        <f aca="false">IF(AND(E596=0,F596&lt;1000000000000000,F596+Cutoff!$B$16&lt;=Cutoff!$D$13),1,0)</f>
        <v>0</v>
      </c>
      <c r="I596" s="12" t="n">
        <f aca="false">IF(AND(H596=1,G596&lt;1000000000000000,G596&gt;=F596,G596&lt;F596+Cutoff!$B$16),1,0)</f>
        <v>0</v>
      </c>
    </row>
    <row r="597" customFormat="false" ht="15" hidden="false" customHeight="false" outlineLevel="0" collapsed="false">
      <c r="A597" s="4" t="s">
        <v>1624</v>
      </c>
      <c r="B597" s="4" t="s">
        <v>237</v>
      </c>
      <c r="C597" s="4" t="s">
        <v>238</v>
      </c>
      <c r="D597" s="4" t="s">
        <v>1633</v>
      </c>
      <c r="E597" s="4" t="n">
        <v>0</v>
      </c>
      <c r="F597" s="4" t="n">
        <v>1790946466</v>
      </c>
      <c r="G597" s="4" t="n">
        <v>1790956972</v>
      </c>
      <c r="H597" s="12" t="n">
        <f aca="false">IF(AND(E597=0,F597&lt;1000000000000000,F597+Cutoff!$B$16&lt;=Cutoff!$D$13),1,0)</f>
        <v>0</v>
      </c>
      <c r="I597" s="12" t="n">
        <f aca="false">IF(AND(H597=1,G597&lt;1000000000000000,G597&gt;=F597,G597&lt;F597+Cutoff!$B$16),1,0)</f>
        <v>0</v>
      </c>
    </row>
    <row r="598" customFormat="false" ht="15" hidden="false" customHeight="false" outlineLevel="0" collapsed="false">
      <c r="A598" s="4" t="s">
        <v>1665</v>
      </c>
      <c r="B598" s="4" t="s">
        <v>243</v>
      </c>
      <c r="C598" s="4" t="s">
        <v>240</v>
      </c>
      <c r="D598" s="4" t="s">
        <v>1633</v>
      </c>
      <c r="E598" s="4" t="n">
        <v>0</v>
      </c>
      <c r="F598" s="4" t="n">
        <v>1790951445</v>
      </c>
      <c r="G598" s="4" t="n">
        <v>1000000000000000</v>
      </c>
      <c r="H598" s="12" t="n">
        <f aca="false">IF(AND(E598=0,F598&lt;1000000000000000,F598+Cutoff!$B$16&lt;=Cutoff!$D$13),1,0)</f>
        <v>0</v>
      </c>
      <c r="I598" s="12" t="n">
        <f aca="false">IF(AND(H598=1,G598&lt;1000000000000000,G598&gt;=F598,G598&lt;F598+Cutoff!$B$16),1,0)</f>
        <v>0</v>
      </c>
    </row>
    <row r="599" customFormat="false" ht="15" hidden="false" customHeight="false" outlineLevel="0" collapsed="false">
      <c r="A599" s="4" t="s">
        <v>1666</v>
      </c>
      <c r="B599" s="4" t="s">
        <v>243</v>
      </c>
      <c r="C599" s="4" t="s">
        <v>240</v>
      </c>
      <c r="D599" s="4" t="s">
        <v>1632</v>
      </c>
      <c r="E599" s="4" t="n">
        <v>0</v>
      </c>
      <c r="F599" s="4" t="n">
        <v>1790959201</v>
      </c>
      <c r="G599" s="4" t="n">
        <v>1000000000000000</v>
      </c>
      <c r="H599" s="12" t="n">
        <f aca="false">IF(AND(E599=0,F599&lt;1000000000000000,F599+Cutoff!$B$16&lt;=Cutoff!$D$13),1,0)</f>
        <v>0</v>
      </c>
      <c r="I599" s="12" t="n">
        <f aca="false">IF(AND(H599=1,G599&lt;1000000000000000,G599&gt;=F599,G599&lt;F599+Cutoff!$B$16),1,0)</f>
        <v>0</v>
      </c>
    </row>
    <row r="600" customFormat="false" ht="15" hidden="false" customHeight="false" outlineLevel="0" collapsed="false">
      <c r="A600" s="4" t="s">
        <v>1667</v>
      </c>
      <c r="B600" s="4" t="s">
        <v>243</v>
      </c>
      <c r="C600" s="4" t="s">
        <v>240</v>
      </c>
      <c r="D600" s="4" t="s">
        <v>1633</v>
      </c>
      <c r="E600" s="4" t="n">
        <v>0</v>
      </c>
      <c r="F600" s="4" t="n">
        <v>1791043475</v>
      </c>
      <c r="G600" s="4" t="n">
        <v>1000000000000000</v>
      </c>
      <c r="H600" s="12" t="n">
        <f aca="false">IF(AND(E600=0,F600&lt;1000000000000000,F600+Cutoff!$B$16&lt;=Cutoff!$D$13),1,0)</f>
        <v>0</v>
      </c>
      <c r="I600" s="12" t="n">
        <f aca="false">IF(AND(H600=1,G600&lt;1000000000000000,G600&gt;=F600,G600&lt;F600+Cutoff!$B$16),1,0)</f>
        <v>0</v>
      </c>
    </row>
    <row r="601" customFormat="false" ht="15" hidden="false" customHeight="false" outlineLevel="0" collapsed="false">
      <c r="A601" s="4" t="s">
        <v>1668</v>
      </c>
      <c r="B601" s="4" t="s">
        <v>242</v>
      </c>
      <c r="C601" s="4" t="s">
        <v>240</v>
      </c>
      <c r="D601" s="4" t="s">
        <v>1634</v>
      </c>
      <c r="E601" s="4" t="n">
        <v>0</v>
      </c>
      <c r="F601" s="4" t="n">
        <v>1791056819</v>
      </c>
      <c r="G601" s="4" t="n">
        <v>1000000000000000</v>
      </c>
      <c r="H601" s="12" t="n">
        <f aca="false">IF(AND(E601=0,F601&lt;1000000000000000,F601+Cutoff!$B$16&lt;=Cutoff!$D$13),1,0)</f>
        <v>0</v>
      </c>
      <c r="I601" s="12" t="n">
        <f aca="false">IF(AND(H601=1,G601&lt;1000000000000000,G601&gt;=F601,G601&lt;F601+Cutoff!$B$16),1,0)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4"/>
    <col collapsed="false" customWidth="true" hidden="false" outlineLevel="0" max="4" min="4" style="0" width="14"/>
    <col collapsed="false" customWidth="true" hidden="false" outlineLevel="0" max="5" min="5" style="0" width="16"/>
    <col collapsed="false" customWidth="true" hidden="false" outlineLevel="0" max="6" min="6" style="0" width="24"/>
  </cols>
  <sheetData>
    <row r="1" customFormat="false" ht="17.35" hidden="false" customHeight="false" outlineLevel="0" collapsed="false">
      <c r="A1" s="1" t="s">
        <v>1669</v>
      </c>
    </row>
    <row r="4" customFormat="false" ht="28.35" hidden="false" customHeight="false" outlineLevel="0" collapsed="false">
      <c r="A4" s="7" t="s">
        <v>1670</v>
      </c>
      <c r="B4" s="7" t="s">
        <v>1671</v>
      </c>
      <c r="C4" s="7" t="s">
        <v>1672</v>
      </c>
      <c r="D4" s="7" t="s">
        <v>1673</v>
      </c>
      <c r="E4" s="7" t="s">
        <v>1674</v>
      </c>
      <c r="F4" s="7" t="s">
        <v>1675</v>
      </c>
    </row>
    <row r="5" customFormat="false" ht="15" hidden="false" customHeight="false" outlineLevel="0" collapsed="false">
      <c r="A5" s="4" t="s">
        <v>1676</v>
      </c>
      <c r="B5" s="4" t="s">
        <v>288</v>
      </c>
      <c r="C5" s="4" t="s">
        <v>1677</v>
      </c>
      <c r="D5" s="4" t="n">
        <v>1779062400</v>
      </c>
      <c r="E5" s="4" t="n">
        <v>1779062700</v>
      </c>
      <c r="F5" s="4" t="s">
        <v>1678</v>
      </c>
    </row>
    <row r="6" customFormat="false" ht="15" hidden="false" customHeight="false" outlineLevel="0" collapsed="false">
      <c r="A6" s="4" t="s">
        <v>1679</v>
      </c>
      <c r="B6" s="4" t="s">
        <v>288</v>
      </c>
      <c r="C6" s="4" t="s">
        <v>1680</v>
      </c>
      <c r="D6" s="4" t="n">
        <v>1781481600</v>
      </c>
      <c r="E6" s="4" t="n">
        <v>1781481900</v>
      </c>
      <c r="F6" s="4" t="s">
        <v>1681</v>
      </c>
    </row>
    <row r="7" customFormat="false" ht="15" hidden="false" customHeight="false" outlineLevel="0" collapsed="false">
      <c r="A7" s="4" t="s">
        <v>1682</v>
      </c>
      <c r="B7" s="4" t="s">
        <v>288</v>
      </c>
      <c r="C7" s="4" t="s">
        <v>1683</v>
      </c>
      <c r="D7" s="4" t="n">
        <v>1783900800</v>
      </c>
      <c r="E7" s="4" t="n">
        <v>1783901100</v>
      </c>
      <c r="F7" s="4" t="s">
        <v>1684</v>
      </c>
    </row>
    <row r="8" customFormat="false" ht="15" hidden="false" customHeight="false" outlineLevel="0" collapsed="false">
      <c r="A8" s="4" t="s">
        <v>25</v>
      </c>
      <c r="B8" s="4" t="s">
        <v>288</v>
      </c>
      <c r="C8" s="4" t="s">
        <v>1685</v>
      </c>
      <c r="D8" s="4" t="n">
        <v>1785628800</v>
      </c>
      <c r="E8" s="4" t="n">
        <v>1785629100</v>
      </c>
      <c r="F8" s="4" t="s">
        <v>1686</v>
      </c>
    </row>
    <row r="9" customFormat="false" ht="15" hidden="false" customHeight="false" outlineLevel="0" collapsed="false">
      <c r="A9" s="4" t="s">
        <v>1687</v>
      </c>
      <c r="B9" s="4" t="s">
        <v>1089</v>
      </c>
      <c r="C9" s="4" t="s">
        <v>1688</v>
      </c>
      <c r="D9" s="4" t="n">
        <v>1791072000</v>
      </c>
      <c r="E9" s="4" t="n">
        <v>1791072300</v>
      </c>
      <c r="F9" s="4" t="s">
        <v>1689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6"/>
    <col collapsed="false" customWidth="true" hidden="false" outlineLevel="0" max="4" min="4" style="0" width="20"/>
    <col collapsed="false" customWidth="true" hidden="false" outlineLevel="0" max="15" min="15" style="0" width="66"/>
  </cols>
  <sheetData>
    <row r="1" customFormat="false" ht="17.35" hidden="false" customHeight="false" outlineLevel="0" collapsed="false">
      <c r="A1" s="1" t="s">
        <v>1690</v>
      </c>
    </row>
    <row r="4" customFormat="false" ht="55.2" hidden="false" customHeight="false" outlineLevel="0" collapsed="false">
      <c r="A4" s="7" t="s">
        <v>1671</v>
      </c>
      <c r="B4" s="7" t="s">
        <v>1691</v>
      </c>
      <c r="C4" s="7" t="s">
        <v>1692</v>
      </c>
      <c r="D4" s="7" t="s">
        <v>1693</v>
      </c>
      <c r="E4" s="7" t="s">
        <v>36</v>
      </c>
      <c r="F4" s="7" t="s">
        <v>37</v>
      </c>
      <c r="G4" s="7" t="s">
        <v>211</v>
      </c>
      <c r="H4" s="7" t="s">
        <v>1694</v>
      </c>
      <c r="I4" s="7" t="s">
        <v>38</v>
      </c>
      <c r="J4" s="7" t="s">
        <v>1695</v>
      </c>
      <c r="K4" s="7" t="s">
        <v>1696</v>
      </c>
      <c r="L4" s="7" t="s">
        <v>1697</v>
      </c>
      <c r="M4" s="7" t="s">
        <v>1698</v>
      </c>
      <c r="N4" s="7" t="s">
        <v>1699</v>
      </c>
      <c r="O4" s="7" t="s">
        <v>1700</v>
      </c>
      <c r="P4" s="7" t="s">
        <v>123</v>
      </c>
    </row>
    <row r="5" customFormat="false" ht="15" hidden="false" customHeight="false" outlineLevel="0" collapsed="false">
      <c r="A5" s="4" t="s">
        <v>288</v>
      </c>
      <c r="B5" s="4" t="n">
        <v>1785628800</v>
      </c>
      <c r="C5" s="4" t="n">
        <v>1775390400</v>
      </c>
      <c r="D5" s="4" t="n">
        <v>1779062700</v>
      </c>
      <c r="E5" s="4" t="n">
        <v>0.5</v>
      </c>
      <c r="F5" s="4" t="n">
        <v>0.5</v>
      </c>
      <c r="G5" s="4" t="n">
        <v>1.959964</v>
      </c>
      <c r="H5" s="4" t="n">
        <v>0.95</v>
      </c>
      <c r="I5" s="4" t="n">
        <v>0.001</v>
      </c>
      <c r="J5" s="4" t="n">
        <v>5</v>
      </c>
      <c r="K5" s="4" t="n">
        <v>7</v>
      </c>
      <c r="L5" s="4" t="n">
        <v>7</v>
      </c>
      <c r="M5" s="4" t="n">
        <v>1775433600</v>
      </c>
      <c r="N5" s="4" t="n">
        <v>1785628800</v>
      </c>
      <c r="O5" s="4" t="s">
        <v>1701</v>
      </c>
      <c r="P5" s="13" t="b">
        <f aca="false">TRUE()</f>
        <v>1</v>
      </c>
    </row>
    <row r="6" customFormat="false" ht="15" hidden="false" customHeight="false" outlineLevel="0" collapsed="false">
      <c r="A6" s="4" t="s">
        <v>1089</v>
      </c>
      <c r="B6" s="4" t="n">
        <v>1791072000</v>
      </c>
      <c r="C6" s="4" t="n">
        <v>1785672000</v>
      </c>
      <c r="D6" s="4" t="n">
        <v>1791072300</v>
      </c>
      <c r="E6" s="4" t="n">
        <v>0.6</v>
      </c>
      <c r="F6" s="4" t="n">
        <v>0.4</v>
      </c>
      <c r="G6" s="4" t="n">
        <v>1.959964</v>
      </c>
      <c r="H6" s="4" t="n">
        <v>0.95</v>
      </c>
      <c r="I6" s="4" t="n">
        <v>0.001</v>
      </c>
      <c r="J6" s="4" t="n">
        <v>5</v>
      </c>
      <c r="K6" s="4" t="n">
        <v>7</v>
      </c>
      <c r="L6" s="4" t="n">
        <v>7</v>
      </c>
      <c r="M6" s="4" t="n">
        <v>1785715200</v>
      </c>
      <c r="N6" s="4" t="n">
        <v>1791072000</v>
      </c>
      <c r="O6" s="4" t="s">
        <v>1702</v>
      </c>
      <c r="P6" s="13" t="b">
        <f aca="false">TRUE()</f>
        <v>1</v>
      </c>
    </row>
    <row r="8" customFormat="false" ht="15" hidden="false" customHeight="false" outlineLevel="0" collapsed="false">
      <c r="A8" s="0" t="s">
        <v>1703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s>
  <sheetData>
    <row r="1" customFormat="false" ht="17.35" hidden="false" customHeight="false" outlineLevel="0" collapsed="false">
      <c r="A1" s="1" t="s">
        <v>1704</v>
      </c>
    </row>
    <row r="2" customFormat="false" ht="15" hidden="false" customHeight="false" outlineLevel="0" collapsed="false">
      <c r="A2" s="0" t="s">
        <v>1705</v>
      </c>
    </row>
    <row r="3" customFormat="false" ht="15" hidden="false" customHeight="false" outlineLevel="0" collapsed="false">
      <c r="A3" s="0" t="s">
        <v>1706</v>
      </c>
      <c r="B3" s="0" t="n">
        <v>296</v>
      </c>
      <c r="C3" s="0" t="n">
        <v>296</v>
      </c>
    </row>
    <row r="5" customFormat="false" ht="15" hidden="false" customHeight="false" outlineLevel="0" collapsed="false">
      <c r="A5" s="2" t="s">
        <v>1707</v>
      </c>
    </row>
    <row r="6" customFormat="false" ht="41.75" hidden="false" customHeight="false" outlineLevel="0" collapsed="false">
      <c r="A6" s="7" t="s">
        <v>1708</v>
      </c>
      <c r="B6" s="7" t="s">
        <v>1709</v>
      </c>
      <c r="C6" s="7" t="s">
        <v>116</v>
      </c>
      <c r="D6" s="7" t="s">
        <v>1710</v>
      </c>
      <c r="E6" s="7" t="s">
        <v>1711</v>
      </c>
      <c r="F6" s="7" t="s">
        <v>1712</v>
      </c>
      <c r="G6" s="7" t="s">
        <v>1713</v>
      </c>
      <c r="H6" s="7" t="s">
        <v>1714</v>
      </c>
      <c r="I6" s="7" t="s">
        <v>1715</v>
      </c>
      <c r="J6" s="7" t="s">
        <v>1716</v>
      </c>
      <c r="K6" s="7" t="s">
        <v>1717</v>
      </c>
      <c r="L6" s="7" t="s">
        <v>1718</v>
      </c>
      <c r="M6" s="7" t="s">
        <v>98</v>
      </c>
      <c r="N6" s="7" t="s">
        <v>102</v>
      </c>
      <c r="O6" s="7" t="s">
        <v>106</v>
      </c>
      <c r="P6" s="7" t="s">
        <v>110</v>
      </c>
      <c r="Q6" s="7" t="s">
        <v>112</v>
      </c>
      <c r="R6" s="7" t="s">
        <v>70</v>
      </c>
      <c r="S6" s="7" t="s">
        <v>74</v>
      </c>
      <c r="T6" s="7" t="s">
        <v>78</v>
      </c>
      <c r="U6" s="7" t="s">
        <v>122</v>
      </c>
      <c r="V6" s="7" t="s">
        <v>119</v>
      </c>
      <c r="W6" s="7" t="s">
        <v>125</v>
      </c>
    </row>
    <row r="7" customFormat="false" ht="15" hidden="false" customHeight="false" outlineLevel="0" collapsed="false">
      <c r="A7" s="0" t="s">
        <v>1676</v>
      </c>
      <c r="B7" s="0" t="s">
        <v>1677</v>
      </c>
      <c r="C7" s="0" t="s">
        <v>1719</v>
      </c>
      <c r="D7" s="0" t="n">
        <v>0</v>
      </c>
      <c r="E7" s="0" t="n">
        <v>77</v>
      </c>
      <c r="F7" s="0" t="n">
        <v>78</v>
      </c>
      <c r="G7" s="0" t="n">
        <v>65</v>
      </c>
      <c r="H7" s="0" t="n">
        <v>64</v>
      </c>
      <c r="I7" s="0" t="n">
        <v>18</v>
      </c>
      <c r="J7" s="0" t="n">
        <v>25</v>
      </c>
      <c r="K7" s="0" t="n">
        <v>0.276923</v>
      </c>
      <c r="L7" s="0" t="n">
        <v>0.390625</v>
      </c>
      <c r="M7" s="0" t="n">
        <v>11.37</v>
      </c>
      <c r="N7" s="0" t="n">
        <v>0.41059</v>
      </c>
      <c r="O7" s="0" t="n">
        <v>-0.048312</v>
      </c>
      <c r="P7" s="0" t="n">
        <v>0.268068</v>
      </c>
      <c r="Q7" s="0" t="s">
        <v>1719</v>
      </c>
      <c r="R7" s="0" t="n">
        <v>0.006452</v>
      </c>
      <c r="S7" s="0" t="n">
        <v>0.935981</v>
      </c>
      <c r="T7" s="0" t="s">
        <v>200</v>
      </c>
      <c r="U7" s="0" t="s">
        <v>1719</v>
      </c>
      <c r="V7" s="0" t="s">
        <v>1719</v>
      </c>
      <c r="W7" s="0" t="s">
        <v>1720</v>
      </c>
    </row>
    <row r="8" customFormat="false" ht="15" hidden="false" customHeight="false" outlineLevel="0" collapsed="false">
      <c r="A8" s="0" t="s">
        <v>1679</v>
      </c>
      <c r="B8" s="0" t="s">
        <v>1680</v>
      </c>
      <c r="C8" s="0" t="s">
        <v>1719</v>
      </c>
      <c r="D8" s="0" t="n">
        <v>1</v>
      </c>
      <c r="E8" s="0" t="n">
        <v>127</v>
      </c>
      <c r="F8" s="0" t="n">
        <v>126</v>
      </c>
      <c r="G8" s="0" t="n">
        <v>114</v>
      </c>
      <c r="H8" s="0" t="n">
        <v>115</v>
      </c>
      <c r="I8" s="0" t="n">
        <v>34</v>
      </c>
      <c r="J8" s="0" t="n">
        <v>48</v>
      </c>
      <c r="K8" s="0" t="n">
        <v>0.298246</v>
      </c>
      <c r="L8" s="0" t="n">
        <v>0.417391</v>
      </c>
      <c r="M8" s="0" t="n">
        <v>11.91</v>
      </c>
      <c r="N8" s="0" t="n">
        <v>0.399488</v>
      </c>
      <c r="O8" s="0" t="n">
        <v>-0.004952</v>
      </c>
      <c r="P8" s="0" t="n">
        <v>0.238174</v>
      </c>
      <c r="Q8" s="0" t="s">
        <v>1719</v>
      </c>
      <c r="R8" s="0" t="n">
        <v>0.003953</v>
      </c>
      <c r="S8" s="0" t="n">
        <v>0.94987</v>
      </c>
      <c r="T8" s="0" t="s">
        <v>200</v>
      </c>
      <c r="U8" s="0" t="s">
        <v>1719</v>
      </c>
      <c r="V8" s="0" t="s">
        <v>1719</v>
      </c>
      <c r="W8" s="0" t="s">
        <v>1720</v>
      </c>
    </row>
    <row r="9" customFormat="false" ht="15" hidden="false" customHeight="false" outlineLevel="0" collapsed="false">
      <c r="A9" s="0" t="s">
        <v>1682</v>
      </c>
      <c r="B9" s="0" t="s">
        <v>1683</v>
      </c>
      <c r="C9" s="0" t="s">
        <v>1719</v>
      </c>
      <c r="D9" s="0" t="n">
        <v>2</v>
      </c>
      <c r="E9" s="0" t="n">
        <v>177</v>
      </c>
      <c r="F9" s="0" t="n">
        <v>176</v>
      </c>
      <c r="G9" s="0" t="n">
        <v>164</v>
      </c>
      <c r="H9" s="0" t="n">
        <v>164</v>
      </c>
      <c r="I9" s="0" t="n">
        <v>53</v>
      </c>
      <c r="J9" s="0" t="n">
        <v>68</v>
      </c>
      <c r="K9" s="0" t="n">
        <v>0.323171</v>
      </c>
      <c r="L9" s="0" t="n">
        <v>0.414634</v>
      </c>
      <c r="M9" s="0" t="n">
        <v>9.15</v>
      </c>
      <c r="N9" s="0" t="n">
        <v>0.283019</v>
      </c>
      <c r="O9" s="0" t="n">
        <v>-0.012863</v>
      </c>
      <c r="P9" s="0" t="n">
        <v>0.193048</v>
      </c>
      <c r="Q9" s="0" t="s">
        <v>1719</v>
      </c>
      <c r="R9" s="0" t="n">
        <v>0.002833</v>
      </c>
      <c r="S9" s="0" t="n">
        <v>0.957553</v>
      </c>
      <c r="T9" s="0" t="s">
        <v>200</v>
      </c>
      <c r="U9" s="0" t="s">
        <v>1719</v>
      </c>
      <c r="V9" s="0" t="s">
        <v>1719</v>
      </c>
      <c r="W9" s="0" t="s">
        <v>1720</v>
      </c>
    </row>
    <row r="10" customFormat="false" ht="15" hidden="false" customHeight="false" outlineLevel="0" collapsed="false">
      <c r="A10" s="0" t="s">
        <v>25</v>
      </c>
      <c r="B10" s="0" t="s">
        <v>1685</v>
      </c>
      <c r="C10" s="0" t="s">
        <v>1720</v>
      </c>
      <c r="D10" s="0" t="n">
        <v>3</v>
      </c>
      <c r="E10" s="0" t="n">
        <v>200</v>
      </c>
      <c r="F10" s="0" t="n">
        <v>200</v>
      </c>
      <c r="G10" s="0" t="n">
        <v>200</v>
      </c>
      <c r="H10" s="0" t="n">
        <v>200</v>
      </c>
      <c r="I10" s="0" t="n">
        <v>63</v>
      </c>
      <c r="J10" s="0" t="n">
        <v>82</v>
      </c>
      <c r="K10" s="0" t="n">
        <v>0.315</v>
      </c>
      <c r="L10" s="0" t="n">
        <v>0.41</v>
      </c>
      <c r="M10" s="0" t="n">
        <v>9.5</v>
      </c>
      <c r="N10" s="0" t="n">
        <v>0.301587</v>
      </c>
      <c r="O10" s="0" t="n">
        <v>0.000812</v>
      </c>
      <c r="P10" s="0" t="n">
        <v>0.186863</v>
      </c>
      <c r="Q10" s="0" t="s">
        <v>1720</v>
      </c>
      <c r="R10" s="0" t="n">
        <v>0</v>
      </c>
      <c r="S10" s="0" t="n">
        <v>1</v>
      </c>
      <c r="T10" s="0" t="s">
        <v>200</v>
      </c>
      <c r="U10" s="0" t="s">
        <v>1719</v>
      </c>
      <c r="V10" s="0" t="s">
        <v>1719</v>
      </c>
      <c r="W10" s="0" t="s">
        <v>1719</v>
      </c>
    </row>
    <row r="11" customFormat="false" ht="15" hidden="false" customHeight="false" outlineLevel="0" collapsed="false">
      <c r="A11" s="0" t="s">
        <v>1721</v>
      </c>
      <c r="B11" s="0" t="s">
        <v>1722</v>
      </c>
      <c r="C11" s="0" t="s">
        <v>1720</v>
      </c>
      <c r="E11" s="0" t="n">
        <v>200</v>
      </c>
      <c r="F11" s="0" t="n">
        <v>200</v>
      </c>
      <c r="G11" s="0" t="n">
        <v>200</v>
      </c>
      <c r="H11" s="0" t="n">
        <v>200</v>
      </c>
      <c r="I11" s="0" t="n">
        <v>63</v>
      </c>
      <c r="J11" s="0" t="n">
        <v>82</v>
      </c>
      <c r="K11" s="0" t="n">
        <v>0.315</v>
      </c>
      <c r="L11" s="0" t="n">
        <v>0.41</v>
      </c>
      <c r="M11" s="0" t="n">
        <v>9.5</v>
      </c>
      <c r="N11" s="0" t="n">
        <v>0.301587</v>
      </c>
      <c r="O11" s="0" t="n">
        <v>0.000812</v>
      </c>
      <c r="P11" s="0" t="n">
        <v>0.186863</v>
      </c>
      <c r="Q11" s="0" t="s">
        <v>1720</v>
      </c>
      <c r="R11" s="0" t="n">
        <v>0</v>
      </c>
      <c r="S11" s="0" t="n">
        <v>1</v>
      </c>
      <c r="T11" s="0" t="s">
        <v>200</v>
      </c>
      <c r="U11" s="0" t="s">
        <v>1719</v>
      </c>
      <c r="V11" s="0" t="s">
        <v>1719</v>
      </c>
      <c r="W11" s="0" t="s">
        <v>1719</v>
      </c>
    </row>
    <row r="14" customFormat="false" ht="15" hidden="false" customHeight="false" outlineLevel="0" collapsed="false">
      <c r="A14" s="2" t="s">
        <v>1723</v>
      </c>
    </row>
    <row r="15" customFormat="false" ht="41.75" hidden="false" customHeight="false" outlineLevel="0" collapsed="false">
      <c r="A15" s="7" t="s">
        <v>1724</v>
      </c>
      <c r="B15" s="7" t="s">
        <v>1708</v>
      </c>
      <c r="C15" s="7" t="s">
        <v>1709</v>
      </c>
      <c r="D15" s="7" t="s">
        <v>1725</v>
      </c>
      <c r="E15" s="7" t="s">
        <v>1726</v>
      </c>
      <c r="F15" s="7" t="s">
        <v>1727</v>
      </c>
      <c r="G15" s="7" t="s">
        <v>1728</v>
      </c>
      <c r="H15" s="7" t="s">
        <v>1729</v>
      </c>
      <c r="I15" s="7" t="s">
        <v>1730</v>
      </c>
      <c r="J15" s="7" t="s">
        <v>1731</v>
      </c>
      <c r="K15" s="7" t="s">
        <v>1732</v>
      </c>
      <c r="L15" s="7" t="s">
        <v>1733</v>
      </c>
      <c r="M15" s="7" t="s">
        <v>176</v>
      </c>
      <c r="N15" s="7" t="s">
        <v>1734</v>
      </c>
    </row>
    <row r="16" customFormat="false" ht="15" hidden="false" customHeight="false" outlineLevel="0" collapsed="false">
      <c r="A16" s="0" t="s">
        <v>288</v>
      </c>
      <c r="B16" s="0" t="s">
        <v>1676</v>
      </c>
      <c r="C16" s="0" t="s">
        <v>1677</v>
      </c>
      <c r="D16" s="0" t="n">
        <v>0.5</v>
      </c>
      <c r="E16" s="0" t="n">
        <v>0.5</v>
      </c>
      <c r="F16" s="0" t="n">
        <v>77</v>
      </c>
      <c r="G16" s="0" t="n">
        <v>78</v>
      </c>
      <c r="H16" s="0" t="n">
        <v>77.5</v>
      </c>
      <c r="I16" s="0" t="n">
        <v>77.5</v>
      </c>
      <c r="J16" s="0" t="n">
        <v>0.503226</v>
      </c>
      <c r="K16" s="0" t="n">
        <v>0.006452</v>
      </c>
      <c r="L16" s="0" t="n">
        <v>0.935981</v>
      </c>
      <c r="M16" s="0" t="n">
        <v>1</v>
      </c>
      <c r="N16" s="0" t="s">
        <v>200</v>
      </c>
    </row>
    <row r="17" customFormat="false" ht="15" hidden="false" customHeight="false" outlineLevel="0" collapsed="false">
      <c r="A17" s="0" t="s">
        <v>288</v>
      </c>
      <c r="B17" s="0" t="s">
        <v>1679</v>
      </c>
      <c r="C17" s="0" t="s">
        <v>1680</v>
      </c>
      <c r="D17" s="0" t="n">
        <v>0.5</v>
      </c>
      <c r="E17" s="0" t="n">
        <v>0.5</v>
      </c>
      <c r="F17" s="0" t="n">
        <v>127</v>
      </c>
      <c r="G17" s="0" t="n">
        <v>126</v>
      </c>
      <c r="H17" s="0" t="n">
        <v>126.5</v>
      </c>
      <c r="I17" s="0" t="n">
        <v>126.5</v>
      </c>
      <c r="J17" s="0" t="n">
        <v>0.498024</v>
      </c>
      <c r="K17" s="0" t="n">
        <v>0.003953</v>
      </c>
      <c r="L17" s="0" t="n">
        <v>0.94987</v>
      </c>
      <c r="M17" s="0" t="n">
        <v>1</v>
      </c>
      <c r="N17" s="0" t="s">
        <v>200</v>
      </c>
    </row>
    <row r="18" customFormat="false" ht="15" hidden="false" customHeight="false" outlineLevel="0" collapsed="false">
      <c r="A18" s="0" t="s">
        <v>288</v>
      </c>
      <c r="B18" s="0" t="s">
        <v>1682</v>
      </c>
      <c r="C18" s="0" t="s">
        <v>1683</v>
      </c>
      <c r="D18" s="0" t="n">
        <v>0.5</v>
      </c>
      <c r="E18" s="0" t="n">
        <v>0.5</v>
      </c>
      <c r="F18" s="0" t="n">
        <v>177</v>
      </c>
      <c r="G18" s="0" t="n">
        <v>176</v>
      </c>
      <c r="H18" s="0" t="n">
        <v>176.5</v>
      </c>
      <c r="I18" s="0" t="n">
        <v>176.5</v>
      </c>
      <c r="J18" s="0" t="n">
        <v>0.498584</v>
      </c>
      <c r="K18" s="0" t="n">
        <v>0.002833</v>
      </c>
      <c r="L18" s="0" t="n">
        <v>0.957553</v>
      </c>
      <c r="M18" s="0" t="n">
        <v>1</v>
      </c>
      <c r="N18" s="0" t="s">
        <v>200</v>
      </c>
    </row>
    <row r="19" customFormat="false" ht="15" hidden="false" customHeight="false" outlineLevel="0" collapsed="false">
      <c r="A19" s="0" t="s">
        <v>288</v>
      </c>
      <c r="B19" s="0" t="s">
        <v>25</v>
      </c>
      <c r="C19" s="0" t="s">
        <v>1685</v>
      </c>
      <c r="D19" s="0" t="n">
        <v>0.5</v>
      </c>
      <c r="E19" s="0" t="n">
        <v>0.5</v>
      </c>
      <c r="F19" s="0" t="n">
        <v>200</v>
      </c>
      <c r="G19" s="0" t="n">
        <v>200</v>
      </c>
      <c r="H19" s="0" t="n">
        <v>200</v>
      </c>
      <c r="I19" s="0" t="n">
        <v>200</v>
      </c>
      <c r="J19" s="0" t="n">
        <v>0.5</v>
      </c>
      <c r="K19" s="0" t="n">
        <v>0</v>
      </c>
      <c r="L19" s="0" t="n">
        <v>1</v>
      </c>
      <c r="M19" s="0" t="n">
        <v>1</v>
      </c>
      <c r="N19" s="0" t="s">
        <v>200</v>
      </c>
    </row>
    <row r="20" customFormat="false" ht="15" hidden="false" customHeight="false" outlineLevel="0" collapsed="false">
      <c r="A20" s="0" t="s">
        <v>288</v>
      </c>
      <c r="B20" s="0" t="s">
        <v>1721</v>
      </c>
      <c r="C20" s="0" t="s">
        <v>1722</v>
      </c>
      <c r="D20" s="0" t="n">
        <v>0.5</v>
      </c>
      <c r="E20" s="0" t="n">
        <v>0.5</v>
      </c>
      <c r="F20" s="0" t="n">
        <v>200</v>
      </c>
      <c r="G20" s="0" t="n">
        <v>200</v>
      </c>
      <c r="H20" s="0" t="n">
        <v>200</v>
      </c>
      <c r="I20" s="0" t="n">
        <v>200</v>
      </c>
      <c r="J20" s="0" t="n">
        <v>0.5</v>
      </c>
      <c r="K20" s="0" t="n">
        <v>0</v>
      </c>
      <c r="L20" s="0" t="n">
        <v>1</v>
      </c>
      <c r="M20" s="0" t="n">
        <v>1</v>
      </c>
      <c r="N20" s="0" t="s">
        <v>200</v>
      </c>
    </row>
    <row r="21" customFormat="false" ht="15" hidden="false" customHeight="false" outlineLevel="0" collapsed="false">
      <c r="A21" s="0" t="s">
        <v>1089</v>
      </c>
      <c r="B21" s="0" t="s">
        <v>1687</v>
      </c>
      <c r="C21" s="0" t="s">
        <v>1688</v>
      </c>
      <c r="D21" s="0" t="n">
        <v>0.6</v>
      </c>
      <c r="E21" s="0" t="n">
        <v>0.4</v>
      </c>
      <c r="F21" s="0" t="n">
        <v>62</v>
      </c>
      <c r="G21" s="0" t="n">
        <v>92</v>
      </c>
      <c r="H21" s="0" t="n">
        <v>92.4</v>
      </c>
      <c r="I21" s="0" t="n">
        <v>61.6</v>
      </c>
      <c r="J21" s="0" t="n">
        <v>0.597403</v>
      </c>
      <c r="K21" s="0" t="n">
        <v>25.004329</v>
      </c>
      <c r="L21" s="0" t="n">
        <v>1E-006</v>
      </c>
      <c r="M21" s="0" t="n">
        <v>1</v>
      </c>
      <c r="N21" s="0" t="s">
        <v>201</v>
      </c>
    </row>
    <row r="22" customFormat="false" ht="15" hidden="false" customHeight="false" outlineLevel="0" collapsed="false">
      <c r="A22" s="0" t="s">
        <v>1089</v>
      </c>
      <c r="B22" s="0" t="s">
        <v>1721</v>
      </c>
      <c r="C22" s="0" t="s">
        <v>1722</v>
      </c>
      <c r="D22" s="0" t="n">
        <v>0.6</v>
      </c>
      <c r="E22" s="0" t="n">
        <v>0.4</v>
      </c>
      <c r="F22" s="0" t="n">
        <v>62</v>
      </c>
      <c r="G22" s="0" t="n">
        <v>92</v>
      </c>
      <c r="H22" s="0" t="n">
        <v>92.4</v>
      </c>
      <c r="I22" s="0" t="n">
        <v>61.6</v>
      </c>
      <c r="J22" s="0" t="n">
        <v>0.597403</v>
      </c>
      <c r="K22" s="0" t="n">
        <v>25.004329</v>
      </c>
      <c r="L22" s="0" t="n">
        <v>1E-006</v>
      </c>
      <c r="M22" s="0" t="n">
        <v>1</v>
      </c>
      <c r="N22" s="0" t="s">
        <v>201</v>
      </c>
    </row>
    <row r="25" customFormat="false" ht="15" hidden="false" customHeight="false" outlineLevel="0" collapsed="false">
      <c r="A25" s="2" t="s">
        <v>1735</v>
      </c>
    </row>
    <row r="26" customFormat="false" ht="41.75" hidden="false" customHeight="false" outlineLevel="0" collapsed="false">
      <c r="A26" s="7" t="s">
        <v>1708</v>
      </c>
      <c r="B26" s="7" t="s">
        <v>1709</v>
      </c>
      <c r="C26" s="7" t="s">
        <v>1736</v>
      </c>
      <c r="D26" s="7" t="s">
        <v>1737</v>
      </c>
      <c r="E26" s="7" t="s">
        <v>1738</v>
      </c>
      <c r="F26" s="7" t="s">
        <v>1739</v>
      </c>
      <c r="G26" s="7" t="s">
        <v>1740</v>
      </c>
      <c r="H26" s="7" t="s">
        <v>1741</v>
      </c>
      <c r="I26" s="7" t="s">
        <v>1742</v>
      </c>
      <c r="J26" s="7" t="s">
        <v>106</v>
      </c>
      <c r="K26" s="7" t="s">
        <v>110</v>
      </c>
      <c r="L26" s="7" t="s">
        <v>112</v>
      </c>
      <c r="M26" s="7" t="s">
        <v>1734</v>
      </c>
    </row>
    <row r="27" customFormat="false" ht="15" hidden="false" customHeight="false" outlineLevel="0" collapsed="false">
      <c r="A27" s="0" t="s">
        <v>1676</v>
      </c>
      <c r="B27" s="0" t="s">
        <v>1677</v>
      </c>
      <c r="C27" s="0" t="n">
        <v>65</v>
      </c>
      <c r="D27" s="0" t="n">
        <v>64</v>
      </c>
      <c r="E27" s="0" t="n">
        <v>12</v>
      </c>
      <c r="F27" s="0" t="n">
        <v>12</v>
      </c>
      <c r="G27" s="0" t="n">
        <v>0.184615</v>
      </c>
      <c r="H27" s="0" t="n">
        <v>0.1875</v>
      </c>
      <c r="I27" s="0" t="n">
        <v>0.29</v>
      </c>
      <c r="J27" s="0" t="n">
        <v>-0.132063</v>
      </c>
      <c r="K27" s="0" t="n">
        <v>0.138285</v>
      </c>
      <c r="L27" s="0" t="s">
        <v>1719</v>
      </c>
      <c r="M27" s="0" t="s">
        <v>200</v>
      </c>
    </row>
    <row r="28" customFormat="false" ht="15" hidden="false" customHeight="false" outlineLevel="0" collapsed="false">
      <c r="A28" s="0" t="s">
        <v>1679</v>
      </c>
      <c r="B28" s="0" t="s">
        <v>1680</v>
      </c>
      <c r="C28" s="0" t="n">
        <v>114</v>
      </c>
      <c r="D28" s="0" t="n">
        <v>115</v>
      </c>
      <c r="E28" s="0" t="n">
        <v>19</v>
      </c>
      <c r="F28" s="0" t="n">
        <v>19</v>
      </c>
      <c r="G28" s="0" t="n">
        <v>0.166667</v>
      </c>
      <c r="H28" s="0" t="n">
        <v>0.165217</v>
      </c>
      <c r="I28" s="0" t="n">
        <v>-0.14</v>
      </c>
      <c r="J28" s="0" t="n">
        <v>-0.098781</v>
      </c>
      <c r="K28" s="0" t="n">
        <v>0.095704</v>
      </c>
      <c r="L28" s="0" t="s">
        <v>1719</v>
      </c>
      <c r="M28" s="0" t="s">
        <v>200</v>
      </c>
    </row>
    <row r="29" customFormat="false" ht="15" hidden="false" customHeight="false" outlineLevel="0" collapsed="false">
      <c r="A29" s="0" t="s">
        <v>1682</v>
      </c>
      <c r="B29" s="0" t="s">
        <v>1683</v>
      </c>
      <c r="C29" s="0" t="n">
        <v>164</v>
      </c>
      <c r="D29" s="0" t="n">
        <v>164</v>
      </c>
      <c r="E29" s="0" t="n">
        <v>27</v>
      </c>
      <c r="F29" s="0" t="n">
        <v>26</v>
      </c>
      <c r="G29" s="0" t="n">
        <v>0.164634</v>
      </c>
      <c r="H29" s="0" t="n">
        <v>0.158537</v>
      </c>
      <c r="I29" s="0" t="n">
        <v>-0.61</v>
      </c>
      <c r="J29" s="0" t="n">
        <v>-0.086334</v>
      </c>
      <c r="K29" s="0" t="n">
        <v>0.074176</v>
      </c>
      <c r="L29" s="0" t="s">
        <v>1719</v>
      </c>
      <c r="M29" s="0" t="s">
        <v>200</v>
      </c>
    </row>
    <row r="30" customFormat="false" ht="15" hidden="false" customHeight="false" outlineLevel="0" collapsed="false">
      <c r="A30" s="0" t="s">
        <v>25</v>
      </c>
      <c r="B30" s="0" t="s">
        <v>1685</v>
      </c>
      <c r="C30" s="0" t="n">
        <v>200</v>
      </c>
      <c r="D30" s="0" t="n">
        <v>200</v>
      </c>
      <c r="E30" s="0" t="n">
        <v>31</v>
      </c>
      <c r="F30" s="0" t="n">
        <v>30</v>
      </c>
      <c r="G30" s="0" t="n">
        <v>0.155</v>
      </c>
      <c r="H30" s="0" t="n">
        <v>0.15</v>
      </c>
      <c r="I30" s="0" t="n">
        <v>-0.5</v>
      </c>
      <c r="J30" s="0" t="n">
        <v>-0.076005</v>
      </c>
      <c r="K30" s="0" t="n">
        <v>0.066018</v>
      </c>
      <c r="L30" s="0" t="s">
        <v>1719</v>
      </c>
      <c r="M30" s="0" t="s">
        <v>200</v>
      </c>
    </row>
    <row r="31" customFormat="false" ht="15" hidden="false" customHeight="false" outlineLevel="0" collapsed="false">
      <c r="A31" s="0" t="s">
        <v>1721</v>
      </c>
      <c r="B31" s="0" t="s">
        <v>1722</v>
      </c>
      <c r="C31" s="0" t="n">
        <v>200</v>
      </c>
      <c r="D31" s="0" t="n">
        <v>200</v>
      </c>
      <c r="E31" s="0" t="n">
        <v>31</v>
      </c>
      <c r="F31" s="0" t="n">
        <v>30</v>
      </c>
      <c r="G31" s="0" t="n">
        <v>0.155</v>
      </c>
      <c r="H31" s="0" t="n">
        <v>0.15</v>
      </c>
      <c r="I31" s="0" t="n">
        <v>-0.5</v>
      </c>
      <c r="J31" s="0" t="n">
        <v>-0.076005</v>
      </c>
      <c r="K31" s="0" t="n">
        <v>0.066018</v>
      </c>
      <c r="L31" s="0" t="s">
        <v>1719</v>
      </c>
      <c r="M31" s="0" t="s">
        <v>200</v>
      </c>
    </row>
    <row r="34" customFormat="false" ht="15" hidden="false" customHeight="false" outlineLevel="0" collapsed="false">
      <c r="A34" s="2" t="s">
        <v>1743</v>
      </c>
    </row>
    <row r="35" customFormat="false" ht="41.75" hidden="false" customHeight="false" outlineLevel="0" collapsed="false">
      <c r="A35" s="7" t="s">
        <v>1708</v>
      </c>
      <c r="B35" s="7" t="s">
        <v>1709</v>
      </c>
      <c r="C35" s="7" t="s">
        <v>1744</v>
      </c>
      <c r="D35" s="7" t="s">
        <v>174</v>
      </c>
      <c r="E35" s="7" t="s">
        <v>1745</v>
      </c>
      <c r="F35" s="7" t="s">
        <v>1746</v>
      </c>
      <c r="G35" s="7" t="s">
        <v>1747</v>
      </c>
      <c r="H35" s="7" t="s">
        <v>112</v>
      </c>
    </row>
    <row r="36" customFormat="false" ht="15" hidden="false" customHeight="false" outlineLevel="0" collapsed="false">
      <c r="A36" s="0" t="s">
        <v>1676</v>
      </c>
      <c r="B36" s="0" t="s">
        <v>1677</v>
      </c>
      <c r="C36" s="0" t="n">
        <v>3.76</v>
      </c>
      <c r="D36" s="0" t="n">
        <v>126</v>
      </c>
      <c r="E36" s="0" t="n">
        <v>1.978971</v>
      </c>
      <c r="F36" s="0" t="n">
        <v>-79.85</v>
      </c>
      <c r="G36" s="0" t="n">
        <v>87.38</v>
      </c>
      <c r="H36" s="0" t="s">
        <v>1719</v>
      </c>
    </row>
    <row r="37" customFormat="false" ht="15" hidden="false" customHeight="false" outlineLevel="0" collapsed="false">
      <c r="A37" s="0" t="s">
        <v>1679</v>
      </c>
      <c r="B37" s="0" t="s">
        <v>1680</v>
      </c>
      <c r="C37" s="0" t="n">
        <v>-0.05</v>
      </c>
      <c r="D37" s="0" t="n">
        <v>226</v>
      </c>
      <c r="E37" s="0" t="n">
        <v>1.970516</v>
      </c>
      <c r="F37" s="0" t="n">
        <v>-72.03</v>
      </c>
      <c r="G37" s="0" t="n">
        <v>71.92</v>
      </c>
      <c r="H37" s="0" t="s">
        <v>1719</v>
      </c>
    </row>
    <row r="38" customFormat="false" ht="15" hidden="false" customHeight="false" outlineLevel="0" collapsed="false">
      <c r="A38" s="0" t="s">
        <v>1682</v>
      </c>
      <c r="B38" s="0" t="s">
        <v>1683</v>
      </c>
      <c r="C38" s="0" t="n">
        <v>16.48</v>
      </c>
      <c r="D38" s="0" t="n">
        <v>325</v>
      </c>
      <c r="E38" s="0" t="n">
        <v>1.96729</v>
      </c>
      <c r="F38" s="0" t="n">
        <v>-49.01</v>
      </c>
      <c r="G38" s="0" t="n">
        <v>81.98</v>
      </c>
      <c r="H38" s="0" t="s">
        <v>1719</v>
      </c>
    </row>
    <row r="39" customFormat="false" ht="15" hidden="false" customHeight="false" outlineLevel="0" collapsed="false">
      <c r="A39" s="0" t="s">
        <v>25</v>
      </c>
      <c r="B39" s="0" t="s">
        <v>1685</v>
      </c>
      <c r="C39" s="0" t="n">
        <v>33.12</v>
      </c>
      <c r="D39" s="0" t="n">
        <v>391</v>
      </c>
      <c r="E39" s="0" t="n">
        <v>1.96605</v>
      </c>
      <c r="F39" s="0" t="n">
        <v>-25.59</v>
      </c>
      <c r="G39" s="0" t="n">
        <v>91.83</v>
      </c>
      <c r="H39" s="0" t="s">
        <v>1719</v>
      </c>
    </row>
    <row r="40" customFormat="false" ht="15" hidden="false" customHeight="false" outlineLevel="0" collapsed="false">
      <c r="A40" s="0" t="s">
        <v>1721</v>
      </c>
      <c r="B40" s="0" t="s">
        <v>1722</v>
      </c>
      <c r="C40" s="0" t="n">
        <v>33.12</v>
      </c>
      <c r="D40" s="0" t="n">
        <v>391</v>
      </c>
      <c r="E40" s="0" t="n">
        <v>1.96605</v>
      </c>
      <c r="F40" s="0" t="n">
        <v>-25.59</v>
      </c>
      <c r="G40" s="0" t="n">
        <v>91.83</v>
      </c>
      <c r="H40" s="0" t="s">
        <v>1719</v>
      </c>
    </row>
    <row r="43" customFormat="false" ht="15" hidden="false" customHeight="false" outlineLevel="0" collapsed="false">
      <c r="A43" s="2" t="s">
        <v>1748</v>
      </c>
    </row>
    <row r="44" customFormat="false" ht="41.75" hidden="false" customHeight="false" outlineLevel="0" collapsed="false">
      <c r="A44" s="7" t="s">
        <v>1749</v>
      </c>
      <c r="B44" s="7" t="s">
        <v>1713</v>
      </c>
      <c r="C44" s="7" t="s">
        <v>1715</v>
      </c>
      <c r="D44" s="7" t="s">
        <v>1714</v>
      </c>
      <c r="E44" s="7" t="s">
        <v>1716</v>
      </c>
      <c r="F44" s="7" t="s">
        <v>1717</v>
      </c>
      <c r="G44" s="7" t="s">
        <v>1718</v>
      </c>
      <c r="H44" s="7" t="s">
        <v>98</v>
      </c>
    </row>
    <row r="45" customFormat="false" ht="15" hidden="false" customHeight="false" outlineLevel="0" collapsed="false">
      <c r="A45" s="0" t="s">
        <v>1750</v>
      </c>
      <c r="B45" s="0" t="n">
        <v>200</v>
      </c>
      <c r="C45" s="0" t="n">
        <v>63</v>
      </c>
      <c r="D45" s="0" t="n">
        <v>200</v>
      </c>
      <c r="E45" s="0" t="n">
        <v>82</v>
      </c>
      <c r="F45" s="0" t="n">
        <v>0.315</v>
      </c>
      <c r="G45" s="0" t="n">
        <v>0.41</v>
      </c>
      <c r="H45" s="0" t="n">
        <v>9.5</v>
      </c>
    </row>
    <row r="46" customFormat="false" ht="15" hidden="false" customHeight="false" outlineLevel="0" collapsed="false">
      <c r="A46" s="0" t="s">
        <v>1751</v>
      </c>
      <c r="B46" s="0" t="n">
        <v>195</v>
      </c>
      <c r="C46" s="0" t="n">
        <v>63</v>
      </c>
      <c r="D46" s="0" t="n">
        <v>194</v>
      </c>
      <c r="E46" s="0" t="n">
        <v>82</v>
      </c>
      <c r="F46" s="0" t="n">
        <v>0.323077</v>
      </c>
      <c r="G46" s="0" t="n">
        <v>0.42268</v>
      </c>
      <c r="H46" s="0" t="n">
        <v>9.96</v>
      </c>
    </row>
    <row r="49" customFormat="false" ht="15" hidden="false" customHeight="false" outlineLevel="0" collapsed="false">
      <c r="A49" s="2" t="s">
        <v>1752</v>
      </c>
    </row>
    <row r="50" customFormat="false" ht="28.35" hidden="false" customHeight="false" outlineLevel="0" collapsed="false">
      <c r="A50" s="7" t="s">
        <v>230</v>
      </c>
      <c r="B50" s="7" t="s">
        <v>231</v>
      </c>
      <c r="C50" s="7" t="s">
        <v>59</v>
      </c>
      <c r="D50" s="7" t="s">
        <v>1753</v>
      </c>
      <c r="E50" s="7" t="s">
        <v>1754</v>
      </c>
      <c r="F50" s="7" t="s">
        <v>233</v>
      </c>
      <c r="G50" s="7" t="s">
        <v>234</v>
      </c>
      <c r="H50" s="7" t="s">
        <v>1755</v>
      </c>
    </row>
    <row r="51" customFormat="false" ht="15" hidden="false" customHeight="false" outlineLevel="0" collapsed="false">
      <c r="A51" s="0" t="s">
        <v>237</v>
      </c>
      <c r="B51" s="0" t="s">
        <v>238</v>
      </c>
      <c r="C51" s="0" t="n">
        <v>51</v>
      </c>
      <c r="D51" s="0" t="n">
        <v>51</v>
      </c>
      <c r="E51" s="0" t="n">
        <v>1</v>
      </c>
      <c r="F51" s="0" t="n">
        <v>50</v>
      </c>
      <c r="G51" s="0" t="n">
        <v>31</v>
      </c>
      <c r="H51" s="0" t="n">
        <v>0.62</v>
      </c>
    </row>
    <row r="52" customFormat="false" ht="15" hidden="false" customHeight="false" outlineLevel="0" collapsed="false">
      <c r="A52" s="0" t="s">
        <v>237</v>
      </c>
      <c r="B52" s="0" t="s">
        <v>239</v>
      </c>
      <c r="C52" s="0" t="n">
        <v>27</v>
      </c>
      <c r="D52" s="0" t="n">
        <v>27</v>
      </c>
      <c r="E52" s="0" t="n">
        <v>1</v>
      </c>
      <c r="F52" s="0" t="n">
        <v>26</v>
      </c>
      <c r="G52" s="0" t="n">
        <v>16</v>
      </c>
      <c r="H52" s="0" t="n">
        <v>0.615385</v>
      </c>
    </row>
    <row r="53" customFormat="false" ht="15" hidden="false" customHeight="false" outlineLevel="0" collapsed="false">
      <c r="A53" s="0" t="s">
        <v>237</v>
      </c>
      <c r="B53" s="0" t="s">
        <v>240</v>
      </c>
      <c r="C53" s="0" t="n">
        <v>9</v>
      </c>
      <c r="D53" s="0" t="n">
        <v>9</v>
      </c>
      <c r="E53" s="0" t="n">
        <v>0</v>
      </c>
      <c r="F53" s="0" t="n">
        <v>9</v>
      </c>
      <c r="G53" s="0" t="n">
        <v>4</v>
      </c>
      <c r="H53" s="0" t="n">
        <v>0.444444</v>
      </c>
    </row>
    <row r="54" customFormat="false" ht="15" hidden="false" customHeight="false" outlineLevel="0" collapsed="false">
      <c r="A54" s="0" t="s">
        <v>237</v>
      </c>
      <c r="B54" s="0" t="s">
        <v>241</v>
      </c>
      <c r="C54" s="0" t="n">
        <v>87</v>
      </c>
      <c r="D54" s="0" t="n">
        <v>87</v>
      </c>
      <c r="E54" s="0" t="n">
        <v>2</v>
      </c>
      <c r="F54" s="0" t="n">
        <v>85</v>
      </c>
      <c r="G54" s="0" t="n">
        <v>51</v>
      </c>
      <c r="H54" s="0" t="n">
        <v>0.6</v>
      </c>
    </row>
    <row r="55" customFormat="false" ht="15" hidden="false" customHeight="false" outlineLevel="0" collapsed="false">
      <c r="A55" s="0" t="s">
        <v>242</v>
      </c>
      <c r="B55" s="0" t="s">
        <v>238</v>
      </c>
      <c r="C55" s="0" t="n">
        <v>13</v>
      </c>
      <c r="D55" s="0" t="n">
        <v>13</v>
      </c>
      <c r="E55" s="0" t="n">
        <v>0</v>
      </c>
      <c r="F55" s="0" t="n">
        <v>13</v>
      </c>
      <c r="G55" s="0" t="n">
        <v>7</v>
      </c>
      <c r="H55" s="0" t="n">
        <v>0.538462</v>
      </c>
    </row>
    <row r="56" customFormat="false" ht="15" hidden="false" customHeight="false" outlineLevel="0" collapsed="false">
      <c r="A56" s="0" t="s">
        <v>242</v>
      </c>
      <c r="B56" s="0" t="s">
        <v>239</v>
      </c>
      <c r="C56" s="0" t="n">
        <v>52</v>
      </c>
      <c r="D56" s="0" t="n">
        <v>52</v>
      </c>
      <c r="E56" s="0" t="n">
        <v>1</v>
      </c>
      <c r="F56" s="0" t="n">
        <v>51</v>
      </c>
      <c r="G56" s="0" t="n">
        <v>19</v>
      </c>
      <c r="H56" s="0" t="n">
        <v>0.372549</v>
      </c>
    </row>
    <row r="57" customFormat="false" ht="15" hidden="false" customHeight="false" outlineLevel="0" collapsed="false">
      <c r="A57" s="0" t="s">
        <v>242</v>
      </c>
      <c r="B57" s="0" t="s">
        <v>240</v>
      </c>
      <c r="C57" s="0" t="n">
        <v>191</v>
      </c>
      <c r="D57" s="0" t="n">
        <v>191</v>
      </c>
      <c r="E57" s="0" t="n">
        <v>6</v>
      </c>
      <c r="F57" s="0" t="n">
        <v>185</v>
      </c>
      <c r="G57" s="0" t="n">
        <v>53</v>
      </c>
      <c r="H57" s="0" t="n">
        <v>0.286486</v>
      </c>
    </row>
    <row r="58" customFormat="false" ht="15" hidden="false" customHeight="false" outlineLevel="0" collapsed="false">
      <c r="A58" s="0" t="s">
        <v>242</v>
      </c>
      <c r="B58" s="0" t="s">
        <v>241</v>
      </c>
      <c r="C58" s="0" t="n">
        <v>256</v>
      </c>
      <c r="D58" s="0" t="n">
        <v>256</v>
      </c>
      <c r="E58" s="0" t="n">
        <v>7</v>
      </c>
      <c r="F58" s="0" t="n">
        <v>249</v>
      </c>
      <c r="G58" s="0" t="n">
        <v>79</v>
      </c>
      <c r="H58" s="0" t="n">
        <v>0.317269</v>
      </c>
    </row>
    <row r="59" customFormat="false" ht="15" hidden="false" customHeight="false" outlineLevel="0" collapsed="false">
      <c r="A59" s="0" t="s">
        <v>243</v>
      </c>
      <c r="B59" s="0" t="s">
        <v>238</v>
      </c>
      <c r="C59" s="0" t="n">
        <v>24</v>
      </c>
      <c r="D59" s="0" t="n">
        <v>24</v>
      </c>
      <c r="E59" s="0" t="n">
        <v>2</v>
      </c>
      <c r="F59" s="0" t="n">
        <v>22</v>
      </c>
      <c r="G59" s="0" t="n">
        <v>7</v>
      </c>
      <c r="H59" s="0" t="n">
        <v>0.318182</v>
      </c>
    </row>
    <row r="60" customFormat="false" ht="15" hidden="false" customHeight="false" outlineLevel="0" collapsed="false">
      <c r="A60" s="0" t="s">
        <v>243</v>
      </c>
      <c r="B60" s="0" t="s">
        <v>239</v>
      </c>
      <c r="C60" s="0" t="n">
        <v>76</v>
      </c>
      <c r="D60" s="0" t="n">
        <v>76</v>
      </c>
      <c r="E60" s="0" t="n">
        <v>1</v>
      </c>
      <c r="F60" s="0" t="n">
        <v>75</v>
      </c>
      <c r="G60" s="0" t="n">
        <v>28</v>
      </c>
      <c r="H60" s="0" t="n">
        <v>0.373333</v>
      </c>
    </row>
    <row r="61" customFormat="false" ht="15" hidden="false" customHeight="false" outlineLevel="0" collapsed="false">
      <c r="A61" s="0" t="s">
        <v>243</v>
      </c>
      <c r="B61" s="0" t="s">
        <v>240</v>
      </c>
      <c r="C61" s="0" t="n">
        <v>145</v>
      </c>
      <c r="D61" s="0" t="n">
        <v>145</v>
      </c>
      <c r="E61" s="0" t="n">
        <v>5</v>
      </c>
      <c r="F61" s="0" t="n">
        <v>140</v>
      </c>
      <c r="G61" s="0" t="n">
        <v>49</v>
      </c>
      <c r="H61" s="0" t="n">
        <v>0.35</v>
      </c>
    </row>
    <row r="62" customFormat="false" ht="15" hidden="false" customHeight="false" outlineLevel="0" collapsed="false">
      <c r="A62" s="0" t="s">
        <v>243</v>
      </c>
      <c r="B62" s="0" t="s">
        <v>241</v>
      </c>
      <c r="C62" s="0" t="n">
        <v>245</v>
      </c>
      <c r="D62" s="0" t="n">
        <v>245</v>
      </c>
      <c r="E62" s="0" t="n">
        <v>8</v>
      </c>
      <c r="F62" s="0" t="n">
        <v>237</v>
      </c>
      <c r="G62" s="0" t="n">
        <v>84</v>
      </c>
      <c r="H62" s="0" t="n">
        <v>0.35443</v>
      </c>
    </row>
    <row r="63" customFormat="false" ht="15" hidden="false" customHeight="false" outlineLevel="0" collapsed="false">
      <c r="A63" s="0" t="s">
        <v>241</v>
      </c>
      <c r="B63" s="0" t="s">
        <v>238</v>
      </c>
      <c r="C63" s="0" t="n">
        <v>88</v>
      </c>
      <c r="D63" s="0" t="n">
        <v>88</v>
      </c>
      <c r="E63" s="0" t="n">
        <v>3</v>
      </c>
      <c r="F63" s="0" t="n">
        <v>85</v>
      </c>
      <c r="G63" s="0" t="n">
        <v>45</v>
      </c>
      <c r="H63" s="0" t="n">
        <v>0.529412</v>
      </c>
    </row>
    <row r="64" customFormat="false" ht="15" hidden="false" customHeight="false" outlineLevel="0" collapsed="false">
      <c r="A64" s="0" t="s">
        <v>241</v>
      </c>
      <c r="B64" s="0" t="s">
        <v>239</v>
      </c>
      <c r="C64" s="0" t="n">
        <v>155</v>
      </c>
      <c r="D64" s="0" t="n">
        <v>155</v>
      </c>
      <c r="E64" s="0" t="n">
        <v>3</v>
      </c>
      <c r="F64" s="0" t="n">
        <v>152</v>
      </c>
      <c r="G64" s="0" t="n">
        <v>63</v>
      </c>
      <c r="H64" s="0" t="n">
        <v>0.414474</v>
      </c>
    </row>
    <row r="65" customFormat="false" ht="15" hidden="false" customHeight="false" outlineLevel="0" collapsed="false">
      <c r="A65" s="0" t="s">
        <v>241</v>
      </c>
      <c r="B65" s="0" t="s">
        <v>240</v>
      </c>
      <c r="C65" s="0" t="n">
        <v>345</v>
      </c>
      <c r="D65" s="0" t="n">
        <v>345</v>
      </c>
      <c r="E65" s="0" t="n">
        <v>11</v>
      </c>
      <c r="F65" s="0" t="n">
        <v>334</v>
      </c>
      <c r="G65" s="0" t="n">
        <v>106</v>
      </c>
      <c r="H65" s="0" t="n">
        <v>0.317365</v>
      </c>
    </row>
    <row r="66" customFormat="false" ht="15" hidden="false" customHeight="false" outlineLevel="0" collapsed="false">
      <c r="A66" s="0" t="s">
        <v>241</v>
      </c>
      <c r="B66" s="0" t="s">
        <v>241</v>
      </c>
      <c r="C66" s="0" t="n">
        <v>588</v>
      </c>
      <c r="D66" s="0" t="n">
        <v>588</v>
      </c>
      <c r="E66" s="0" t="n">
        <v>17</v>
      </c>
      <c r="F66" s="0" t="n">
        <v>571</v>
      </c>
      <c r="G66" s="0" t="n">
        <v>214</v>
      </c>
      <c r="H66" s="0" t="n">
        <v>0.374781</v>
      </c>
    </row>
    <row r="69" customFormat="false" ht="15" hidden="false" customHeight="false" outlineLevel="0" collapsed="false">
      <c r="A69" s="2" t="s">
        <v>1756</v>
      </c>
    </row>
    <row r="70" customFormat="false" ht="55.2" hidden="false" customHeight="false" outlineLevel="0" collapsed="false">
      <c r="A70" s="7" t="s">
        <v>1757</v>
      </c>
      <c r="B70" s="7" t="s">
        <v>59</v>
      </c>
      <c r="C70" s="7" t="s">
        <v>1758</v>
      </c>
      <c r="D70" s="7" t="s">
        <v>1759</v>
      </c>
      <c r="E70" s="7" t="s">
        <v>1760</v>
      </c>
      <c r="F70" s="7" t="s">
        <v>1761</v>
      </c>
      <c r="G70" s="7" t="s">
        <v>1762</v>
      </c>
      <c r="H70" s="7" t="s">
        <v>1763</v>
      </c>
      <c r="I70" s="7" t="s">
        <v>1764</v>
      </c>
      <c r="J70" s="7" t="s">
        <v>1765</v>
      </c>
      <c r="K70" s="7" t="s">
        <v>1766</v>
      </c>
      <c r="L70" s="7" t="s">
        <v>1767</v>
      </c>
      <c r="M70" s="7" t="s">
        <v>1768</v>
      </c>
      <c r="N70" s="7" t="s">
        <v>1769</v>
      </c>
      <c r="O70" s="7" t="s">
        <v>1770</v>
      </c>
      <c r="P70" s="7" t="s">
        <v>1771</v>
      </c>
    </row>
    <row r="71" customFormat="false" ht="15" hidden="false" customHeight="false" outlineLevel="0" collapsed="false">
      <c r="A71" s="0" t="s">
        <v>1772</v>
      </c>
      <c r="B71" s="0" t="n">
        <v>27</v>
      </c>
      <c r="C71" s="0" t="n">
        <v>27</v>
      </c>
      <c r="D71" s="0" t="n">
        <v>7</v>
      </c>
      <c r="E71" s="0" t="n">
        <v>27</v>
      </c>
      <c r="F71" s="0" t="n">
        <v>4</v>
      </c>
      <c r="G71" s="0" t="n">
        <v>27</v>
      </c>
      <c r="H71" s="0" t="n">
        <v>5</v>
      </c>
      <c r="I71" s="0" t="n">
        <v>27</v>
      </c>
      <c r="J71" s="0" t="n">
        <v>2</v>
      </c>
      <c r="K71" s="0" t="n">
        <v>27</v>
      </c>
      <c r="L71" s="0" t="n">
        <v>14</v>
      </c>
      <c r="M71" s="0" t="n">
        <v>27</v>
      </c>
      <c r="N71" s="0" t="n">
        <v>7</v>
      </c>
      <c r="O71" s="0" t="s">
        <v>1773</v>
      </c>
      <c r="P71" s="0" t="s">
        <v>1773</v>
      </c>
    </row>
    <row r="72" customFormat="false" ht="15" hidden="false" customHeight="false" outlineLevel="0" collapsed="false">
      <c r="A72" s="0" t="s">
        <v>1774</v>
      </c>
      <c r="B72" s="0" t="n">
        <v>25</v>
      </c>
      <c r="C72" s="0" t="n">
        <v>25</v>
      </c>
      <c r="D72" s="0" t="n">
        <v>4</v>
      </c>
      <c r="E72" s="0" t="n">
        <v>25</v>
      </c>
      <c r="F72" s="0" t="n">
        <v>7</v>
      </c>
      <c r="G72" s="0" t="n">
        <v>25</v>
      </c>
      <c r="H72" s="0" t="n">
        <v>8</v>
      </c>
      <c r="I72" s="0" t="n">
        <v>25</v>
      </c>
      <c r="J72" s="0" t="n">
        <v>4</v>
      </c>
      <c r="K72" s="0" t="n">
        <v>25</v>
      </c>
      <c r="L72" s="0" t="n">
        <v>16</v>
      </c>
      <c r="M72" s="0" t="n">
        <v>25</v>
      </c>
      <c r="N72" s="0" t="n">
        <v>13</v>
      </c>
      <c r="O72" s="0" t="s">
        <v>1773</v>
      </c>
      <c r="P72" s="0" t="s">
        <v>1773</v>
      </c>
    </row>
    <row r="73" customFormat="false" ht="15" hidden="false" customHeight="false" outlineLevel="0" collapsed="false">
      <c r="A73" s="0" t="s">
        <v>1775</v>
      </c>
      <c r="B73" s="0" t="n">
        <v>25</v>
      </c>
      <c r="C73" s="0" t="n">
        <v>25</v>
      </c>
      <c r="D73" s="0" t="n">
        <v>4</v>
      </c>
      <c r="E73" s="0" t="n">
        <v>25</v>
      </c>
      <c r="F73" s="0" t="n">
        <v>3</v>
      </c>
      <c r="G73" s="0" t="n">
        <v>25</v>
      </c>
      <c r="H73" s="0" t="n">
        <v>4</v>
      </c>
      <c r="I73" s="0" t="n">
        <v>25</v>
      </c>
      <c r="J73" s="0" t="n">
        <v>1</v>
      </c>
      <c r="K73" s="0" t="n">
        <v>25</v>
      </c>
      <c r="L73" s="0" t="n">
        <v>11</v>
      </c>
      <c r="M73" s="0" t="n">
        <v>25</v>
      </c>
      <c r="N73" s="0" t="n">
        <v>7</v>
      </c>
      <c r="O73" s="0" t="s">
        <v>1773</v>
      </c>
      <c r="P73" s="0" t="s">
        <v>1773</v>
      </c>
    </row>
    <row r="74" customFormat="false" ht="15" hidden="false" customHeight="false" outlineLevel="0" collapsed="false">
      <c r="A74" s="0" t="s">
        <v>1776</v>
      </c>
      <c r="B74" s="0" t="n">
        <v>28</v>
      </c>
      <c r="C74" s="0" t="n">
        <v>28</v>
      </c>
      <c r="D74" s="0" t="n">
        <v>6</v>
      </c>
      <c r="E74" s="0" t="n">
        <v>28</v>
      </c>
      <c r="F74" s="0" t="n">
        <v>6</v>
      </c>
      <c r="G74" s="0" t="n">
        <v>28</v>
      </c>
      <c r="H74" s="0" t="n">
        <v>6</v>
      </c>
      <c r="I74" s="0" t="n">
        <v>28</v>
      </c>
      <c r="J74" s="0" t="n">
        <v>7</v>
      </c>
      <c r="K74" s="0" t="n">
        <v>28</v>
      </c>
      <c r="L74" s="0" t="n">
        <v>19</v>
      </c>
      <c r="M74" s="0" t="n">
        <v>28</v>
      </c>
      <c r="N74" s="0" t="n">
        <v>14</v>
      </c>
      <c r="O74" s="0" t="s">
        <v>1773</v>
      </c>
      <c r="P74" s="0" t="s">
        <v>1773</v>
      </c>
    </row>
    <row r="75" customFormat="false" ht="15" hidden="false" customHeight="false" outlineLevel="0" collapsed="false">
      <c r="A75" s="0" t="s">
        <v>1777</v>
      </c>
      <c r="B75" s="0" t="n">
        <v>24</v>
      </c>
      <c r="C75" s="0" t="n">
        <v>24</v>
      </c>
      <c r="D75" s="0" t="n">
        <v>5</v>
      </c>
      <c r="E75" s="0" t="n">
        <v>24</v>
      </c>
      <c r="F75" s="0" t="n">
        <v>3</v>
      </c>
      <c r="G75" s="0" t="n">
        <v>24</v>
      </c>
      <c r="H75" s="0" t="n">
        <v>5</v>
      </c>
      <c r="I75" s="0" t="n">
        <v>24</v>
      </c>
      <c r="J75" s="0" t="n">
        <v>0</v>
      </c>
      <c r="K75" s="0" t="n">
        <v>24</v>
      </c>
      <c r="L75" s="0" t="n">
        <v>19</v>
      </c>
      <c r="M75" s="0" t="n">
        <v>24</v>
      </c>
      <c r="N75" s="0" t="n">
        <v>8</v>
      </c>
      <c r="O75" s="0" t="s">
        <v>1773</v>
      </c>
      <c r="P75" s="0" t="s">
        <v>1773</v>
      </c>
    </row>
    <row r="76" customFormat="false" ht="15" hidden="false" customHeight="false" outlineLevel="0" collapsed="false">
      <c r="A76" s="0" t="s">
        <v>1778</v>
      </c>
      <c r="B76" s="0" t="n">
        <v>26</v>
      </c>
      <c r="C76" s="0" t="n">
        <v>26</v>
      </c>
      <c r="D76" s="0" t="n">
        <v>3</v>
      </c>
      <c r="E76" s="0" t="n">
        <v>26</v>
      </c>
      <c r="F76" s="0" t="n">
        <v>7</v>
      </c>
      <c r="G76" s="0" t="n">
        <v>26</v>
      </c>
      <c r="H76" s="0" t="n">
        <v>4</v>
      </c>
      <c r="I76" s="0" t="n">
        <v>26</v>
      </c>
      <c r="J76" s="0" t="n">
        <v>3</v>
      </c>
      <c r="K76" s="0" t="n">
        <v>26</v>
      </c>
      <c r="L76" s="0" t="n">
        <v>12</v>
      </c>
      <c r="M76" s="0" t="n">
        <v>26</v>
      </c>
      <c r="N76" s="0" t="n">
        <v>6</v>
      </c>
      <c r="O76" s="0" t="s">
        <v>1773</v>
      </c>
      <c r="P76" s="0" t="s">
        <v>1773</v>
      </c>
    </row>
    <row r="77" customFormat="false" ht="15" hidden="false" customHeight="false" outlineLevel="0" collapsed="false">
      <c r="A77" s="0" t="s">
        <v>1779</v>
      </c>
      <c r="B77" s="0" t="n">
        <v>24</v>
      </c>
      <c r="C77" s="0" t="n">
        <v>24</v>
      </c>
      <c r="D77" s="0" t="n">
        <v>6</v>
      </c>
      <c r="E77" s="0" t="n">
        <v>24</v>
      </c>
      <c r="F77" s="0" t="n">
        <v>2</v>
      </c>
      <c r="G77" s="0" t="n">
        <v>24</v>
      </c>
      <c r="H77" s="0" t="n">
        <v>6</v>
      </c>
      <c r="I77" s="0" t="n">
        <v>24</v>
      </c>
      <c r="J77" s="0" t="n">
        <v>1</v>
      </c>
      <c r="K77" s="0" t="n">
        <v>24</v>
      </c>
      <c r="L77" s="0" t="n">
        <v>18</v>
      </c>
      <c r="M77" s="0" t="n">
        <v>24</v>
      </c>
      <c r="N77" s="0" t="n">
        <v>13</v>
      </c>
      <c r="O77" s="0" t="s">
        <v>1773</v>
      </c>
      <c r="P77" s="0" t="s">
        <v>1773</v>
      </c>
    </row>
    <row r="78" customFormat="false" ht="15" hidden="false" customHeight="false" outlineLevel="0" collapsed="false">
      <c r="A78" s="0" t="s">
        <v>1780</v>
      </c>
      <c r="B78" s="0" t="n">
        <v>25</v>
      </c>
      <c r="C78" s="0" t="n">
        <v>25</v>
      </c>
      <c r="D78" s="0" t="n">
        <v>6</v>
      </c>
      <c r="E78" s="0" t="n">
        <v>25</v>
      </c>
      <c r="F78" s="0" t="n">
        <v>6</v>
      </c>
      <c r="G78" s="0" t="n">
        <v>25</v>
      </c>
      <c r="H78" s="0" t="n">
        <v>5</v>
      </c>
      <c r="I78" s="0" t="n">
        <v>25</v>
      </c>
      <c r="J78" s="0" t="n">
        <v>4</v>
      </c>
      <c r="K78" s="0" t="n">
        <v>25</v>
      </c>
      <c r="L78" s="0" t="n">
        <v>16</v>
      </c>
      <c r="M78" s="0" t="n">
        <v>25</v>
      </c>
      <c r="N78" s="0" t="n">
        <v>10</v>
      </c>
      <c r="O78" s="0" t="s">
        <v>1773</v>
      </c>
      <c r="P78" s="0" t="s">
        <v>1773</v>
      </c>
    </row>
    <row r="79" customFormat="false" ht="15" hidden="false" customHeight="false" outlineLevel="0" collapsed="false">
      <c r="A79" s="0" t="s">
        <v>1781</v>
      </c>
      <c r="B79" s="0" t="n">
        <v>25</v>
      </c>
      <c r="C79" s="0" t="n">
        <v>25</v>
      </c>
      <c r="D79" s="0" t="n">
        <v>4</v>
      </c>
      <c r="E79" s="0" t="n">
        <v>25</v>
      </c>
      <c r="F79" s="0" t="n">
        <v>7</v>
      </c>
      <c r="G79" s="0" t="n">
        <v>25</v>
      </c>
      <c r="H79" s="0" t="n">
        <v>3</v>
      </c>
      <c r="I79" s="0" t="n">
        <v>25</v>
      </c>
      <c r="J79" s="0" t="n">
        <v>1</v>
      </c>
      <c r="K79" s="0" t="n">
        <v>25</v>
      </c>
      <c r="L79" s="0" t="n">
        <v>15</v>
      </c>
      <c r="M79" s="0" t="n">
        <v>25</v>
      </c>
      <c r="N79" s="0" t="n">
        <v>6</v>
      </c>
      <c r="O79" s="0" t="s">
        <v>1773</v>
      </c>
      <c r="P79" s="0" t="s">
        <v>1773</v>
      </c>
    </row>
    <row r="80" customFormat="false" ht="15" hidden="false" customHeight="false" outlineLevel="0" collapsed="false">
      <c r="A80" s="0" t="s">
        <v>1782</v>
      </c>
      <c r="B80" s="0" t="n">
        <v>24</v>
      </c>
      <c r="C80" s="0" t="n">
        <v>24</v>
      </c>
      <c r="D80" s="0" t="n">
        <v>5</v>
      </c>
      <c r="E80" s="0" t="n">
        <v>24</v>
      </c>
      <c r="F80" s="0" t="n">
        <v>3</v>
      </c>
      <c r="G80" s="0" t="n">
        <v>24</v>
      </c>
      <c r="H80" s="0" t="n">
        <v>4</v>
      </c>
      <c r="I80" s="0" t="n">
        <v>24</v>
      </c>
      <c r="J80" s="0" t="n">
        <v>0</v>
      </c>
      <c r="K80" s="0" t="n">
        <v>24</v>
      </c>
      <c r="L80" s="0" t="n">
        <v>14</v>
      </c>
      <c r="M80" s="0" t="n">
        <v>24</v>
      </c>
      <c r="N80" s="0" t="n">
        <v>4</v>
      </c>
      <c r="O80" s="0" t="s">
        <v>1773</v>
      </c>
      <c r="P80" s="0" t="s">
        <v>1773</v>
      </c>
    </row>
    <row r="81" customFormat="false" ht="15" hidden="false" customHeight="false" outlineLevel="0" collapsed="false">
      <c r="A81" s="0" t="s">
        <v>1783</v>
      </c>
      <c r="B81" s="0" t="n">
        <v>25</v>
      </c>
      <c r="C81" s="0" t="n">
        <v>25</v>
      </c>
      <c r="D81" s="0" t="n">
        <v>2</v>
      </c>
      <c r="E81" s="0" t="n">
        <v>25</v>
      </c>
      <c r="F81" s="0" t="n">
        <v>0</v>
      </c>
      <c r="G81" s="0" t="n">
        <v>25</v>
      </c>
      <c r="H81" s="0" t="n">
        <v>2</v>
      </c>
      <c r="I81" s="0" t="n">
        <v>25</v>
      </c>
      <c r="J81" s="0" t="n">
        <v>2</v>
      </c>
      <c r="K81" s="0" t="n">
        <v>25</v>
      </c>
      <c r="L81" s="0" t="n">
        <v>13</v>
      </c>
      <c r="M81" s="0" t="n">
        <v>25</v>
      </c>
      <c r="N81" s="0" t="n">
        <v>8</v>
      </c>
      <c r="O81" s="0" t="s">
        <v>1773</v>
      </c>
      <c r="P81" s="0" t="s">
        <v>1773</v>
      </c>
    </row>
    <row r="82" customFormat="false" ht="15" hidden="false" customHeight="false" outlineLevel="0" collapsed="false">
      <c r="A82" s="0" t="s">
        <v>1784</v>
      </c>
      <c r="B82" s="0" t="n">
        <v>26</v>
      </c>
      <c r="C82" s="0" t="n">
        <v>26</v>
      </c>
      <c r="D82" s="0" t="n">
        <v>5</v>
      </c>
      <c r="E82" s="0" t="n">
        <v>26</v>
      </c>
      <c r="F82" s="0" t="n">
        <v>1</v>
      </c>
      <c r="G82" s="0" t="n">
        <v>26</v>
      </c>
      <c r="H82" s="0" t="n">
        <v>4</v>
      </c>
      <c r="I82" s="0" t="n">
        <v>26</v>
      </c>
      <c r="J82" s="0" t="n">
        <v>2</v>
      </c>
      <c r="K82" s="0" t="n">
        <v>26</v>
      </c>
      <c r="L82" s="0" t="n">
        <v>13</v>
      </c>
      <c r="M82" s="0" t="n">
        <v>26</v>
      </c>
      <c r="N82" s="0" t="n">
        <v>5</v>
      </c>
      <c r="O82" s="0" t="s">
        <v>1773</v>
      </c>
      <c r="P82" s="0" t="s">
        <v>1773</v>
      </c>
    </row>
    <row r="83" customFormat="false" ht="15" hidden="false" customHeight="false" outlineLevel="0" collapsed="false">
      <c r="A83" s="0" t="s">
        <v>1785</v>
      </c>
      <c r="B83" s="0" t="n">
        <v>24</v>
      </c>
      <c r="C83" s="0" t="n">
        <v>24</v>
      </c>
      <c r="D83" s="0" t="n">
        <v>4</v>
      </c>
      <c r="E83" s="0" t="n">
        <v>24</v>
      </c>
      <c r="F83" s="0" t="n">
        <v>7</v>
      </c>
      <c r="G83" s="0" t="n">
        <v>24</v>
      </c>
      <c r="H83" s="0" t="n">
        <v>2</v>
      </c>
      <c r="I83" s="0" t="n">
        <v>24</v>
      </c>
      <c r="J83" s="0" t="n">
        <v>5</v>
      </c>
      <c r="K83" s="0" t="n">
        <v>24</v>
      </c>
      <c r="L83" s="0" t="n">
        <v>17</v>
      </c>
      <c r="M83" s="0" t="n">
        <v>24</v>
      </c>
      <c r="N83" s="0" t="n">
        <v>9</v>
      </c>
      <c r="O83" s="0" t="s">
        <v>1773</v>
      </c>
      <c r="P83" s="0" t="s">
        <v>1773</v>
      </c>
    </row>
    <row r="84" customFormat="false" ht="15" hidden="false" customHeight="false" outlineLevel="0" collapsed="false">
      <c r="A84" s="0" t="s">
        <v>1786</v>
      </c>
      <c r="B84" s="0" t="n">
        <v>25</v>
      </c>
      <c r="C84" s="0" t="n">
        <v>25</v>
      </c>
      <c r="D84" s="0" t="n">
        <v>4</v>
      </c>
      <c r="E84" s="0" t="n">
        <v>25</v>
      </c>
      <c r="F84" s="0" t="n">
        <v>4</v>
      </c>
      <c r="G84" s="0" t="n">
        <v>25</v>
      </c>
      <c r="H84" s="0" t="n">
        <v>5</v>
      </c>
      <c r="I84" s="0" t="n">
        <v>25</v>
      </c>
      <c r="J84" s="0" t="n">
        <v>3</v>
      </c>
      <c r="K84" s="0" t="n">
        <v>25</v>
      </c>
      <c r="L84" s="0" t="n">
        <v>17</v>
      </c>
      <c r="M84" s="0" t="n">
        <v>25</v>
      </c>
      <c r="N84" s="0" t="n">
        <v>8</v>
      </c>
      <c r="O84" s="0" t="s">
        <v>1773</v>
      </c>
      <c r="P84" s="0" t="s">
        <v>1773</v>
      </c>
    </row>
    <row r="85" customFormat="false" ht="15" hidden="false" customHeight="false" outlineLevel="0" collapsed="false">
      <c r="A85" s="0" t="s">
        <v>1787</v>
      </c>
      <c r="B85" s="0" t="n">
        <v>25</v>
      </c>
      <c r="C85" s="0" t="n">
        <v>25</v>
      </c>
      <c r="D85" s="0" t="n">
        <v>3</v>
      </c>
      <c r="E85" s="0" t="n">
        <v>25</v>
      </c>
      <c r="F85" s="0" t="n">
        <v>3</v>
      </c>
      <c r="G85" s="0" t="n">
        <v>25</v>
      </c>
      <c r="H85" s="0" t="n">
        <v>2</v>
      </c>
      <c r="I85" s="0" t="n">
        <v>25</v>
      </c>
      <c r="J85" s="0" t="n">
        <v>1</v>
      </c>
      <c r="K85" s="0" t="n">
        <v>25</v>
      </c>
      <c r="L85" s="0" t="n">
        <v>12</v>
      </c>
      <c r="M85" s="0" t="n">
        <v>25</v>
      </c>
      <c r="N85" s="0" t="n">
        <v>7</v>
      </c>
      <c r="O85" s="0" t="s">
        <v>1773</v>
      </c>
      <c r="P85" s="0" t="s">
        <v>1773</v>
      </c>
    </row>
    <row r="86" customFormat="false" ht="15" hidden="false" customHeight="false" outlineLevel="0" collapsed="false">
      <c r="A86" s="0" t="s">
        <v>1788</v>
      </c>
      <c r="B86" s="0" t="n">
        <v>22</v>
      </c>
      <c r="C86" s="0" t="n">
        <v>22</v>
      </c>
      <c r="D86" s="0" t="n">
        <v>7</v>
      </c>
      <c r="E86" s="0" t="n">
        <v>22</v>
      </c>
      <c r="F86" s="0" t="n">
        <v>4</v>
      </c>
      <c r="G86" s="0" t="n">
        <v>22</v>
      </c>
      <c r="H86" s="0" t="n">
        <v>3</v>
      </c>
      <c r="I86" s="0" t="n">
        <v>22</v>
      </c>
      <c r="J86" s="0" t="n">
        <v>2</v>
      </c>
      <c r="K86" s="0" t="n">
        <v>22</v>
      </c>
      <c r="L86" s="0" t="n">
        <v>14</v>
      </c>
      <c r="M86" s="0" t="n">
        <v>22</v>
      </c>
      <c r="N86" s="0" t="n">
        <v>8</v>
      </c>
      <c r="O86" s="0" t="s">
        <v>1773</v>
      </c>
      <c r="P86" s="0" t="s">
        <v>1773</v>
      </c>
    </row>
    <row r="87" customFormat="false" ht="15" hidden="false" customHeight="false" outlineLevel="0" collapsed="false">
      <c r="A87" s="0" t="s">
        <v>1789</v>
      </c>
      <c r="B87" s="0" t="n">
        <v>20</v>
      </c>
      <c r="C87" s="0" t="n">
        <v>20</v>
      </c>
      <c r="D87" s="0" t="n">
        <v>3</v>
      </c>
      <c r="E87" s="0" t="n">
        <v>20</v>
      </c>
      <c r="F87" s="0" t="n">
        <v>3</v>
      </c>
      <c r="G87" s="0" t="n">
        <v>20</v>
      </c>
      <c r="H87" s="0" t="n">
        <v>2</v>
      </c>
      <c r="I87" s="0" t="n">
        <v>20</v>
      </c>
      <c r="J87" s="0" t="n">
        <v>2</v>
      </c>
      <c r="K87" s="0" t="n">
        <v>20</v>
      </c>
      <c r="L87" s="0" t="n">
        <v>11</v>
      </c>
      <c r="M87" s="0" t="n">
        <v>20</v>
      </c>
      <c r="N87" s="0" t="n">
        <v>4</v>
      </c>
      <c r="O87" s="0" t="s">
        <v>1773</v>
      </c>
      <c r="P87" s="0" t="s">
        <v>1773</v>
      </c>
    </row>
    <row r="88" customFormat="false" ht="15" hidden="false" customHeight="false" outlineLevel="0" collapsed="false">
      <c r="A88" s="0" t="s">
        <v>1790</v>
      </c>
      <c r="B88" s="0" t="n">
        <v>18</v>
      </c>
      <c r="C88" s="0" t="n">
        <v>18</v>
      </c>
      <c r="D88" s="0" t="n">
        <v>3</v>
      </c>
      <c r="E88" s="0" t="n">
        <v>18</v>
      </c>
      <c r="F88" s="0" t="n">
        <v>1</v>
      </c>
      <c r="G88" s="0" t="n">
        <v>18</v>
      </c>
      <c r="H88" s="0" t="n">
        <v>4</v>
      </c>
      <c r="I88" s="0" t="n">
        <v>18</v>
      </c>
      <c r="J88" s="0" t="n">
        <v>2</v>
      </c>
      <c r="K88" s="0" t="n">
        <v>18</v>
      </c>
      <c r="L88" s="0" t="n">
        <v>10</v>
      </c>
      <c r="M88" s="0" t="n">
        <v>18</v>
      </c>
      <c r="N88" s="0" t="n">
        <v>5</v>
      </c>
      <c r="O88" s="0" t="s">
        <v>1773</v>
      </c>
      <c r="P88" s="0" t="s">
        <v>1773</v>
      </c>
    </row>
    <row r="89" customFormat="false" ht="15" hidden="false" customHeight="false" outlineLevel="0" collapsed="false">
      <c r="A89" s="0" t="s">
        <v>1791</v>
      </c>
      <c r="B89" s="0" t="n">
        <v>19</v>
      </c>
      <c r="C89" s="0" t="n">
        <v>19</v>
      </c>
      <c r="D89" s="0" t="n">
        <v>4</v>
      </c>
      <c r="E89" s="0" t="n">
        <v>19</v>
      </c>
      <c r="F89" s="0" t="n">
        <v>7</v>
      </c>
      <c r="G89" s="0" t="n">
        <v>19</v>
      </c>
      <c r="H89" s="0" t="n">
        <v>3</v>
      </c>
      <c r="I89" s="0" t="n">
        <v>19</v>
      </c>
      <c r="J89" s="0" t="n">
        <v>0</v>
      </c>
      <c r="K89" s="0" t="n">
        <v>19</v>
      </c>
      <c r="L89" s="0" t="n">
        <v>15</v>
      </c>
      <c r="M89" s="0" t="n">
        <v>19</v>
      </c>
      <c r="N89" s="0" t="n">
        <v>9</v>
      </c>
      <c r="O89" s="0" t="s">
        <v>1773</v>
      </c>
      <c r="P89" s="0" t="s">
        <v>1773</v>
      </c>
    </row>
    <row r="90" customFormat="false" ht="15" hidden="false" customHeight="false" outlineLevel="0" collapsed="false">
      <c r="A90" s="0" t="s">
        <v>1792</v>
      </c>
      <c r="B90" s="0" t="n">
        <v>20</v>
      </c>
      <c r="C90" s="0" t="n">
        <v>20</v>
      </c>
      <c r="D90" s="0" t="n">
        <v>5</v>
      </c>
      <c r="E90" s="0" t="n">
        <v>20</v>
      </c>
      <c r="F90" s="0" t="n">
        <v>4</v>
      </c>
      <c r="G90" s="0" t="n">
        <v>20</v>
      </c>
      <c r="H90" s="0" t="n">
        <v>6</v>
      </c>
      <c r="I90" s="0" t="n">
        <v>20</v>
      </c>
      <c r="J90" s="0" t="n">
        <v>2</v>
      </c>
      <c r="K90" s="0" t="n">
        <v>20</v>
      </c>
      <c r="L90" s="0" t="n">
        <v>12</v>
      </c>
      <c r="M90" s="0" t="n">
        <v>20</v>
      </c>
      <c r="N90" s="0" t="n">
        <v>6</v>
      </c>
      <c r="O90" s="0" t="s">
        <v>1773</v>
      </c>
      <c r="P90" s="0" t="s">
        <v>1773</v>
      </c>
    </row>
    <row r="91" customFormat="false" ht="15" hidden="false" customHeight="false" outlineLevel="0" collapsed="false">
      <c r="A91" s="0" t="s">
        <v>1793</v>
      </c>
      <c r="B91" s="0" t="n">
        <v>16</v>
      </c>
      <c r="C91" s="0" t="n">
        <v>16</v>
      </c>
      <c r="D91" s="0" t="n">
        <v>2</v>
      </c>
      <c r="E91" s="0" t="n">
        <v>16</v>
      </c>
      <c r="F91" s="0" t="n">
        <v>5</v>
      </c>
      <c r="G91" s="0" t="n">
        <v>16</v>
      </c>
      <c r="H91" s="0" t="n">
        <v>2</v>
      </c>
      <c r="I91" s="0" t="n">
        <v>16</v>
      </c>
      <c r="J91" s="0" t="n">
        <v>1</v>
      </c>
      <c r="K91" s="0" t="n">
        <v>16</v>
      </c>
      <c r="L91" s="0" t="n">
        <v>11</v>
      </c>
      <c r="M91" s="0" t="n">
        <v>16</v>
      </c>
      <c r="N91" s="0" t="n">
        <v>7</v>
      </c>
      <c r="O91" s="0" t="s">
        <v>1773</v>
      </c>
      <c r="P91" s="0" t="s">
        <v>1773</v>
      </c>
    </row>
    <row r="92" customFormat="false" ht="15" hidden="false" customHeight="false" outlineLevel="0" collapsed="false">
      <c r="A92" s="0" t="s">
        <v>1794</v>
      </c>
      <c r="B92" s="0" t="n">
        <v>19</v>
      </c>
      <c r="C92" s="0" t="n">
        <v>19</v>
      </c>
      <c r="D92" s="0" t="n">
        <v>1</v>
      </c>
      <c r="E92" s="0" t="n">
        <v>19</v>
      </c>
      <c r="F92" s="0" t="n">
        <v>3</v>
      </c>
      <c r="G92" s="0" t="n">
        <v>19</v>
      </c>
      <c r="H92" s="0" t="n">
        <v>1</v>
      </c>
      <c r="I92" s="0" t="n">
        <v>19</v>
      </c>
      <c r="J92" s="0" t="n">
        <v>1</v>
      </c>
      <c r="K92" s="0" t="n">
        <v>19</v>
      </c>
      <c r="L92" s="0" t="n">
        <v>12</v>
      </c>
      <c r="M92" s="0" t="n">
        <v>0</v>
      </c>
      <c r="N92" s="0" t="n">
        <v>0</v>
      </c>
      <c r="O92" s="0" t="s">
        <v>1773</v>
      </c>
      <c r="P92" s="0" t="s">
        <v>1795</v>
      </c>
    </row>
    <row r="93" customFormat="false" ht="15" hidden="false" customHeight="false" outlineLevel="0" collapsed="false">
      <c r="A93" s="0" t="s">
        <v>1796</v>
      </c>
      <c r="B93" s="0" t="n">
        <v>20</v>
      </c>
      <c r="C93" s="0" t="n">
        <v>20</v>
      </c>
      <c r="D93" s="0" t="n">
        <v>6</v>
      </c>
      <c r="E93" s="0" t="n">
        <v>20</v>
      </c>
      <c r="F93" s="0" t="n">
        <v>9</v>
      </c>
      <c r="G93" s="0" t="n">
        <v>20</v>
      </c>
      <c r="H93" s="0" t="n">
        <v>6</v>
      </c>
      <c r="I93" s="0" t="n">
        <v>0</v>
      </c>
      <c r="J93" s="0" t="n">
        <v>0</v>
      </c>
      <c r="K93" s="0" t="n">
        <v>20</v>
      </c>
      <c r="L93" s="0" t="n">
        <v>17</v>
      </c>
      <c r="M93" s="0" t="n">
        <v>0</v>
      </c>
      <c r="N93" s="0" t="n">
        <v>0</v>
      </c>
      <c r="O93" s="0" t="s">
        <v>1773</v>
      </c>
      <c r="P93" s="0" t="s">
        <v>1795</v>
      </c>
    </row>
    <row r="94" customFormat="false" ht="15" hidden="false" customHeight="false" outlineLevel="0" collapsed="false">
      <c r="A94" s="0" t="s">
        <v>1797</v>
      </c>
      <c r="B94" s="0" t="n">
        <v>17</v>
      </c>
      <c r="C94" s="0" t="n">
        <v>17</v>
      </c>
      <c r="D94" s="0" t="n">
        <v>4</v>
      </c>
      <c r="E94" s="0" t="n">
        <v>17</v>
      </c>
      <c r="F94" s="0" t="n">
        <v>3</v>
      </c>
      <c r="G94" s="0" t="n">
        <v>16</v>
      </c>
      <c r="H94" s="0" t="n">
        <v>1</v>
      </c>
      <c r="I94" s="0" t="n">
        <v>0</v>
      </c>
      <c r="J94" s="0" t="n">
        <v>0</v>
      </c>
      <c r="K94" s="0" t="n">
        <v>17</v>
      </c>
      <c r="L94" s="0" t="n">
        <v>8</v>
      </c>
      <c r="M94" s="0" t="n">
        <v>0</v>
      </c>
      <c r="N94" s="0" t="n">
        <v>0</v>
      </c>
      <c r="O94" s="0" t="s">
        <v>1773</v>
      </c>
      <c r="P94" s="0" t="s">
        <v>1795</v>
      </c>
    </row>
    <row r="95" customFormat="false" ht="15" hidden="false" customHeight="false" outlineLevel="0" collapsed="false">
      <c r="A95" s="0" t="s">
        <v>1798</v>
      </c>
      <c r="B95" s="0" t="n">
        <v>22</v>
      </c>
      <c r="C95" s="0" t="n">
        <v>22</v>
      </c>
      <c r="D95" s="0" t="n">
        <v>6</v>
      </c>
      <c r="E95" s="0" t="n">
        <v>22</v>
      </c>
      <c r="F95" s="0" t="n">
        <v>5</v>
      </c>
      <c r="G95" s="0" t="n">
        <v>0</v>
      </c>
      <c r="H95" s="0" t="n">
        <v>0</v>
      </c>
      <c r="I95" s="0" t="n">
        <v>0</v>
      </c>
      <c r="J95" s="0" t="n">
        <v>0</v>
      </c>
      <c r="K95" s="0" t="n">
        <v>22</v>
      </c>
      <c r="L95" s="0" t="n">
        <v>6</v>
      </c>
      <c r="M95" s="0" t="n">
        <v>0</v>
      </c>
      <c r="N95" s="0" t="n">
        <v>0</v>
      </c>
      <c r="O95" s="0" t="s">
        <v>1773</v>
      </c>
      <c r="P95" s="0" t="s">
        <v>1795</v>
      </c>
    </row>
    <row r="96" customFormat="false" ht="15" hidden="false" customHeight="false" outlineLevel="0" collapsed="false">
      <c r="A96" s="0" t="s">
        <v>1799</v>
      </c>
      <c r="B96" s="0" t="n">
        <v>17</v>
      </c>
      <c r="C96" s="0" t="n">
        <v>15</v>
      </c>
      <c r="D96" s="0" t="n">
        <v>3</v>
      </c>
      <c r="E96" s="0" t="n">
        <v>0</v>
      </c>
      <c r="F96" s="0" t="n">
        <v>0</v>
      </c>
      <c r="G96" s="0" t="n">
        <v>0</v>
      </c>
      <c r="H96" s="0" t="n">
        <v>0</v>
      </c>
      <c r="I96" s="0" t="n">
        <v>0</v>
      </c>
      <c r="J96" s="0" t="n">
        <v>0</v>
      </c>
      <c r="K96" s="0" t="n">
        <v>0</v>
      </c>
      <c r="L96" s="0" t="n">
        <v>0</v>
      </c>
      <c r="M96" s="0" t="n">
        <v>0</v>
      </c>
      <c r="N96" s="0" t="n">
        <v>0</v>
      </c>
      <c r="O96" s="0" t="s">
        <v>1795</v>
      </c>
      <c r="P96" s="0" t="s">
        <v>1795</v>
      </c>
    </row>
    <row r="97" customFormat="false" ht="15" hidden="false" customHeight="false" outlineLevel="0" collapsed="false">
      <c r="A97" s="0" t="s">
        <v>241</v>
      </c>
      <c r="B97" s="0" t="n">
        <v>588</v>
      </c>
      <c r="C97" s="0" t="n">
        <v>586</v>
      </c>
      <c r="D97" s="0" t="n">
        <v>112</v>
      </c>
      <c r="E97" s="0" t="n">
        <v>571</v>
      </c>
      <c r="F97" s="0" t="n">
        <v>107</v>
      </c>
      <c r="G97" s="0" t="n">
        <v>548</v>
      </c>
      <c r="H97" s="0" t="n">
        <v>93</v>
      </c>
      <c r="I97" s="0" t="n">
        <v>512</v>
      </c>
      <c r="J97" s="0" t="n">
        <v>46</v>
      </c>
      <c r="K97" s="0" t="n">
        <v>571</v>
      </c>
      <c r="L97" s="0" t="n">
        <v>342</v>
      </c>
      <c r="M97" s="0" t="n">
        <v>493</v>
      </c>
      <c r="N97" s="0" t="n">
        <v>164</v>
      </c>
      <c r="O97" s="0" t="s">
        <v>1800</v>
      </c>
      <c r="P97" s="0" t="s">
        <v>1800</v>
      </c>
    </row>
    <row r="100" customFormat="false" ht="15" hidden="false" customHeight="false" outlineLevel="0" collapsed="false">
      <c r="A100" s="2" t="s">
        <v>1801</v>
      </c>
    </row>
    <row r="101" customFormat="false" ht="41.75" hidden="false" customHeight="false" outlineLevel="0" collapsed="false">
      <c r="A101" s="7" t="s">
        <v>1757</v>
      </c>
      <c r="B101" s="7" t="s">
        <v>1802</v>
      </c>
      <c r="C101" s="7" t="s">
        <v>1803</v>
      </c>
      <c r="D101" s="7" t="s">
        <v>1804</v>
      </c>
      <c r="E101" s="7" t="s">
        <v>1805</v>
      </c>
      <c r="F101" s="7" t="s">
        <v>1806</v>
      </c>
      <c r="G101" s="7" t="s">
        <v>1807</v>
      </c>
      <c r="H101" s="7" t="s">
        <v>1808</v>
      </c>
      <c r="I101" s="7" t="s">
        <v>1809</v>
      </c>
      <c r="J101" s="7" t="s">
        <v>1810</v>
      </c>
      <c r="K101" s="7" t="s">
        <v>1811</v>
      </c>
      <c r="L101" s="7" t="s">
        <v>1812</v>
      </c>
    </row>
    <row r="102" customFormat="false" ht="15" hidden="false" customHeight="false" outlineLevel="0" collapsed="false">
      <c r="A102" s="0" t="s">
        <v>1772</v>
      </c>
      <c r="B102" s="0" t="n">
        <v>373</v>
      </c>
      <c r="C102" s="0" t="n">
        <v>2</v>
      </c>
      <c r="D102" s="0" t="n">
        <v>371</v>
      </c>
      <c r="E102" s="0" t="n">
        <v>2</v>
      </c>
      <c r="F102" s="0" t="n">
        <v>0</v>
      </c>
      <c r="G102" s="0" t="n">
        <v>0</v>
      </c>
      <c r="H102" s="0" t="n">
        <v>0</v>
      </c>
      <c r="I102" s="0" t="n">
        <v>371</v>
      </c>
      <c r="J102" s="0" t="n">
        <v>215</v>
      </c>
      <c r="K102" s="0" t="n">
        <v>4</v>
      </c>
      <c r="L102" s="0" t="n">
        <v>0.005391</v>
      </c>
    </row>
    <row r="103" customFormat="false" ht="15" hidden="false" customHeight="false" outlineLevel="0" collapsed="false">
      <c r="A103" s="0" t="s">
        <v>1774</v>
      </c>
      <c r="B103" s="0" t="n">
        <v>451</v>
      </c>
      <c r="C103" s="0" t="n">
        <v>7</v>
      </c>
      <c r="D103" s="0" t="n">
        <v>444</v>
      </c>
      <c r="E103" s="0" t="n">
        <v>4</v>
      </c>
      <c r="F103" s="0" t="n">
        <v>1</v>
      </c>
      <c r="G103" s="0" t="n">
        <v>7</v>
      </c>
      <c r="H103" s="0" t="n">
        <v>0</v>
      </c>
      <c r="I103" s="0" t="n">
        <v>436</v>
      </c>
      <c r="J103" s="0" t="n">
        <v>219</v>
      </c>
      <c r="K103" s="0" t="n">
        <v>6</v>
      </c>
      <c r="L103" s="0" t="n">
        <v>0.009009</v>
      </c>
    </row>
    <row r="104" customFormat="false" ht="15" hidden="false" customHeight="false" outlineLevel="0" collapsed="false">
      <c r="A104" s="0" t="s">
        <v>1775</v>
      </c>
      <c r="B104" s="0" t="n">
        <v>535</v>
      </c>
      <c r="C104" s="0" t="n">
        <v>7</v>
      </c>
      <c r="D104" s="0" t="n">
        <v>528</v>
      </c>
      <c r="E104" s="0" t="n">
        <v>7</v>
      </c>
      <c r="F104" s="0" t="n">
        <v>2</v>
      </c>
      <c r="G104" s="0" t="n">
        <v>36</v>
      </c>
      <c r="H104" s="0" t="n">
        <v>4</v>
      </c>
      <c r="I104" s="0" t="n">
        <v>486</v>
      </c>
      <c r="J104" s="0" t="n">
        <v>233</v>
      </c>
      <c r="K104" s="0" t="n">
        <v>3</v>
      </c>
      <c r="L104" s="0" t="n">
        <v>0.013258</v>
      </c>
    </row>
    <row r="105" customFormat="false" ht="15" hidden="false" customHeight="false" outlineLevel="0" collapsed="false">
      <c r="A105" s="0" t="s">
        <v>1776</v>
      </c>
      <c r="B105" s="0" t="n">
        <v>552</v>
      </c>
      <c r="C105" s="0" t="n">
        <v>10</v>
      </c>
      <c r="D105" s="0" t="n">
        <v>542</v>
      </c>
      <c r="E105" s="0" t="n">
        <v>17</v>
      </c>
      <c r="F105" s="0" t="n">
        <v>1</v>
      </c>
      <c r="G105" s="0" t="n">
        <v>15</v>
      </c>
      <c r="H105" s="0" t="n">
        <v>2</v>
      </c>
      <c r="I105" s="0" t="n">
        <v>524</v>
      </c>
      <c r="J105" s="0" t="n">
        <v>257</v>
      </c>
      <c r="K105" s="0" t="n">
        <v>7</v>
      </c>
      <c r="L105" s="0" t="n">
        <v>0.031365</v>
      </c>
    </row>
    <row r="106" customFormat="false" ht="15" hidden="false" customHeight="false" outlineLevel="0" collapsed="false">
      <c r="A106" s="0" t="s">
        <v>1777</v>
      </c>
      <c r="B106" s="0" t="n">
        <v>502</v>
      </c>
      <c r="C106" s="0" t="n">
        <v>6</v>
      </c>
      <c r="D106" s="0" t="n">
        <v>496</v>
      </c>
      <c r="E106" s="0" t="n">
        <v>6</v>
      </c>
      <c r="F106" s="0" t="n">
        <v>0</v>
      </c>
      <c r="G106" s="0" t="n">
        <v>7</v>
      </c>
      <c r="H106" s="0" t="n">
        <v>1</v>
      </c>
      <c r="I106" s="0" t="n">
        <v>488</v>
      </c>
      <c r="J106" s="0" t="n">
        <v>202</v>
      </c>
      <c r="K106" s="0" t="n">
        <v>5</v>
      </c>
      <c r="L106" s="0" t="n">
        <v>0.012097</v>
      </c>
    </row>
    <row r="107" customFormat="false" ht="15" hidden="false" customHeight="false" outlineLevel="0" collapsed="false">
      <c r="A107" s="0" t="s">
        <v>1778</v>
      </c>
      <c r="B107" s="0" t="n">
        <v>603</v>
      </c>
      <c r="C107" s="0" t="n">
        <v>4</v>
      </c>
      <c r="D107" s="0" t="n">
        <v>599</v>
      </c>
      <c r="E107" s="0" t="n">
        <v>12</v>
      </c>
      <c r="F107" s="0" t="n">
        <v>2</v>
      </c>
      <c r="G107" s="0" t="n">
        <v>22</v>
      </c>
      <c r="H107" s="0" t="n">
        <v>0</v>
      </c>
      <c r="I107" s="0" t="n">
        <v>575</v>
      </c>
      <c r="J107" s="0" t="n">
        <v>259</v>
      </c>
      <c r="K107" s="0" t="n">
        <v>8</v>
      </c>
      <c r="L107" s="0" t="n">
        <v>0.020033</v>
      </c>
    </row>
    <row r="108" customFormat="false" ht="15" hidden="false" customHeight="false" outlineLevel="0" collapsed="false">
      <c r="A108" s="0" t="s">
        <v>1779</v>
      </c>
      <c r="B108" s="0" t="n">
        <v>586</v>
      </c>
      <c r="C108" s="0" t="n">
        <v>5</v>
      </c>
      <c r="D108" s="0" t="n">
        <v>581</v>
      </c>
      <c r="E108" s="0" t="n">
        <v>6</v>
      </c>
      <c r="F108" s="0" t="n">
        <v>0</v>
      </c>
      <c r="G108" s="0" t="n">
        <v>24</v>
      </c>
      <c r="H108" s="0" t="n">
        <v>29</v>
      </c>
      <c r="I108" s="0" t="n">
        <v>528</v>
      </c>
      <c r="J108" s="0" t="n">
        <v>235</v>
      </c>
      <c r="K108" s="0" t="n">
        <v>7</v>
      </c>
      <c r="L108" s="0" t="n">
        <v>0.010327</v>
      </c>
    </row>
    <row r="109" customFormat="false" ht="15" hidden="false" customHeight="false" outlineLevel="0" collapsed="false">
      <c r="A109" s="0" t="s">
        <v>1780</v>
      </c>
      <c r="B109" s="0" t="n">
        <v>551</v>
      </c>
      <c r="C109" s="0" t="n">
        <v>2</v>
      </c>
      <c r="D109" s="0" t="n">
        <v>549</v>
      </c>
      <c r="E109" s="0" t="n">
        <v>13</v>
      </c>
      <c r="F109" s="0" t="n">
        <v>0</v>
      </c>
      <c r="G109" s="0" t="n">
        <v>2</v>
      </c>
      <c r="H109" s="0" t="n">
        <v>5</v>
      </c>
      <c r="I109" s="0" t="n">
        <v>542</v>
      </c>
      <c r="J109" s="0" t="n">
        <v>239</v>
      </c>
      <c r="K109" s="0" t="n">
        <v>4</v>
      </c>
      <c r="L109" s="0" t="n">
        <v>0.023679</v>
      </c>
    </row>
    <row r="110" customFormat="false" ht="15" hidden="false" customHeight="false" outlineLevel="0" collapsed="false">
      <c r="A110" s="0" t="s">
        <v>1781</v>
      </c>
      <c r="B110" s="0" t="n">
        <v>516</v>
      </c>
      <c r="C110" s="0" t="n">
        <v>7</v>
      </c>
      <c r="D110" s="0" t="n">
        <v>509</v>
      </c>
      <c r="E110" s="0" t="n">
        <v>13</v>
      </c>
      <c r="F110" s="0" t="n">
        <v>1</v>
      </c>
      <c r="G110" s="0" t="n">
        <v>0</v>
      </c>
      <c r="H110" s="0" t="n">
        <v>10</v>
      </c>
      <c r="I110" s="0" t="n">
        <v>498</v>
      </c>
      <c r="J110" s="0" t="n">
        <v>229</v>
      </c>
      <c r="K110" s="0" t="n">
        <v>9</v>
      </c>
      <c r="L110" s="0" t="n">
        <v>0.02554</v>
      </c>
    </row>
    <row r="111" customFormat="false" ht="15" hidden="false" customHeight="false" outlineLevel="0" collapsed="false">
      <c r="A111" s="0" t="s">
        <v>1782</v>
      </c>
      <c r="B111" s="0" t="n">
        <v>503</v>
      </c>
      <c r="C111" s="0" t="n">
        <v>4</v>
      </c>
      <c r="D111" s="0" t="n">
        <v>499</v>
      </c>
      <c r="E111" s="0" t="n">
        <v>13</v>
      </c>
      <c r="F111" s="0" t="n">
        <v>4</v>
      </c>
      <c r="G111" s="0" t="n">
        <v>8</v>
      </c>
      <c r="H111" s="0" t="n">
        <v>5</v>
      </c>
      <c r="I111" s="0" t="n">
        <v>482</v>
      </c>
      <c r="J111" s="0" t="n">
        <v>208</v>
      </c>
      <c r="K111" s="0" t="n">
        <v>4</v>
      </c>
      <c r="L111" s="0" t="n">
        <v>0.026052</v>
      </c>
    </row>
    <row r="112" customFormat="false" ht="15" hidden="false" customHeight="false" outlineLevel="0" collapsed="false">
      <c r="A112" s="0" t="s">
        <v>1783</v>
      </c>
      <c r="B112" s="0" t="n">
        <v>584</v>
      </c>
      <c r="C112" s="0" t="n">
        <v>4</v>
      </c>
      <c r="D112" s="0" t="n">
        <v>580</v>
      </c>
      <c r="E112" s="0" t="n">
        <v>9</v>
      </c>
      <c r="F112" s="0" t="n">
        <v>1</v>
      </c>
      <c r="G112" s="0" t="n">
        <v>8</v>
      </c>
      <c r="H112" s="0" t="n">
        <v>3</v>
      </c>
      <c r="I112" s="0" t="n">
        <v>568</v>
      </c>
      <c r="J112" s="0" t="n">
        <v>258</v>
      </c>
      <c r="K112" s="0" t="n">
        <v>6</v>
      </c>
      <c r="L112" s="0" t="n">
        <v>0.015517</v>
      </c>
    </row>
    <row r="113" customFormat="false" ht="15" hidden="false" customHeight="false" outlineLevel="0" collapsed="false">
      <c r="A113" s="0" t="s">
        <v>1784</v>
      </c>
      <c r="B113" s="0" t="n">
        <v>563</v>
      </c>
      <c r="C113" s="0" t="n">
        <v>3</v>
      </c>
      <c r="D113" s="0" t="n">
        <v>560</v>
      </c>
      <c r="E113" s="0" t="n">
        <v>8</v>
      </c>
      <c r="F113" s="0" t="n">
        <v>0</v>
      </c>
      <c r="G113" s="0" t="n">
        <v>13</v>
      </c>
      <c r="H113" s="0" t="n">
        <v>6</v>
      </c>
      <c r="I113" s="0" t="n">
        <v>541</v>
      </c>
      <c r="J113" s="0" t="n">
        <v>232</v>
      </c>
      <c r="K113" s="0" t="n">
        <v>4</v>
      </c>
      <c r="L113" s="0" t="n">
        <v>0.014286</v>
      </c>
    </row>
    <row r="114" customFormat="false" ht="15" hidden="false" customHeight="false" outlineLevel="0" collapsed="false">
      <c r="A114" s="0" t="s">
        <v>1785</v>
      </c>
      <c r="B114" s="0" t="n">
        <v>493</v>
      </c>
      <c r="C114" s="0" t="n">
        <v>5</v>
      </c>
      <c r="D114" s="0" t="n">
        <v>488</v>
      </c>
      <c r="E114" s="0" t="n">
        <v>11</v>
      </c>
      <c r="F114" s="0" t="n">
        <v>2</v>
      </c>
      <c r="G114" s="0" t="n">
        <v>10</v>
      </c>
      <c r="H114" s="0" t="n">
        <v>3</v>
      </c>
      <c r="I114" s="0" t="n">
        <v>473</v>
      </c>
      <c r="J114" s="0" t="n">
        <v>207</v>
      </c>
      <c r="K114" s="0" t="n">
        <v>2</v>
      </c>
      <c r="L114" s="0" t="n">
        <v>0.022541</v>
      </c>
    </row>
    <row r="115" customFormat="false" ht="15" hidden="false" customHeight="false" outlineLevel="0" collapsed="false">
      <c r="A115" s="0" t="s">
        <v>1786</v>
      </c>
      <c r="B115" s="0" t="n">
        <v>506</v>
      </c>
      <c r="C115" s="0" t="n">
        <v>4</v>
      </c>
      <c r="D115" s="0" t="n">
        <v>502</v>
      </c>
      <c r="E115" s="0" t="n">
        <v>9</v>
      </c>
      <c r="F115" s="0" t="n">
        <v>1</v>
      </c>
      <c r="G115" s="0" t="n">
        <v>2</v>
      </c>
      <c r="H115" s="0" t="n">
        <v>5</v>
      </c>
      <c r="I115" s="0" t="n">
        <v>494</v>
      </c>
      <c r="J115" s="0" t="n">
        <v>239</v>
      </c>
      <c r="K115" s="0" t="n">
        <v>4</v>
      </c>
      <c r="L115" s="0" t="n">
        <v>0.017928</v>
      </c>
    </row>
    <row r="116" customFormat="false" ht="15" hidden="false" customHeight="false" outlineLevel="0" collapsed="false">
      <c r="A116" s="0" t="s">
        <v>1787</v>
      </c>
      <c r="B116" s="0" t="n">
        <v>441</v>
      </c>
      <c r="C116" s="0" t="n">
        <v>2</v>
      </c>
      <c r="D116" s="0" t="n">
        <v>439</v>
      </c>
      <c r="E116" s="0" t="n">
        <v>7</v>
      </c>
      <c r="F116" s="0" t="n">
        <v>2</v>
      </c>
      <c r="G116" s="0" t="n">
        <v>0</v>
      </c>
      <c r="H116" s="0" t="n">
        <v>5</v>
      </c>
      <c r="I116" s="0" t="n">
        <v>432</v>
      </c>
      <c r="J116" s="0" t="n">
        <v>191</v>
      </c>
      <c r="K116" s="0" t="n">
        <v>5</v>
      </c>
      <c r="L116" s="0" t="n">
        <v>0.015945</v>
      </c>
    </row>
    <row r="117" customFormat="false" ht="15" hidden="false" customHeight="false" outlineLevel="0" collapsed="false">
      <c r="A117" s="0" t="s">
        <v>1788</v>
      </c>
      <c r="B117" s="0" t="n">
        <v>472</v>
      </c>
      <c r="C117" s="0" t="n">
        <v>7</v>
      </c>
      <c r="D117" s="0" t="n">
        <v>465</v>
      </c>
      <c r="E117" s="0" t="n">
        <v>12</v>
      </c>
      <c r="F117" s="0" t="n">
        <v>3</v>
      </c>
      <c r="G117" s="0" t="n">
        <v>0</v>
      </c>
      <c r="H117" s="0" t="n">
        <v>4</v>
      </c>
      <c r="I117" s="0" t="n">
        <v>458</v>
      </c>
      <c r="J117" s="0" t="n">
        <v>214</v>
      </c>
      <c r="K117" s="0" t="n">
        <v>7</v>
      </c>
      <c r="L117" s="0" t="n">
        <v>0.025806</v>
      </c>
    </row>
    <row r="118" customFormat="false" ht="15" hidden="false" customHeight="false" outlineLevel="0" collapsed="false">
      <c r="A118" s="0" t="s">
        <v>1789</v>
      </c>
      <c r="B118" s="0" t="n">
        <v>395</v>
      </c>
      <c r="C118" s="0" t="n">
        <v>5</v>
      </c>
      <c r="D118" s="0" t="n">
        <v>390</v>
      </c>
      <c r="E118" s="0" t="n">
        <v>9</v>
      </c>
      <c r="F118" s="0" t="n">
        <v>1</v>
      </c>
      <c r="G118" s="0" t="n">
        <v>0</v>
      </c>
      <c r="H118" s="0" t="n">
        <v>2</v>
      </c>
      <c r="I118" s="0" t="n">
        <v>387</v>
      </c>
      <c r="J118" s="0" t="n">
        <v>158</v>
      </c>
      <c r="K118" s="0" t="n">
        <v>2</v>
      </c>
      <c r="L118" s="0" t="n">
        <v>0.023077</v>
      </c>
    </row>
    <row r="119" customFormat="false" ht="15" hidden="false" customHeight="false" outlineLevel="0" collapsed="false">
      <c r="A119" s="0" t="s">
        <v>1790</v>
      </c>
      <c r="B119" s="0" t="n">
        <v>375</v>
      </c>
      <c r="C119" s="0" t="n">
        <v>3</v>
      </c>
      <c r="D119" s="0" t="n">
        <v>372</v>
      </c>
      <c r="E119" s="0" t="n">
        <v>9</v>
      </c>
      <c r="F119" s="0" t="n">
        <v>3</v>
      </c>
      <c r="G119" s="0" t="n">
        <v>8</v>
      </c>
      <c r="H119" s="0" t="n">
        <v>0</v>
      </c>
      <c r="I119" s="0" t="n">
        <v>361</v>
      </c>
      <c r="J119" s="0" t="n">
        <v>167</v>
      </c>
      <c r="K119" s="0" t="n">
        <v>5</v>
      </c>
      <c r="L119" s="0" t="n">
        <v>0.024194</v>
      </c>
    </row>
    <row r="120" customFormat="false" ht="15" hidden="false" customHeight="false" outlineLevel="0" collapsed="false">
      <c r="A120" s="0" t="s">
        <v>1791</v>
      </c>
      <c r="B120" s="0" t="n">
        <v>432</v>
      </c>
      <c r="C120" s="0" t="n">
        <v>6</v>
      </c>
      <c r="D120" s="0" t="n">
        <v>426</v>
      </c>
      <c r="E120" s="0" t="n">
        <v>10</v>
      </c>
      <c r="F120" s="0" t="n">
        <v>0</v>
      </c>
      <c r="G120" s="0" t="n">
        <v>17</v>
      </c>
      <c r="H120" s="0" t="n">
        <v>0</v>
      </c>
      <c r="I120" s="0" t="n">
        <v>409</v>
      </c>
      <c r="J120" s="0" t="n">
        <v>184</v>
      </c>
      <c r="K120" s="0" t="n">
        <v>4</v>
      </c>
      <c r="L120" s="0" t="n">
        <v>0.023474</v>
      </c>
    </row>
    <row r="121" customFormat="false" ht="15" hidden="false" customHeight="false" outlineLevel="0" collapsed="false">
      <c r="A121" s="0" t="s">
        <v>1792</v>
      </c>
      <c r="B121" s="0" t="n">
        <v>449</v>
      </c>
      <c r="C121" s="0" t="n">
        <v>5</v>
      </c>
      <c r="D121" s="0" t="n">
        <v>444</v>
      </c>
      <c r="E121" s="0" t="n">
        <v>9</v>
      </c>
      <c r="F121" s="0" t="n">
        <v>1</v>
      </c>
      <c r="G121" s="0" t="n">
        <v>33</v>
      </c>
      <c r="H121" s="0" t="n">
        <v>7</v>
      </c>
      <c r="I121" s="0" t="n">
        <v>403</v>
      </c>
      <c r="J121" s="0" t="n">
        <v>165</v>
      </c>
      <c r="K121" s="0" t="n">
        <v>3</v>
      </c>
      <c r="L121" s="0" t="n">
        <v>0.02027</v>
      </c>
    </row>
    <row r="122" customFormat="false" ht="15" hidden="false" customHeight="false" outlineLevel="0" collapsed="false">
      <c r="A122" s="0" t="s">
        <v>1793</v>
      </c>
      <c r="B122" s="0" t="n">
        <v>421</v>
      </c>
      <c r="C122" s="0" t="n">
        <v>5</v>
      </c>
      <c r="D122" s="0" t="n">
        <v>416</v>
      </c>
      <c r="E122" s="0" t="n">
        <v>4</v>
      </c>
      <c r="F122" s="0" t="n">
        <v>0</v>
      </c>
      <c r="G122" s="0" t="n">
        <v>25</v>
      </c>
      <c r="H122" s="0" t="n">
        <v>6</v>
      </c>
      <c r="I122" s="0" t="n">
        <v>385</v>
      </c>
      <c r="J122" s="0" t="n">
        <v>159</v>
      </c>
      <c r="K122" s="0" t="n">
        <v>4</v>
      </c>
      <c r="L122" s="0" t="n">
        <v>0.009615</v>
      </c>
    </row>
    <row r="123" customFormat="false" ht="15" hidden="false" customHeight="false" outlineLevel="0" collapsed="false">
      <c r="A123" s="0" t="s">
        <v>1794</v>
      </c>
      <c r="B123" s="0" t="n">
        <v>458</v>
      </c>
      <c r="C123" s="0" t="n">
        <v>7</v>
      </c>
      <c r="D123" s="0" t="n">
        <v>451</v>
      </c>
      <c r="E123" s="0" t="n">
        <v>9</v>
      </c>
      <c r="F123" s="0" t="n">
        <v>3</v>
      </c>
      <c r="G123" s="0" t="n">
        <v>22</v>
      </c>
      <c r="H123" s="0" t="n">
        <v>1</v>
      </c>
      <c r="I123" s="0" t="n">
        <v>425</v>
      </c>
      <c r="J123" s="0" t="n">
        <v>187</v>
      </c>
      <c r="K123" s="0" t="n">
        <v>8</v>
      </c>
      <c r="L123" s="0" t="n">
        <v>0.019956</v>
      </c>
    </row>
    <row r="124" customFormat="false" ht="15" hidden="false" customHeight="false" outlineLevel="0" collapsed="false">
      <c r="A124" s="0" t="s">
        <v>1796</v>
      </c>
      <c r="B124" s="0" t="n">
        <v>450</v>
      </c>
      <c r="C124" s="0" t="n">
        <v>4</v>
      </c>
      <c r="D124" s="0" t="n">
        <v>446</v>
      </c>
      <c r="E124" s="0" t="n">
        <v>9</v>
      </c>
      <c r="F124" s="0" t="n">
        <v>2</v>
      </c>
      <c r="G124" s="0" t="n">
        <v>26</v>
      </c>
      <c r="H124" s="0" t="n">
        <v>1</v>
      </c>
      <c r="I124" s="0" t="n">
        <v>417</v>
      </c>
      <c r="J124" s="0" t="n">
        <v>174</v>
      </c>
      <c r="K124" s="0" t="n">
        <v>2</v>
      </c>
      <c r="L124" s="0" t="n">
        <v>0.020179</v>
      </c>
    </row>
    <row r="125" customFormat="false" ht="15" hidden="false" customHeight="false" outlineLevel="0" collapsed="false">
      <c r="A125" s="0" t="s">
        <v>1797</v>
      </c>
      <c r="B125" s="0" t="n">
        <v>376</v>
      </c>
      <c r="C125" s="0" t="n">
        <v>3</v>
      </c>
      <c r="D125" s="0" t="n">
        <v>373</v>
      </c>
      <c r="E125" s="0" t="n">
        <v>6</v>
      </c>
      <c r="F125" s="0" t="n">
        <v>0</v>
      </c>
      <c r="G125" s="0" t="n">
        <v>0</v>
      </c>
      <c r="H125" s="0" t="n">
        <v>8</v>
      </c>
      <c r="I125" s="0" t="n">
        <v>365</v>
      </c>
      <c r="J125" s="0" t="n">
        <v>178</v>
      </c>
      <c r="K125" s="0" t="n">
        <v>5</v>
      </c>
      <c r="L125" s="0" t="n">
        <v>0.016086</v>
      </c>
    </row>
    <row r="126" customFormat="false" ht="15" hidden="false" customHeight="false" outlineLevel="0" collapsed="false">
      <c r="A126" s="0" t="s">
        <v>1798</v>
      </c>
      <c r="B126" s="0" t="n">
        <v>477</v>
      </c>
      <c r="C126" s="0" t="n">
        <v>3</v>
      </c>
      <c r="D126" s="0" t="n">
        <v>474</v>
      </c>
      <c r="E126" s="0" t="n">
        <v>12</v>
      </c>
      <c r="F126" s="0" t="n">
        <v>0</v>
      </c>
      <c r="G126" s="0" t="n">
        <v>4</v>
      </c>
      <c r="H126" s="0" t="n">
        <v>0</v>
      </c>
      <c r="I126" s="0" t="n">
        <v>470</v>
      </c>
      <c r="J126" s="0" t="n">
        <v>203</v>
      </c>
      <c r="K126" s="0" t="n">
        <v>3</v>
      </c>
      <c r="L126" s="0" t="n">
        <v>0.025316</v>
      </c>
    </row>
    <row r="127" customFormat="false" ht="15" hidden="false" customHeight="false" outlineLevel="0" collapsed="false">
      <c r="A127" s="0" t="s">
        <v>1799</v>
      </c>
      <c r="B127" s="0" t="n">
        <v>488</v>
      </c>
      <c r="C127" s="0" t="n">
        <v>4</v>
      </c>
      <c r="D127" s="0" t="n">
        <v>484</v>
      </c>
      <c r="E127" s="0" t="n">
        <v>11</v>
      </c>
      <c r="F127" s="0" t="n">
        <v>0</v>
      </c>
      <c r="G127" s="0" t="n">
        <v>16</v>
      </c>
      <c r="H127" s="0" t="n">
        <v>7</v>
      </c>
      <c r="I127" s="0" t="n">
        <v>461</v>
      </c>
      <c r="J127" s="0" t="n">
        <v>176</v>
      </c>
      <c r="K127" s="0" t="n">
        <v>3</v>
      </c>
      <c r="L127" s="0" t="n">
        <v>0.022727</v>
      </c>
    </row>
    <row r="128" customFormat="false" ht="15" hidden="false" customHeight="false" outlineLevel="0" collapsed="false">
      <c r="A128" s="0" t="s">
        <v>241</v>
      </c>
      <c r="B128" s="0" t="n">
        <v>12552</v>
      </c>
      <c r="C128" s="0" t="n">
        <v>124</v>
      </c>
      <c r="D128" s="0" t="n">
        <v>12428</v>
      </c>
      <c r="E128" s="0" t="n">
        <v>237</v>
      </c>
      <c r="F128" s="0" t="n">
        <v>30</v>
      </c>
      <c r="G128" s="0" t="n">
        <v>305</v>
      </c>
      <c r="H128" s="0" t="n">
        <v>114</v>
      </c>
      <c r="I128" s="0" t="n">
        <v>11979</v>
      </c>
      <c r="J128" s="0" t="n">
        <v>5388</v>
      </c>
      <c r="K128" s="0" t="n">
        <v>124</v>
      </c>
      <c r="L128" s="0" t="n">
        <v>0.01907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2026-10-27T02:40:48Z</dcterms:created>
  <dc:creator>openpyxl</dc:creator>
  <dc:description/>
  <dc:language>en-US</dc:language>
  <cp:lastModifiedBy/>
  <dcterms:modified xsi:type="dcterms:W3CDTF">2026-10-27T02:40:48Z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